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538\"/>
    </mc:Choice>
  </mc:AlternateContent>
  <xr:revisionPtr revIDLastSave="0" documentId="13_ncr:1_{D34AF98C-6E42-41B8-ABCA-91A7D48E65F5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Assy.Model!$HK$2:$IF$55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7" i="10" l="1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25" i="10"/>
  <c r="A54" i="10"/>
  <c r="A55" i="10"/>
  <c r="A53" i="10"/>
  <c r="A52" i="10"/>
  <c r="A51" i="10"/>
  <c r="A49" i="10"/>
  <c r="A50" i="10"/>
  <c r="A47" i="10"/>
  <c r="A48" i="10"/>
  <c r="A46" i="10"/>
  <c r="A45" i="10"/>
  <c r="A44" i="10"/>
  <c r="A42" i="10"/>
  <c r="A43" i="10"/>
  <c r="A41" i="10"/>
  <c r="A39" i="10"/>
  <c r="A40" i="10"/>
  <c r="A38" i="10"/>
  <c r="A35" i="10"/>
  <c r="A34" i="10"/>
  <c r="A36" i="10"/>
  <c r="A37" i="10"/>
  <c r="A33" i="10"/>
  <c r="A32" i="10"/>
  <c r="A30" i="10"/>
  <c r="A31" i="10"/>
  <c r="A29" i="10"/>
  <c r="A28" i="10"/>
  <c r="A27" i="10"/>
  <c r="A26" i="10"/>
  <c r="A24" i="10"/>
  <c r="A23" i="10"/>
  <c r="A22" i="10"/>
  <c r="A20" i="10"/>
  <c r="A21" i="10"/>
  <c r="A18" i="10"/>
  <c r="A19" i="10"/>
  <c r="A17" i="10"/>
  <c r="A16" i="10"/>
  <c r="A15" i="10"/>
  <c r="A14" i="10"/>
  <c r="A13" i="10"/>
  <c r="A11" i="10"/>
  <c r="A10" i="10"/>
  <c r="A12" i="10"/>
  <c r="A9" i="10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AV24" i="4"/>
  <c r="AV23" i="4"/>
  <c r="AV22" i="4"/>
  <c r="AV18" i="4"/>
  <c r="AV19" i="4"/>
  <c r="AV20" i="4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W164" i="1" l="1"/>
  <c r="P252" i="1"/>
  <c r="P253" i="1"/>
  <c r="P254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X293" i="1"/>
  <c r="K138" i="1" s="1"/>
  <c r="A138" i="1" s="1"/>
  <c r="X292" i="1"/>
  <c r="K137" i="1" s="1"/>
  <c r="A137" i="1" s="1"/>
  <c r="X291" i="1"/>
  <c r="X290" i="1"/>
  <c r="K135" i="1" s="1"/>
  <c r="A135" i="1" s="1"/>
  <c r="X289" i="1"/>
  <c r="K134" i="1" s="1"/>
  <c r="A134" i="1" s="1"/>
  <c r="X288" i="1"/>
  <c r="U288" i="1" s="1"/>
  <c r="H133" i="1" s="1"/>
  <c r="X287" i="1"/>
  <c r="K132" i="1" s="1"/>
  <c r="A132" i="1" s="1"/>
  <c r="X286" i="1"/>
  <c r="K131" i="1" s="1"/>
  <c r="A131" i="1" s="1"/>
  <c r="X285" i="1"/>
  <c r="K130" i="1" s="1"/>
  <c r="A130" i="1" s="1"/>
  <c r="X284" i="1"/>
  <c r="K129" i="1" s="1"/>
  <c r="A129" i="1" s="1"/>
  <c r="X283" i="1"/>
  <c r="X282" i="1"/>
  <c r="K127" i="1" s="1"/>
  <c r="A127" i="1" s="1"/>
  <c r="X281" i="1"/>
  <c r="K126" i="1" s="1"/>
  <c r="A126" i="1" s="1"/>
  <c r="X280" i="1"/>
  <c r="K125" i="1" s="1"/>
  <c r="A125" i="1" s="1"/>
  <c r="X279" i="1"/>
  <c r="K124" i="1" s="1"/>
  <c r="A124" i="1" s="1"/>
  <c r="X278" i="1"/>
  <c r="K123" i="1" s="1"/>
  <c r="A123" i="1" s="1"/>
  <c r="X277" i="1"/>
  <c r="K122" i="1" s="1"/>
  <c r="A122" i="1" s="1"/>
  <c r="X276" i="1"/>
  <c r="K121" i="1" s="1"/>
  <c r="A121" i="1" s="1"/>
  <c r="X275" i="1"/>
  <c r="X274" i="1"/>
  <c r="K119" i="1" s="1"/>
  <c r="A119" i="1" s="1"/>
  <c r="X273" i="1"/>
  <c r="K118" i="1" s="1"/>
  <c r="A118" i="1" s="1"/>
  <c r="X272" i="1"/>
  <c r="K117" i="1" s="1"/>
  <c r="A117" i="1" s="1"/>
  <c r="X271" i="1"/>
  <c r="K116" i="1" s="1"/>
  <c r="A116" i="1" s="1"/>
  <c r="X270" i="1"/>
  <c r="K115" i="1" s="1"/>
  <c r="A115" i="1" s="1"/>
  <c r="X269" i="1"/>
  <c r="K114" i="1" s="1"/>
  <c r="A114" i="1" s="1"/>
  <c r="X268" i="1"/>
  <c r="K113" i="1" s="1"/>
  <c r="A113" i="1" s="1"/>
  <c r="X267" i="1"/>
  <c r="X266" i="1"/>
  <c r="K111" i="1" s="1"/>
  <c r="A111" i="1" s="1"/>
  <c r="X265" i="1"/>
  <c r="K110" i="1" s="1"/>
  <c r="A110" i="1" s="1"/>
  <c r="X264" i="1"/>
  <c r="K109" i="1" s="1"/>
  <c r="A109" i="1" s="1"/>
  <c r="X263" i="1"/>
  <c r="K108" i="1" s="1"/>
  <c r="A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U258" i="1" l="1"/>
  <c r="H103" i="1" s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AW11" i="1" s="1"/>
  <c r="M10" i="1"/>
  <c r="Z10" i="1" s="1"/>
  <c r="M9" i="1"/>
  <c r="AW9" i="1" s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1" i="1" l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9" i="1" l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AV19" i="1"/>
  <c r="AV16" i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P51" i="1"/>
  <c r="S51" i="1" s="1"/>
  <c r="Y51" i="1" s="1"/>
  <c r="O51" i="1"/>
  <c r="BG51" i="1" s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AV116" i="1"/>
  <c r="GE116" i="1" s="1"/>
  <c r="N271" i="7"/>
  <c r="N175" i="7"/>
  <c r="AV20" i="1"/>
  <c r="AV76" i="1"/>
  <c r="N231" i="7"/>
  <c r="AV60" i="1"/>
  <c r="N215" i="7"/>
  <c r="AV84" i="1"/>
  <c r="N239" i="7"/>
  <c r="N183" i="7"/>
  <c r="AV28" i="1"/>
  <c r="AV92" i="1"/>
  <c r="CS92" i="1" s="1"/>
  <c r="N247" i="7"/>
  <c r="N191" i="7"/>
  <c r="AV36" i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GW9" i="1" s="1"/>
  <c r="N164" i="7"/>
  <c r="AV18" i="1"/>
  <c r="GL18" i="1" s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FQ74" i="1" s="1"/>
  <c r="N229" i="7"/>
  <c r="AV82" i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BD10" i="1" s="1"/>
  <c r="N165" i="7"/>
  <c r="AV59" i="1"/>
  <c r="N214" i="7"/>
  <c r="AV67" i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Y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BF25" i="1" s="1"/>
  <c r="BI25" i="1" s="1"/>
  <c r="P25" i="1"/>
  <c r="S25" i="1" s="1"/>
  <c r="Y25" i="1" s="1"/>
  <c r="Z25" i="1"/>
  <c r="O25" i="1"/>
  <c r="BG25" i="1" s="1"/>
  <c r="M172" i="7"/>
  <c r="AA17" i="1"/>
  <c r="P17" i="1"/>
  <c r="S17" i="1" s="1"/>
  <c r="Y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Y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H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DD16" i="1"/>
  <c r="AZ16" i="1"/>
  <c r="GM16" i="1" s="1"/>
  <c r="DE16" i="1"/>
  <c r="GW16" i="1"/>
  <c r="DF16" i="1"/>
  <c r="BF16" i="1"/>
  <c r="BI16" i="1" s="1"/>
  <c r="BT16" i="1"/>
  <c r="GJ16" i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I19" i="1" s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GV43" i="1" s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BG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DI25" i="1" l="1"/>
  <c r="BH19" i="1"/>
  <c r="BH16" i="1"/>
  <c r="CD25" i="1"/>
  <c r="BD11" i="1"/>
  <c r="BH25" i="1"/>
  <c r="GV25" i="1"/>
  <c r="GU25" i="1" s="1"/>
  <c r="BH43" i="1"/>
  <c r="DK25" i="1"/>
  <c r="DJ51" i="1"/>
  <c r="DJ25" i="1"/>
  <c r="DI51" i="1"/>
  <c r="GV51" i="1"/>
  <c r="GU51" i="1" s="1"/>
  <c r="DK51" i="1"/>
  <c r="CD51" i="1"/>
  <c r="BI51" i="1"/>
  <c r="DK16" i="1"/>
  <c r="CD16" i="1"/>
  <c r="GV16" i="1"/>
  <c r="GX16" i="1" s="1"/>
  <c r="DI16" i="1"/>
  <c r="DJ16" i="1"/>
  <c r="GK16" i="1"/>
  <c r="DI19" i="1"/>
  <c r="DJ19" i="1"/>
  <c r="DK19" i="1"/>
  <c r="GV19" i="1"/>
  <c r="GX19" i="1" s="1"/>
  <c r="CD19" i="1"/>
  <c r="DK43" i="1"/>
  <c r="DI43" i="1"/>
  <c r="DJ43" i="1"/>
  <c r="CD43" i="1"/>
  <c r="GU43" i="1"/>
  <c r="GX4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BD118" i="1"/>
  <c r="FR86" i="1"/>
  <c r="CO13" i="1"/>
  <c r="EP118" i="1"/>
  <c r="CZ118" i="1"/>
  <c r="GB118" i="1"/>
  <c r="AE54" i="1"/>
  <c r="ET54" i="1" s="1"/>
  <c r="Q17" i="1"/>
  <c r="V11" i="1"/>
  <c r="CQ122" i="1"/>
  <c r="BG70" i="1"/>
  <c r="DB70" i="1"/>
  <c r="DC102" i="1"/>
  <c r="GM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IS24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AZ14" i="1"/>
  <c r="GM14" i="1" s="1"/>
  <c r="DE14" i="1"/>
  <c r="Q102" i="1"/>
  <c r="AD54" i="1"/>
  <c r="AE97" i="1"/>
  <c r="AC54" i="1"/>
  <c r="GW82" i="1"/>
  <c r="AZ96" i="1"/>
  <c r="AE75" i="1"/>
  <c r="AF47" i="1"/>
  <c r="AI47" i="1" s="1"/>
  <c r="R95" i="1"/>
  <c r="X95" i="1" s="1"/>
  <c r="AE47" i="1"/>
  <c r="ET47" i="1" s="1"/>
  <c r="R85" i="1"/>
  <c r="X85" i="1" s="1"/>
  <c r="IW85" i="1" s="1"/>
  <c r="IG85" i="1" s="1"/>
  <c r="BM97" i="1"/>
  <c r="AD75" i="1"/>
  <c r="AH75" i="1" s="1"/>
  <c r="AF97" i="1"/>
  <c r="R75" i="1"/>
  <c r="X75" i="1" s="1"/>
  <c r="V79" i="1"/>
  <c r="BV82" i="1"/>
  <c r="AF75" i="1"/>
  <c r="AM75" i="1" s="1"/>
  <c r="AF83" i="1"/>
  <c r="AI83" i="1" s="1"/>
  <c r="DG82" i="1"/>
  <c r="CT101" i="1"/>
  <c r="R54" i="1"/>
  <c r="X54" i="1" s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/>
  <c r="BI70" i="1"/>
  <c r="CV102" i="1"/>
  <c r="AZ70" i="1"/>
  <c r="DR102" i="1"/>
  <c r="GJ70" i="1"/>
  <c r="DD70" i="1"/>
  <c r="DI70" i="1"/>
  <c r="BE78" i="1"/>
  <c r="BW102" i="1"/>
  <c r="BJ70" i="1"/>
  <c r="BO70" i="1" s="1"/>
  <c r="CH70" i="1" s="1"/>
  <c r="BZ102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BK86" i="1"/>
  <c r="CL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BJ82" i="1"/>
  <c r="BO82" i="1" s="1"/>
  <c r="DG54" i="1"/>
  <c r="BZ52" i="1"/>
  <c r="GW52" i="1"/>
  <c r="BY52" i="1"/>
  <c r="HI52" i="1"/>
  <c r="BG52" i="1"/>
  <c r="AZ52" i="1"/>
  <c r="GM52" i="1" s="1"/>
  <c r="BD52" i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V45" i="1"/>
  <c r="BH60" i="1"/>
  <c r="Q43" i="1"/>
  <c r="BZ13" i="1"/>
  <c r="BS13" i="1"/>
  <c r="DE13" i="1"/>
  <c r="DD13" i="1"/>
  <c r="DD59" i="1"/>
  <c r="GL54" i="1"/>
  <c r="BF54" i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X31" i="1" s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DW74" i="1"/>
  <c r="GX74" i="1"/>
  <c r="EE74" i="1"/>
  <c r="FB115" i="1"/>
  <c r="DO115" i="1"/>
  <c r="BN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BQ71" i="1" s="1"/>
  <c r="DF71" i="1"/>
  <c r="ES71" i="1"/>
  <c r="BH71" i="1"/>
  <c r="BN71" i="1" s="1"/>
  <c r="BP71" i="1" s="1"/>
  <c r="CF71" i="1" s="1"/>
  <c r="CL71" i="1" s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BP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P67" i="1"/>
  <c r="BD67" i="1"/>
  <c r="BY67" i="1"/>
  <c r="GW67" i="1"/>
  <c r="BF67" i="1"/>
  <c r="BZ67" i="1"/>
  <c r="BN67" i="1"/>
  <c r="ET67" i="1"/>
  <c r="CD67" i="1"/>
  <c r="CO67" i="1"/>
  <c r="BJ67" i="1"/>
  <c r="BO67" i="1" s="1"/>
  <c r="CH67" i="1" s="1"/>
  <c r="DE67" i="1"/>
  <c r="DH67" i="1"/>
  <c r="BI67" i="1"/>
  <c r="DI67" i="1"/>
  <c r="GU67" i="1"/>
  <c r="GL58" i="1"/>
  <c r="BG58" i="1"/>
  <c r="DE58" i="1"/>
  <c r="DF58" i="1"/>
  <c r="BV58" i="1"/>
  <c r="BT58" i="1"/>
  <c r="E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S58" i="1"/>
  <c r="EK77" i="1"/>
  <c r="DO109" i="1"/>
  <c r="CC109" i="1"/>
  <c r="EF77" i="1"/>
  <c r="GG116" i="1"/>
  <c r="BY26" i="1"/>
  <c r="GL26" i="1"/>
  <c r="BD26" i="1"/>
  <c r="DH26" i="1" s="1"/>
  <c r="BF26" i="1"/>
  <c r="BI26" i="1" s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X53" i="1" s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BP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EY72" i="1"/>
  <c r="DK72" i="1"/>
  <c r="DT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BN72" i="1"/>
  <c r="BP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CO55" i="1"/>
  <c r="BG55" i="1"/>
  <c r="DW73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I36" i="1"/>
  <c r="BT36" i="1"/>
  <c r="DD36" i="1"/>
  <c r="DF36" i="1"/>
  <c r="DB36" i="1"/>
  <c r="BY36" i="1"/>
  <c r="BZ36" i="1"/>
  <c r="DC36" i="1"/>
  <c r="BW36" i="1"/>
  <c r="BL36" i="1"/>
  <c r="AZ36" i="1"/>
  <c r="CO36" i="1"/>
  <c r="HI36" i="1"/>
  <c r="ES36" i="1"/>
  <c r="CI36" i="1"/>
  <c r="DH52" i="1"/>
  <c r="GJ52" i="1"/>
  <c r="BS52" i="1"/>
  <c r="BT52" i="1"/>
  <c r="GV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BP112" i="1"/>
  <c r="GX112" i="1"/>
  <c r="BW70" i="1"/>
  <c r="ES70" i="1"/>
  <c r="DK70" i="1"/>
  <c r="CD70" i="1"/>
  <c r="BD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BQ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BR70" i="1"/>
  <c r="CJ70" i="1" s="1"/>
  <c r="CI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ET70" i="1"/>
  <c r="FK70" i="1" s="1"/>
  <c r="BK70" i="1"/>
  <c r="BP70" i="1" s="1"/>
  <c r="CF70" i="1" s="1"/>
  <c r="CL70" i="1" s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BZ84" i="1"/>
  <c r="BJ84" i="1"/>
  <c r="BO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GV71" i="1"/>
  <c r="FK71" i="1"/>
  <c r="Q69" i="1"/>
  <c r="DT68" i="1"/>
  <c r="GL68" i="1"/>
  <c r="GU68" i="1"/>
  <c r="DJ68" i="1"/>
  <c r="BT68" i="1"/>
  <c r="BN68" i="1"/>
  <c r="BP68" i="1" s="1"/>
  <c r="CF68" i="1" s="1"/>
  <c r="CL68" i="1" s="1"/>
  <c r="GX68" i="1"/>
  <c r="EU68" i="1"/>
  <c r="DF68" i="1"/>
  <c r="BK68" i="1"/>
  <c r="DH68" i="1"/>
  <c r="BV68" i="1"/>
  <c r="DI68" i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S2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N62" i="1" s="1"/>
  <c r="BT62" i="1"/>
  <c r="BD62" i="1"/>
  <c r="DH62" i="1" s="1"/>
  <c r="CO62" i="1"/>
  <c r="AZ62" i="1"/>
  <c r="GM62" i="1" s="1"/>
  <c r="BW62" i="1"/>
  <c r="DG62" i="1"/>
  <c r="DC62" i="1"/>
  <c r="EU62" i="1"/>
  <c r="EY62" i="1" s="1"/>
  <c r="BZ62" i="1"/>
  <c r="BF62" i="1"/>
  <c r="BI62" i="1" s="1"/>
  <c r="BY62" i="1"/>
  <c r="HI62" i="1"/>
  <c r="BG62" i="1"/>
  <c r="BM62" i="1" s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X14" i="1" s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AE51" i="1"/>
  <c r="ET51" i="1" s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BD20" i="1"/>
  <c r="DH20" i="1" s="1"/>
  <c r="AD12" i="1"/>
  <c r="AC51" i="1"/>
  <c r="AF18" i="1"/>
  <c r="EU18" i="1" s="1"/>
  <c r="EY18" i="1" s="1"/>
  <c r="AC45" i="1"/>
  <c r="AF32" i="1"/>
  <c r="EU32" i="1" s="1"/>
  <c r="EY32" i="1" s="1"/>
  <c r="AE32" i="1"/>
  <c r="ET32" i="1" s="1"/>
  <c r="BW28" i="1"/>
  <c r="BZ28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X11" i="1" s="1"/>
  <c r="AQ11" i="1" s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DH11" i="1"/>
  <c r="BV11" i="1"/>
  <c r="DC35" i="1"/>
  <c r="CO35" i="1"/>
  <c r="EU35" i="1"/>
  <c r="EY35" i="1" s="1"/>
  <c r="BZ35" i="1"/>
  <c r="BD35" i="1"/>
  <c r="DH35" i="1" s="1"/>
  <c r="BW35" i="1"/>
  <c r="ES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L35" i="1" s="1"/>
  <c r="DB35" i="1"/>
  <c r="DG35" i="1"/>
  <c r="DE35" i="1"/>
  <c r="R15" i="1"/>
  <c r="X15" i="1" s="1"/>
  <c r="DF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Y81" i="1"/>
  <c r="GU81" i="1"/>
  <c r="DF81" i="1"/>
  <c r="GM81" i="1"/>
  <c r="GK81" i="1"/>
  <c r="DG81" i="1"/>
  <c r="GW81" i="1"/>
  <c r="HI81" i="1"/>
  <c r="FK81" i="1"/>
  <c r="GL81" i="1"/>
  <c r="AZ81" i="1"/>
  <c r="GJ81" i="1"/>
  <c r="GX81" i="1"/>
  <c r="DI81" i="1"/>
  <c r="DT81" i="1"/>
  <c r="BJ81" i="1"/>
  <c r="CD81" i="1"/>
  <c r="ES81" i="1"/>
  <c r="BZ81" i="1"/>
  <c r="DC81" i="1"/>
  <c r="ET81" i="1"/>
  <c r="BG81" i="1"/>
  <c r="CO81" i="1"/>
  <c r="DB81" i="1"/>
  <c r="DH81" i="1"/>
  <c r="BS81" i="1"/>
  <c r="DK81" i="1"/>
  <c r="BK81" i="1"/>
  <c r="BR81" i="1" s="1"/>
  <c r="BF81" i="1"/>
  <c r="BL81" i="1"/>
  <c r="EU81" i="1"/>
  <c r="BW81" i="1"/>
  <c r="BN81" i="1"/>
  <c r="BO81" i="1" s="1"/>
  <c r="BD81" i="1"/>
  <c r="BM81" i="1"/>
  <c r="BQ81" i="1" s="1"/>
  <c r="BT81" i="1"/>
  <c r="CI81" i="1"/>
  <c r="DD81" i="1"/>
  <c r="BI81" i="1"/>
  <c r="DJ81" i="1"/>
  <c r="BV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DH66" i="1"/>
  <c r="BY31" i="1"/>
  <c r="BQ100" i="1"/>
  <c r="EK95" i="1"/>
  <c r="DD34" i="1"/>
  <c r="DE34" i="1"/>
  <c r="DB63" i="1"/>
  <c r="ET63" i="1"/>
  <c r="GL63" i="1"/>
  <c r="DD63" i="1"/>
  <c r="BH63" i="1"/>
  <c r="BN63" i="1" s="1"/>
  <c r="ES63" i="1"/>
  <c r="DE63" i="1"/>
  <c r="GJ63" i="1"/>
  <c r="GK63" i="1" s="1"/>
  <c r="GW63" i="1"/>
  <c r="BF63" i="1"/>
  <c r="BI63" i="1" s="1"/>
  <c r="AZ63" i="1"/>
  <c r="EU63" i="1"/>
  <c r="EY63" i="1" s="1"/>
  <c r="BT63" i="1"/>
  <c r="BG63" i="1"/>
  <c r="BJ63" i="1" s="1"/>
  <c r="BY63" i="1"/>
  <c r="HI63" i="1"/>
  <c r="BS63" i="1"/>
  <c r="CI63" i="1"/>
  <c r="CO63" i="1"/>
  <c r="BD63" i="1"/>
  <c r="DH63" i="1" s="1"/>
  <c r="BZ63" i="1"/>
  <c r="BW63" i="1"/>
  <c r="BN85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BJ66" i="1"/>
  <c r="GW31" i="1"/>
  <c r="GD98" i="1"/>
  <c r="BY81" i="1"/>
  <c r="DE81" i="1"/>
  <c r="BL80" i="1"/>
  <c r="DG80" i="1"/>
  <c r="BN80" i="1"/>
  <c r="BO80" i="1" s="1"/>
  <c r="CD80" i="1"/>
  <c r="DC80" i="1"/>
  <c r="BW80" i="1"/>
  <c r="DI80" i="1"/>
  <c r="BG80" i="1"/>
  <c r="GX80" i="1"/>
  <c r="BJ80" i="1"/>
  <c r="BR80" i="1" s="1"/>
  <c r="DD80" i="1"/>
  <c r="DT80" i="1"/>
  <c r="BY80" i="1"/>
  <c r="BV80" i="1"/>
  <c r="CO80" i="1"/>
  <c r="DF80" i="1"/>
  <c r="BI80" i="1"/>
  <c r="FK80" i="1"/>
  <c r="BZ80" i="1"/>
  <c r="EY80" i="1"/>
  <c r="ET80" i="1"/>
  <c r="BK80" i="1"/>
  <c r="GK80" i="1"/>
  <c r="BM80" i="1"/>
  <c r="BQ80" i="1" s="1"/>
  <c r="CG80" i="1" s="1"/>
  <c r="HI80" i="1"/>
  <c r="DE80" i="1"/>
  <c r="BH80" i="1"/>
  <c r="CI80" i="1"/>
  <c r="DJ80" i="1"/>
  <c r="GL80" i="1"/>
  <c r="EU80" i="1"/>
  <c r="AZ80" i="1"/>
  <c r="DB80" i="1"/>
  <c r="BD80" i="1"/>
  <c r="ES80" i="1"/>
  <c r="GU80" i="1"/>
  <c r="GV80" i="1"/>
  <c r="BT80" i="1"/>
  <c r="GW80" i="1"/>
  <c r="DH80" i="1"/>
  <c r="BF80" i="1"/>
  <c r="BS80" i="1"/>
  <c r="GJ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CM100" i="1"/>
  <c r="GM80" i="1"/>
  <c r="GV81" i="1"/>
  <c r="BQ75" i="1"/>
  <c r="DF66" i="1"/>
  <c r="BN66" i="1"/>
  <c r="BR66" i="1" s="1"/>
  <c r="ES66" i="1"/>
  <c r="BH66" i="1"/>
  <c r="DE66" i="1"/>
  <c r="BI66" i="1"/>
  <c r="BF66" i="1"/>
  <c r="DG66" i="1"/>
  <c r="BL66" i="1"/>
  <c r="FK66" i="1"/>
  <c r="BK66" i="1"/>
  <c r="DB66" i="1"/>
  <c r="BD66" i="1"/>
  <c r="CI66" i="1"/>
  <c r="CD66" i="1"/>
  <c r="BS66" i="1"/>
  <c r="GV66" i="1"/>
  <c r="EY66" i="1"/>
  <c r="BY66" i="1"/>
  <c r="DT66" i="1"/>
  <c r="DI66" i="1"/>
  <c r="DD66" i="1"/>
  <c r="GJ66" i="1"/>
  <c r="ET66" i="1"/>
  <c r="BZ66" i="1"/>
  <c r="DK66" i="1"/>
  <c r="HI66" i="1"/>
  <c r="GM66" i="1"/>
  <c r="EU66" i="1"/>
  <c r="BT66" i="1"/>
  <c r="CO66" i="1"/>
  <c r="BW66" i="1"/>
  <c r="BM66" i="1"/>
  <c r="BQ66" i="1" s="1"/>
  <c r="GL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X66" i="1"/>
  <c r="DJ66" i="1"/>
  <c r="DG31" i="1"/>
  <c r="DK80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GK66" i="1"/>
  <c r="BG66" i="1"/>
  <c r="BV66" i="1"/>
  <c r="DF63" i="1"/>
  <c r="BK85" i="1"/>
  <c r="BP85" i="1" s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EY53" i="1" s="1"/>
  <c r="CI53" i="1"/>
  <c r="DG53" i="1"/>
  <c r="BG53" i="1"/>
  <c r="DF53" i="1"/>
  <c r="AZ53" i="1"/>
  <c r="GM53" i="1" s="1"/>
  <c r="CO53" i="1"/>
  <c r="ES53" i="1"/>
  <c r="BY53" i="1"/>
  <c r="BD53" i="1"/>
  <c r="DH53" i="1" s="1"/>
  <c r="BZ53" i="1"/>
  <c r="BF53" i="1"/>
  <c r="BI53" i="1" s="1"/>
  <c r="ET53" i="1"/>
  <c r="BS53" i="1"/>
  <c r="BH53" i="1"/>
  <c r="GW53" i="1"/>
  <c r="DD53" i="1"/>
  <c r="DC53" i="1"/>
  <c r="HI53" i="1"/>
  <c r="DB53" i="1"/>
  <c r="BV53" i="1"/>
  <c r="DE53" i="1"/>
  <c r="GJ53" i="1"/>
  <c r="GK53" i="1" s="1"/>
  <c r="GL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EU17" i="1"/>
  <c r="EY17" i="1" s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L82" i="1"/>
  <c r="BS82" i="1"/>
  <c r="CD82" i="1"/>
  <c r="BK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EU59" i="1"/>
  <c r="GW59" i="1"/>
  <c r="BZ59" i="1"/>
  <c r="DG59" i="1"/>
  <c r="AZ59" i="1"/>
  <c r="GM59" i="1" s="1"/>
  <c r="GJ59" i="1"/>
  <c r="GK59" i="1" s="1"/>
  <c r="DF59" i="1"/>
  <c r="DB59" i="1"/>
  <c r="GL59" i="1"/>
  <c r="BW59" i="1"/>
  <c r="ES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BI59" i="1" s="1"/>
  <c r="DE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DK82" i="1"/>
  <c r="DB82" i="1"/>
  <c r="FK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BI60" i="1" s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DK5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GJ82" i="1"/>
  <c r="GV82" i="1"/>
  <c r="DT82" i="1"/>
  <c r="ES82" i="1"/>
  <c r="BW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DK64" i="1" s="1"/>
  <c r="BD64" i="1"/>
  <c r="DH64" i="1" s="1"/>
  <c r="GL64" i="1"/>
  <c r="BW64" i="1"/>
  <c r="CO64" i="1"/>
  <c r="DF64" i="1"/>
  <c r="GV64" i="1"/>
  <c r="GU64" i="1" s="1"/>
  <c r="GW64" i="1"/>
  <c r="GM64" i="1"/>
  <c r="DI64" i="1"/>
  <c r="DC64" i="1"/>
  <c r="BI64" i="1"/>
  <c r="BT64" i="1"/>
  <c r="GJ64" i="1"/>
  <c r="GK64" i="1" s="1"/>
  <c r="BV64" i="1"/>
  <c r="BZ64" i="1"/>
  <c r="BF64" i="1"/>
  <c r="AZ64" i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X82" i="1"/>
  <c r="DC82" i="1"/>
  <c r="DD82" i="1"/>
  <c r="CO82" i="1"/>
  <c r="ET82" i="1"/>
  <c r="AZ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DJ69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I82" i="1"/>
  <c r="GK82" i="1"/>
  <c r="EY82" i="1"/>
  <c r="DF82" i="1"/>
  <c r="DH82" i="1"/>
  <c r="DI82" i="1"/>
  <c r="EU82" i="1"/>
  <c r="BD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DJ82" i="1"/>
  <c r="BM82" i="1"/>
  <c r="BH82" i="1"/>
  <c r="BT82" i="1"/>
  <c r="BY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O69" i="1" s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I65" i="1"/>
  <c r="BF65" i="1"/>
  <c r="CO65" i="1"/>
  <c r="BV65" i="1"/>
  <c r="ET65" i="1"/>
  <c r="DE65" i="1"/>
  <c r="BD65" i="1"/>
  <c r="DH65" i="1" s="1"/>
  <c r="BH65" i="1"/>
  <c r="BG65" i="1"/>
  <c r="DI65" i="1"/>
  <c r="CI65" i="1"/>
  <c r="DF65" i="1"/>
  <c r="DJ65" i="1" s="1"/>
  <c r="BS65" i="1"/>
  <c r="DD65" i="1"/>
  <c r="DK65" i="1" s="1"/>
  <c r="BW65" i="1"/>
  <c r="CD65" i="1" s="1"/>
  <c r="BT65" i="1"/>
  <c r="DC65" i="1"/>
  <c r="GK65" i="1"/>
  <c r="GJ65" i="1"/>
  <c r="GW65" i="1"/>
  <c r="GV65" i="1" s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DB60" i="1"/>
  <c r="EU60" i="1"/>
  <c r="EY60" i="1" s="1"/>
  <c r="AZ60" i="1"/>
  <c r="GM60" i="1" s="1"/>
  <c r="CI60" i="1"/>
  <c r="GW60" i="1"/>
  <c r="DD60" i="1"/>
  <c r="BD60" i="1"/>
  <c r="DH60" i="1" s="1"/>
  <c r="DG60" i="1"/>
  <c r="DF60" i="1"/>
  <c r="BG60" i="1"/>
  <c r="BJ60" i="1" s="1"/>
  <c r="GL60" i="1"/>
  <c r="BY60" i="1"/>
  <c r="HI60" i="1"/>
  <c r="CO60" i="1"/>
  <c r="DC60" i="1"/>
  <c r="BV60" i="1"/>
  <c r="BN60" i="1"/>
  <c r="DC14" i="1"/>
  <c r="ET14" i="1"/>
  <c r="DF14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M82" i="1"/>
  <c r="BF82" i="1"/>
  <c r="BI82" i="1"/>
  <c r="BN82" i="1"/>
  <c r="BP82" i="1" s="1"/>
  <c r="BZ82" i="1"/>
  <c r="BY14" i="1"/>
  <c r="HI14" i="1"/>
  <c r="DH111" i="1"/>
  <c r="DS111" i="1"/>
  <c r="DB111" i="1"/>
  <c r="DP111" i="1"/>
  <c r="FT111" i="1"/>
  <c r="CE111" i="1"/>
  <c r="EZ111" i="1"/>
  <c r="BV101" i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BW18" i="1"/>
  <c r="DB18" i="1"/>
  <c r="DE18" i="1"/>
  <c r="BF18" i="1"/>
  <c r="CI18" i="1"/>
  <c r="BY18" i="1"/>
  <c r="CO18" i="1"/>
  <c r="BZ18" i="1"/>
  <c r="HI18" i="1"/>
  <c r="GW18" i="1"/>
  <c r="GV18" i="1" s="1"/>
  <c r="DC18" i="1"/>
  <c r="DF18" i="1"/>
  <c r="DD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P83" i="1" s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BR83" i="1" s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DH10" i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BH42" i="1"/>
  <c r="GW42" i="1"/>
  <c r="GL42" i="1"/>
  <c r="BG42" i="1"/>
  <c r="DE42" i="1"/>
  <c r="DD42" i="1"/>
  <c r="BW42" i="1"/>
  <c r="CI42" i="1"/>
  <c r="BF42" i="1"/>
  <c r="BI42" i="1" s="1"/>
  <c r="HI42" i="1"/>
  <c r="DG42" i="1"/>
  <c r="BY42" i="1"/>
  <c r="DJ42" i="1"/>
  <c r="EU42" i="1"/>
  <c r="EY42" i="1" s="1"/>
  <c r="BT42" i="1"/>
  <c r="BZ42" i="1"/>
  <c r="CO42" i="1"/>
  <c r="ET42" i="1"/>
  <c r="AZ42" i="1"/>
  <c r="GM42" i="1" s="1"/>
  <c r="BD42" i="1"/>
  <c r="DH42" i="1" s="1"/>
  <c r="BV42" i="1"/>
  <c r="GJ42" i="1"/>
  <c r="GK42" i="1" s="1"/>
  <c r="ES42" i="1"/>
  <c r="BS42" i="1"/>
  <c r="BT9" i="1"/>
  <c r="GJ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DG15" i="1"/>
  <c r="BS15" i="1"/>
  <c r="BF15" i="1"/>
  <c r="BI15" i="1" s="1"/>
  <c r="BV15" i="1"/>
  <c r="CI15" i="1"/>
  <c r="BG15" i="1"/>
  <c r="DC15" i="1"/>
  <c r="CO15" i="1"/>
  <c r="GJ15" i="1"/>
  <c r="DD15" i="1"/>
  <c r="DF15" i="1"/>
  <c r="EU15" i="1"/>
  <c r="EY15" i="1" s="1"/>
  <c r="BD15" i="1"/>
  <c r="DH15" i="1" s="1"/>
  <c r="GW15" i="1"/>
  <c r="DB15" i="1"/>
  <c r="GL15" i="1"/>
  <c r="BW15" i="1"/>
  <c r="BT15" i="1"/>
  <c r="BH15" i="1"/>
  <c r="ES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BN61" i="1" s="1"/>
  <c r="ET61" i="1"/>
  <c r="DF61" i="1"/>
  <c r="EU61" i="1"/>
  <c r="EY61" i="1" s="1"/>
  <c r="BD61" i="1"/>
  <c r="DH61" i="1" s="1"/>
  <c r="GW61" i="1"/>
  <c r="BG61" i="1"/>
  <c r="BJ61" i="1" s="1"/>
  <c r="BZ61" i="1"/>
  <c r="BS61" i="1"/>
  <c r="BW61" i="1"/>
  <c r="ES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GM61" i="1" s="1"/>
  <c r="BY61" i="1"/>
  <c r="GW68" i="1"/>
  <c r="GM68" i="1"/>
  <c r="BL68" i="1"/>
  <c r="FK68" i="1"/>
  <c r="BI68" i="1"/>
  <c r="HI68" i="1"/>
  <c r="EY68" i="1"/>
  <c r="AZ68" i="1"/>
  <c r="BJ68" i="1"/>
  <c r="BQ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M24" i="1" s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ET60" i="1"/>
  <c r="E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D29" i="1"/>
  <c r="AE29" i="1"/>
  <c r="ET29" i="1" s="1"/>
  <c r="AF29" i="1"/>
  <c r="AD96" i="1"/>
  <c r="AH96" i="1" s="1"/>
  <c r="AF33" i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EU65" i="1" s="1"/>
  <c r="AD65" i="1"/>
  <c r="AH65" i="1" s="1"/>
  <c r="BL65" i="1" s="1"/>
  <c r="V64" i="1"/>
  <c r="AF64" i="1"/>
  <c r="EU64" i="1" s="1"/>
  <c r="EY64" i="1" s="1"/>
  <c r="AE64" i="1"/>
  <c r="ET64" i="1" s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EU50" i="1" s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BM63" i="1" l="1"/>
  <c r="DK33" i="1"/>
  <c r="DK63" i="1"/>
  <c r="BM60" i="1"/>
  <c r="BO60" i="1" s="1"/>
  <c r="FK63" i="1"/>
  <c r="DI42" i="1"/>
  <c r="CD63" i="1"/>
  <c r="BL63" i="1"/>
  <c r="GV63" i="1"/>
  <c r="GU63" i="1" s="1"/>
  <c r="DI63" i="1"/>
  <c r="DJ63" i="1"/>
  <c r="BK63" i="1"/>
  <c r="DJ62" i="1"/>
  <c r="DI62" i="1"/>
  <c r="DK62" i="1"/>
  <c r="BK62" i="1"/>
  <c r="FK62" i="1"/>
  <c r="GV62" i="1"/>
  <c r="GX62" i="1" s="1"/>
  <c r="CD62" i="1"/>
  <c r="BJ62" i="1"/>
  <c r="BL62" i="1"/>
  <c r="GV35" i="1"/>
  <c r="GU35" i="1" s="1"/>
  <c r="DI35" i="1"/>
  <c r="DK35" i="1"/>
  <c r="DJ35" i="1"/>
  <c r="BI35" i="1"/>
  <c r="GV61" i="1"/>
  <c r="GU61" i="1" s="1"/>
  <c r="BL61" i="1"/>
  <c r="DI61" i="1"/>
  <c r="FK61" i="1"/>
  <c r="DJ61" i="1"/>
  <c r="CD61" i="1"/>
  <c r="BM61" i="1"/>
  <c r="BK61" i="1"/>
  <c r="DK61" i="1"/>
  <c r="GV42" i="1"/>
  <c r="GU42" i="1" s="1"/>
  <c r="FK42" i="1"/>
  <c r="BL60" i="1"/>
  <c r="DJ52" i="1"/>
  <c r="DI60" i="1"/>
  <c r="DI52" i="1"/>
  <c r="DK60" i="1"/>
  <c r="GV60" i="1"/>
  <c r="GX60" i="1" s="1"/>
  <c r="FK60" i="1"/>
  <c r="DJ60" i="1"/>
  <c r="CD60" i="1"/>
  <c r="DI59" i="1"/>
  <c r="DJ59" i="1"/>
  <c r="ES18" i="1"/>
  <c r="FK18" i="1" s="1"/>
  <c r="BL18" i="1"/>
  <c r="ES17" i="1"/>
  <c r="FK17" i="1" s="1"/>
  <c r="BL17" i="1"/>
  <c r="FK15" i="1"/>
  <c r="GV11" i="1"/>
  <c r="GU11" i="1" s="1"/>
  <c r="BL24" i="1"/>
  <c r="ES58" i="1"/>
  <c r="FK58" i="1" s="1"/>
  <c r="ES24" i="1"/>
  <c r="FK24" i="1" s="1"/>
  <c r="GX25" i="1"/>
  <c r="AH19" i="1"/>
  <c r="BL19" i="1" s="1"/>
  <c r="ES19" i="1"/>
  <c r="FK19" i="1" s="1"/>
  <c r="CG81" i="1"/>
  <c r="CG69" i="1"/>
  <c r="CJ83" i="1"/>
  <c r="CG70" i="1"/>
  <c r="CM70" i="1" s="1"/>
  <c r="CH84" i="1"/>
  <c r="CH82" i="1"/>
  <c r="BR67" i="1"/>
  <c r="BR68" i="1"/>
  <c r="CJ68" i="1" s="1"/>
  <c r="BO83" i="1"/>
  <c r="CH83" i="1" s="1"/>
  <c r="BR69" i="1"/>
  <c r="BO66" i="1"/>
  <c r="CH66" i="1" s="1"/>
  <c r="BR84" i="1"/>
  <c r="CJ84" i="1" s="1"/>
  <c r="BO68" i="1"/>
  <c r="CH68" i="1" s="1"/>
  <c r="BR82" i="1"/>
  <c r="BQ67" i="1"/>
  <c r="CG67" i="1" s="1"/>
  <c r="BP69" i="1"/>
  <c r="CF69" i="1" s="1"/>
  <c r="CL69" i="1" s="1"/>
  <c r="BQ82" i="1"/>
  <c r="CG82" i="1" s="1"/>
  <c r="BP66" i="1"/>
  <c r="CF66" i="1" s="1"/>
  <c r="CL66" i="1" s="1"/>
  <c r="BR72" i="1"/>
  <c r="BO72" i="1"/>
  <c r="CH72" i="1" s="1"/>
  <c r="BP80" i="1"/>
  <c r="CF80" i="1" s="1"/>
  <c r="CL80" i="1" s="1"/>
  <c r="BQ83" i="1"/>
  <c r="CG83" i="1" s="1"/>
  <c r="BQ85" i="1"/>
  <c r="CG85" i="1" s="1"/>
  <c r="BO85" i="1"/>
  <c r="CH85" i="1" s="1"/>
  <c r="BP81" i="1"/>
  <c r="CF81" i="1" s="1"/>
  <c r="CL81" i="1" s="1"/>
  <c r="BQ84" i="1"/>
  <c r="CG84" i="1" s="1"/>
  <c r="BQ72" i="1"/>
  <c r="CF72" i="1" s="1"/>
  <c r="CL72" i="1" s="1"/>
  <c r="CG68" i="1"/>
  <c r="CJ80" i="1"/>
  <c r="BO71" i="1"/>
  <c r="CH71" i="1" s="1"/>
  <c r="BR71" i="1"/>
  <c r="CJ71" i="1" s="1"/>
  <c r="CM80" i="1"/>
  <c r="GU65" i="1"/>
  <c r="GX65" i="1"/>
  <c r="EY65" i="1"/>
  <c r="DT65" i="1"/>
  <c r="DJ64" i="1"/>
  <c r="DT64" i="1" s="1"/>
  <c r="ES64" i="1"/>
  <c r="FK64" i="1" s="1"/>
  <c r="DK42" i="1"/>
  <c r="ES65" i="1"/>
  <c r="FK65" i="1" s="1"/>
  <c r="CD64" i="1"/>
  <c r="ES41" i="1"/>
  <c r="FK41" i="1" s="1"/>
  <c r="GX64" i="1"/>
  <c r="EU41" i="1"/>
  <c r="EY41" i="1" s="1"/>
  <c r="BL64" i="1"/>
  <c r="AH54" i="1"/>
  <c r="ES54" i="1"/>
  <c r="FK54" i="1" s="1"/>
  <c r="DT25" i="1"/>
  <c r="GX52" i="1"/>
  <c r="BL54" i="1"/>
  <c r="DK52" i="1"/>
  <c r="AG44" i="1"/>
  <c r="AM33" i="1"/>
  <c r="EU33" i="1"/>
  <c r="EY33" i="1" s="1"/>
  <c r="AH16" i="1"/>
  <c r="BL16" i="1" s="1"/>
  <c r="ES16" i="1"/>
  <c r="FK16" i="1" s="1"/>
  <c r="CD42" i="1"/>
  <c r="BL42" i="1"/>
  <c r="ES34" i="1"/>
  <c r="FK34" i="1" s="1"/>
  <c r="AH25" i="1"/>
  <c r="BL25" i="1" s="1"/>
  <c r="ES25" i="1"/>
  <c r="FK25" i="1" s="1"/>
  <c r="AI16" i="1"/>
  <c r="EU16" i="1"/>
  <c r="EY16" i="1" s="1"/>
  <c r="BL59" i="1"/>
  <c r="GV59" i="1"/>
  <c r="AM43" i="1"/>
  <c r="EU43" i="1"/>
  <c r="EY43" i="1" s="1"/>
  <c r="EY59" i="1"/>
  <c r="EU34" i="1"/>
  <c r="EY34" i="1" s="1"/>
  <c r="FK35" i="1"/>
  <c r="AH33" i="1"/>
  <c r="ES33" i="1"/>
  <c r="FK33" i="1" s="1"/>
  <c r="AH52" i="1"/>
  <c r="BL52" i="1" s="1"/>
  <c r="ES52" i="1"/>
  <c r="FK52" i="1" s="1"/>
  <c r="ES50" i="1"/>
  <c r="FK50" i="1" s="1"/>
  <c r="CD59" i="1"/>
  <c r="BL34" i="1"/>
  <c r="FK59" i="1"/>
  <c r="GK52" i="1"/>
  <c r="GU52" i="1" s="1"/>
  <c r="CD52" i="1"/>
  <c r="ES26" i="1"/>
  <c r="FK26" i="1" s="1"/>
  <c r="AH43" i="1"/>
  <c r="BL43" i="1" s="1"/>
  <c r="ES43" i="1"/>
  <c r="FK43" i="1" s="1"/>
  <c r="EU26" i="1"/>
  <c r="EY26" i="1" s="1"/>
  <c r="CD35" i="1"/>
  <c r="AI51" i="1"/>
  <c r="EU51" i="1"/>
  <c r="EY51" i="1" s="1"/>
  <c r="BI52" i="1"/>
  <c r="AH51" i="1"/>
  <c r="BL51" i="1" s="1"/>
  <c r="ES51" i="1"/>
  <c r="FK51" i="1" s="1"/>
  <c r="EU52" i="1"/>
  <c r="EU36" i="1"/>
  <c r="EY36" i="1" s="1"/>
  <c r="DK34" i="1"/>
  <c r="DI34" i="1"/>
  <c r="DJ18" i="1"/>
  <c r="DK18" i="1"/>
  <c r="DI18" i="1"/>
  <c r="CD18" i="1"/>
  <c r="BI34" i="1"/>
  <c r="GX18" i="1"/>
  <c r="GU18" i="1"/>
  <c r="BI18" i="1"/>
  <c r="DK58" i="1"/>
  <c r="DJ41" i="1"/>
  <c r="DI58" i="1"/>
  <c r="DT51" i="1"/>
  <c r="DJ34" i="1"/>
  <c r="GV34" i="1"/>
  <c r="GX34" i="1" s="1"/>
  <c r="CD34" i="1"/>
  <c r="BL50" i="1"/>
  <c r="DK54" i="1"/>
  <c r="DI41" i="1"/>
  <c r="CD41" i="1"/>
  <c r="GV41" i="1"/>
  <c r="GU41" i="1" s="1"/>
  <c r="DK41" i="1"/>
  <c r="BI41" i="1"/>
  <c r="GX51" i="1"/>
  <c r="BL41" i="1"/>
  <c r="DI17" i="1"/>
  <c r="DK17" i="1"/>
  <c r="GV17" i="1"/>
  <c r="GX17" i="1" s="1"/>
  <c r="DJ58" i="1"/>
  <c r="DJ17" i="1"/>
  <c r="CD17" i="1"/>
  <c r="BI17" i="1"/>
  <c r="BJ58" i="1"/>
  <c r="GM17" i="1"/>
  <c r="GV58" i="1"/>
  <c r="GX58" i="1" s="1"/>
  <c r="GV33" i="1"/>
  <c r="GX33" i="1" s="1"/>
  <c r="BL58" i="1"/>
  <c r="BI58" i="1"/>
  <c r="CD58" i="1"/>
  <c r="BL33" i="1"/>
  <c r="DJ33" i="1"/>
  <c r="DI33" i="1"/>
  <c r="GU16" i="1"/>
  <c r="CD33" i="1"/>
  <c r="GV24" i="1"/>
  <c r="GX24" i="1" s="1"/>
  <c r="BI24" i="1"/>
  <c r="DJ24" i="1"/>
  <c r="DI24" i="1"/>
  <c r="DK24" i="1"/>
  <c r="CD24" i="1"/>
  <c r="DI50" i="1"/>
  <c r="DJ50" i="1"/>
  <c r="DK50" i="1"/>
  <c r="CD50" i="1"/>
  <c r="GV50" i="1"/>
  <c r="GX50" i="1" s="1"/>
  <c r="EY50" i="1"/>
  <c r="DT16" i="1"/>
  <c r="DJ54" i="1"/>
  <c r="GV36" i="1"/>
  <c r="GX36" i="1" s="1"/>
  <c r="GV15" i="1"/>
  <c r="GX15" i="1" s="1"/>
  <c r="DJ15" i="1"/>
  <c r="DI15" i="1"/>
  <c r="CD15" i="1"/>
  <c r="BL15" i="1"/>
  <c r="DK15" i="1"/>
  <c r="GK15" i="1"/>
  <c r="GM15" i="1"/>
  <c r="FK36" i="1"/>
  <c r="BL53" i="1"/>
  <c r="DI54" i="1"/>
  <c r="GV54" i="1"/>
  <c r="GU54" i="1" s="1"/>
  <c r="DI36" i="1"/>
  <c r="CD54" i="1"/>
  <c r="EY54" i="1"/>
  <c r="BI54" i="1"/>
  <c r="DJ36" i="1"/>
  <c r="CD36" i="1"/>
  <c r="DK36" i="1"/>
  <c r="GM36" i="1"/>
  <c r="GV53" i="1"/>
  <c r="GX53" i="1" s="1"/>
  <c r="CD53" i="1"/>
  <c r="DJ53" i="1"/>
  <c r="DK53" i="1"/>
  <c r="FK53" i="1"/>
  <c r="DI53" i="1"/>
  <c r="DT19" i="1"/>
  <c r="GU19" i="1"/>
  <c r="DK26" i="1"/>
  <c r="DT43" i="1"/>
  <c r="GV26" i="1"/>
  <c r="GX26" i="1" s="1"/>
  <c r="GK26" i="1"/>
  <c r="BL26" i="1"/>
  <c r="CD26" i="1"/>
  <c r="DI26" i="1"/>
  <c r="DJ26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BN15" i="1" s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K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K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BK17" i="1" s="1"/>
  <c r="AG42" i="1"/>
  <c r="AJ11" i="1"/>
  <c r="AI37" i="1"/>
  <c r="AG59" i="1"/>
  <c r="AG37" i="1"/>
  <c r="AJ10" i="1"/>
  <c r="AI23" i="1"/>
  <c r="AI36" i="1"/>
  <c r="AG26" i="1"/>
  <c r="BK26" i="1" s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BK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M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J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K52" i="1" s="1"/>
  <c r="AM96" i="1"/>
  <c r="AG96" i="1"/>
  <c r="AG41" i="1"/>
  <c r="BM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BK64" i="1" s="1"/>
  <c r="AM64" i="1"/>
  <c r="AJ64" i="1"/>
  <c r="AJ58" i="1"/>
  <c r="AG58" i="1"/>
  <c r="BM58" i="1" s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J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J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GX11" i="1" l="1"/>
  <c r="GU33" i="1"/>
  <c r="BQ63" i="1"/>
  <c r="BR60" i="1"/>
  <c r="BO62" i="1"/>
  <c r="BP63" i="1"/>
  <c r="DT42" i="1"/>
  <c r="DT63" i="1"/>
  <c r="GX63" i="1"/>
  <c r="BO63" i="1"/>
  <c r="BR63" i="1"/>
  <c r="BP62" i="1"/>
  <c r="DT62" i="1"/>
  <c r="GU62" i="1"/>
  <c r="BQ62" i="1"/>
  <c r="BR62" i="1"/>
  <c r="DT35" i="1"/>
  <c r="GX35" i="1"/>
  <c r="BR61" i="1"/>
  <c r="DT61" i="1"/>
  <c r="BP61" i="1"/>
  <c r="BQ61" i="1"/>
  <c r="GX61" i="1"/>
  <c r="BO61" i="1"/>
  <c r="GX42" i="1"/>
  <c r="BQ60" i="1"/>
  <c r="BP60" i="1"/>
  <c r="DT60" i="1"/>
  <c r="DT52" i="1"/>
  <c r="GU60" i="1"/>
  <c r="DT59" i="1"/>
  <c r="BK58" i="1"/>
  <c r="BN58" i="1"/>
  <c r="BK24" i="1"/>
  <c r="BJ19" i="1"/>
  <c r="BK19" i="1"/>
  <c r="BM19" i="1"/>
  <c r="BN19" i="1"/>
  <c r="BN24" i="1"/>
  <c r="BM24" i="1"/>
  <c r="BQ24" i="1" s="1"/>
  <c r="CJ72" i="1"/>
  <c r="CF85" i="1"/>
  <c r="CL85" i="1" s="1"/>
  <c r="CJ66" i="1"/>
  <c r="CF83" i="1"/>
  <c r="CL83" i="1" s="1"/>
  <c r="CM83" i="1"/>
  <c r="CJ69" i="1"/>
  <c r="CF84" i="1"/>
  <c r="CL84" i="1" s="1"/>
  <c r="CG66" i="1"/>
  <c r="CH80" i="1"/>
  <c r="CJ85" i="1"/>
  <c r="CG72" i="1"/>
  <c r="CM68" i="1"/>
  <c r="CM84" i="1"/>
  <c r="CG71" i="1"/>
  <c r="CM71" i="1" s="1"/>
  <c r="CJ82" i="1"/>
  <c r="CJ67" i="1"/>
  <c r="CH81" i="1"/>
  <c r="CH69" i="1"/>
  <c r="CF82" i="1"/>
  <c r="CL82" i="1" s="1"/>
  <c r="CF67" i="1"/>
  <c r="CL67" i="1" s="1"/>
  <c r="CJ81" i="1"/>
  <c r="BJ65" i="1"/>
  <c r="BK65" i="1"/>
  <c r="BM65" i="1"/>
  <c r="BN65" i="1"/>
  <c r="BP65" i="1" s="1"/>
  <c r="BK41" i="1"/>
  <c r="BA35" i="1"/>
  <c r="GN35" i="1" s="1"/>
  <c r="BA70" i="1"/>
  <c r="GN70" i="1" s="1"/>
  <c r="BA71" i="1"/>
  <c r="GN71" i="1" s="1"/>
  <c r="BA67" i="1"/>
  <c r="GN67" i="1" s="1"/>
  <c r="BA72" i="1"/>
  <c r="GN72" i="1" s="1"/>
  <c r="BA66" i="1"/>
  <c r="GN66" i="1" s="1"/>
  <c r="BA80" i="1"/>
  <c r="GN80" i="1" s="1"/>
  <c r="BA68" i="1"/>
  <c r="GN68" i="1" s="1"/>
  <c r="BA85" i="1"/>
  <c r="GN85" i="1" s="1"/>
  <c r="BA84" i="1"/>
  <c r="GN84" i="1" s="1"/>
  <c r="BA81" i="1"/>
  <c r="GN81" i="1" s="1"/>
  <c r="BA83" i="1"/>
  <c r="GN83" i="1" s="1"/>
  <c r="BA69" i="1"/>
  <c r="GN69" i="1" s="1"/>
  <c r="BA82" i="1"/>
  <c r="GN82" i="1" s="1"/>
  <c r="BJ41" i="1"/>
  <c r="BQ41" i="1" s="1"/>
  <c r="BJ64" i="1"/>
  <c r="BN64" i="1"/>
  <c r="BP64" i="1" s="1"/>
  <c r="BN41" i="1"/>
  <c r="BN25" i="1"/>
  <c r="BA65" i="1"/>
  <c r="GN65" i="1" s="1"/>
  <c r="BM64" i="1"/>
  <c r="BJ26" i="1"/>
  <c r="BJ36" i="1"/>
  <c r="BJ18" i="1"/>
  <c r="BN53" i="1"/>
  <c r="BN17" i="1"/>
  <c r="GU59" i="1"/>
  <c r="GX59" i="1"/>
  <c r="BN43" i="1"/>
  <c r="BM43" i="1"/>
  <c r="BJ43" i="1"/>
  <c r="BJ35" i="1"/>
  <c r="BN35" i="1"/>
  <c r="BP35" i="1" s="1"/>
  <c r="BM35" i="1"/>
  <c r="BJ15" i="1"/>
  <c r="BN18" i="1"/>
  <c r="BP18" i="1" s="1"/>
  <c r="BN34" i="1"/>
  <c r="BM51" i="1"/>
  <c r="BN51" i="1"/>
  <c r="BK51" i="1"/>
  <c r="BJ51" i="1"/>
  <c r="BN26" i="1"/>
  <c r="BK33" i="1"/>
  <c r="BM17" i="1"/>
  <c r="EY52" i="1"/>
  <c r="BM26" i="1"/>
  <c r="BJ17" i="1"/>
  <c r="BM36" i="1"/>
  <c r="BM52" i="1"/>
  <c r="BM18" i="1"/>
  <c r="BK59" i="1"/>
  <c r="BN59" i="1"/>
  <c r="BJ59" i="1"/>
  <c r="BJ54" i="1"/>
  <c r="BQ54" i="1" s="1"/>
  <c r="BM50" i="1"/>
  <c r="BM33" i="1"/>
  <c r="BQ33" i="1" s="1"/>
  <c r="BN33" i="1"/>
  <c r="BN54" i="1"/>
  <c r="BJ52" i="1"/>
  <c r="BN36" i="1"/>
  <c r="BP36" i="1" s="1"/>
  <c r="BK50" i="1"/>
  <c r="BK54" i="1"/>
  <c r="BM59" i="1"/>
  <c r="BM15" i="1"/>
  <c r="BN52" i="1"/>
  <c r="BP52" i="1" s="1"/>
  <c r="BA62" i="1"/>
  <c r="GN62" i="1" s="1"/>
  <c r="BA59" i="1"/>
  <c r="GN59" i="1" s="1"/>
  <c r="BA52" i="1"/>
  <c r="GN52" i="1" s="1"/>
  <c r="BA42" i="1"/>
  <c r="GN42" i="1" s="1"/>
  <c r="BA61" i="1"/>
  <c r="GN61" i="1" s="1"/>
  <c r="BA63" i="1"/>
  <c r="GN63" i="1" s="1"/>
  <c r="BA64" i="1"/>
  <c r="GN64" i="1" s="1"/>
  <c r="BA60" i="1"/>
  <c r="GN60" i="1" s="1"/>
  <c r="BM42" i="1"/>
  <c r="BK42" i="1"/>
  <c r="BJ42" i="1"/>
  <c r="BN42" i="1"/>
  <c r="BK53" i="1"/>
  <c r="BJ53" i="1"/>
  <c r="BQ53" i="1" s="1"/>
  <c r="BJ34" i="1"/>
  <c r="BQ34" i="1" s="1"/>
  <c r="BK34" i="1"/>
  <c r="BK43" i="1"/>
  <c r="BM25" i="1"/>
  <c r="BK25" i="1"/>
  <c r="BJ25" i="1"/>
  <c r="BN16" i="1"/>
  <c r="BM16" i="1"/>
  <c r="BK16" i="1"/>
  <c r="BJ16" i="1"/>
  <c r="GX13" i="1"/>
  <c r="GU13" i="1"/>
  <c r="BK15" i="1"/>
  <c r="BP15" i="1" s="1"/>
  <c r="BN50" i="1"/>
  <c r="BP50" i="1" s="1"/>
  <c r="DT34" i="1"/>
  <c r="DT18" i="1"/>
  <c r="BA41" i="1"/>
  <c r="GN41" i="1" s="1"/>
  <c r="BA25" i="1"/>
  <c r="GN25" i="1" s="1"/>
  <c r="DT58" i="1"/>
  <c r="GU34" i="1"/>
  <c r="DT41" i="1"/>
  <c r="BA18" i="1"/>
  <c r="GN18" i="1" s="1"/>
  <c r="BA34" i="1"/>
  <c r="GN34" i="1" s="1"/>
  <c r="GX41" i="1"/>
  <c r="BA58" i="1"/>
  <c r="GN58" i="1" s="1"/>
  <c r="BA51" i="1"/>
  <c r="GN51" i="1" s="1"/>
  <c r="GU17" i="1"/>
  <c r="DT17" i="1"/>
  <c r="BA17" i="1"/>
  <c r="GN17" i="1" s="1"/>
  <c r="DT33" i="1"/>
  <c r="GU58" i="1"/>
  <c r="BQ58" i="1"/>
  <c r="DT24" i="1"/>
  <c r="BA50" i="1"/>
  <c r="GN50" i="1" s="1"/>
  <c r="BA33" i="1"/>
  <c r="GN33" i="1" s="1"/>
  <c r="GU24" i="1"/>
  <c r="BA24" i="1"/>
  <c r="GN24" i="1" s="1"/>
  <c r="DT50" i="1"/>
  <c r="GU50" i="1"/>
  <c r="DT54" i="1"/>
  <c r="GU36" i="1"/>
  <c r="BA15" i="1"/>
  <c r="GN15" i="1" s="1"/>
  <c r="BA16" i="1"/>
  <c r="GN16" i="1" s="1"/>
  <c r="GU56" i="1"/>
  <c r="GU15" i="1"/>
  <c r="DT15" i="1"/>
  <c r="FK21" i="1"/>
  <c r="GX54" i="1"/>
  <c r="BA53" i="1"/>
  <c r="GN53" i="1" s="1"/>
  <c r="BA54" i="1"/>
  <c r="GN54" i="1" s="1"/>
  <c r="GU53" i="1"/>
  <c r="DT36" i="1"/>
  <c r="BA36" i="1"/>
  <c r="GN36" i="1" s="1"/>
  <c r="DT53" i="1"/>
  <c r="BA26" i="1"/>
  <c r="GN26" i="1" s="1"/>
  <c r="BA19" i="1"/>
  <c r="GN19" i="1" s="1"/>
  <c r="DT26" i="1"/>
  <c r="GU26" i="1"/>
  <c r="BA46" i="1"/>
  <c r="GN46" i="1" s="1"/>
  <c r="BA43" i="1"/>
  <c r="GN43" i="1" s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Q36" i="1" l="1"/>
  <c r="BR54" i="1"/>
  <c r="BP54" i="1"/>
  <c r="BP34" i="1"/>
  <c r="BP42" i="1"/>
  <c r="BP41" i="1"/>
  <c r="BR33" i="1"/>
  <c r="BP33" i="1"/>
  <c r="BP51" i="1"/>
  <c r="BO50" i="1"/>
  <c r="BR58" i="1"/>
  <c r="HX10" i="1"/>
  <c r="HZ9" i="1"/>
  <c r="BQ26" i="1"/>
  <c r="BR26" i="1"/>
  <c r="BO24" i="1"/>
  <c r="BP24" i="1"/>
  <c r="BP19" i="1"/>
  <c r="BQ15" i="1"/>
  <c r="BR18" i="1"/>
  <c r="BQ17" i="1"/>
  <c r="BO26" i="1"/>
  <c r="BR24" i="1"/>
  <c r="BO58" i="1"/>
  <c r="BR34" i="1"/>
  <c r="BR50" i="1"/>
  <c r="BO33" i="1"/>
  <c r="BP58" i="1"/>
  <c r="BO34" i="1"/>
  <c r="BO36" i="1"/>
  <c r="BQ50" i="1"/>
  <c r="BO15" i="1"/>
  <c r="BO19" i="1"/>
  <c r="BR19" i="1"/>
  <c r="BQ19" i="1"/>
  <c r="BR17" i="1"/>
  <c r="BP26" i="1"/>
  <c r="BR36" i="1"/>
  <c r="BP53" i="1"/>
  <c r="BR41" i="1"/>
  <c r="CM85" i="1"/>
  <c r="CM66" i="1"/>
  <c r="CM72" i="1"/>
  <c r="CM67" i="1"/>
  <c r="CM81" i="1"/>
  <c r="CM82" i="1"/>
  <c r="CM69" i="1"/>
  <c r="BR15" i="1"/>
  <c r="BO17" i="1"/>
  <c r="BP17" i="1"/>
  <c r="BO41" i="1"/>
  <c r="BO54" i="1"/>
  <c r="BO18" i="1"/>
  <c r="BQ18" i="1"/>
  <c r="BP25" i="1"/>
  <c r="BR53" i="1"/>
  <c r="BR64" i="1"/>
  <c r="BO64" i="1"/>
  <c r="BQ64" i="1"/>
  <c r="BO65" i="1"/>
  <c r="BR65" i="1"/>
  <c r="BQ65" i="1"/>
  <c r="BO53" i="1"/>
  <c r="BQ25" i="1"/>
  <c r="BR25" i="1"/>
  <c r="BO25" i="1"/>
  <c r="BO59" i="1"/>
  <c r="BQ59" i="1"/>
  <c r="BR59" i="1"/>
  <c r="BO51" i="1"/>
  <c r="BR51" i="1"/>
  <c r="BQ51" i="1"/>
  <c r="BO35" i="1"/>
  <c r="BQ35" i="1"/>
  <c r="BR35" i="1"/>
  <c r="BP59" i="1"/>
  <c r="BO43" i="1"/>
  <c r="BQ43" i="1"/>
  <c r="BR43" i="1"/>
  <c r="BR42" i="1"/>
  <c r="BO42" i="1"/>
  <c r="BQ42" i="1"/>
  <c r="BO52" i="1"/>
  <c r="BR52" i="1"/>
  <c r="BQ52" i="1"/>
  <c r="BP43" i="1"/>
  <c r="BO16" i="1"/>
  <c r="BR16" i="1"/>
  <c r="BQ16" i="1"/>
  <c r="GX2" i="1"/>
  <c r="BP16" i="1"/>
  <c r="HX9" i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V43" i="1" s="1"/>
  <c r="AO9" i="1"/>
  <c r="HN9" i="1" s="1"/>
  <c r="AP9" i="1"/>
  <c r="HN15" i="1" l="1"/>
  <c r="HN14" i="1"/>
  <c r="HN12" i="1"/>
  <c r="IV61" i="1"/>
  <c r="IV54" i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W17" i="1" l="1"/>
  <c r="CA12" i="1"/>
  <c r="BX12" i="1"/>
  <c r="BU12" i="1"/>
  <c r="AT14" i="1"/>
  <c r="BB14" i="1" s="1"/>
  <c r="BE14" i="1" s="1"/>
  <c r="BU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A15" i="1" l="1"/>
  <c r="BU15" i="1"/>
  <c r="BX15" i="1"/>
  <c r="BX14" i="1"/>
  <c r="CA14" i="1"/>
  <c r="CC12" i="1"/>
  <c r="CB12" i="1"/>
  <c r="CG12" i="1" s="1"/>
  <c r="CE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J11" i="1"/>
  <c r="CH11" i="1"/>
  <c r="CF11" i="1"/>
  <c r="CL11" i="1" s="1"/>
  <c r="CK11" i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E15" i="1"/>
  <c r="CC15" i="1"/>
  <c r="CC14" i="1"/>
  <c r="CF14" i="1" s="1"/>
  <c r="CL14" i="1" s="1"/>
  <c r="CB14" i="1"/>
  <c r="CG14" i="1" s="1"/>
  <c r="CE14" i="1"/>
  <c r="CJ12" i="1"/>
  <c r="CH12" i="1"/>
  <c r="CK12" i="1"/>
  <c r="CF12" i="1"/>
  <c r="CL12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K15" i="1" l="1"/>
  <c r="CH15" i="1"/>
  <c r="CF15" i="1"/>
  <c r="CL15" i="1" s="1"/>
  <c r="CJ15" i="1"/>
  <c r="BX17" i="1"/>
  <c r="BU17" i="1"/>
  <c r="CA17" i="1"/>
  <c r="CE16" i="1"/>
  <c r="CB16" i="1"/>
  <c r="CG16" i="1" s="1"/>
  <c r="CC16" i="1"/>
  <c r="CJ14" i="1"/>
  <c r="CM14" i="1" s="1"/>
  <c r="CK14" i="1"/>
  <c r="CH14" i="1"/>
  <c r="CN12" i="1"/>
  <c r="CM12" i="1"/>
  <c r="CR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J16" i="1" l="1"/>
  <c r="CM16" i="1" s="1"/>
  <c r="CC17" i="1"/>
  <c r="CE17" i="1"/>
  <c r="CB17" i="1"/>
  <c r="CG17" i="1" s="1"/>
  <c r="BU18" i="1"/>
  <c r="CA18" i="1"/>
  <c r="BX18" i="1"/>
  <c r="CR15" i="1"/>
  <c r="CM15" i="1"/>
  <c r="CF16" i="1"/>
  <c r="CL16" i="1" s="1"/>
  <c r="CH16" i="1"/>
  <c r="CK16" i="1"/>
  <c r="CN15" i="1"/>
  <c r="CN14" i="1"/>
  <c r="CP14" i="1" s="1"/>
  <c r="CR14" i="1"/>
  <c r="CQ12" i="1"/>
  <c r="CP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J17" i="1" l="1"/>
  <c r="CM17" i="1" s="1"/>
  <c r="CP15" i="1"/>
  <c r="CQ15" i="1"/>
  <c r="CF17" i="1"/>
  <c r="CL17" i="1" s="1"/>
  <c r="CK17" i="1"/>
  <c r="CH17" i="1"/>
  <c r="BX19" i="1"/>
  <c r="BU19" i="1"/>
  <c r="CA19" i="1"/>
  <c r="CN16" i="1"/>
  <c r="CP16" i="1" s="1"/>
  <c r="CR16" i="1"/>
  <c r="CB18" i="1"/>
  <c r="CG18" i="1" s="1"/>
  <c r="CC18" i="1"/>
  <c r="CE18" i="1"/>
  <c r="CQ14" i="1"/>
  <c r="CS14" i="1" s="1"/>
  <c r="CS12" i="1"/>
  <c r="CT12" i="1" s="1"/>
  <c r="CV12" i="1" s="1"/>
  <c r="DL12" i="1" s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S15" i="1" l="1"/>
  <c r="CU15" i="1" s="1"/>
  <c r="CY15" i="1" s="1"/>
  <c r="CQ16" i="1"/>
  <c r="CS16" i="1" s="1"/>
  <c r="CT16" i="1" s="1"/>
  <c r="CN17" i="1"/>
  <c r="CQ17" i="1" s="1"/>
  <c r="CJ18" i="1"/>
  <c r="CF18" i="1"/>
  <c r="CL18" i="1" s="1"/>
  <c r="CK18" i="1"/>
  <c r="CH18" i="1"/>
  <c r="CC19" i="1"/>
  <c r="CE19" i="1"/>
  <c r="CB19" i="1"/>
  <c r="CG19" i="1" s="1"/>
  <c r="CR17" i="1"/>
  <c r="CT14" i="1"/>
  <c r="CW14" i="1" s="1"/>
  <c r="DM14" i="1" s="1"/>
  <c r="CU14" i="1"/>
  <c r="DA14" i="1" s="1"/>
  <c r="CW12" i="1"/>
  <c r="DM12" i="1" s="1"/>
  <c r="CX12" i="1"/>
  <c r="DN12" i="1" s="1"/>
  <c r="CU12" i="1"/>
  <c r="CY12" i="1" s="1"/>
  <c r="DO12" i="1" s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DA15" i="1" l="1"/>
  <c r="CZ15" i="1"/>
  <c r="CT15" i="1"/>
  <c r="CW15" i="1" s="1"/>
  <c r="CP17" i="1"/>
  <c r="CS17" i="1" s="1"/>
  <c r="CU17" i="1" s="1"/>
  <c r="CJ19" i="1"/>
  <c r="CM19" i="1" s="1"/>
  <c r="CU16" i="1"/>
  <c r="CN18" i="1"/>
  <c r="CV16" i="1"/>
  <c r="CW16" i="1"/>
  <c r="CX16" i="1"/>
  <c r="CM18" i="1"/>
  <c r="CR18" i="1"/>
  <c r="CF19" i="1"/>
  <c r="CL19" i="1" s="1"/>
  <c r="CH19" i="1"/>
  <c r="CK19" i="1"/>
  <c r="CX14" i="1"/>
  <c r="DN14" i="1" s="1"/>
  <c r="CY14" i="1"/>
  <c r="CZ14" i="1"/>
  <c r="DP14" i="1" s="1"/>
  <c r="CV14" i="1"/>
  <c r="DL14" i="1" s="1"/>
  <c r="DW12" i="1"/>
  <c r="DX12" i="1" s="1"/>
  <c r="DA12" i="1"/>
  <c r="DQ12" i="1" s="1"/>
  <c r="DR12" i="1"/>
  <c r="CZ12" i="1"/>
  <c r="DP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CV15" i="1" l="1"/>
  <c r="DO15" i="1" s="1"/>
  <c r="DP15" i="1"/>
  <c r="CX15" i="1"/>
  <c r="DN15" i="1" s="1"/>
  <c r="CR19" i="1"/>
  <c r="CP18" i="1"/>
  <c r="CQ18" i="1"/>
  <c r="CT17" i="1"/>
  <c r="DM16" i="1"/>
  <c r="CY17" i="1"/>
  <c r="CZ17" i="1"/>
  <c r="DA17" i="1"/>
  <c r="DL16" i="1"/>
  <c r="DM15" i="1"/>
  <c r="DN16" i="1"/>
  <c r="CN19" i="1"/>
  <c r="CP19" i="1" s="1"/>
  <c r="CY16" i="1"/>
  <c r="DO16" i="1" s="1"/>
  <c r="CZ16" i="1"/>
  <c r="DP16" i="1" s="1"/>
  <c r="DA16" i="1"/>
  <c r="DQ16" i="1" s="1"/>
  <c r="DQ14" i="1"/>
  <c r="DR14" i="1"/>
  <c r="DW14" i="1"/>
  <c r="DX14" i="1" s="1"/>
  <c r="DO14" i="1"/>
  <c r="EA12" i="1"/>
  <c r="DV12" i="1"/>
  <c r="DS12" i="1"/>
  <c r="DU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L15" i="1" l="1"/>
  <c r="DW15" i="1" s="1"/>
  <c r="DX15" i="1" s="1"/>
  <c r="DQ15" i="1"/>
  <c r="DS15" i="1" s="1"/>
  <c r="DS16" i="1"/>
  <c r="DU16" i="1"/>
  <c r="CW17" i="1"/>
  <c r="DP17" i="1" s="1"/>
  <c r="CV17" i="1"/>
  <c r="CX17" i="1"/>
  <c r="DW16" i="1"/>
  <c r="DX16" i="1" s="1"/>
  <c r="DR16" i="1"/>
  <c r="DV16" i="1"/>
  <c r="CQ19" i="1"/>
  <c r="CS18" i="1"/>
  <c r="CU18" i="1" s="1"/>
  <c r="EA14" i="1"/>
  <c r="DS14" i="1"/>
  <c r="DU14" i="1"/>
  <c r="DV14" i="1"/>
  <c r="DZ12" i="1"/>
  <c r="DY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U15" i="1" l="1"/>
  <c r="DY15" i="1" s="1"/>
  <c r="DV15" i="1"/>
  <c r="DR15" i="1"/>
  <c r="EA15" i="1" s="1"/>
  <c r="DY16" i="1"/>
  <c r="DZ16" i="1"/>
  <c r="CT18" i="1"/>
  <c r="CV18" i="1" s="1"/>
  <c r="EA16" i="1"/>
  <c r="DA18" i="1"/>
  <c r="CY18" i="1"/>
  <c r="CZ18" i="1"/>
  <c r="DN17" i="1"/>
  <c r="CA24" i="1"/>
  <c r="BX24" i="1"/>
  <c r="BU24" i="1"/>
  <c r="DL17" i="1"/>
  <c r="DQ17" i="1"/>
  <c r="DM17" i="1"/>
  <c r="DO17" i="1"/>
  <c r="CS19" i="1"/>
  <c r="CU19" i="1" s="1"/>
  <c r="DY14" i="1"/>
  <c r="DZ14" i="1"/>
  <c r="ED12" i="1"/>
  <c r="EL12" i="1" s="1"/>
  <c r="EB12" i="1"/>
  <c r="EC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DZ15" i="1" l="1"/>
  <c r="EC15" i="1" s="1"/>
  <c r="CT19" i="1"/>
  <c r="CV19" i="1" s="1"/>
  <c r="ED16" i="1"/>
  <c r="EJ16" i="1" s="1"/>
  <c r="EC16" i="1"/>
  <c r="EG16" i="1" s="1"/>
  <c r="EB16" i="1"/>
  <c r="CW18" i="1"/>
  <c r="DM18" i="1" s="1"/>
  <c r="CX18" i="1"/>
  <c r="DQ18" i="1" s="1"/>
  <c r="DS17" i="1"/>
  <c r="DU17" i="1"/>
  <c r="BU25" i="1"/>
  <c r="BX25" i="1"/>
  <c r="CA25" i="1"/>
  <c r="DR17" i="1"/>
  <c r="DW17" i="1"/>
  <c r="DX17" i="1" s="1"/>
  <c r="DV17" i="1"/>
  <c r="CB24" i="1"/>
  <c r="CG24" i="1" s="1"/>
  <c r="CC24" i="1"/>
  <c r="CE24" i="1"/>
  <c r="DO18" i="1"/>
  <c r="DL18" i="1"/>
  <c r="CY19" i="1"/>
  <c r="CZ19" i="1"/>
  <c r="DA19" i="1"/>
  <c r="EC14" i="1"/>
  <c r="EE14" i="1" s="1"/>
  <c r="ED14" i="1"/>
  <c r="EJ14" i="1" s="1"/>
  <c r="EB14" i="1"/>
  <c r="EH12" i="1"/>
  <c r="EJ12" i="1"/>
  <c r="EI12" i="1"/>
  <c r="EF12" i="1"/>
  <c r="EE12" i="1"/>
  <c r="EG12" i="1"/>
  <c r="EK12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CX19" i="1" l="1"/>
  <c r="DN19" i="1" s="1"/>
  <c r="CW19" i="1"/>
  <c r="DP19" i="1" s="1"/>
  <c r="EB15" i="1"/>
  <c r="ED15" i="1"/>
  <c r="EL15" i="1" s="1"/>
  <c r="DN18" i="1"/>
  <c r="EH16" i="1"/>
  <c r="EI16" i="1"/>
  <c r="EL16" i="1"/>
  <c r="EF16" i="1"/>
  <c r="DP18" i="1"/>
  <c r="DZ17" i="1"/>
  <c r="EK16" i="1"/>
  <c r="DY17" i="1"/>
  <c r="EE16" i="1"/>
  <c r="EA17" i="1"/>
  <c r="DO19" i="1"/>
  <c r="CB25" i="1"/>
  <c r="CG25" i="1" s="1"/>
  <c r="CE25" i="1"/>
  <c r="CC25" i="1"/>
  <c r="EK15" i="1"/>
  <c r="EF15" i="1"/>
  <c r="EE15" i="1"/>
  <c r="EG15" i="1"/>
  <c r="DL19" i="1"/>
  <c r="CK24" i="1"/>
  <c r="CH24" i="1"/>
  <c r="CF24" i="1"/>
  <c r="CL24" i="1" s="1"/>
  <c r="CA26" i="1"/>
  <c r="BU26" i="1"/>
  <c r="BX26" i="1"/>
  <c r="DW18" i="1"/>
  <c r="DX18" i="1" s="1"/>
  <c r="DR18" i="1"/>
  <c r="DV18" i="1"/>
  <c r="DU18" i="1"/>
  <c r="DS18" i="1"/>
  <c r="CJ24" i="1"/>
  <c r="EI14" i="1"/>
  <c r="EH14" i="1"/>
  <c r="EL14" i="1"/>
  <c r="EF14" i="1"/>
  <c r="EK14" i="1"/>
  <c r="EG14" i="1"/>
  <c r="EO12" i="1"/>
  <c r="ER12" i="1" s="1"/>
  <c r="EM12" i="1"/>
  <c r="EN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6" i="1" l="1"/>
  <c r="DQ19" i="1"/>
  <c r="DS19" i="1" s="1"/>
  <c r="DM19" i="1"/>
  <c r="EH15" i="1"/>
  <c r="EM15" i="1" s="1"/>
  <c r="EI15" i="1"/>
  <c r="EN15" i="1" s="1"/>
  <c r="EJ15" i="1"/>
  <c r="EO15" i="1" s="1"/>
  <c r="ER15" i="1" s="1"/>
  <c r="EA18" i="1"/>
  <c r="EO16" i="1"/>
  <c r="ER16" i="1" s="1"/>
  <c r="EN16" i="1"/>
  <c r="EB17" i="1"/>
  <c r="DY18" i="1"/>
  <c r="ED17" i="1"/>
  <c r="EL17" i="1" s="1"/>
  <c r="EC17" i="1"/>
  <c r="EE17" i="1" s="1"/>
  <c r="DZ18" i="1"/>
  <c r="CB26" i="1"/>
  <c r="CG26" i="1" s="1"/>
  <c r="CC26" i="1"/>
  <c r="CE26" i="1"/>
  <c r="CF25" i="1"/>
  <c r="CL25" i="1" s="1"/>
  <c r="CK25" i="1"/>
  <c r="CH25" i="1"/>
  <c r="CN24" i="1"/>
  <c r="CJ25" i="1"/>
  <c r="CM24" i="1"/>
  <c r="CR24" i="1"/>
  <c r="EO14" i="1"/>
  <c r="ER14" i="1" s="1"/>
  <c r="EN14" i="1"/>
  <c r="EM14" i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Q16" i="1" l="1"/>
  <c r="EZ16" i="1" s="1"/>
  <c r="FC16" i="1" s="1"/>
  <c r="FF16" i="1" s="1"/>
  <c r="FI16" i="1" s="1"/>
  <c r="DU19" i="1"/>
  <c r="DY19" i="1" s="1"/>
  <c r="DV19" i="1"/>
  <c r="CP24" i="1"/>
  <c r="DR19" i="1"/>
  <c r="DW19" i="1"/>
  <c r="DX19" i="1" s="1"/>
  <c r="EB18" i="1"/>
  <c r="ED18" i="1"/>
  <c r="EI18" i="1" s="1"/>
  <c r="EI17" i="1"/>
  <c r="EH17" i="1"/>
  <c r="EP16" i="1"/>
  <c r="EJ17" i="1"/>
  <c r="EC18" i="1"/>
  <c r="EG18" i="1" s="1"/>
  <c r="EF17" i="1"/>
  <c r="EK17" i="1"/>
  <c r="EG17" i="1"/>
  <c r="CQ24" i="1"/>
  <c r="CJ26" i="1"/>
  <c r="CM26" i="1" s="1"/>
  <c r="EQ15" i="1"/>
  <c r="EZ15" i="1" s="1"/>
  <c r="FC15" i="1" s="1"/>
  <c r="EP15" i="1"/>
  <c r="CM25" i="1"/>
  <c r="CR25" i="1"/>
  <c r="CH26" i="1"/>
  <c r="CF26" i="1"/>
  <c r="CL26" i="1" s="1"/>
  <c r="CK26" i="1"/>
  <c r="CN25" i="1"/>
  <c r="EQ14" i="1"/>
  <c r="EZ14" i="1" s="1"/>
  <c r="FC14" i="1" s="1"/>
  <c r="EP14" i="1"/>
  <c r="EV14" i="1" s="1"/>
  <c r="EW14" i="1" s="1"/>
  <c r="FU14" i="1" s="1"/>
  <c r="FB12" i="1"/>
  <c r="FA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N17" i="1" l="1"/>
  <c r="FY16" i="1"/>
  <c r="HE16" i="1" s="1"/>
  <c r="FB16" i="1"/>
  <c r="CR26" i="1"/>
  <c r="DZ19" i="1"/>
  <c r="CS24" i="1"/>
  <c r="CT24" i="1" s="1"/>
  <c r="CV24" i="1" s="1"/>
  <c r="EK18" i="1"/>
  <c r="EM18" i="1" s="1"/>
  <c r="EA19" i="1"/>
  <c r="EL18" i="1"/>
  <c r="EF18" i="1"/>
  <c r="EJ18" i="1"/>
  <c r="EH18" i="1"/>
  <c r="EE18" i="1"/>
  <c r="EO17" i="1"/>
  <c r="ER17" i="1" s="1"/>
  <c r="EM17" i="1"/>
  <c r="FA16" i="1"/>
  <c r="EV16" i="1"/>
  <c r="CP25" i="1"/>
  <c r="CQ25" i="1"/>
  <c r="EV15" i="1"/>
  <c r="FB15" i="1"/>
  <c r="FA15" i="1"/>
  <c r="CN26" i="1"/>
  <c r="CP26" i="1" s="1"/>
  <c r="FY15" i="1"/>
  <c r="HE15" i="1" s="1"/>
  <c r="FF15" i="1"/>
  <c r="FI15" i="1" s="1"/>
  <c r="FB14" i="1"/>
  <c r="FA14" i="1"/>
  <c r="EX14" i="1"/>
  <c r="HB14" i="1"/>
  <c r="HF14" i="1" s="1"/>
  <c r="EW12" i="1"/>
  <c r="FE12" i="1"/>
  <c r="HB12" i="1"/>
  <c r="HF12" i="1" s="1"/>
  <c r="FD12" i="1"/>
  <c r="FV12" i="1" s="1"/>
  <c r="EX12" i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EP17" i="1" l="1"/>
  <c r="EV17" i="1" s="1"/>
  <c r="FL16" i="1"/>
  <c r="CU24" i="1"/>
  <c r="CY24" i="1" s="1"/>
  <c r="DO24" i="1" s="1"/>
  <c r="CW24" i="1"/>
  <c r="DM24" i="1" s="1"/>
  <c r="EC19" i="1"/>
  <c r="EK19" i="1" s="1"/>
  <c r="CX24" i="1"/>
  <c r="DN24" i="1" s="1"/>
  <c r="EO18" i="1"/>
  <c r="ER18" i="1" s="1"/>
  <c r="EN18" i="1"/>
  <c r="EP18" i="1" s="1"/>
  <c r="ED19" i="1"/>
  <c r="EJ19" i="1" s="1"/>
  <c r="EB19" i="1"/>
  <c r="EQ17" i="1"/>
  <c r="EZ17" i="1" s="1"/>
  <c r="FC17" i="1" s="1"/>
  <c r="FF17" i="1" s="1"/>
  <c r="FI17" i="1" s="1"/>
  <c r="FO16" i="1"/>
  <c r="FE16" i="1"/>
  <c r="EW16" i="1"/>
  <c r="FU16" i="1" s="1"/>
  <c r="EX16" i="1"/>
  <c r="FD16" i="1"/>
  <c r="FV16" i="1" s="1"/>
  <c r="HB16" i="1"/>
  <c r="HF16" i="1" s="1"/>
  <c r="HH16" i="1" s="1"/>
  <c r="CQ26" i="1"/>
  <c r="CS26" i="1" s="1"/>
  <c r="CT26" i="1" s="1"/>
  <c r="DL24" i="1"/>
  <c r="FL15" i="1"/>
  <c r="FO15" i="1"/>
  <c r="CS25" i="1"/>
  <c r="CT25" i="1" s="1"/>
  <c r="EX15" i="1"/>
  <c r="HB15" i="1"/>
  <c r="HF15" i="1" s="1"/>
  <c r="HH15" i="1" s="1"/>
  <c r="EW15" i="1"/>
  <c r="FD15" i="1"/>
  <c r="FV15" i="1" s="1"/>
  <c r="FE15" i="1"/>
  <c r="FD14" i="1"/>
  <c r="FG14" i="1" s="1"/>
  <c r="FE14" i="1"/>
  <c r="FH14" i="1" s="1"/>
  <c r="FO14" i="1"/>
  <c r="FL14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CU26" i="1" l="1"/>
  <c r="CY26" i="1" s="1"/>
  <c r="CZ24" i="1"/>
  <c r="DP24" i="1" s="1"/>
  <c r="DA24" i="1"/>
  <c r="DQ24" i="1" s="1"/>
  <c r="EF19" i="1"/>
  <c r="EG19" i="1"/>
  <c r="EE19" i="1"/>
  <c r="EQ18" i="1"/>
  <c r="EZ18" i="1" s="1"/>
  <c r="FC18" i="1" s="1"/>
  <c r="FF18" i="1" s="1"/>
  <c r="FI18" i="1" s="1"/>
  <c r="EL19" i="1"/>
  <c r="EO19" i="1" s="1"/>
  <c r="ER19" i="1" s="1"/>
  <c r="EH19" i="1"/>
  <c r="EI19" i="1"/>
  <c r="FY17" i="1"/>
  <c r="HE17" i="1" s="1"/>
  <c r="FB17" i="1"/>
  <c r="FA17" i="1"/>
  <c r="FH16" i="1"/>
  <c r="FG16" i="1"/>
  <c r="FW16" i="1" s="1"/>
  <c r="FX16" i="1" s="1"/>
  <c r="FZ16" i="1" s="1"/>
  <c r="HG16" i="1"/>
  <c r="CU25" i="1"/>
  <c r="CZ25" i="1" s="1"/>
  <c r="EX17" i="1"/>
  <c r="HB17" i="1"/>
  <c r="HF17" i="1" s="1"/>
  <c r="EW17" i="1"/>
  <c r="EV18" i="1"/>
  <c r="CV26" i="1"/>
  <c r="CW26" i="1"/>
  <c r="CX26" i="1"/>
  <c r="HG15" i="1"/>
  <c r="FU15" i="1"/>
  <c r="FG15" i="1"/>
  <c r="FH15" i="1"/>
  <c r="DW24" i="1"/>
  <c r="DX24" i="1" s="1"/>
  <c r="DR24" i="1"/>
  <c r="CV25" i="1"/>
  <c r="CW25" i="1"/>
  <c r="CX25" i="1"/>
  <c r="FV14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J14" i="1"/>
  <c r="GQ14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DU24" i="1" l="1"/>
  <c r="DS24" i="1"/>
  <c r="DV24" i="1"/>
  <c r="DA26" i="1"/>
  <c r="DQ26" i="1" s="1"/>
  <c r="CZ26" i="1"/>
  <c r="DP26" i="1" s="1"/>
  <c r="FX14" i="1"/>
  <c r="FZ14" i="1" s="1"/>
  <c r="GD14" i="1" s="1"/>
  <c r="DA25" i="1"/>
  <c r="DQ25" i="1" s="1"/>
  <c r="CY25" i="1"/>
  <c r="DO25" i="1" s="1"/>
  <c r="EN19" i="1"/>
  <c r="EM19" i="1"/>
  <c r="FY18" i="1"/>
  <c r="HE18" i="1" s="1"/>
  <c r="FB18" i="1"/>
  <c r="FA18" i="1"/>
  <c r="FL17" i="1"/>
  <c r="FE17" i="1"/>
  <c r="FH17" i="1" s="1"/>
  <c r="FO17" i="1"/>
  <c r="FD17" i="1"/>
  <c r="FV17" i="1" s="1"/>
  <c r="HH17" i="1"/>
  <c r="FJ16" i="1"/>
  <c r="GQ16" i="1" s="1"/>
  <c r="FM16" i="1"/>
  <c r="FN16" i="1" s="1"/>
  <c r="FQ16" i="1" s="1"/>
  <c r="HG17" i="1"/>
  <c r="DO26" i="1"/>
  <c r="DP25" i="1"/>
  <c r="GP16" i="1"/>
  <c r="GA16" i="1"/>
  <c r="GD16" i="1"/>
  <c r="DN25" i="1"/>
  <c r="DM25" i="1"/>
  <c r="EX18" i="1"/>
  <c r="EW18" i="1"/>
  <c r="HB18" i="1"/>
  <c r="HF18" i="1" s="1"/>
  <c r="DL25" i="1"/>
  <c r="FJ15" i="1"/>
  <c r="GQ15" i="1" s="1"/>
  <c r="FM15" i="1"/>
  <c r="FN15" i="1" s="1"/>
  <c r="FW15" i="1"/>
  <c r="FX15" i="1" s="1"/>
  <c r="FZ15" i="1" s="1"/>
  <c r="DN26" i="1"/>
  <c r="DM26" i="1"/>
  <c r="DL26" i="1"/>
  <c r="EA24" i="1"/>
  <c r="FU17" i="1"/>
  <c r="FP12" i="1"/>
  <c r="FQ12" i="1"/>
  <c r="FR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B14" i="1" l="1"/>
  <c r="DY24" i="1"/>
  <c r="DZ24" i="1"/>
  <c r="DU26" i="1"/>
  <c r="GP14" i="1"/>
  <c r="GA14" i="1"/>
  <c r="DS25" i="1"/>
  <c r="EQ19" i="1"/>
  <c r="EZ19" i="1" s="1"/>
  <c r="FC19" i="1" s="1"/>
  <c r="FF19" i="1" s="1"/>
  <c r="FI19" i="1" s="1"/>
  <c r="EP19" i="1"/>
  <c r="FO18" i="1"/>
  <c r="HH18" i="1"/>
  <c r="FD18" i="1"/>
  <c r="FV18" i="1" s="1"/>
  <c r="FL18" i="1"/>
  <c r="FE18" i="1"/>
  <c r="FH18" i="1" s="1"/>
  <c r="FG17" i="1"/>
  <c r="FW17" i="1" s="1"/>
  <c r="FX17" i="1" s="1"/>
  <c r="FZ17" i="1" s="1"/>
  <c r="FP16" i="1"/>
  <c r="GC16" i="1" s="1"/>
  <c r="FR16" i="1"/>
  <c r="FT16" i="1" s="1"/>
  <c r="DU25" i="1"/>
  <c r="HG18" i="1"/>
  <c r="FR15" i="1"/>
  <c r="FQ15" i="1"/>
  <c r="FP15" i="1"/>
  <c r="FU18" i="1"/>
  <c r="DS26" i="1"/>
  <c r="BU33" i="1"/>
  <c r="BX33" i="1"/>
  <c r="CA33" i="1"/>
  <c r="DR25" i="1"/>
  <c r="DW25" i="1"/>
  <c r="DX25" i="1" s="1"/>
  <c r="DV25" i="1"/>
  <c r="GP15" i="1"/>
  <c r="GA15" i="1"/>
  <c r="GD15" i="1"/>
  <c r="DW26" i="1"/>
  <c r="DX26" i="1" s="1"/>
  <c r="DR26" i="1"/>
  <c r="DV26" i="1"/>
  <c r="FT12" i="1"/>
  <c r="FS12" i="1"/>
  <c r="GO12" i="1"/>
  <c r="GB12" i="1"/>
  <c r="GC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EC24" i="1" l="1"/>
  <c r="EK24" i="1" s="1"/>
  <c r="EB24" i="1"/>
  <c r="ED24" i="1"/>
  <c r="EL24" i="1" s="1"/>
  <c r="DY26" i="1"/>
  <c r="DY25" i="1"/>
  <c r="FY19" i="1"/>
  <c r="HE19" i="1" s="1"/>
  <c r="FB19" i="1"/>
  <c r="EV19" i="1"/>
  <c r="EW19" i="1" s="1"/>
  <c r="FA19" i="1"/>
  <c r="FG18" i="1"/>
  <c r="FM18" i="1" s="1"/>
  <c r="FN18" i="1" s="1"/>
  <c r="FM17" i="1"/>
  <c r="FN17" i="1" s="1"/>
  <c r="FQ17" i="1" s="1"/>
  <c r="FJ17" i="1"/>
  <c r="GQ17" i="1" s="1"/>
  <c r="GO16" i="1"/>
  <c r="GB16" i="1"/>
  <c r="GG16" i="1" s="1"/>
  <c r="FS16" i="1"/>
  <c r="FS15" i="1"/>
  <c r="EA25" i="1"/>
  <c r="DZ26" i="1"/>
  <c r="EA26" i="1"/>
  <c r="DZ25" i="1"/>
  <c r="FT15" i="1"/>
  <c r="CA34" i="1"/>
  <c r="BU34" i="1"/>
  <c r="BX34" i="1"/>
  <c r="GP17" i="1"/>
  <c r="GD17" i="1"/>
  <c r="GA17" i="1"/>
  <c r="CC33" i="1"/>
  <c r="CB33" i="1"/>
  <c r="CG33" i="1" s="1"/>
  <c r="CE33" i="1"/>
  <c r="GC15" i="1"/>
  <c r="GO15" i="1"/>
  <c r="GB15" i="1"/>
  <c r="GH12" i="1"/>
  <c r="GE12" i="1"/>
  <c r="GF12" i="1" s="1"/>
  <c r="GG12" i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GZ10" i="1"/>
  <c r="EJ20" i="1"/>
  <c r="EL20" i="1"/>
  <c r="EB21" i="1"/>
  <c r="GI14" i="1"/>
  <c r="GE14" i="1"/>
  <c r="GF14" i="1" s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EE24" i="1" l="1"/>
  <c r="EG24" i="1"/>
  <c r="EJ24" i="1"/>
  <c r="EF24" i="1"/>
  <c r="EH24" i="1"/>
  <c r="EM24" i="1" s="1"/>
  <c r="EI24" i="1"/>
  <c r="EB26" i="1"/>
  <c r="EX19" i="1"/>
  <c r="FO19" i="1"/>
  <c r="FL19" i="1"/>
  <c r="EB25" i="1"/>
  <c r="HB19" i="1"/>
  <c r="HF19" i="1" s="1"/>
  <c r="HH19" i="1" s="1"/>
  <c r="FD19" i="1"/>
  <c r="FV19" i="1" s="1"/>
  <c r="FE19" i="1"/>
  <c r="FJ18" i="1"/>
  <c r="GQ18" i="1" s="1"/>
  <c r="FW18" i="1"/>
  <c r="FX18" i="1" s="1"/>
  <c r="FZ18" i="1" s="1"/>
  <c r="GA18" i="1" s="1"/>
  <c r="FR17" i="1"/>
  <c r="FT17" i="1" s="1"/>
  <c r="FP17" i="1"/>
  <c r="GC17" i="1" s="1"/>
  <c r="GE16" i="1"/>
  <c r="GF16" i="1" s="1"/>
  <c r="GH16" i="1"/>
  <c r="GS16" i="1" s="1"/>
  <c r="GI16" i="1"/>
  <c r="EC25" i="1"/>
  <c r="EG25" i="1" s="1"/>
  <c r="ED25" i="1"/>
  <c r="EL25" i="1" s="1"/>
  <c r="BX35" i="1"/>
  <c r="BU35" i="1"/>
  <c r="CA35" i="1"/>
  <c r="CJ33" i="1"/>
  <c r="CM33" i="1" s="1"/>
  <c r="ED26" i="1"/>
  <c r="EH26" i="1" s="1"/>
  <c r="EC26" i="1"/>
  <c r="EG26" i="1" s="1"/>
  <c r="CC34" i="1"/>
  <c r="CE34" i="1"/>
  <c r="CB34" i="1"/>
  <c r="CG34" i="1" s="1"/>
  <c r="FU19" i="1"/>
  <c r="CK33" i="1"/>
  <c r="CH33" i="1"/>
  <c r="CF33" i="1"/>
  <c r="CL33" i="1" s="1"/>
  <c r="FQ18" i="1"/>
  <c r="FP18" i="1"/>
  <c r="FR18" i="1"/>
  <c r="GH15" i="1"/>
  <c r="GE15" i="1"/>
  <c r="GF15" i="1" s="1"/>
  <c r="GG15" i="1"/>
  <c r="GI15" i="1"/>
  <c r="EN24" i="1"/>
  <c r="EO24" i="1"/>
  <c r="ER24" i="1" s="1"/>
  <c r="GY12" i="1"/>
  <c r="GZ12" i="1" s="1"/>
  <c r="GS12" i="1"/>
  <c r="HA12" i="1" s="1"/>
  <c r="HC12" i="1" s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GY14" i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CR33" i="1" l="1"/>
  <c r="EF26" i="1"/>
  <c r="EK26" i="1"/>
  <c r="EL26" i="1"/>
  <c r="EE26" i="1"/>
  <c r="FG19" i="1"/>
  <c r="FW19" i="1" s="1"/>
  <c r="FX19" i="1" s="1"/>
  <c r="FZ19" i="1" s="1"/>
  <c r="EK25" i="1"/>
  <c r="EO25" i="1" s="1"/>
  <c r="ER25" i="1" s="1"/>
  <c r="FH19" i="1"/>
  <c r="EE25" i="1"/>
  <c r="EF25" i="1"/>
  <c r="GP18" i="1"/>
  <c r="EJ25" i="1"/>
  <c r="EH25" i="1"/>
  <c r="EI25" i="1"/>
  <c r="HG19" i="1"/>
  <c r="GD18" i="1"/>
  <c r="GY16" i="1"/>
  <c r="GZ16" i="1" s="1"/>
  <c r="GO17" i="1"/>
  <c r="GB17" i="1"/>
  <c r="GI17" i="1" s="1"/>
  <c r="FS17" i="1"/>
  <c r="EI26" i="1"/>
  <c r="EJ26" i="1"/>
  <c r="CB35" i="1"/>
  <c r="CG35" i="1" s="1"/>
  <c r="CE35" i="1"/>
  <c r="CC35" i="1"/>
  <c r="CJ34" i="1"/>
  <c r="CM34" i="1" s="1"/>
  <c r="FT18" i="1"/>
  <c r="EP24" i="1"/>
  <c r="EQ24" i="1"/>
  <c r="EZ24" i="1" s="1"/>
  <c r="FC24" i="1" s="1"/>
  <c r="CN33" i="1"/>
  <c r="CQ33" i="1" s="1"/>
  <c r="GT16" i="1"/>
  <c r="HA16" i="1"/>
  <c r="GB18" i="1"/>
  <c r="GO18" i="1"/>
  <c r="GC18" i="1"/>
  <c r="GS15" i="1"/>
  <c r="GY15" i="1"/>
  <c r="GZ15" i="1" s="1"/>
  <c r="FS18" i="1"/>
  <c r="BU36" i="1"/>
  <c r="CA36" i="1"/>
  <c r="BX36" i="1"/>
  <c r="CH34" i="1"/>
  <c r="CF34" i="1"/>
  <c r="CL34" i="1" s="1"/>
  <c r="CK34" i="1"/>
  <c r="HD12" i="1"/>
  <c r="GR12" i="1"/>
  <c r="GT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GR14" i="1"/>
  <c r="HA14" i="1"/>
  <c r="GZ14" i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CJ35" i="1" l="1"/>
  <c r="CM35" i="1" s="1"/>
  <c r="CR34" i="1"/>
  <c r="CP33" i="1"/>
  <c r="CS33" i="1" s="1"/>
  <c r="CU33" i="1" s="1"/>
  <c r="EN25" i="1"/>
  <c r="EO26" i="1"/>
  <c r="ER26" i="1" s="1"/>
  <c r="EN26" i="1"/>
  <c r="EM26" i="1"/>
  <c r="EM25" i="1"/>
  <c r="FJ19" i="1"/>
  <c r="GQ19" i="1" s="1"/>
  <c r="FM19" i="1"/>
  <c r="FN19" i="1" s="1"/>
  <c r="FP19" i="1" s="1"/>
  <c r="GR16" i="1"/>
  <c r="GH17" i="1"/>
  <c r="GY17" i="1" s="1"/>
  <c r="GZ17" i="1" s="1"/>
  <c r="GE17" i="1"/>
  <c r="GF17" i="1" s="1"/>
  <c r="GG17" i="1"/>
  <c r="GI18" i="1"/>
  <c r="CK35" i="1"/>
  <c r="CF35" i="1"/>
  <c r="CL35" i="1" s="1"/>
  <c r="CH35" i="1"/>
  <c r="GH18" i="1"/>
  <c r="GT15" i="1"/>
  <c r="GR15" i="1"/>
  <c r="HA15" i="1"/>
  <c r="CE36" i="1"/>
  <c r="CB36" i="1"/>
  <c r="CG36" i="1" s="1"/>
  <c r="CC36" i="1"/>
  <c r="GD19" i="1"/>
  <c r="GA19" i="1"/>
  <c r="GP19" i="1"/>
  <c r="HD16" i="1"/>
  <c r="HC16" i="1"/>
  <c r="FY24" i="1"/>
  <c r="HE24" i="1" s="1"/>
  <c r="FF24" i="1"/>
  <c r="FI24" i="1" s="1"/>
  <c r="CN34" i="1"/>
  <c r="CP34" i="1" s="1"/>
  <c r="GG18" i="1"/>
  <c r="GE18" i="1"/>
  <c r="GF18" i="1" s="1"/>
  <c r="FB24" i="1"/>
  <c r="EV24" i="1"/>
  <c r="FA24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EP26" i="1" l="1"/>
  <c r="CR35" i="1"/>
  <c r="EQ26" i="1"/>
  <c r="EZ26" i="1" s="1"/>
  <c r="FC26" i="1" s="1"/>
  <c r="EP25" i="1"/>
  <c r="EV25" i="1" s="1"/>
  <c r="EQ25" i="1"/>
  <c r="EZ25" i="1" s="1"/>
  <c r="FC25" i="1" s="1"/>
  <c r="FF25" i="1" s="1"/>
  <c r="FI25" i="1" s="1"/>
  <c r="FR19" i="1"/>
  <c r="FQ19" i="1"/>
  <c r="GS17" i="1"/>
  <c r="GT17" i="1" s="1"/>
  <c r="GY18" i="1"/>
  <c r="GZ18" i="1" s="1"/>
  <c r="GS18" i="1"/>
  <c r="HA18" i="1" s="1"/>
  <c r="CN35" i="1"/>
  <c r="CP35" i="1" s="1"/>
  <c r="CJ36" i="1"/>
  <c r="CM36" i="1" s="1"/>
  <c r="CT33" i="1"/>
  <c r="CV33" i="1" s="1"/>
  <c r="FL24" i="1"/>
  <c r="FO24" i="1"/>
  <c r="CY33" i="1"/>
  <c r="CZ33" i="1"/>
  <c r="DA33" i="1"/>
  <c r="FD24" i="1"/>
  <c r="FV24" i="1" s="1"/>
  <c r="HB24" i="1"/>
  <c r="HF24" i="1" s="1"/>
  <c r="HG24" i="1" s="1"/>
  <c r="FE24" i="1"/>
  <c r="EW24" i="1"/>
  <c r="EX24" i="1"/>
  <c r="HC15" i="1"/>
  <c r="HD15" i="1"/>
  <c r="EV26" i="1"/>
  <c r="FA26" i="1"/>
  <c r="FB26" i="1"/>
  <c r="FY26" i="1"/>
  <c r="HE26" i="1" s="1"/>
  <c r="FF26" i="1"/>
  <c r="FI26" i="1" s="1"/>
  <c r="GO19" i="1"/>
  <c r="GC19" i="1"/>
  <c r="GB19" i="1"/>
  <c r="CQ34" i="1"/>
  <c r="CH36" i="1"/>
  <c r="CF36" i="1"/>
  <c r="CL36" i="1" s="1"/>
  <c r="CK36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CR36" i="1" l="1"/>
  <c r="FA25" i="1"/>
  <c r="FY25" i="1"/>
  <c r="HE25" i="1" s="1"/>
  <c r="FB25" i="1"/>
  <c r="FS19" i="1"/>
  <c r="FT19" i="1"/>
  <c r="GR17" i="1"/>
  <c r="HA17" i="1"/>
  <c r="HD17" i="1" s="1"/>
  <c r="HH24" i="1"/>
  <c r="GT18" i="1"/>
  <c r="GR18" i="1"/>
  <c r="FH24" i="1"/>
  <c r="CX33" i="1"/>
  <c r="DN33" i="1" s="1"/>
  <c r="CQ35" i="1"/>
  <c r="CW33" i="1"/>
  <c r="DP33" i="1" s="1"/>
  <c r="GH19" i="1"/>
  <c r="CS34" i="1"/>
  <c r="CT34" i="1" s="1"/>
  <c r="HC18" i="1"/>
  <c r="HD18" i="1"/>
  <c r="GE19" i="1"/>
  <c r="GF19" i="1" s="1"/>
  <c r="GG19" i="1"/>
  <c r="DO33" i="1"/>
  <c r="DL33" i="1"/>
  <c r="FG24" i="1"/>
  <c r="FU24" i="1"/>
  <c r="FL26" i="1"/>
  <c r="FO26" i="1"/>
  <c r="CN36" i="1"/>
  <c r="CP36" i="1" s="1"/>
  <c r="EX25" i="1"/>
  <c r="HB25" i="1"/>
  <c r="HF25" i="1" s="1"/>
  <c r="EW25" i="1"/>
  <c r="EX26" i="1"/>
  <c r="EW26" i="1"/>
  <c r="HB26" i="1"/>
  <c r="HF26" i="1" s="1"/>
  <c r="HG26" i="1" s="1"/>
  <c r="FD26" i="1"/>
  <c r="FV26" i="1" s="1"/>
  <c r="FE26" i="1"/>
  <c r="GI19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DQ33" i="1" l="1"/>
  <c r="DS33" i="1" s="1"/>
  <c r="DM33" i="1"/>
  <c r="DR33" i="1" s="1"/>
  <c r="FO25" i="1"/>
  <c r="FE25" i="1"/>
  <c r="FH25" i="1" s="1"/>
  <c r="FD25" i="1"/>
  <c r="FV25" i="1" s="1"/>
  <c r="FL25" i="1"/>
  <c r="HH25" i="1"/>
  <c r="HC17" i="1"/>
  <c r="CS35" i="1"/>
  <c r="CU35" i="1" s="1"/>
  <c r="CQ36" i="1"/>
  <c r="CS36" i="1" s="1"/>
  <c r="GY19" i="1"/>
  <c r="GZ19" i="1" s="1"/>
  <c r="FH26" i="1"/>
  <c r="GS19" i="1"/>
  <c r="HA19" i="1" s="1"/>
  <c r="HG25" i="1"/>
  <c r="CU34" i="1"/>
  <c r="FU26" i="1"/>
  <c r="FG26" i="1"/>
  <c r="CV34" i="1"/>
  <c r="CW34" i="1"/>
  <c r="CX34" i="1"/>
  <c r="FJ24" i="1"/>
  <c r="GQ24" i="1" s="1"/>
  <c r="FM24" i="1"/>
  <c r="FN24" i="1" s="1"/>
  <c r="FW24" i="1"/>
  <c r="FX24" i="1" s="1"/>
  <c r="FZ24" i="1" s="1"/>
  <c r="HH26" i="1"/>
  <c r="FU25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DU33" i="1" l="1"/>
  <c r="DY33" i="1" s="1"/>
  <c r="CT35" i="1"/>
  <c r="CV35" i="1" s="1"/>
  <c r="DV33" i="1"/>
  <c r="DZ33" i="1" s="1"/>
  <c r="DW33" i="1"/>
  <c r="DX33" i="1" s="1"/>
  <c r="EA33" i="1" s="1"/>
  <c r="FG25" i="1"/>
  <c r="FW25" i="1" s="1"/>
  <c r="FX25" i="1" s="1"/>
  <c r="FZ25" i="1" s="1"/>
  <c r="GR19" i="1"/>
  <c r="CU36" i="1"/>
  <c r="DA36" i="1" s="1"/>
  <c r="CT36" i="1"/>
  <c r="CW36" i="1" s="1"/>
  <c r="CY35" i="1"/>
  <c r="CZ35" i="1"/>
  <c r="DA35" i="1"/>
  <c r="GT19" i="1"/>
  <c r="FQ24" i="1"/>
  <c r="FP24" i="1"/>
  <c r="FR24" i="1"/>
  <c r="DN34" i="1"/>
  <c r="BU41" i="1"/>
  <c r="CA41" i="1"/>
  <c r="BX41" i="1"/>
  <c r="DM34" i="1"/>
  <c r="DL34" i="1"/>
  <c r="GP24" i="1"/>
  <c r="GD24" i="1"/>
  <c r="GA24" i="1"/>
  <c r="FW26" i="1"/>
  <c r="FX26" i="1" s="1"/>
  <c r="FZ26" i="1" s="1"/>
  <c r="FM26" i="1"/>
  <c r="FN26" i="1" s="1"/>
  <c r="FJ26" i="1"/>
  <c r="GQ26" i="1" s="1"/>
  <c r="CY34" i="1"/>
  <c r="DO34" i="1" s="1"/>
  <c r="CZ34" i="1"/>
  <c r="DP34" i="1" s="1"/>
  <c r="DA34" i="1"/>
  <c r="DQ34" i="1" s="1"/>
  <c r="HC19" i="1"/>
  <c r="HD19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CW35" i="1" l="1"/>
  <c r="DP35" i="1" s="1"/>
  <c r="CX35" i="1"/>
  <c r="DN35" i="1" s="1"/>
  <c r="CX36" i="1"/>
  <c r="DQ36" i="1" s="1"/>
  <c r="CV36" i="1"/>
  <c r="DL36" i="1" s="1"/>
  <c r="FJ25" i="1"/>
  <c r="GQ25" i="1" s="1"/>
  <c r="FM25" i="1"/>
  <c r="FN25" i="1" s="1"/>
  <c r="FR25" i="1" s="1"/>
  <c r="FT24" i="1"/>
  <c r="CZ36" i="1"/>
  <c r="DP36" i="1" s="1"/>
  <c r="CY36" i="1"/>
  <c r="CA42" i="1"/>
  <c r="BX42" i="1"/>
  <c r="BU42" i="1"/>
  <c r="DL35" i="1"/>
  <c r="DO35" i="1"/>
  <c r="DR34" i="1"/>
  <c r="DV34" i="1"/>
  <c r="DW34" i="1"/>
  <c r="DX34" i="1" s="1"/>
  <c r="FP26" i="1"/>
  <c r="FQ26" i="1"/>
  <c r="FR26" i="1"/>
  <c r="EC33" i="1"/>
  <c r="ED33" i="1"/>
  <c r="EB33" i="1"/>
  <c r="DM36" i="1"/>
  <c r="DS34" i="1"/>
  <c r="DU34" i="1"/>
  <c r="GP25" i="1"/>
  <c r="GD25" i="1"/>
  <c r="GA25" i="1"/>
  <c r="GD26" i="1"/>
  <c r="GA26" i="1"/>
  <c r="GP26" i="1"/>
  <c r="CE41" i="1"/>
  <c r="CC41" i="1"/>
  <c r="CB41" i="1"/>
  <c r="CG41" i="1" s="1"/>
  <c r="GO24" i="1"/>
  <c r="GC24" i="1"/>
  <c r="GB24" i="1"/>
  <c r="FS24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DN36" i="1" l="1"/>
  <c r="DW36" i="1" s="1"/>
  <c r="DX36" i="1" s="1"/>
  <c r="DM35" i="1"/>
  <c r="DW35" i="1" s="1"/>
  <c r="DX35" i="1" s="1"/>
  <c r="DQ35" i="1"/>
  <c r="DO36" i="1"/>
  <c r="DY34" i="1"/>
  <c r="FT26" i="1"/>
  <c r="FQ25" i="1"/>
  <c r="FS25" i="1" s="1"/>
  <c r="FP25" i="1"/>
  <c r="GC25" i="1" s="1"/>
  <c r="GI24" i="1"/>
  <c r="EA34" i="1"/>
  <c r="CB42" i="1"/>
  <c r="CG42" i="1" s="1"/>
  <c r="CC42" i="1"/>
  <c r="CE42" i="1"/>
  <c r="BU43" i="1"/>
  <c r="CA43" i="1"/>
  <c r="BX43" i="1"/>
  <c r="CH41" i="1"/>
  <c r="CF41" i="1"/>
  <c r="CL41" i="1" s="1"/>
  <c r="CK41" i="1"/>
  <c r="EL33" i="1"/>
  <c r="EJ33" i="1"/>
  <c r="EI33" i="1"/>
  <c r="EH33" i="1"/>
  <c r="CJ41" i="1"/>
  <c r="EE33" i="1"/>
  <c r="EK33" i="1"/>
  <c r="EF33" i="1"/>
  <c r="EG33" i="1"/>
  <c r="DZ34" i="1"/>
  <c r="GG24" i="1"/>
  <c r="GE24" i="1"/>
  <c r="GF24" i="1" s="1"/>
  <c r="FS26" i="1"/>
  <c r="GH24" i="1"/>
  <c r="GC26" i="1"/>
  <c r="GB26" i="1"/>
  <c r="GO26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DR36" i="1" l="1"/>
  <c r="DV36" i="1"/>
  <c r="DR35" i="1"/>
  <c r="EA35" i="1" s="1"/>
  <c r="DV35" i="1"/>
  <c r="DU35" i="1"/>
  <c r="DS35" i="1"/>
  <c r="DS36" i="1"/>
  <c r="DU36" i="1"/>
  <c r="GO25" i="1"/>
  <c r="FT25" i="1"/>
  <c r="GB25" i="1"/>
  <c r="GG25" i="1" s="1"/>
  <c r="EA36" i="1"/>
  <c r="CJ42" i="1"/>
  <c r="CK42" i="1"/>
  <c r="CH42" i="1"/>
  <c r="CF42" i="1"/>
  <c r="CL42" i="1" s="1"/>
  <c r="GH26" i="1"/>
  <c r="GE26" i="1"/>
  <c r="GF26" i="1" s="1"/>
  <c r="GG26" i="1"/>
  <c r="EO33" i="1"/>
  <c r="ER33" i="1" s="1"/>
  <c r="EM33" i="1"/>
  <c r="EN33" i="1"/>
  <c r="CN41" i="1"/>
  <c r="GI26" i="1"/>
  <c r="CR41" i="1"/>
  <c r="CM41" i="1"/>
  <c r="ED34" i="1"/>
  <c r="EC34" i="1"/>
  <c r="EB34" i="1"/>
  <c r="CE43" i="1"/>
  <c r="CB43" i="1"/>
  <c r="CG43" i="1" s="1"/>
  <c r="CC43" i="1"/>
  <c r="GY24" i="1"/>
  <c r="GZ24" i="1" s="1"/>
  <c r="GS24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DY35" i="1" l="1"/>
  <c r="DZ35" i="1"/>
  <c r="DY36" i="1"/>
  <c r="DZ36" i="1"/>
  <c r="GE25" i="1"/>
  <c r="GF25" i="1" s="1"/>
  <c r="GH25" i="1"/>
  <c r="GS25" i="1" s="1"/>
  <c r="GI25" i="1"/>
  <c r="EP33" i="1"/>
  <c r="EV33" i="1" s="1"/>
  <c r="CN42" i="1"/>
  <c r="CM42" i="1"/>
  <c r="CR42" i="1"/>
  <c r="GY26" i="1"/>
  <c r="GZ26" i="1" s="1"/>
  <c r="GS26" i="1"/>
  <c r="HA26" i="1" s="1"/>
  <c r="CP41" i="1"/>
  <c r="EG34" i="1"/>
  <c r="EK34" i="1"/>
  <c r="EE34" i="1"/>
  <c r="EF34" i="1"/>
  <c r="EL34" i="1"/>
  <c r="EJ34" i="1"/>
  <c r="EI34" i="1"/>
  <c r="EH34" i="1"/>
  <c r="CQ41" i="1"/>
  <c r="EQ33" i="1"/>
  <c r="EZ33" i="1" s="1"/>
  <c r="FC33" i="1" s="1"/>
  <c r="GT24" i="1"/>
  <c r="GR24" i="1"/>
  <c r="HA24" i="1"/>
  <c r="CK43" i="1"/>
  <c r="CF43" i="1"/>
  <c r="CL43" i="1" s="1"/>
  <c r="CH43" i="1"/>
  <c r="CJ43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B35" i="1" l="1"/>
  <c r="EC35" i="1"/>
  <c r="EK35" i="1" s="1"/>
  <c r="ED35" i="1"/>
  <c r="EJ35" i="1" s="1"/>
  <c r="ED36" i="1"/>
  <c r="EJ36" i="1" s="1"/>
  <c r="EC36" i="1"/>
  <c r="EK36" i="1" s="1"/>
  <c r="EB36" i="1"/>
  <c r="CQ42" i="1"/>
  <c r="GY25" i="1"/>
  <c r="GZ25" i="1" s="1"/>
  <c r="GT26" i="1"/>
  <c r="GR26" i="1"/>
  <c r="CP42" i="1"/>
  <c r="CN43" i="1"/>
  <c r="FA33" i="1"/>
  <c r="FB33" i="1"/>
  <c r="CR43" i="1"/>
  <c r="CM43" i="1"/>
  <c r="GT25" i="1"/>
  <c r="HA25" i="1"/>
  <c r="FF33" i="1"/>
  <c r="FI33" i="1" s="1"/>
  <c r="FY33" i="1"/>
  <c r="HE33" i="1" s="1"/>
  <c r="EW33" i="1"/>
  <c r="HB33" i="1"/>
  <c r="HF33" i="1" s="1"/>
  <c r="EX33" i="1"/>
  <c r="HC26" i="1"/>
  <c r="HD26" i="1"/>
  <c r="CS41" i="1"/>
  <c r="CT41" i="1" s="1"/>
  <c r="EM34" i="1"/>
  <c r="EO34" i="1"/>
  <c r="ER34" i="1" s="1"/>
  <c r="EN34" i="1"/>
  <c r="HC24" i="1"/>
  <c r="HD24" i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EF36" i="1" l="1"/>
  <c r="EL35" i="1"/>
  <c r="EO35" i="1" s="1"/>
  <c r="ER35" i="1" s="1"/>
  <c r="EE35" i="1"/>
  <c r="EG35" i="1"/>
  <c r="EF35" i="1"/>
  <c r="EH36" i="1"/>
  <c r="EI36" i="1"/>
  <c r="EL36" i="1"/>
  <c r="EN36" i="1" s="1"/>
  <c r="EG36" i="1"/>
  <c r="EE36" i="1"/>
  <c r="EI35" i="1"/>
  <c r="EH35" i="1"/>
  <c r="CS42" i="1"/>
  <c r="CT42" i="1" s="1"/>
  <c r="CW42" i="1" s="1"/>
  <c r="GR25" i="1"/>
  <c r="CQ43" i="1"/>
  <c r="CP43" i="1"/>
  <c r="FD33" i="1"/>
  <c r="FV33" i="1" s="1"/>
  <c r="FU33" i="1"/>
  <c r="HG33" i="1"/>
  <c r="HH33" i="1"/>
  <c r="HD25" i="1"/>
  <c r="HC25" i="1"/>
  <c r="FL33" i="1"/>
  <c r="FO33" i="1"/>
  <c r="CV41" i="1"/>
  <c r="CX41" i="1"/>
  <c r="CW41" i="1"/>
  <c r="FE33" i="1"/>
  <c r="FH33" i="1" s="1"/>
  <c r="EQ34" i="1"/>
  <c r="EZ34" i="1" s="1"/>
  <c r="FC34" i="1" s="1"/>
  <c r="EP34" i="1"/>
  <c r="CU41" i="1"/>
  <c r="HX50" i="1"/>
  <c r="HZ50" i="1"/>
  <c r="HU50" i="1"/>
  <c r="ID50" i="1"/>
  <c r="HT50" i="1"/>
  <c r="HW50" i="1"/>
  <c r="HK50" i="1"/>
  <c r="HS51" i="1" s="1"/>
  <c r="HL51" i="1" s="1"/>
  <c r="HN51" i="1" s="1"/>
  <c r="HV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EM35" i="1" l="1"/>
  <c r="EN35" i="1"/>
  <c r="EO36" i="1"/>
  <c r="ER36" i="1" s="1"/>
  <c r="EM36" i="1"/>
  <c r="EQ36" i="1" s="1"/>
  <c r="EZ36" i="1" s="1"/>
  <c r="FC36" i="1" s="1"/>
  <c r="CU42" i="1"/>
  <c r="DA42" i="1" s="1"/>
  <c r="CV42" i="1"/>
  <c r="DL42" i="1" s="1"/>
  <c r="CX42" i="1"/>
  <c r="DN42" i="1" s="1"/>
  <c r="CS43" i="1"/>
  <c r="CU43" i="1" s="1"/>
  <c r="CY43" i="1" s="1"/>
  <c r="FG33" i="1"/>
  <c r="FJ33" i="1" s="1"/>
  <c r="GQ33" i="1" s="1"/>
  <c r="DM42" i="1"/>
  <c r="EV34" i="1"/>
  <c r="FB34" i="1"/>
  <c r="FA34" i="1"/>
  <c r="FY34" i="1"/>
  <c r="HE34" i="1" s="1"/>
  <c r="FF34" i="1"/>
  <c r="FI34" i="1" s="1"/>
  <c r="DM41" i="1"/>
  <c r="DA41" i="1"/>
  <c r="DQ41" i="1" s="1"/>
  <c r="CY41" i="1"/>
  <c r="DO41" i="1" s="1"/>
  <c r="CZ41" i="1"/>
  <c r="DP41" i="1" s="1"/>
  <c r="DN41" i="1"/>
  <c r="DL41" i="1"/>
  <c r="HV51" i="1"/>
  <c r="HU51" i="1"/>
  <c r="ID51" i="1"/>
  <c r="HZ51" i="1"/>
  <c r="HT51" i="1"/>
  <c r="HK51" i="1"/>
  <c r="HS52" i="1" s="1"/>
  <c r="HL52" i="1" s="1"/>
  <c r="HN52" i="1" s="1"/>
  <c r="HX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EQ35" i="1" l="1"/>
  <c r="EZ35" i="1" s="1"/>
  <c r="FC35" i="1" s="1"/>
  <c r="EP35" i="1"/>
  <c r="CY42" i="1"/>
  <c r="DO42" i="1" s="1"/>
  <c r="CZ42" i="1"/>
  <c r="DP42" i="1" s="1"/>
  <c r="EP36" i="1"/>
  <c r="EV36" i="1" s="1"/>
  <c r="DQ42" i="1"/>
  <c r="CT43" i="1"/>
  <c r="CW43" i="1" s="1"/>
  <c r="CZ43" i="1"/>
  <c r="DA43" i="1"/>
  <c r="FM33" i="1"/>
  <c r="FN33" i="1" s="1"/>
  <c r="FP33" i="1" s="1"/>
  <c r="FW33" i="1"/>
  <c r="FX33" i="1" s="1"/>
  <c r="FZ33" i="1" s="1"/>
  <c r="GA33" i="1" s="1"/>
  <c r="DR41" i="1"/>
  <c r="DW42" i="1"/>
  <c r="DX42" i="1" s="1"/>
  <c r="DR42" i="1"/>
  <c r="FA35" i="1"/>
  <c r="EV35" i="1"/>
  <c r="FB35" i="1"/>
  <c r="FY35" i="1"/>
  <c r="HE35" i="1" s="1"/>
  <c r="FF35" i="1"/>
  <c r="FI35" i="1" s="1"/>
  <c r="DW41" i="1"/>
  <c r="DX41" i="1" s="1"/>
  <c r="DV41" i="1"/>
  <c r="DS41" i="1"/>
  <c r="DU41" i="1"/>
  <c r="FY36" i="1"/>
  <c r="HE36" i="1" s="1"/>
  <c r="FF36" i="1"/>
  <c r="FI36" i="1" s="1"/>
  <c r="FL34" i="1"/>
  <c r="FO34" i="1"/>
  <c r="EW34" i="1"/>
  <c r="HB34" i="1"/>
  <c r="HF34" i="1" s="1"/>
  <c r="HH34" i="1" s="1"/>
  <c r="EX34" i="1"/>
  <c r="FD34" i="1"/>
  <c r="FV34" i="1" s="1"/>
  <c r="FE34" i="1"/>
  <c r="HU52" i="1"/>
  <c r="ID52" i="1"/>
  <c r="HK52" i="1"/>
  <c r="HS53" i="1" s="1"/>
  <c r="HL53" i="1" s="1"/>
  <c r="HN53" i="1" s="1"/>
  <c r="HV52" i="1"/>
  <c r="HW52" i="1"/>
  <c r="HZ52" i="1"/>
  <c r="HX52" i="1"/>
  <c r="HT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CV43" i="1" l="1"/>
  <c r="DO43" i="1" s="1"/>
  <c r="DU42" i="1"/>
  <c r="DS42" i="1"/>
  <c r="DV42" i="1"/>
  <c r="FA36" i="1"/>
  <c r="FB36" i="1"/>
  <c r="FE36" i="1" s="1"/>
  <c r="GD33" i="1"/>
  <c r="CX43" i="1"/>
  <c r="DQ43" i="1" s="1"/>
  <c r="GP33" i="1"/>
  <c r="FR33" i="1"/>
  <c r="FQ33" i="1"/>
  <c r="EA41" i="1"/>
  <c r="DY41" i="1"/>
  <c r="HB35" i="1"/>
  <c r="HF35" i="1" s="1"/>
  <c r="HG35" i="1" s="1"/>
  <c r="EW35" i="1"/>
  <c r="EX35" i="1"/>
  <c r="FD35" i="1"/>
  <c r="FV35" i="1" s="1"/>
  <c r="FE35" i="1"/>
  <c r="FL35" i="1"/>
  <c r="FO35" i="1"/>
  <c r="EA42" i="1"/>
  <c r="DZ41" i="1"/>
  <c r="BX50" i="1"/>
  <c r="CA50" i="1"/>
  <c r="BU50" i="1"/>
  <c r="FU34" i="1"/>
  <c r="FG34" i="1"/>
  <c r="GB33" i="1"/>
  <c r="GC33" i="1"/>
  <c r="GO33" i="1"/>
  <c r="DP43" i="1"/>
  <c r="DM43" i="1"/>
  <c r="FH34" i="1"/>
  <c r="DL43" i="1"/>
  <c r="EW36" i="1"/>
  <c r="HB36" i="1"/>
  <c r="HF36" i="1" s="1"/>
  <c r="HG36" i="1" s="1"/>
  <c r="EX36" i="1"/>
  <c r="FD36" i="1"/>
  <c r="FV36" i="1" s="1"/>
  <c r="HG34" i="1"/>
  <c r="HZ53" i="1"/>
  <c r="HV53" i="1"/>
  <c r="ID53" i="1"/>
  <c r="HW53" i="1"/>
  <c r="HU53" i="1"/>
  <c r="HX53" i="1"/>
  <c r="HK53" i="1"/>
  <c r="HS54" i="1" s="1"/>
  <c r="HL54" i="1" s="1"/>
  <c r="HN54" i="1" s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51" i="1" s="1"/>
  <c r="BE51" i="1" s="1"/>
  <c r="BB48" i="1"/>
  <c r="BE48" i="1" s="1"/>
  <c r="DZ42" i="1" l="1"/>
  <c r="DY42" i="1"/>
  <c r="EC42" i="1" s="1"/>
  <c r="FO36" i="1"/>
  <c r="FL36" i="1"/>
  <c r="DN43" i="1"/>
  <c r="DW43" i="1" s="1"/>
  <c r="DX43" i="1" s="1"/>
  <c r="ED41" i="1"/>
  <c r="EH41" i="1" s="1"/>
  <c r="FT33" i="1"/>
  <c r="DU43" i="1"/>
  <c r="FS33" i="1"/>
  <c r="EC41" i="1"/>
  <c r="EE41" i="1" s="1"/>
  <c r="EB41" i="1"/>
  <c r="FH35" i="1"/>
  <c r="FU35" i="1"/>
  <c r="FG35" i="1"/>
  <c r="EB42" i="1"/>
  <c r="ED42" i="1"/>
  <c r="HQ48" i="1"/>
  <c r="HH35" i="1"/>
  <c r="GH33" i="1"/>
  <c r="FH36" i="1"/>
  <c r="FU36" i="1"/>
  <c r="FG36" i="1"/>
  <c r="GE33" i="1"/>
  <c r="GF33" i="1" s="1"/>
  <c r="GG33" i="1"/>
  <c r="FM34" i="1"/>
  <c r="FN34" i="1" s="1"/>
  <c r="FW34" i="1"/>
  <c r="FX34" i="1" s="1"/>
  <c r="FZ34" i="1" s="1"/>
  <c r="FJ34" i="1"/>
  <c r="GQ34" i="1" s="1"/>
  <c r="HH36" i="1"/>
  <c r="GI33" i="1"/>
  <c r="BX51" i="1"/>
  <c r="BU51" i="1"/>
  <c r="CA51" i="1"/>
  <c r="DS43" i="1"/>
  <c r="CB50" i="1"/>
  <c r="CG50" i="1" s="1"/>
  <c r="CE50" i="1"/>
  <c r="CC50" i="1"/>
  <c r="HZ54" i="1"/>
  <c r="HV54" i="1"/>
  <c r="HW54" i="1"/>
  <c r="ID54" i="1"/>
  <c r="HX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DR43" i="1" l="1"/>
  <c r="EA43" i="1" s="1"/>
  <c r="DV43" i="1"/>
  <c r="EF41" i="1"/>
  <c r="EI41" i="1"/>
  <c r="EJ41" i="1"/>
  <c r="EL41" i="1"/>
  <c r="DY43" i="1"/>
  <c r="EK41" i="1"/>
  <c r="GS33" i="1"/>
  <c r="HA33" i="1" s="1"/>
  <c r="EG41" i="1"/>
  <c r="GY33" i="1"/>
  <c r="GZ33" i="1" s="1"/>
  <c r="EK42" i="1"/>
  <c r="EG42" i="1"/>
  <c r="EE42" i="1"/>
  <c r="EF42" i="1"/>
  <c r="HQ54" i="1"/>
  <c r="EL42" i="1"/>
  <c r="EJ42" i="1"/>
  <c r="EI42" i="1"/>
  <c r="EH42" i="1"/>
  <c r="BU52" i="1"/>
  <c r="BX52" i="1"/>
  <c r="CA52" i="1"/>
  <c r="FM35" i="1"/>
  <c r="FN35" i="1" s="1"/>
  <c r="FW35" i="1"/>
  <c r="FX35" i="1" s="1"/>
  <c r="FZ35" i="1" s="1"/>
  <c r="FJ35" i="1"/>
  <c r="GQ35" i="1" s="1"/>
  <c r="HR48" i="1"/>
  <c r="CE51" i="1"/>
  <c r="CC51" i="1"/>
  <c r="CB51" i="1"/>
  <c r="CG51" i="1" s="1"/>
  <c r="CK50" i="1"/>
  <c r="CF50" i="1"/>
  <c r="CL50" i="1" s="1"/>
  <c r="CH50" i="1"/>
  <c r="CJ50" i="1"/>
  <c r="FM36" i="1"/>
  <c r="FN36" i="1" s="1"/>
  <c r="FJ36" i="1"/>
  <c r="GQ36" i="1" s="1"/>
  <c r="FW36" i="1"/>
  <c r="FX36" i="1" s="1"/>
  <c r="FZ36" i="1" s="1"/>
  <c r="GA34" i="1"/>
  <c r="GD34" i="1"/>
  <c r="GP34" i="1"/>
  <c r="FP34" i="1"/>
  <c r="FR34" i="1"/>
  <c r="FQ34" i="1"/>
  <c r="ID55" i="1"/>
  <c r="HU55" i="1"/>
  <c r="FJ32" i="1"/>
  <c r="GQ32" i="1" s="1"/>
  <c r="HT55" i="1"/>
  <c r="HW55" i="1"/>
  <c r="HX55" i="1"/>
  <c r="HZ55" i="1"/>
  <c r="FW32" i="1"/>
  <c r="FX32" i="1" s="1"/>
  <c r="FZ32" i="1" s="1"/>
  <c r="GP32" i="1" s="1"/>
  <c r="HK55" i="1"/>
  <c r="HS56" i="1" s="1"/>
  <c r="HL56" i="1" s="1"/>
  <c r="FM32" i="1"/>
  <c r="FN32" i="1" s="1"/>
  <c r="FQ32" i="1" s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DZ43" i="1" l="1"/>
  <c r="EB43" i="1" s="1"/>
  <c r="EN41" i="1"/>
  <c r="EO41" i="1"/>
  <c r="ER41" i="1" s="1"/>
  <c r="GT33" i="1"/>
  <c r="EM41" i="1"/>
  <c r="GR33" i="1"/>
  <c r="FS34" i="1"/>
  <c r="GA35" i="1"/>
  <c r="GP35" i="1"/>
  <c r="GD35" i="1"/>
  <c r="FR35" i="1"/>
  <c r="FP35" i="1"/>
  <c r="FQ35" i="1"/>
  <c r="HM48" i="1"/>
  <c r="CC52" i="1"/>
  <c r="CB52" i="1"/>
  <c r="CG52" i="1" s="1"/>
  <c r="CE52" i="1"/>
  <c r="HR54" i="1"/>
  <c r="HR42" i="1"/>
  <c r="EO42" i="1"/>
  <c r="ER42" i="1" s="1"/>
  <c r="EM42" i="1"/>
  <c r="EN42" i="1"/>
  <c r="HD33" i="1"/>
  <c r="HC33" i="1"/>
  <c r="GD36" i="1"/>
  <c r="GP36" i="1"/>
  <c r="GA36" i="1"/>
  <c r="CN50" i="1"/>
  <c r="FR36" i="1"/>
  <c r="FP36" i="1"/>
  <c r="FQ36" i="1"/>
  <c r="FT34" i="1"/>
  <c r="ED43" i="1"/>
  <c r="EC43" i="1"/>
  <c r="CA53" i="1"/>
  <c r="BX53" i="1"/>
  <c r="BU53" i="1"/>
  <c r="GC34" i="1"/>
  <c r="GB34" i="1"/>
  <c r="GO34" i="1"/>
  <c r="CR50" i="1"/>
  <c r="CM50" i="1"/>
  <c r="CK51" i="1"/>
  <c r="CF51" i="1"/>
  <c r="CL51" i="1" s="1"/>
  <c r="CH51" i="1"/>
  <c r="CJ51" i="1"/>
  <c r="HQ42" i="1"/>
  <c r="FR32" i="1"/>
  <c r="FT32" i="1" s="1"/>
  <c r="FP32" i="1"/>
  <c r="GC32" i="1" s="1"/>
  <c r="GD32" i="1"/>
  <c r="GA32" i="1"/>
  <c r="HW56" i="1"/>
  <c r="HU56" i="1"/>
  <c r="HK56" i="1"/>
  <c r="HS57" i="1" s="1"/>
  <c r="HL57" i="1" s="1"/>
  <c r="HU57" i="1" s="1"/>
  <c r="HX56" i="1"/>
  <c r="HZ56" i="1"/>
  <c r="HN56" i="1"/>
  <c r="ID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EP41" i="1" l="1"/>
  <c r="EQ41" i="1"/>
  <c r="EZ41" i="1" s="1"/>
  <c r="FC41" i="1" s="1"/>
  <c r="FF41" i="1" s="1"/>
  <c r="FI41" i="1" s="1"/>
  <c r="FT35" i="1"/>
  <c r="FS35" i="1"/>
  <c r="CJ52" i="1"/>
  <c r="CM52" i="1" s="1"/>
  <c r="GO32" i="1"/>
  <c r="GB32" i="1"/>
  <c r="GH32" i="1" s="1"/>
  <c r="HM54" i="1"/>
  <c r="FS32" i="1"/>
  <c r="GO35" i="1"/>
  <c r="GC35" i="1"/>
  <c r="GB35" i="1"/>
  <c r="CP50" i="1"/>
  <c r="EP42" i="1"/>
  <c r="EQ42" i="1"/>
  <c r="EZ42" i="1" s="1"/>
  <c r="FC42" i="1" s="1"/>
  <c r="CK52" i="1"/>
  <c r="CF52" i="1"/>
  <c r="CL52" i="1" s="1"/>
  <c r="CH52" i="1"/>
  <c r="FS36" i="1"/>
  <c r="GE34" i="1"/>
  <c r="GF34" i="1" s="1"/>
  <c r="GG34" i="1"/>
  <c r="EV41" i="1"/>
  <c r="CN51" i="1"/>
  <c r="GH34" i="1"/>
  <c r="GO36" i="1"/>
  <c r="GC36" i="1"/>
  <c r="GB36" i="1"/>
  <c r="CQ50" i="1"/>
  <c r="CB53" i="1"/>
  <c r="CG53" i="1" s="1"/>
  <c r="CE53" i="1"/>
  <c r="CC53" i="1"/>
  <c r="FT36" i="1"/>
  <c r="CM51" i="1"/>
  <c r="CR51" i="1"/>
  <c r="EE43" i="1"/>
  <c r="EK43" i="1"/>
  <c r="EG43" i="1"/>
  <c r="EF43" i="1"/>
  <c r="CA54" i="1"/>
  <c r="BX54" i="1"/>
  <c r="BU54" i="1"/>
  <c r="GI34" i="1"/>
  <c r="EI43" i="1"/>
  <c r="EL43" i="1"/>
  <c r="EJ43" i="1"/>
  <c r="EH43" i="1"/>
  <c r="EG40" i="1"/>
  <c r="EI40" i="1"/>
  <c r="EN40" i="1" s="1"/>
  <c r="EH40" i="1"/>
  <c r="EM40" i="1" s="1"/>
  <c r="EJ40" i="1"/>
  <c r="EO40" i="1" s="1"/>
  <c r="ER40" i="1" s="1"/>
  <c r="HK57" i="1"/>
  <c r="HS58" i="1" s="1"/>
  <c r="HL58" i="1" s="1"/>
  <c r="HV58" i="1" s="1"/>
  <c r="HX57" i="1"/>
  <c r="HN57" i="1"/>
  <c r="HZ57" i="1"/>
  <c r="HT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HM42" i="1" l="1"/>
  <c r="FY41" i="1"/>
  <c r="HE41" i="1" s="1"/>
  <c r="GG32" i="1"/>
  <c r="GS32" i="1" s="1"/>
  <c r="FA41" i="1"/>
  <c r="FB41" i="1"/>
  <c r="GE32" i="1"/>
  <c r="GF32" i="1" s="1"/>
  <c r="GI32" i="1"/>
  <c r="GY32" i="1" s="1"/>
  <c r="CR52" i="1"/>
  <c r="GH35" i="1"/>
  <c r="IA48" i="1"/>
  <c r="GI35" i="1"/>
  <c r="FA42" i="1"/>
  <c r="FB42" i="1"/>
  <c r="EV42" i="1"/>
  <c r="HY48" i="1"/>
  <c r="CN52" i="1"/>
  <c r="CP52" i="1" s="1"/>
  <c r="FY42" i="1"/>
  <c r="HE42" i="1" s="1"/>
  <c r="FF42" i="1"/>
  <c r="FI42" i="1" s="1"/>
  <c r="GG35" i="1"/>
  <c r="GE35" i="1"/>
  <c r="GF35" i="1" s="1"/>
  <c r="GH36" i="1"/>
  <c r="CQ51" i="1"/>
  <c r="GE36" i="1"/>
  <c r="GF36" i="1" s="1"/>
  <c r="GG36" i="1"/>
  <c r="EX41" i="1"/>
  <c r="EW41" i="1"/>
  <c r="HB41" i="1"/>
  <c r="HF41" i="1" s="1"/>
  <c r="CE54" i="1"/>
  <c r="CC54" i="1"/>
  <c r="CB54" i="1"/>
  <c r="CG54" i="1" s="1"/>
  <c r="GI36" i="1"/>
  <c r="CF53" i="1"/>
  <c r="CL53" i="1" s="1"/>
  <c r="CH53" i="1"/>
  <c r="CK53" i="1"/>
  <c r="GS34" i="1"/>
  <c r="GY34" i="1"/>
  <c r="CS50" i="1"/>
  <c r="CU50" i="1" s="1"/>
  <c r="CJ53" i="1"/>
  <c r="CP51" i="1"/>
  <c r="EM43" i="1"/>
  <c r="EN43" i="1"/>
  <c r="EO43" i="1"/>
  <c r="ER43" i="1" s="1"/>
  <c r="EX37" i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HY54" i="1" s="1"/>
  <c r="GY31" i="1"/>
  <c r="CQ48" i="1"/>
  <c r="CS48" i="1" s="1"/>
  <c r="CU48" i="1" s="1"/>
  <c r="GT30" i="1"/>
  <c r="HA30" i="1"/>
  <c r="HC30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H41" i="1" l="1"/>
  <c r="FE41" i="1"/>
  <c r="FH41" i="1" s="1"/>
  <c r="GS35" i="1"/>
  <c r="HA35" i="1" s="1"/>
  <c r="GY35" i="1"/>
  <c r="GZ35" i="1" s="1"/>
  <c r="FO41" i="1"/>
  <c r="FD41" i="1"/>
  <c r="FV41" i="1" s="1"/>
  <c r="FL41" i="1"/>
  <c r="CS51" i="1"/>
  <c r="CT51" i="1" s="1"/>
  <c r="HG41" i="1"/>
  <c r="GY36" i="1"/>
  <c r="GZ36" i="1" s="1"/>
  <c r="GS36" i="1"/>
  <c r="GT36" i="1" s="1"/>
  <c r="CQ52" i="1"/>
  <c r="CS52" i="1" s="1"/>
  <c r="CT52" i="1" s="1"/>
  <c r="GT35" i="1"/>
  <c r="FD42" i="1"/>
  <c r="FV42" i="1" s="1"/>
  <c r="EX42" i="1"/>
  <c r="EW42" i="1"/>
  <c r="HB42" i="1"/>
  <c r="HF42" i="1" s="1"/>
  <c r="HG42" i="1" s="1"/>
  <c r="FE42" i="1"/>
  <c r="IB48" i="1"/>
  <c r="IA42" i="1"/>
  <c r="FL42" i="1"/>
  <c r="FO42" i="1"/>
  <c r="IC48" i="1"/>
  <c r="IA54" i="1"/>
  <c r="IE48" i="1"/>
  <c r="CT50" i="1"/>
  <c r="CW50" i="1" s="1"/>
  <c r="CJ54" i="1"/>
  <c r="CM54" i="1" s="1"/>
  <c r="CZ50" i="1"/>
  <c r="CY50" i="1"/>
  <c r="DA50" i="1"/>
  <c r="CF54" i="1"/>
  <c r="CL54" i="1" s="1"/>
  <c r="CH54" i="1"/>
  <c r="CK54" i="1"/>
  <c r="GZ34" i="1"/>
  <c r="EP43" i="1"/>
  <c r="EQ43" i="1"/>
  <c r="EZ43" i="1" s="1"/>
  <c r="FC43" i="1" s="1"/>
  <c r="GR34" i="1"/>
  <c r="GT34" i="1"/>
  <c r="HA34" i="1"/>
  <c r="CN53" i="1"/>
  <c r="FU41" i="1"/>
  <c r="CM53" i="1"/>
  <c r="CR53" i="1"/>
  <c r="HY42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G41" i="1" l="1"/>
  <c r="FM41" i="1" s="1"/>
  <c r="FN41" i="1" s="1"/>
  <c r="GR35" i="1"/>
  <c r="CU51" i="1"/>
  <c r="CZ51" i="1" s="1"/>
  <c r="GR36" i="1"/>
  <c r="HA36" i="1"/>
  <c r="HD36" i="1" s="1"/>
  <c r="CV50" i="1"/>
  <c r="DO50" i="1" s="1"/>
  <c r="CX50" i="1"/>
  <c r="DQ50" i="1" s="1"/>
  <c r="HH42" i="1"/>
  <c r="CP53" i="1"/>
  <c r="CV52" i="1"/>
  <c r="CW52" i="1"/>
  <c r="CX52" i="1"/>
  <c r="FU42" i="1"/>
  <c r="FG42" i="1"/>
  <c r="CU52" i="1"/>
  <c r="FH42" i="1"/>
  <c r="IB54" i="1"/>
  <c r="IB42" i="1"/>
  <c r="HD35" i="1"/>
  <c r="HC35" i="1"/>
  <c r="IE54" i="1"/>
  <c r="IC54" i="1"/>
  <c r="CN54" i="1"/>
  <c r="CQ54" i="1" s="1"/>
  <c r="FW41" i="1"/>
  <c r="FX41" i="1" s="1"/>
  <c r="FZ41" i="1" s="1"/>
  <c r="FJ41" i="1"/>
  <c r="GQ41" i="1" s="1"/>
  <c r="EV43" i="1"/>
  <c r="FA43" i="1"/>
  <c r="FB43" i="1"/>
  <c r="HC34" i="1"/>
  <c r="HD34" i="1"/>
  <c r="CR54" i="1"/>
  <c r="FF43" i="1"/>
  <c r="FI43" i="1" s="1"/>
  <c r="FY43" i="1"/>
  <c r="HE43" i="1" s="1"/>
  <c r="DP50" i="1"/>
  <c r="DM50" i="1"/>
  <c r="DA51" i="1"/>
  <c r="CQ53" i="1"/>
  <c r="CV51" i="1"/>
  <c r="CX51" i="1"/>
  <c r="CW51" i="1"/>
  <c r="IE42" i="1"/>
  <c r="IC42" i="1"/>
  <c r="FM38" i="1"/>
  <c r="FN38" i="1" s="1"/>
  <c r="FQ38" i="1" s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HQ57" i="1" l="1"/>
  <c r="DL50" i="1"/>
  <c r="CY51" i="1"/>
  <c r="DO51" i="1" s="1"/>
  <c r="DN50" i="1"/>
  <c r="HC36" i="1"/>
  <c r="CP54" i="1"/>
  <c r="CS54" i="1" s="1"/>
  <c r="CT54" i="1" s="1"/>
  <c r="CY52" i="1"/>
  <c r="DO52" i="1" s="1"/>
  <c r="CZ52" i="1"/>
  <c r="DP52" i="1" s="1"/>
  <c r="DA52" i="1"/>
  <c r="DQ52" i="1" s="1"/>
  <c r="FM42" i="1"/>
  <c r="FN42" i="1" s="1"/>
  <c r="FW42" i="1"/>
  <c r="FX42" i="1" s="1"/>
  <c r="FZ42" i="1" s="1"/>
  <c r="FJ42" i="1"/>
  <c r="GQ42" i="1" s="1"/>
  <c r="DN52" i="1"/>
  <c r="DM52" i="1"/>
  <c r="DL52" i="1"/>
  <c r="DU50" i="1"/>
  <c r="FL43" i="1"/>
  <c r="FO43" i="1"/>
  <c r="DQ51" i="1"/>
  <c r="EW43" i="1"/>
  <c r="HB43" i="1"/>
  <c r="HF43" i="1" s="1"/>
  <c r="HG43" i="1" s="1"/>
  <c r="EX43" i="1"/>
  <c r="FD43" i="1"/>
  <c r="FV43" i="1" s="1"/>
  <c r="FE43" i="1"/>
  <c r="DM51" i="1"/>
  <c r="DP51" i="1"/>
  <c r="FR41" i="1"/>
  <c r="FQ41" i="1"/>
  <c r="FP41" i="1"/>
  <c r="DN51" i="1"/>
  <c r="DS50" i="1"/>
  <c r="GA41" i="1"/>
  <c r="GD41" i="1"/>
  <c r="GP41" i="1"/>
  <c r="DL51" i="1"/>
  <c r="CA58" i="1"/>
  <c r="BU58" i="1"/>
  <c r="BX58" i="1"/>
  <c r="CS53" i="1"/>
  <c r="CT53" i="1" s="1"/>
  <c r="FP38" i="1"/>
  <c r="GC38" i="1" s="1"/>
  <c r="FR38" i="1"/>
  <c r="FS38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HR57" i="1" l="1"/>
  <c r="DV50" i="1"/>
  <c r="DW50" i="1"/>
  <c r="DX50" i="1" s="1"/>
  <c r="DR50" i="1"/>
  <c r="DZ50" i="1" s="1"/>
  <c r="DY50" i="1"/>
  <c r="FT41" i="1"/>
  <c r="GA42" i="1"/>
  <c r="GP42" i="1"/>
  <c r="GD42" i="1"/>
  <c r="DV52" i="1"/>
  <c r="DR52" i="1"/>
  <c r="DW52" i="1"/>
  <c r="DX52" i="1" s="1"/>
  <c r="FR42" i="1"/>
  <c r="FQ42" i="1"/>
  <c r="FP42" i="1"/>
  <c r="BX59" i="1"/>
  <c r="CA59" i="1"/>
  <c r="BU59" i="1"/>
  <c r="DS52" i="1"/>
  <c r="DU52" i="1"/>
  <c r="CU53" i="1"/>
  <c r="DA53" i="1" s="1"/>
  <c r="FH43" i="1"/>
  <c r="CU54" i="1"/>
  <c r="CY54" i="1" s="1"/>
  <c r="FU43" i="1"/>
  <c r="FG43" i="1"/>
  <c r="CV54" i="1"/>
  <c r="CW54" i="1"/>
  <c r="CX54" i="1"/>
  <c r="CE58" i="1"/>
  <c r="CC58" i="1"/>
  <c r="CB58" i="1"/>
  <c r="CG58" i="1" s="1"/>
  <c r="DU51" i="1"/>
  <c r="DS51" i="1"/>
  <c r="GB41" i="1"/>
  <c r="GO41" i="1"/>
  <c r="GC41" i="1"/>
  <c r="HH43" i="1"/>
  <c r="CV53" i="1"/>
  <c r="CX53" i="1"/>
  <c r="CW53" i="1"/>
  <c r="DW51" i="1"/>
  <c r="DX51" i="1" s="1"/>
  <c r="DR51" i="1"/>
  <c r="DV51" i="1"/>
  <c r="FS41" i="1"/>
  <c r="GO38" i="1"/>
  <c r="GB38" i="1"/>
  <c r="GH38" i="1" s="1"/>
  <c r="FT38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HM57" i="1" l="1"/>
  <c r="CY53" i="1"/>
  <c r="EA50" i="1"/>
  <c r="ED50" i="1" s="1"/>
  <c r="EI50" i="1" s="1"/>
  <c r="FS42" i="1"/>
  <c r="DA54" i="1"/>
  <c r="DQ54" i="1" s="1"/>
  <c r="CZ54" i="1"/>
  <c r="DP54" i="1" s="1"/>
  <c r="CZ53" i="1"/>
  <c r="DP53" i="1" s="1"/>
  <c r="DY52" i="1"/>
  <c r="HQ15" i="1"/>
  <c r="DZ51" i="1"/>
  <c r="EA52" i="1"/>
  <c r="DO54" i="1"/>
  <c r="CC59" i="1"/>
  <c r="CE59" i="1"/>
  <c r="CB59" i="1"/>
  <c r="CG59" i="1" s="1"/>
  <c r="BX60" i="1"/>
  <c r="CA60" i="1"/>
  <c r="BU60" i="1"/>
  <c r="DZ52" i="1"/>
  <c r="GC42" i="1"/>
  <c r="GO42" i="1"/>
  <c r="GB42" i="1"/>
  <c r="DY51" i="1"/>
  <c r="FT42" i="1"/>
  <c r="CJ58" i="1"/>
  <c r="CM58" i="1" s="1"/>
  <c r="GE41" i="1"/>
  <c r="GF41" i="1" s="1"/>
  <c r="GG41" i="1"/>
  <c r="EA51" i="1"/>
  <c r="CK58" i="1"/>
  <c r="CH58" i="1"/>
  <c r="CF58" i="1"/>
  <c r="CL58" i="1" s="1"/>
  <c r="DM53" i="1"/>
  <c r="DN53" i="1"/>
  <c r="DN54" i="1"/>
  <c r="GI41" i="1"/>
  <c r="DL53" i="1"/>
  <c r="DM54" i="1"/>
  <c r="DQ53" i="1"/>
  <c r="DL54" i="1"/>
  <c r="GH41" i="1"/>
  <c r="DO53" i="1"/>
  <c r="FW43" i="1"/>
  <c r="FX43" i="1" s="1"/>
  <c r="FZ43" i="1" s="1"/>
  <c r="FM43" i="1"/>
  <c r="FN43" i="1" s="1"/>
  <c r="FJ43" i="1"/>
  <c r="GQ43" i="1" s="1"/>
  <c r="HQ36" i="1" s="1"/>
  <c r="GG38" i="1"/>
  <c r="GS38" i="1" s="1"/>
  <c r="GI38" i="1"/>
  <c r="GY38" i="1" s="1"/>
  <c r="GE38" i="1"/>
  <c r="GF38" i="1" s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s="1"/>
  <c r="BE61" i="1" s="1"/>
  <c r="IA57" i="1" l="1"/>
  <c r="HY57" i="1"/>
  <c r="EB50" i="1"/>
  <c r="EC50" i="1"/>
  <c r="EF50" i="1" s="1"/>
  <c r="GI42" i="1"/>
  <c r="DS54" i="1"/>
  <c r="CJ59" i="1"/>
  <c r="CM59" i="1" s="1"/>
  <c r="HR15" i="1"/>
  <c r="EH50" i="1"/>
  <c r="EJ50" i="1"/>
  <c r="EL50" i="1"/>
  <c r="EB51" i="1"/>
  <c r="EB52" i="1"/>
  <c r="EC52" i="1"/>
  <c r="ED52" i="1"/>
  <c r="CE60" i="1"/>
  <c r="CC60" i="1"/>
  <c r="CB60" i="1"/>
  <c r="CG60" i="1" s="1"/>
  <c r="BU61" i="1"/>
  <c r="CA61" i="1"/>
  <c r="BX61" i="1"/>
  <c r="GG42" i="1"/>
  <c r="GE42" i="1"/>
  <c r="GF42" i="1" s="1"/>
  <c r="CK59" i="1"/>
  <c r="CH59" i="1"/>
  <c r="CF59" i="1"/>
  <c r="CL59" i="1" s="1"/>
  <c r="GH42" i="1"/>
  <c r="DU54" i="1"/>
  <c r="ED51" i="1"/>
  <c r="EH51" i="1" s="1"/>
  <c r="EC51" i="1"/>
  <c r="EG51" i="1" s="1"/>
  <c r="FQ43" i="1"/>
  <c r="FP43" i="1"/>
  <c r="FR43" i="1"/>
  <c r="DV53" i="1"/>
  <c r="DW53" i="1"/>
  <c r="DX53" i="1" s="1"/>
  <c r="DR53" i="1"/>
  <c r="GA43" i="1"/>
  <c r="GP43" i="1"/>
  <c r="HR36" i="1" s="1"/>
  <c r="GD43" i="1"/>
  <c r="DR54" i="1"/>
  <c r="DV54" i="1"/>
  <c r="DW54" i="1"/>
  <c r="DX54" i="1" s="1"/>
  <c r="DS53" i="1"/>
  <c r="DU53" i="1"/>
  <c r="GS41" i="1"/>
  <c r="GY41" i="1"/>
  <c r="CN58" i="1"/>
  <c r="CP58" i="1" s="1"/>
  <c r="CR58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IC57" i="1" l="1"/>
  <c r="IE57" i="1"/>
  <c r="IB57" i="1"/>
  <c r="EE50" i="1"/>
  <c r="CR59" i="1"/>
  <c r="EK50" i="1"/>
  <c r="EM50" i="1" s="1"/>
  <c r="EG50" i="1"/>
  <c r="DY54" i="1"/>
  <c r="EK51" i="1"/>
  <c r="CJ60" i="1"/>
  <c r="CM60" i="1" s="1"/>
  <c r="DZ54" i="1"/>
  <c r="EF51" i="1"/>
  <c r="EE51" i="1"/>
  <c r="CK60" i="1"/>
  <c r="CH60" i="1"/>
  <c r="CF60" i="1"/>
  <c r="CL60" i="1" s="1"/>
  <c r="EJ51" i="1"/>
  <c r="EL51" i="1"/>
  <c r="HM15" i="1"/>
  <c r="EA54" i="1"/>
  <c r="EI51" i="1"/>
  <c r="CB61" i="1"/>
  <c r="CG61" i="1" s="1"/>
  <c r="CE61" i="1"/>
  <c r="CC61" i="1"/>
  <c r="EA53" i="1"/>
  <c r="GY42" i="1"/>
  <c r="GZ42" i="1" s="1"/>
  <c r="GS42" i="1"/>
  <c r="EL52" i="1"/>
  <c r="EH52" i="1"/>
  <c r="EI52" i="1"/>
  <c r="EJ52" i="1"/>
  <c r="CN59" i="1"/>
  <c r="CP59" i="1" s="1"/>
  <c r="EK52" i="1"/>
  <c r="EF52" i="1"/>
  <c r="EE52" i="1"/>
  <c r="EG52" i="1"/>
  <c r="FT43" i="1"/>
  <c r="CQ58" i="1"/>
  <c r="CS58" i="1" s="1"/>
  <c r="CU58" i="1" s="1"/>
  <c r="DY53" i="1"/>
  <c r="EN50" i="1"/>
  <c r="EO50" i="1"/>
  <c r="ER50" i="1" s="1"/>
  <c r="DZ53" i="1"/>
  <c r="GZ41" i="1"/>
  <c r="GR41" i="1"/>
  <c r="GT41" i="1"/>
  <c r="HA41" i="1"/>
  <c r="GB43" i="1"/>
  <c r="GO43" i="1"/>
  <c r="HM36" i="1" s="1"/>
  <c r="GC43" i="1"/>
  <c r="FS43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C54" i="1" l="1"/>
  <c r="CR60" i="1"/>
  <c r="CN60" i="1"/>
  <c r="CP60" i="1" s="1"/>
  <c r="EO51" i="1"/>
  <c r="ER51" i="1" s="1"/>
  <c r="GH43" i="1"/>
  <c r="ED54" i="1"/>
  <c r="EH54" i="1" s="1"/>
  <c r="EB54" i="1"/>
  <c r="EM51" i="1"/>
  <c r="CK61" i="1"/>
  <c r="CH61" i="1"/>
  <c r="CF61" i="1"/>
  <c r="CL61" i="1" s="1"/>
  <c r="CJ61" i="1"/>
  <c r="CM61" i="1" s="1"/>
  <c r="EN51" i="1"/>
  <c r="EO52" i="1"/>
  <c r="ER52" i="1" s="1"/>
  <c r="EM52" i="1"/>
  <c r="EN52" i="1"/>
  <c r="CQ59" i="1"/>
  <c r="GT42" i="1"/>
  <c r="GR42" i="1"/>
  <c r="HA42" i="1"/>
  <c r="CT58" i="1"/>
  <c r="CW58" i="1" s="1"/>
  <c r="HC41" i="1"/>
  <c r="HD41" i="1"/>
  <c r="EQ50" i="1"/>
  <c r="EZ50" i="1" s="1"/>
  <c r="FC50" i="1" s="1"/>
  <c r="EP50" i="1"/>
  <c r="GG43" i="1"/>
  <c r="GE43" i="1"/>
  <c r="GF43" i="1" s="1"/>
  <c r="GI43" i="1"/>
  <c r="EC53" i="1"/>
  <c r="ED53" i="1"/>
  <c r="EB53" i="1"/>
  <c r="EL54" i="1"/>
  <c r="CY58" i="1"/>
  <c r="CZ58" i="1"/>
  <c r="DA58" i="1"/>
  <c r="EK54" i="1"/>
  <c r="EE54" i="1"/>
  <c r="EG54" i="1"/>
  <c r="EF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s="1"/>
  <c r="BE62" i="1" s="1"/>
  <c r="EI54" i="1" l="1"/>
  <c r="EP51" i="1"/>
  <c r="CQ60" i="1"/>
  <c r="CS60" i="1" s="1"/>
  <c r="CT60" i="1" s="1"/>
  <c r="EJ54" i="1"/>
  <c r="EO54" i="1" s="1"/>
  <c r="ER54" i="1" s="1"/>
  <c r="EQ51" i="1"/>
  <c r="EZ51" i="1" s="1"/>
  <c r="FC51" i="1" s="1"/>
  <c r="FF51" i="1" s="1"/>
  <c r="FI51" i="1" s="1"/>
  <c r="GS43" i="1"/>
  <c r="GY43" i="1"/>
  <c r="CN61" i="1"/>
  <c r="CQ61" i="1" s="1"/>
  <c r="CV58" i="1"/>
  <c r="DL58" i="1" s="1"/>
  <c r="CX58" i="1"/>
  <c r="DQ58" i="1" s="1"/>
  <c r="CR61" i="1"/>
  <c r="IA15" i="1"/>
  <c r="HY15" i="1"/>
  <c r="EQ52" i="1"/>
  <c r="EZ52" i="1" s="1"/>
  <c r="FC52" i="1" s="1"/>
  <c r="EP52" i="1"/>
  <c r="HD42" i="1"/>
  <c r="HC42" i="1"/>
  <c r="CS59" i="1"/>
  <c r="CU59" i="1" s="1"/>
  <c r="BU62" i="1"/>
  <c r="BX62" i="1"/>
  <c r="CA62" i="1"/>
  <c r="EL53" i="1"/>
  <c r="EJ53" i="1"/>
  <c r="EI53" i="1"/>
  <c r="EH53" i="1"/>
  <c r="EK53" i="1"/>
  <c r="EF53" i="1"/>
  <c r="EG53" i="1"/>
  <c r="EE53" i="1"/>
  <c r="FA50" i="1"/>
  <c r="FB50" i="1"/>
  <c r="EV50" i="1"/>
  <c r="FF50" i="1"/>
  <c r="FI50" i="1" s="1"/>
  <c r="FY50" i="1"/>
  <c r="HE50" i="1" s="1"/>
  <c r="EN54" i="1"/>
  <c r="DP58" i="1"/>
  <c r="DM58" i="1"/>
  <c r="EM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D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FY51" i="1" l="1"/>
  <c r="HE51" i="1" s="1"/>
  <c r="GZ43" i="1"/>
  <c r="IE36" i="1" s="1"/>
  <c r="IA36" i="1"/>
  <c r="GT43" i="1"/>
  <c r="IC36" i="1" s="1"/>
  <c r="HY36" i="1"/>
  <c r="FB51" i="1"/>
  <c r="FA51" i="1"/>
  <c r="FO51" i="1" s="1"/>
  <c r="EV51" i="1"/>
  <c r="EW51" i="1" s="1"/>
  <c r="HA43" i="1"/>
  <c r="HD43" i="1" s="1"/>
  <c r="DO58" i="1"/>
  <c r="DU58" i="1" s="1"/>
  <c r="GR43" i="1"/>
  <c r="IB36" i="1" s="1"/>
  <c r="DN58" i="1"/>
  <c r="DW58" i="1" s="1"/>
  <c r="DX58" i="1" s="1"/>
  <c r="CP61" i="1"/>
  <c r="CS61" i="1" s="1"/>
  <c r="CU61" i="1" s="1"/>
  <c r="CT59" i="1"/>
  <c r="CX59" i="1" s="1"/>
  <c r="CU60" i="1"/>
  <c r="CY60" i="1" s="1"/>
  <c r="IB15" i="1"/>
  <c r="IE15" i="1"/>
  <c r="IC15" i="1"/>
  <c r="CV60" i="1"/>
  <c r="CW60" i="1"/>
  <c r="CX60" i="1"/>
  <c r="CY59" i="1"/>
  <c r="CZ59" i="1"/>
  <c r="DA59" i="1"/>
  <c r="CB62" i="1"/>
  <c r="CG62" i="1" s="1"/>
  <c r="CC62" i="1"/>
  <c r="CE62" i="1"/>
  <c r="CA63" i="1"/>
  <c r="BX63" i="1"/>
  <c r="BU63" i="1"/>
  <c r="EV52" i="1"/>
  <c r="FA52" i="1"/>
  <c r="FB52" i="1"/>
  <c r="FF52" i="1"/>
  <c r="FI52" i="1" s="1"/>
  <c r="FY52" i="1"/>
  <c r="HE52" i="1" s="1"/>
  <c r="EO53" i="1"/>
  <c r="ER53" i="1" s="1"/>
  <c r="EM53" i="1"/>
  <c r="EN53" i="1"/>
  <c r="EW50" i="1"/>
  <c r="HB50" i="1"/>
  <c r="HF50" i="1" s="1"/>
  <c r="HH50" i="1" s="1"/>
  <c r="FD50" i="1"/>
  <c r="FV50" i="1" s="1"/>
  <c r="EX50" i="1"/>
  <c r="FE50" i="1"/>
  <c r="FL50" i="1"/>
  <c r="FO50" i="1"/>
  <c r="EQ54" i="1"/>
  <c r="EZ54" i="1" s="1"/>
  <c r="FC54" i="1" s="1"/>
  <c r="EP54" i="1"/>
  <c r="HC39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HQ55" i="1" l="1"/>
  <c r="HQ56" i="1"/>
  <c r="EX51" i="1"/>
  <c r="FE51" i="1"/>
  <c r="HB51" i="1"/>
  <c r="HF51" i="1" s="1"/>
  <c r="HG51" i="1" s="1"/>
  <c r="DR58" i="1"/>
  <c r="EA58" i="1" s="1"/>
  <c r="HC43" i="1"/>
  <c r="FL51" i="1"/>
  <c r="DV58" i="1"/>
  <c r="DS58" i="1"/>
  <c r="FD51" i="1"/>
  <c r="FV51" i="1" s="1"/>
  <c r="CW59" i="1"/>
  <c r="DM59" i="1" s="1"/>
  <c r="CV59" i="1"/>
  <c r="DL59" i="1" s="1"/>
  <c r="CJ62" i="1"/>
  <c r="CM62" i="1" s="1"/>
  <c r="CK62" i="1"/>
  <c r="CF62" i="1"/>
  <c r="CL62" i="1" s="1"/>
  <c r="CH62" i="1"/>
  <c r="FH51" i="1"/>
  <c r="DA60" i="1"/>
  <c r="DQ60" i="1" s="1"/>
  <c r="CZ60" i="1"/>
  <c r="DP60" i="1" s="1"/>
  <c r="FH50" i="1"/>
  <c r="CY61" i="1"/>
  <c r="CZ61" i="1"/>
  <c r="DA61" i="1"/>
  <c r="CT61" i="1"/>
  <c r="DN60" i="1"/>
  <c r="DM60" i="1"/>
  <c r="DL60" i="1"/>
  <c r="DO60" i="1"/>
  <c r="FL52" i="1"/>
  <c r="FO52" i="1"/>
  <c r="DN59" i="1"/>
  <c r="FD52" i="1"/>
  <c r="FV52" i="1" s="1"/>
  <c r="FE52" i="1"/>
  <c r="EX52" i="1"/>
  <c r="HB52" i="1"/>
  <c r="HF52" i="1" s="1"/>
  <c r="HG52" i="1" s="1"/>
  <c r="EW52" i="1"/>
  <c r="BX64" i="1"/>
  <c r="BU64" i="1"/>
  <c r="CA64" i="1"/>
  <c r="DQ59" i="1"/>
  <c r="CB63" i="1"/>
  <c r="CG63" i="1" s="1"/>
  <c r="CE63" i="1"/>
  <c r="CC63" i="1"/>
  <c r="FU51" i="1"/>
  <c r="FB54" i="1"/>
  <c r="FA54" i="1"/>
  <c r="EV54" i="1"/>
  <c r="FF54" i="1"/>
  <c r="FI54" i="1" s="1"/>
  <c r="FY54" i="1"/>
  <c r="HE54" i="1" s="1"/>
  <c r="FU50" i="1"/>
  <c r="FG50" i="1"/>
  <c r="HH51" i="1"/>
  <c r="HG50" i="1"/>
  <c r="EP53" i="1"/>
  <c r="EQ53" i="1"/>
  <c r="EZ53" i="1" s="1"/>
  <c r="FC53" i="1" s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11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HR55" i="1" l="1"/>
  <c r="HR56" i="1"/>
  <c r="DZ58" i="1"/>
  <c r="FG51" i="1"/>
  <c r="DY58" i="1"/>
  <c r="DO59" i="1"/>
  <c r="DP59" i="1"/>
  <c r="CR62" i="1"/>
  <c r="CN62" i="1"/>
  <c r="CP62" i="1" s="1"/>
  <c r="CJ63" i="1"/>
  <c r="CM63" i="1" s="1"/>
  <c r="CK63" i="1"/>
  <c r="CF63" i="1"/>
  <c r="CL63" i="1" s="1"/>
  <c r="CH63" i="1"/>
  <c r="HH52" i="1"/>
  <c r="BU65" i="1"/>
  <c r="CA65" i="1"/>
  <c r="BX65" i="1"/>
  <c r="FH52" i="1"/>
  <c r="DR60" i="1"/>
  <c r="DV60" i="1"/>
  <c r="DW60" i="1"/>
  <c r="DX60" i="1" s="1"/>
  <c r="CV61" i="1"/>
  <c r="DO61" i="1" s="1"/>
  <c r="CW61" i="1"/>
  <c r="DP61" i="1" s="1"/>
  <c r="CX61" i="1"/>
  <c r="DQ61" i="1" s="1"/>
  <c r="DS60" i="1"/>
  <c r="DU60" i="1"/>
  <c r="CB64" i="1"/>
  <c r="CG64" i="1" s="1"/>
  <c r="CC64" i="1"/>
  <c r="CE64" i="1"/>
  <c r="CJ64" i="1" s="1"/>
  <c r="FG52" i="1"/>
  <c r="FU52" i="1"/>
  <c r="DW59" i="1"/>
  <c r="DX59" i="1" s="1"/>
  <c r="DR59" i="1"/>
  <c r="FA53" i="1"/>
  <c r="FB53" i="1"/>
  <c r="EV53" i="1"/>
  <c r="FD54" i="1"/>
  <c r="FV54" i="1" s="1"/>
  <c r="FE54" i="1"/>
  <c r="HB54" i="1"/>
  <c r="HF54" i="1" s="1"/>
  <c r="HH54" i="1" s="1"/>
  <c r="EW54" i="1"/>
  <c r="EX54" i="1"/>
  <c r="FL54" i="1"/>
  <c r="FO54" i="1"/>
  <c r="FJ51" i="1"/>
  <c r="GQ51" i="1" s="1"/>
  <c r="HQ24" i="1" s="1"/>
  <c r="FW51" i="1"/>
  <c r="FX51" i="1" s="1"/>
  <c r="FZ51" i="1" s="1"/>
  <c r="FM51" i="1"/>
  <c r="FN51" i="1" s="1"/>
  <c r="FW50" i="1"/>
  <c r="FX50" i="1" s="1"/>
  <c r="FZ50" i="1" s="1"/>
  <c r="FJ50" i="1"/>
  <c r="GQ50" i="1" s="1"/>
  <c r="HQ19" i="1" s="1"/>
  <c r="FM50" i="1"/>
  <c r="FN50" i="1" s="1"/>
  <c r="FF53" i="1"/>
  <c r="FI53" i="1" s="1"/>
  <c r="FY53" i="1"/>
  <c r="HE53" i="1" s="1"/>
  <c r="HQ9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11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HM55" i="1" l="1"/>
  <c r="HM56" i="1"/>
  <c r="EB58" i="1"/>
  <c r="EC58" i="1"/>
  <c r="EK58" i="1" s="1"/>
  <c r="ED58" i="1"/>
  <c r="EH58" i="1" s="1"/>
  <c r="DS59" i="1"/>
  <c r="CQ62" i="1"/>
  <c r="CS62" i="1" s="1"/>
  <c r="CU62" i="1" s="1"/>
  <c r="DV59" i="1"/>
  <c r="DU59" i="1"/>
  <c r="CR63" i="1"/>
  <c r="CN63" i="1"/>
  <c r="EG58" i="1"/>
  <c r="EA60" i="1"/>
  <c r="DZ60" i="1"/>
  <c r="DY60" i="1"/>
  <c r="EA59" i="1"/>
  <c r="CA66" i="1"/>
  <c r="BX66" i="1"/>
  <c r="BU66" i="1"/>
  <c r="CM64" i="1"/>
  <c r="CK64" i="1"/>
  <c r="CR64" i="1" s="1"/>
  <c r="CH64" i="1"/>
  <c r="CF64" i="1"/>
  <c r="CL64" i="1" s="1"/>
  <c r="CC65" i="1"/>
  <c r="CE65" i="1"/>
  <c r="CJ65" i="1" s="1"/>
  <c r="CB65" i="1"/>
  <c r="CG65" i="1" s="1"/>
  <c r="DU61" i="1"/>
  <c r="DS61" i="1"/>
  <c r="CQ63" i="1"/>
  <c r="CP63" i="1"/>
  <c r="DN61" i="1"/>
  <c r="DL61" i="1"/>
  <c r="DM61" i="1"/>
  <c r="FH54" i="1"/>
  <c r="CN64" i="1"/>
  <c r="FJ52" i="1"/>
  <c r="GQ52" i="1" s="1"/>
  <c r="HQ35" i="1" s="1"/>
  <c r="FM52" i="1"/>
  <c r="FN52" i="1" s="1"/>
  <c r="FW52" i="1"/>
  <c r="FX52" i="1" s="1"/>
  <c r="FZ52" i="1" s="1"/>
  <c r="FP50" i="1"/>
  <c r="FQ50" i="1"/>
  <c r="FR50" i="1"/>
  <c r="FG54" i="1"/>
  <c r="FU54" i="1"/>
  <c r="GP50" i="1"/>
  <c r="HR19" i="1" s="1"/>
  <c r="GA50" i="1"/>
  <c r="GD50" i="1"/>
  <c r="HG54" i="1"/>
  <c r="FR51" i="1"/>
  <c r="FQ51" i="1"/>
  <c r="FP51" i="1"/>
  <c r="GD51" i="1"/>
  <c r="GP51" i="1"/>
  <c r="HR24" i="1" s="1"/>
  <c r="GA51" i="1"/>
  <c r="EX53" i="1"/>
  <c r="HB53" i="1"/>
  <c r="HF53" i="1" s="1"/>
  <c r="HG53" i="1" s="1"/>
  <c r="EW53" i="1"/>
  <c r="FE53" i="1"/>
  <c r="FD53" i="1"/>
  <c r="FV53" i="1" s="1"/>
  <c r="FL53" i="1"/>
  <c r="FO53" i="1"/>
  <c r="HR9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12" i="1" s="1"/>
  <c r="FS47" i="1"/>
  <c r="EC55" i="1"/>
  <c r="EB55" i="1"/>
  <c r="ED55" i="1"/>
  <c r="EA57" i="1"/>
  <c r="GB47" i="1"/>
  <c r="GC47" i="1"/>
  <c r="GO47" i="1"/>
  <c r="HM11" i="1" s="1"/>
  <c r="ED56" i="1"/>
  <c r="EB56" i="1"/>
  <c r="GG45" i="1"/>
  <c r="GE45" i="1"/>
  <c r="GF45" i="1" s="1"/>
  <c r="GZ44" i="1"/>
  <c r="AS67" i="1"/>
  <c r="AT67" i="1" s="1"/>
  <c r="BB67" i="1" s="1"/>
  <c r="BE67" i="1" s="1"/>
  <c r="DY59" i="1" l="1"/>
  <c r="EL58" i="1"/>
  <c r="EM58" i="1" s="1"/>
  <c r="EI58" i="1"/>
  <c r="EJ58" i="1"/>
  <c r="EO58" i="1" s="1"/>
  <c r="ER58" i="1" s="1"/>
  <c r="DZ59" i="1"/>
  <c r="ED59" i="1" s="1"/>
  <c r="EH59" i="1" s="1"/>
  <c r="EF58" i="1"/>
  <c r="EE58" i="1"/>
  <c r="HQ14" i="1"/>
  <c r="ED60" i="1"/>
  <c r="EI60" i="1" s="1"/>
  <c r="EC60" i="1"/>
  <c r="EF60" i="1" s="1"/>
  <c r="EB60" i="1"/>
  <c r="CT62" i="1"/>
  <c r="CV62" i="1" s="1"/>
  <c r="FT51" i="1"/>
  <c r="CA67" i="1"/>
  <c r="BU67" i="1"/>
  <c r="BX67" i="1"/>
  <c r="CM65" i="1"/>
  <c r="CR65" i="1"/>
  <c r="CK65" i="1"/>
  <c r="CF65" i="1"/>
  <c r="CL65" i="1" s="1"/>
  <c r="CH65" i="1"/>
  <c r="CB66" i="1"/>
  <c r="CC66" i="1"/>
  <c r="CK66" i="1" s="1"/>
  <c r="CR66" i="1" s="1"/>
  <c r="CE66" i="1"/>
  <c r="CY62" i="1"/>
  <c r="CZ62" i="1"/>
  <c r="DA62" i="1"/>
  <c r="CS63" i="1"/>
  <c r="CT63" i="1" s="1"/>
  <c r="CQ64" i="1"/>
  <c r="CP64" i="1"/>
  <c r="DV61" i="1"/>
  <c r="DR61" i="1"/>
  <c r="DW61" i="1"/>
  <c r="DX61" i="1" s="1"/>
  <c r="DY61" i="1"/>
  <c r="GD52" i="1"/>
  <c r="GA52" i="1"/>
  <c r="GP52" i="1"/>
  <c r="HR35" i="1" s="1"/>
  <c r="EC59" i="1"/>
  <c r="HH53" i="1"/>
  <c r="EB59" i="1"/>
  <c r="FR52" i="1"/>
  <c r="FQ52" i="1"/>
  <c r="FP52" i="1"/>
  <c r="FS50" i="1"/>
  <c r="GC51" i="1"/>
  <c r="GB51" i="1"/>
  <c r="GO51" i="1"/>
  <c r="HM24" i="1" s="1"/>
  <c r="FW54" i="1"/>
  <c r="FX54" i="1" s="1"/>
  <c r="FZ54" i="1" s="1"/>
  <c r="FM54" i="1"/>
  <c r="FN54" i="1" s="1"/>
  <c r="FJ54" i="1"/>
  <c r="GQ54" i="1" s="1"/>
  <c r="HQ47" i="1" s="1"/>
  <c r="FG53" i="1"/>
  <c r="FU53" i="1"/>
  <c r="FS51" i="1"/>
  <c r="FT50" i="1"/>
  <c r="FH53" i="1"/>
  <c r="GC50" i="1"/>
  <c r="GO50" i="1"/>
  <c r="HM19" i="1" s="1"/>
  <c r="GB50" i="1"/>
  <c r="HM9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12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IA55" i="1" l="1"/>
  <c r="IA56" i="1"/>
  <c r="HY55" i="1"/>
  <c r="HY56" i="1"/>
  <c r="EN58" i="1"/>
  <c r="EQ58" i="1" s="1"/>
  <c r="EZ58" i="1" s="1"/>
  <c r="FC58" i="1" s="1"/>
  <c r="EL60" i="1"/>
  <c r="EE60" i="1"/>
  <c r="EG60" i="1"/>
  <c r="EK60" i="1"/>
  <c r="EJ60" i="1"/>
  <c r="EH60" i="1"/>
  <c r="EP58" i="1"/>
  <c r="FB58" i="1" s="1"/>
  <c r="CX62" i="1"/>
  <c r="DQ62" i="1" s="1"/>
  <c r="CW62" i="1"/>
  <c r="DM62" i="1" s="1"/>
  <c r="CU63" i="1"/>
  <c r="CY63" i="1" s="1"/>
  <c r="EJ59" i="1"/>
  <c r="EI59" i="1"/>
  <c r="DZ61" i="1"/>
  <c r="EL59" i="1"/>
  <c r="EA61" i="1"/>
  <c r="CN66" i="1"/>
  <c r="CN65" i="1"/>
  <c r="CP65" i="1" s="1"/>
  <c r="CA68" i="1"/>
  <c r="BU68" i="1"/>
  <c r="BX68" i="1"/>
  <c r="FS52" i="1"/>
  <c r="CC67" i="1"/>
  <c r="CK67" i="1" s="1"/>
  <c r="CR67" i="1" s="1"/>
  <c r="CE67" i="1"/>
  <c r="CB67" i="1"/>
  <c r="CV63" i="1"/>
  <c r="CW63" i="1"/>
  <c r="CX63" i="1"/>
  <c r="CS64" i="1"/>
  <c r="CU64" i="1" s="1"/>
  <c r="DL62" i="1"/>
  <c r="DO62" i="1"/>
  <c r="EK59" i="1"/>
  <c r="EF59" i="1"/>
  <c r="EE59" i="1"/>
  <c r="EG59" i="1"/>
  <c r="GB52" i="1"/>
  <c r="GC52" i="1"/>
  <c r="GO52" i="1"/>
  <c r="HM35" i="1" s="1"/>
  <c r="GH50" i="1"/>
  <c r="FT52" i="1"/>
  <c r="GH51" i="1"/>
  <c r="GG51" i="1"/>
  <c r="GE51" i="1"/>
  <c r="GF51" i="1" s="1"/>
  <c r="GI51" i="1"/>
  <c r="GE50" i="1"/>
  <c r="GF50" i="1" s="1"/>
  <c r="GG50" i="1"/>
  <c r="FW53" i="1"/>
  <c r="FX53" i="1" s="1"/>
  <c r="FZ53" i="1" s="1"/>
  <c r="FJ53" i="1"/>
  <c r="GQ53" i="1" s="1"/>
  <c r="HQ41" i="1" s="1"/>
  <c r="FM53" i="1"/>
  <c r="FN53" i="1" s="1"/>
  <c r="FQ54" i="1"/>
  <c r="FR54" i="1"/>
  <c r="FP54" i="1"/>
  <c r="FY58" i="1"/>
  <c r="HE58" i="1" s="1"/>
  <c r="FF58" i="1"/>
  <c r="FI58" i="1" s="1"/>
  <c r="GD54" i="1"/>
  <c r="GP54" i="1"/>
  <c r="HR47" i="1" s="1"/>
  <c r="GA54" i="1"/>
  <c r="GI50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14" i="1" s="1"/>
  <c r="GD49" i="1"/>
  <c r="ED57" i="1"/>
  <c r="EJ57" i="1" s="1"/>
  <c r="FT48" i="1"/>
  <c r="HA45" i="1"/>
  <c r="HD45" i="1" s="1"/>
  <c r="EO56" i="1"/>
  <c r="ER56" i="1" s="1"/>
  <c r="GR45" i="1"/>
  <c r="GS47" i="1"/>
  <c r="HY11" i="1" s="1"/>
  <c r="GY47" i="1"/>
  <c r="IA11" i="1" s="1"/>
  <c r="EM55" i="1"/>
  <c r="GB48" i="1"/>
  <c r="GC48" i="1"/>
  <c r="GO48" i="1"/>
  <c r="HM12" i="1" s="1"/>
  <c r="EN55" i="1"/>
  <c r="EO55" i="1"/>
  <c r="ER55" i="1" s="1"/>
  <c r="FS48" i="1"/>
  <c r="EM56" i="1"/>
  <c r="EN56" i="1"/>
  <c r="AS69" i="1"/>
  <c r="AT69" i="1" s="1"/>
  <c r="BB69" i="1" s="1"/>
  <c r="BE69" i="1" s="1"/>
  <c r="IE55" i="1" l="1"/>
  <c r="IE56" i="1"/>
  <c r="IB55" i="1"/>
  <c r="IB56" i="1"/>
  <c r="IC55" i="1"/>
  <c r="IC56" i="1"/>
  <c r="EN60" i="1"/>
  <c r="DP62" i="1"/>
  <c r="DS62" i="1" s="1"/>
  <c r="EO60" i="1"/>
  <c r="ER60" i="1" s="1"/>
  <c r="EM60" i="1"/>
  <c r="FA58" i="1"/>
  <c r="EV58" i="1"/>
  <c r="FE58" i="1" s="1"/>
  <c r="DN62" i="1"/>
  <c r="CZ63" i="1"/>
  <c r="DP63" i="1" s="1"/>
  <c r="DA63" i="1"/>
  <c r="DQ63" i="1" s="1"/>
  <c r="ED61" i="1"/>
  <c r="EJ61" i="1" s="1"/>
  <c r="EB61" i="1"/>
  <c r="EC61" i="1"/>
  <c r="EK61" i="1" s="1"/>
  <c r="DO63" i="1"/>
  <c r="HQ30" i="1"/>
  <c r="GY50" i="1"/>
  <c r="GS51" i="1"/>
  <c r="GS50" i="1"/>
  <c r="HY19" i="1" s="1"/>
  <c r="GY51" i="1"/>
  <c r="CQ66" i="1"/>
  <c r="CP66" i="1"/>
  <c r="CN67" i="1"/>
  <c r="CA69" i="1"/>
  <c r="BU69" i="1"/>
  <c r="BX69" i="1"/>
  <c r="CQ65" i="1"/>
  <c r="CC68" i="1"/>
  <c r="CK68" i="1" s="1"/>
  <c r="CR68" i="1" s="1"/>
  <c r="CE68" i="1"/>
  <c r="CB68" i="1"/>
  <c r="CY64" i="1"/>
  <c r="CZ64" i="1"/>
  <c r="DA64" i="1"/>
  <c r="EQ60" i="1"/>
  <c r="EZ60" i="1" s="1"/>
  <c r="FC60" i="1" s="1"/>
  <c r="EP60" i="1"/>
  <c r="CT64" i="1"/>
  <c r="DN63" i="1"/>
  <c r="DR62" i="1"/>
  <c r="DW62" i="1"/>
  <c r="DX62" i="1" s="1"/>
  <c r="DM63" i="1"/>
  <c r="DL63" i="1"/>
  <c r="GE52" i="1"/>
  <c r="GF52" i="1" s="1"/>
  <c r="GG52" i="1"/>
  <c r="GI52" i="1"/>
  <c r="EO59" i="1"/>
  <c r="ER59" i="1" s="1"/>
  <c r="EN59" i="1"/>
  <c r="EM59" i="1"/>
  <c r="GH52" i="1"/>
  <c r="FS54" i="1"/>
  <c r="GA53" i="1"/>
  <c r="GD53" i="1"/>
  <c r="GP53" i="1"/>
  <c r="HR41" i="1" s="1"/>
  <c r="FL58" i="1"/>
  <c r="FO58" i="1"/>
  <c r="HB58" i="1"/>
  <c r="HF58" i="1" s="1"/>
  <c r="HG58" i="1" s="1"/>
  <c r="EX58" i="1"/>
  <c r="GB54" i="1"/>
  <c r="GO54" i="1"/>
  <c r="HM47" i="1" s="1"/>
  <c r="GC54" i="1"/>
  <c r="FQ53" i="1"/>
  <c r="FR53" i="1"/>
  <c r="FP53" i="1"/>
  <c r="FT54" i="1"/>
  <c r="HY9" i="1"/>
  <c r="IA9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14" i="1" s="1"/>
  <c r="GB49" i="1"/>
  <c r="GG49" i="1" s="1"/>
  <c r="EP55" i="1"/>
  <c r="EV55" i="1" s="1"/>
  <c r="EH57" i="1"/>
  <c r="GI48" i="1"/>
  <c r="HC45" i="1"/>
  <c r="GH48" i="1"/>
  <c r="GR47" i="1"/>
  <c r="IB11" i="1" s="1"/>
  <c r="GT47" i="1"/>
  <c r="IC11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11" i="1" s="1"/>
  <c r="AS70" i="1"/>
  <c r="AT70" i="1" s="1"/>
  <c r="BB70" i="1" s="1"/>
  <c r="BE70" i="1" s="1"/>
  <c r="DV62" i="1" l="1"/>
  <c r="DU62" i="1"/>
  <c r="EW58" i="1"/>
  <c r="FD58" i="1"/>
  <c r="FV58" i="1" s="1"/>
  <c r="EG61" i="1"/>
  <c r="EE61" i="1"/>
  <c r="EL61" i="1"/>
  <c r="EF61" i="1"/>
  <c r="GZ51" i="1"/>
  <c r="IE24" i="1" s="1"/>
  <c r="IA24" i="1"/>
  <c r="GT51" i="1"/>
  <c r="IC24" i="1" s="1"/>
  <c r="HY24" i="1"/>
  <c r="GZ50" i="1"/>
  <c r="IE19" i="1" s="1"/>
  <c r="IA19" i="1"/>
  <c r="EH61" i="1"/>
  <c r="EI61" i="1"/>
  <c r="EN61" i="1" s="1"/>
  <c r="HA51" i="1"/>
  <c r="HC51" i="1" s="1"/>
  <c r="HH58" i="1"/>
  <c r="HA50" i="1"/>
  <c r="HC50" i="1" s="1"/>
  <c r="GT50" i="1"/>
  <c r="IC19" i="1" s="1"/>
  <c r="DY62" i="1"/>
  <c r="GR51" i="1"/>
  <c r="IB24" i="1" s="1"/>
  <c r="HR30" i="1"/>
  <c r="GR50" i="1"/>
  <c r="IB19" i="1" s="1"/>
  <c r="FT53" i="1"/>
  <c r="GH54" i="1"/>
  <c r="CP67" i="1"/>
  <c r="CQ67" i="1"/>
  <c r="CS66" i="1"/>
  <c r="CT66" i="1" s="1"/>
  <c r="CN68" i="1"/>
  <c r="CE69" i="1"/>
  <c r="CB69" i="1"/>
  <c r="CC69" i="1"/>
  <c r="CK69" i="1" s="1"/>
  <c r="CR69" i="1" s="1"/>
  <c r="CT65" i="1"/>
  <c r="CS65" i="1"/>
  <c r="CU65" i="1"/>
  <c r="BX70" i="1"/>
  <c r="CA70" i="1"/>
  <c r="BU70" i="1"/>
  <c r="EA62" i="1"/>
  <c r="CV64" i="1"/>
  <c r="CW64" i="1"/>
  <c r="CX64" i="1"/>
  <c r="DZ62" i="1"/>
  <c r="DU63" i="1"/>
  <c r="EM61" i="1"/>
  <c r="EO61" i="1"/>
  <c r="ER61" i="1" s="1"/>
  <c r="DW63" i="1"/>
  <c r="DX63" i="1" s="1"/>
  <c r="DV63" i="1"/>
  <c r="DR63" i="1"/>
  <c r="DS63" i="1"/>
  <c r="FB60" i="1"/>
  <c r="FA60" i="1"/>
  <c r="EV60" i="1"/>
  <c r="FF60" i="1"/>
  <c r="FI60" i="1" s="1"/>
  <c r="FY60" i="1"/>
  <c r="HE60" i="1" s="1"/>
  <c r="DP64" i="1"/>
  <c r="DO64" i="1"/>
  <c r="GS52" i="1"/>
  <c r="HY35" i="1" s="1"/>
  <c r="GY52" i="1"/>
  <c r="IA35" i="1" s="1"/>
  <c r="EP59" i="1"/>
  <c r="EQ59" i="1"/>
  <c r="EZ59" i="1" s="1"/>
  <c r="FC59" i="1" s="1"/>
  <c r="GG54" i="1"/>
  <c r="GE54" i="1"/>
  <c r="GF54" i="1" s="1"/>
  <c r="GI54" i="1"/>
  <c r="FU58" i="1"/>
  <c r="FG58" i="1"/>
  <c r="GB53" i="1"/>
  <c r="GC53" i="1"/>
  <c r="GO53" i="1"/>
  <c r="HM41" i="1" s="1"/>
  <c r="FH58" i="1"/>
  <c r="FS53" i="1"/>
  <c r="IC9" i="1"/>
  <c r="IE9" i="1"/>
  <c r="IB9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12" i="1" s="1"/>
  <c r="GY48" i="1"/>
  <c r="IA12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HD51" i="1" l="1"/>
  <c r="HD50" i="1"/>
  <c r="DZ63" i="1"/>
  <c r="GY54" i="1"/>
  <c r="GS54" i="1"/>
  <c r="GH53" i="1"/>
  <c r="HM30" i="1"/>
  <c r="CV66" i="1"/>
  <c r="CW66" i="1"/>
  <c r="CX66" i="1"/>
  <c r="CP68" i="1"/>
  <c r="CQ68" i="1"/>
  <c r="CU66" i="1"/>
  <c r="CS67" i="1"/>
  <c r="CT67" i="1" s="1"/>
  <c r="CU67" i="1"/>
  <c r="CN69" i="1"/>
  <c r="CB70" i="1"/>
  <c r="CC70" i="1"/>
  <c r="CK70" i="1" s="1"/>
  <c r="CR70" i="1" s="1"/>
  <c r="CE70" i="1"/>
  <c r="CY65" i="1"/>
  <c r="CZ65" i="1"/>
  <c r="DA65" i="1"/>
  <c r="GZ52" i="1"/>
  <c r="IE35" i="1" s="1"/>
  <c r="BX71" i="1"/>
  <c r="CA71" i="1"/>
  <c r="BU71" i="1"/>
  <c r="CV65" i="1"/>
  <c r="CW65" i="1"/>
  <c r="CX65" i="1"/>
  <c r="DY63" i="1"/>
  <c r="EC62" i="1"/>
  <c r="EB62" i="1"/>
  <c r="ED62" i="1"/>
  <c r="DN64" i="1"/>
  <c r="DM64" i="1"/>
  <c r="EA63" i="1"/>
  <c r="DL64" i="1"/>
  <c r="EQ61" i="1"/>
  <c r="EZ61" i="1" s="1"/>
  <c r="FC61" i="1" s="1"/>
  <c r="EP61" i="1"/>
  <c r="DQ64" i="1"/>
  <c r="DU64" i="1" s="1"/>
  <c r="FL60" i="1"/>
  <c r="FO60" i="1"/>
  <c r="FE60" i="1"/>
  <c r="EW60" i="1"/>
  <c r="FD60" i="1"/>
  <c r="FV60" i="1" s="1"/>
  <c r="HB60" i="1"/>
  <c r="HF60" i="1" s="1"/>
  <c r="HG60" i="1" s="1"/>
  <c r="EX60" i="1"/>
  <c r="FF59" i="1"/>
  <c r="FI59" i="1" s="1"/>
  <c r="FY59" i="1"/>
  <c r="HE59" i="1" s="1"/>
  <c r="FA59" i="1"/>
  <c r="FB59" i="1"/>
  <c r="EV59" i="1"/>
  <c r="GR52" i="1"/>
  <c r="IB35" i="1" s="1"/>
  <c r="GT52" i="1"/>
  <c r="IC35" i="1" s="1"/>
  <c r="HA52" i="1"/>
  <c r="GE53" i="1"/>
  <c r="GF53" i="1" s="1"/>
  <c r="GG53" i="1"/>
  <c r="GI53" i="1"/>
  <c r="FM58" i="1"/>
  <c r="FN58" i="1" s="1"/>
  <c r="FJ58" i="1"/>
  <c r="GQ58" i="1" s="1"/>
  <c r="HQ22" i="1" s="1"/>
  <c r="FW58" i="1"/>
  <c r="FX58" i="1" s="1"/>
  <c r="FZ58" i="1" s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14" i="1" s="1"/>
  <c r="GS49" i="1"/>
  <c r="HY14" i="1" s="1"/>
  <c r="GZ48" i="1"/>
  <c r="IE12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12" i="1" s="1"/>
  <c r="GR48" i="1"/>
  <c r="IB12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GT54" i="1" l="1"/>
  <c r="IC47" i="1" s="1"/>
  <c r="HY47" i="1"/>
  <c r="GZ54" i="1"/>
  <c r="IE47" i="1" s="1"/>
  <c r="IA47" i="1"/>
  <c r="EB63" i="1"/>
  <c r="GY53" i="1"/>
  <c r="GZ53" i="1" s="1"/>
  <c r="GS53" i="1"/>
  <c r="HY41" i="1" s="1"/>
  <c r="HQ17" i="1"/>
  <c r="HQ18" i="1"/>
  <c r="HA54" i="1"/>
  <c r="GR54" i="1"/>
  <c r="IB47" i="1" s="1"/>
  <c r="EC63" i="1"/>
  <c r="EK63" i="1" s="1"/>
  <c r="ED63" i="1"/>
  <c r="EH63" i="1" s="1"/>
  <c r="HY30" i="1"/>
  <c r="FH60" i="1"/>
  <c r="HH60" i="1"/>
  <c r="CV67" i="1"/>
  <c r="CW67" i="1"/>
  <c r="CX67" i="1"/>
  <c r="CY67" i="1"/>
  <c r="DO67" i="1" s="1"/>
  <c r="CZ67" i="1"/>
  <c r="DP67" i="1" s="1"/>
  <c r="DA67" i="1"/>
  <c r="DQ67" i="1" s="1"/>
  <c r="CY66" i="1"/>
  <c r="DO66" i="1" s="1"/>
  <c r="CZ66" i="1"/>
  <c r="DP66" i="1" s="1"/>
  <c r="DA66" i="1"/>
  <c r="DQ66" i="1" s="1"/>
  <c r="CS68" i="1"/>
  <c r="CT68" i="1" s="1"/>
  <c r="CU68" i="1"/>
  <c r="CQ69" i="1"/>
  <c r="CP69" i="1"/>
  <c r="DN66" i="1"/>
  <c r="DM66" i="1"/>
  <c r="DL66" i="1"/>
  <c r="CB71" i="1"/>
  <c r="CE71" i="1"/>
  <c r="CC71" i="1"/>
  <c r="CK71" i="1" s="1"/>
  <c r="CR71" i="1" s="1"/>
  <c r="CN70" i="1"/>
  <c r="DN65" i="1"/>
  <c r="DQ65" i="1"/>
  <c r="BU72" i="1"/>
  <c r="CA72" i="1"/>
  <c r="BX72" i="1"/>
  <c r="DM65" i="1"/>
  <c r="DP65" i="1"/>
  <c r="DS64" i="1"/>
  <c r="DY64" i="1" s="1"/>
  <c r="DL65" i="1"/>
  <c r="DO65" i="1"/>
  <c r="FF61" i="1"/>
  <c r="FI61" i="1" s="1"/>
  <c r="FY61" i="1"/>
  <c r="HE61" i="1" s="1"/>
  <c r="FB61" i="1"/>
  <c r="FA61" i="1"/>
  <c r="EV61" i="1"/>
  <c r="FU60" i="1"/>
  <c r="FG60" i="1"/>
  <c r="EL62" i="1"/>
  <c r="EI62" i="1"/>
  <c r="EH62" i="1"/>
  <c r="EJ62" i="1"/>
  <c r="DR64" i="1"/>
  <c r="DW64" i="1"/>
  <c r="DX64" i="1" s="1"/>
  <c r="DV64" i="1"/>
  <c r="EK62" i="1"/>
  <c r="EF62" i="1"/>
  <c r="EG62" i="1"/>
  <c r="EE62" i="1"/>
  <c r="HC52" i="1"/>
  <c r="HD52" i="1"/>
  <c r="FE59" i="1"/>
  <c r="HB59" i="1"/>
  <c r="HF59" i="1" s="1"/>
  <c r="HG59" i="1" s="1"/>
  <c r="EX59" i="1"/>
  <c r="FD59" i="1"/>
  <c r="FV59" i="1" s="1"/>
  <c r="EW59" i="1"/>
  <c r="FL59" i="1"/>
  <c r="FO59" i="1"/>
  <c r="GT53" i="1"/>
  <c r="IC41" i="1" s="1"/>
  <c r="HA53" i="1"/>
  <c r="GD58" i="1"/>
  <c r="GA58" i="1"/>
  <c r="GP58" i="1"/>
  <c r="HR22" i="1" s="1"/>
  <c r="HD54" i="1"/>
  <c r="HC54" i="1"/>
  <c r="FQ58" i="1"/>
  <c r="FP58" i="1"/>
  <c r="FR58" i="1"/>
  <c r="HA49" i="1"/>
  <c r="HC49" i="1" s="1"/>
  <c r="GT49" i="1"/>
  <c r="IC14" i="1" s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14" i="1" s="1"/>
  <c r="GR49" i="1"/>
  <c r="IB14" i="1" s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R53" i="1" l="1"/>
  <c r="IB30" i="1"/>
  <c r="IB41" i="1"/>
  <c r="IE30" i="1"/>
  <c r="IE41" i="1"/>
  <c r="IA30" i="1"/>
  <c r="IA41" i="1"/>
  <c r="EF63" i="1"/>
  <c r="EI63" i="1"/>
  <c r="EL63" i="1"/>
  <c r="HR17" i="1"/>
  <c r="HR18" i="1"/>
  <c r="EJ63" i="1"/>
  <c r="EG63" i="1"/>
  <c r="EE63" i="1"/>
  <c r="IC30" i="1"/>
  <c r="FH59" i="1"/>
  <c r="CV68" i="1"/>
  <c r="CW68" i="1"/>
  <c r="CX68" i="1"/>
  <c r="DW66" i="1"/>
  <c r="DX66" i="1" s="1"/>
  <c r="DV66" i="1"/>
  <c r="DR66" i="1"/>
  <c r="DS66" i="1"/>
  <c r="DU66" i="1"/>
  <c r="CP70" i="1"/>
  <c r="CQ70" i="1"/>
  <c r="CS69" i="1"/>
  <c r="CT69" i="1" s="1"/>
  <c r="DU67" i="1"/>
  <c r="DS67" i="1"/>
  <c r="DN67" i="1"/>
  <c r="DM67" i="1"/>
  <c r="CY68" i="1"/>
  <c r="DO68" i="1" s="1"/>
  <c r="CZ68" i="1"/>
  <c r="DP68" i="1" s="1"/>
  <c r="DA68" i="1"/>
  <c r="DQ68" i="1" s="1"/>
  <c r="DL67" i="1"/>
  <c r="CC72" i="1"/>
  <c r="CK72" i="1" s="1"/>
  <c r="CR72" i="1" s="1"/>
  <c r="CE72" i="1"/>
  <c r="CB72" i="1"/>
  <c r="CN71" i="1"/>
  <c r="DU65" i="1"/>
  <c r="DS65" i="1"/>
  <c r="DW65" i="1"/>
  <c r="DX65" i="1" s="1"/>
  <c r="DV65" i="1"/>
  <c r="DR65" i="1"/>
  <c r="EO62" i="1"/>
  <c r="ER62" i="1" s="1"/>
  <c r="EN62" i="1"/>
  <c r="EM62" i="1"/>
  <c r="FM60" i="1"/>
  <c r="FN60" i="1" s="1"/>
  <c r="FJ60" i="1"/>
  <c r="GQ60" i="1" s="1"/>
  <c r="HQ34" i="1" s="1"/>
  <c r="FW60" i="1"/>
  <c r="FX60" i="1" s="1"/>
  <c r="FZ60" i="1" s="1"/>
  <c r="EO63" i="1"/>
  <c r="ER63" i="1" s="1"/>
  <c r="EM63" i="1"/>
  <c r="EW61" i="1"/>
  <c r="FD61" i="1"/>
  <c r="FV61" i="1" s="1"/>
  <c r="HB61" i="1"/>
  <c r="HF61" i="1" s="1"/>
  <c r="HG61" i="1" s="1"/>
  <c r="EX61" i="1"/>
  <c r="FE61" i="1"/>
  <c r="DZ64" i="1"/>
  <c r="FL61" i="1"/>
  <c r="FO61" i="1"/>
  <c r="EA64" i="1"/>
  <c r="FU59" i="1"/>
  <c r="FG59" i="1"/>
  <c r="HH59" i="1"/>
  <c r="FS58" i="1"/>
  <c r="FT58" i="1"/>
  <c r="GB58" i="1"/>
  <c r="GC58" i="1"/>
  <c r="GO58" i="1"/>
  <c r="HM22" i="1" s="1"/>
  <c r="HD53" i="1"/>
  <c r="HC53" i="1"/>
  <c r="HD4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53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EN63" i="1" l="1"/>
  <c r="EQ63" i="1" s="1"/>
  <c r="EZ63" i="1" s="1"/>
  <c r="FC63" i="1" s="1"/>
  <c r="HQ25" i="1"/>
  <c r="HM17" i="1"/>
  <c r="HM18" i="1"/>
  <c r="FH61" i="1"/>
  <c r="GI58" i="1"/>
  <c r="GH58" i="1"/>
  <c r="CV69" i="1"/>
  <c r="CW69" i="1"/>
  <c r="CX69" i="1"/>
  <c r="DY67" i="1"/>
  <c r="DZ66" i="1"/>
  <c r="CU69" i="1"/>
  <c r="EA66" i="1"/>
  <c r="DN68" i="1"/>
  <c r="DW67" i="1"/>
  <c r="DX67" i="1" s="1"/>
  <c r="EA67" i="1" s="1"/>
  <c r="DV67" i="1"/>
  <c r="DR67" i="1"/>
  <c r="CS70" i="1"/>
  <c r="CU70" i="1" s="1"/>
  <c r="CT70" i="1"/>
  <c r="DM68" i="1"/>
  <c r="CP71" i="1"/>
  <c r="CQ71" i="1"/>
  <c r="DL68" i="1"/>
  <c r="DS68" i="1"/>
  <c r="DU68" i="1"/>
  <c r="DY68" i="1" s="1"/>
  <c r="DY66" i="1"/>
  <c r="DY65" i="1"/>
  <c r="CN72" i="1"/>
  <c r="DZ65" i="1"/>
  <c r="EA65" i="1"/>
  <c r="GA60" i="1"/>
  <c r="GP60" i="1"/>
  <c r="HR34" i="1" s="1"/>
  <c r="GD60" i="1"/>
  <c r="HH61" i="1"/>
  <c r="FR60" i="1"/>
  <c r="FQ60" i="1"/>
  <c r="FP60" i="1"/>
  <c r="EP62" i="1"/>
  <c r="EQ62" i="1"/>
  <c r="EZ62" i="1" s="1"/>
  <c r="FC62" i="1" s="1"/>
  <c r="EC64" i="1"/>
  <c r="EB64" i="1"/>
  <c r="ED64" i="1"/>
  <c r="FG61" i="1"/>
  <c r="FU61" i="1"/>
  <c r="FJ59" i="1"/>
  <c r="GQ59" i="1" s="1"/>
  <c r="HQ23" i="1" s="1"/>
  <c r="FM59" i="1"/>
  <c r="FN59" i="1" s="1"/>
  <c r="FW59" i="1"/>
  <c r="FX59" i="1" s="1"/>
  <c r="FZ59" i="1" s="1"/>
  <c r="GE58" i="1"/>
  <c r="GF58" i="1" s="1"/>
  <c r="GG58" i="1"/>
  <c r="HQ3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HR53" i="1" s="1"/>
  <c r="FR56" i="1"/>
  <c r="FQ56" i="1"/>
  <c r="FP56" i="1"/>
  <c r="FP55" i="1"/>
  <c r="FR55" i="1"/>
  <c r="FQ55" i="1"/>
  <c r="AS75" i="1"/>
  <c r="AT75" i="1" s="1"/>
  <c r="HQ28" i="1" l="1"/>
  <c r="EP63" i="1"/>
  <c r="FB63" i="1" s="1"/>
  <c r="HR25" i="1"/>
  <c r="GY58" i="1"/>
  <c r="IA22" i="1" s="1"/>
  <c r="GS58" i="1"/>
  <c r="HY22" i="1" s="1"/>
  <c r="FT60" i="1"/>
  <c r="CY70" i="1"/>
  <c r="CZ70" i="1"/>
  <c r="DA70" i="1"/>
  <c r="DQ70" i="1" s="1"/>
  <c r="CP72" i="1"/>
  <c r="CQ72" i="1"/>
  <c r="CV70" i="1"/>
  <c r="CW70" i="1"/>
  <c r="CX70" i="1"/>
  <c r="CS71" i="1"/>
  <c r="CT71" i="1" s="1"/>
  <c r="CY69" i="1"/>
  <c r="DO69" i="1" s="1"/>
  <c r="CZ69" i="1"/>
  <c r="DP69" i="1" s="1"/>
  <c r="DA69" i="1"/>
  <c r="DQ69" i="1" s="1"/>
  <c r="DZ67" i="1"/>
  <c r="ED66" i="1"/>
  <c r="EB66" i="1"/>
  <c r="EC66" i="1"/>
  <c r="DN69" i="1"/>
  <c r="DM69" i="1"/>
  <c r="DR68" i="1"/>
  <c r="DV68" i="1"/>
  <c r="DZ68" i="1" s="1"/>
  <c r="DW68" i="1"/>
  <c r="DX68" i="1" s="1"/>
  <c r="EA68" i="1" s="1"/>
  <c r="DL69" i="1"/>
  <c r="ED65" i="1"/>
  <c r="EB65" i="1"/>
  <c r="EC65" i="1"/>
  <c r="EV62" i="1"/>
  <c r="FA62" i="1"/>
  <c r="FB62" i="1"/>
  <c r="FJ61" i="1"/>
  <c r="GQ61" i="1" s="1"/>
  <c r="FW61" i="1"/>
  <c r="FX61" i="1" s="1"/>
  <c r="FZ61" i="1" s="1"/>
  <c r="FM61" i="1"/>
  <c r="FN61" i="1" s="1"/>
  <c r="GB60" i="1"/>
  <c r="GC60" i="1"/>
  <c r="GO60" i="1"/>
  <c r="HM34" i="1" s="1"/>
  <c r="EL64" i="1"/>
  <c r="EI64" i="1"/>
  <c r="EH64" i="1"/>
  <c r="EJ64" i="1"/>
  <c r="FS60" i="1"/>
  <c r="EK64" i="1"/>
  <c r="EF64" i="1"/>
  <c r="EG64" i="1"/>
  <c r="EE64" i="1"/>
  <c r="FY63" i="1"/>
  <c r="HE63" i="1" s="1"/>
  <c r="FF63" i="1"/>
  <c r="FI63" i="1" s="1"/>
  <c r="FF62" i="1"/>
  <c r="FI62" i="1" s="1"/>
  <c r="FY62" i="1"/>
  <c r="HE62" i="1" s="1"/>
  <c r="GP59" i="1"/>
  <c r="HR23" i="1" s="1"/>
  <c r="GA59" i="1"/>
  <c r="GD59" i="1"/>
  <c r="FP59" i="1"/>
  <c r="FR59" i="1"/>
  <c r="FQ59" i="1"/>
  <c r="GZ58" i="1"/>
  <c r="IE22" i="1" s="1"/>
  <c r="HR3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HM53" i="1" s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Q29" i="1" l="1"/>
  <c r="HQ40" i="1"/>
  <c r="HR28" i="1"/>
  <c r="FA63" i="1"/>
  <c r="EV63" i="1"/>
  <c r="HB63" i="1" s="1"/>
  <c r="HF63" i="1" s="1"/>
  <c r="HG63" i="1" s="1"/>
  <c r="HM25" i="1"/>
  <c r="IE17" i="1"/>
  <c r="IE18" i="1"/>
  <c r="HY17" i="1"/>
  <c r="HY18" i="1"/>
  <c r="IA17" i="1"/>
  <c r="IA18" i="1"/>
  <c r="HA58" i="1"/>
  <c r="HC58" i="1" s="1"/>
  <c r="GR58" i="1"/>
  <c r="IB22" i="1" s="1"/>
  <c r="GT58" i="1"/>
  <c r="IC22" i="1" s="1"/>
  <c r="GH60" i="1"/>
  <c r="FS59" i="1"/>
  <c r="CV71" i="1"/>
  <c r="CW71" i="1"/>
  <c r="CX71" i="1"/>
  <c r="DM70" i="1"/>
  <c r="DL70" i="1"/>
  <c r="DV69" i="1"/>
  <c r="DW69" i="1"/>
  <c r="DX69" i="1" s="1"/>
  <c r="EA69" i="1" s="1"/>
  <c r="DR69" i="1"/>
  <c r="CS72" i="1"/>
  <c r="CU72" i="1" s="1"/>
  <c r="CT72" i="1"/>
  <c r="DU69" i="1"/>
  <c r="DS69" i="1"/>
  <c r="EC68" i="1"/>
  <c r="EB68" i="1"/>
  <c r="ED68" i="1"/>
  <c r="EK66" i="1"/>
  <c r="EG66" i="1"/>
  <c r="EE66" i="1"/>
  <c r="EF66" i="1"/>
  <c r="CU71" i="1"/>
  <c r="DP70" i="1"/>
  <c r="EC67" i="1"/>
  <c r="ED67" i="1"/>
  <c r="EB67" i="1"/>
  <c r="EL66" i="1"/>
  <c r="EH66" i="1"/>
  <c r="EJ66" i="1"/>
  <c r="EI66" i="1"/>
  <c r="DN70" i="1"/>
  <c r="DO70" i="1"/>
  <c r="EK65" i="1"/>
  <c r="EG65" i="1"/>
  <c r="EE65" i="1"/>
  <c r="EF65" i="1"/>
  <c r="EL65" i="1"/>
  <c r="EH65" i="1"/>
  <c r="EI65" i="1"/>
  <c r="EJ65" i="1"/>
  <c r="GG60" i="1"/>
  <c r="GE60" i="1"/>
  <c r="GF60" i="1" s="1"/>
  <c r="EO64" i="1"/>
  <c r="ER64" i="1" s="1"/>
  <c r="EM64" i="1"/>
  <c r="EN64" i="1"/>
  <c r="FL63" i="1"/>
  <c r="FO63" i="1"/>
  <c r="FP61" i="1"/>
  <c r="FR61" i="1"/>
  <c r="FQ61" i="1"/>
  <c r="FE63" i="1"/>
  <c r="EX63" i="1"/>
  <c r="GI60" i="1"/>
  <c r="GA61" i="1"/>
  <c r="GP61" i="1"/>
  <c r="GD61" i="1"/>
  <c r="FL62" i="1"/>
  <c r="FO62" i="1"/>
  <c r="HB62" i="1"/>
  <c r="HF62" i="1" s="1"/>
  <c r="HH62" i="1" s="1"/>
  <c r="EW62" i="1"/>
  <c r="FD62" i="1"/>
  <c r="FV62" i="1" s="1"/>
  <c r="EX62" i="1"/>
  <c r="FE62" i="1"/>
  <c r="FT59" i="1"/>
  <c r="GO59" i="1"/>
  <c r="HM23" i="1" s="1"/>
  <c r="GB59" i="1"/>
  <c r="GC59" i="1"/>
  <c r="HD58" i="1"/>
  <c r="HM3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FD63" i="1" l="1"/>
  <c r="FV63" i="1" s="1"/>
  <c r="EW63" i="1"/>
  <c r="GY60" i="1"/>
  <c r="IA34" i="1" s="1"/>
  <c r="HR29" i="1"/>
  <c r="HR40" i="1"/>
  <c r="HM28" i="1"/>
  <c r="IA25" i="1"/>
  <c r="IB17" i="1"/>
  <c r="IB18" i="1"/>
  <c r="IC17" i="1"/>
  <c r="IC18" i="1"/>
  <c r="GS60" i="1"/>
  <c r="HY34" i="1" s="1"/>
  <c r="HH63" i="1"/>
  <c r="GH59" i="1"/>
  <c r="FT61" i="1"/>
  <c r="CY72" i="1"/>
  <c r="CZ72" i="1"/>
  <c r="DA72" i="1"/>
  <c r="EK67" i="1"/>
  <c r="EE67" i="1"/>
  <c r="EG67" i="1"/>
  <c r="EF67" i="1"/>
  <c r="EN66" i="1"/>
  <c r="EM66" i="1"/>
  <c r="EO66" i="1"/>
  <c r="ER66" i="1" s="1"/>
  <c r="CV72" i="1"/>
  <c r="CW72" i="1"/>
  <c r="CX72" i="1"/>
  <c r="EL68" i="1"/>
  <c r="EI68" i="1"/>
  <c r="EJ68" i="1"/>
  <c r="EH68" i="1"/>
  <c r="EK68" i="1"/>
  <c r="EF68" i="1"/>
  <c r="EG68" i="1"/>
  <c r="EE68" i="1"/>
  <c r="DN71" i="1"/>
  <c r="CY71" i="1"/>
  <c r="DO71" i="1" s="1"/>
  <c r="CZ71" i="1"/>
  <c r="DP71" i="1" s="1"/>
  <c r="DA71" i="1"/>
  <c r="DQ71" i="1" s="1"/>
  <c r="DZ69" i="1"/>
  <c r="DM71" i="1"/>
  <c r="DU70" i="1"/>
  <c r="DS70" i="1"/>
  <c r="DY69" i="1"/>
  <c r="DL71" i="1"/>
  <c r="DW70" i="1"/>
  <c r="DX70" i="1" s="1"/>
  <c r="EA70" i="1" s="1"/>
  <c r="DR70" i="1"/>
  <c r="DV70" i="1"/>
  <c r="DZ70" i="1" s="1"/>
  <c r="EL67" i="1"/>
  <c r="EH67" i="1"/>
  <c r="EJ67" i="1"/>
  <c r="EI67" i="1"/>
  <c r="EM65" i="1"/>
  <c r="EN65" i="1"/>
  <c r="EO65" i="1"/>
  <c r="ER65" i="1" s="1"/>
  <c r="GZ60" i="1"/>
  <c r="IE34" i="1" s="1"/>
  <c r="FG63" i="1"/>
  <c r="FU63" i="1"/>
  <c r="HG62" i="1"/>
  <c r="FS61" i="1"/>
  <c r="EP64" i="1"/>
  <c r="EQ64" i="1"/>
  <c r="EZ64" i="1" s="1"/>
  <c r="FC64" i="1" s="1"/>
  <c r="HA60" i="1"/>
  <c r="FH62" i="1"/>
  <c r="FH63" i="1"/>
  <c r="GO61" i="1"/>
  <c r="GB61" i="1"/>
  <c r="GC61" i="1"/>
  <c r="FU62" i="1"/>
  <c r="FG62" i="1"/>
  <c r="GI59" i="1"/>
  <c r="GE59" i="1"/>
  <c r="GF59" i="1" s="1"/>
  <c r="GG59" i="1"/>
  <c r="GS59" i="1" s="1"/>
  <c r="HY23" i="1" s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53" i="1" s="1"/>
  <c r="GY55" i="1"/>
  <c r="IA53" i="1" s="1"/>
  <c r="GE57" i="1"/>
  <c r="GF57" i="1" s="1"/>
  <c r="GG57" i="1"/>
  <c r="GH57" i="1"/>
  <c r="GI57" i="1"/>
  <c r="AS78" i="1"/>
  <c r="AT78" i="1" s="1"/>
  <c r="GR60" i="1" l="1"/>
  <c r="IB34" i="1" s="1"/>
  <c r="GT60" i="1"/>
  <c r="IC34" i="1" s="1"/>
  <c r="HM29" i="1"/>
  <c r="HM40" i="1"/>
  <c r="HY25" i="1"/>
  <c r="HY28" i="1"/>
  <c r="IB25" i="1"/>
  <c r="IE25" i="1"/>
  <c r="IC25" i="1"/>
  <c r="GY59" i="1"/>
  <c r="GR59" i="1" s="1"/>
  <c r="IB23" i="1" s="1"/>
  <c r="GH61" i="1"/>
  <c r="DR71" i="1"/>
  <c r="DV71" i="1"/>
  <c r="DW71" i="1"/>
  <c r="DX71" i="1" s="1"/>
  <c r="EA71" i="1" s="1"/>
  <c r="EB69" i="1"/>
  <c r="ED69" i="1"/>
  <c r="EC69" i="1"/>
  <c r="DN72" i="1"/>
  <c r="DM72" i="1"/>
  <c r="EN67" i="1"/>
  <c r="EO67" i="1"/>
  <c r="ER67" i="1" s="1"/>
  <c r="EM67" i="1"/>
  <c r="EO68" i="1"/>
  <c r="ER68" i="1" s="1"/>
  <c r="EN68" i="1"/>
  <c r="EM68" i="1"/>
  <c r="DL72" i="1"/>
  <c r="DQ72" i="1"/>
  <c r="DY70" i="1"/>
  <c r="EC70" i="1" s="1"/>
  <c r="DU71" i="1"/>
  <c r="DS71" i="1"/>
  <c r="DP72" i="1"/>
  <c r="EQ66" i="1"/>
  <c r="EZ66" i="1" s="1"/>
  <c r="FC66" i="1" s="1"/>
  <c r="EP66" i="1"/>
  <c r="DO72" i="1"/>
  <c r="EP65" i="1"/>
  <c r="EQ65" i="1"/>
  <c r="EZ65" i="1" s="1"/>
  <c r="FC65" i="1" s="1"/>
  <c r="FA64" i="1"/>
  <c r="FB64" i="1"/>
  <c r="EV64" i="1"/>
  <c r="HD60" i="1"/>
  <c r="HC60" i="1"/>
  <c r="FJ62" i="1"/>
  <c r="GQ62" i="1" s="1"/>
  <c r="HQ46" i="1" s="1"/>
  <c r="FW62" i="1"/>
  <c r="FX62" i="1" s="1"/>
  <c r="FZ62" i="1" s="1"/>
  <c r="FM62" i="1"/>
  <c r="FN62" i="1" s="1"/>
  <c r="GI61" i="1"/>
  <c r="GY61" i="1" s="1"/>
  <c r="IA40" i="1" s="1"/>
  <c r="GG61" i="1"/>
  <c r="GE61" i="1"/>
  <c r="GF61" i="1" s="1"/>
  <c r="FW63" i="1"/>
  <c r="FX63" i="1" s="1"/>
  <c r="FZ63" i="1" s="1"/>
  <c r="FJ63" i="1"/>
  <c r="GQ63" i="1" s="1"/>
  <c r="HQ52" i="1" s="1"/>
  <c r="FM63" i="1"/>
  <c r="FN63" i="1" s="1"/>
  <c r="FF64" i="1"/>
  <c r="FI64" i="1" s="1"/>
  <c r="FY64" i="1"/>
  <c r="HE64" i="1" s="1"/>
  <c r="GT59" i="1"/>
  <c r="IC23" i="1" s="1"/>
  <c r="HA59" i="1"/>
  <c r="IA31" i="1"/>
  <c r="HY3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IE53" i="1" s="1"/>
  <c r="GT55" i="1"/>
  <c r="IC53" i="1" s="1"/>
  <c r="GR55" i="1"/>
  <c r="IB53" i="1" s="1"/>
  <c r="HA55" i="1"/>
  <c r="GS57" i="1"/>
  <c r="GY57" i="1"/>
  <c r="AS79" i="1"/>
  <c r="AT79" i="1" s="1"/>
  <c r="GZ59" i="1" l="1"/>
  <c r="IE23" i="1" s="1"/>
  <c r="IC28" i="1"/>
  <c r="IE28" i="1"/>
  <c r="IB28" i="1"/>
  <c r="IA23" i="1"/>
  <c r="IA28" i="1"/>
  <c r="HQ37" i="1"/>
  <c r="HQ43" i="1"/>
  <c r="GS61" i="1"/>
  <c r="GZ61" i="1"/>
  <c r="IE29" i="1" s="1"/>
  <c r="IA29" i="1"/>
  <c r="EK70" i="1"/>
  <c r="EG70" i="1"/>
  <c r="EF70" i="1"/>
  <c r="EE70" i="1"/>
  <c r="EQ68" i="1"/>
  <c r="EZ68" i="1" s="1"/>
  <c r="FC68" i="1" s="1"/>
  <c r="EP68" i="1"/>
  <c r="DY71" i="1"/>
  <c r="DS72" i="1"/>
  <c r="DU72" i="1"/>
  <c r="FB66" i="1"/>
  <c r="FA66" i="1"/>
  <c r="EV66" i="1"/>
  <c r="EB70" i="1"/>
  <c r="ED70" i="1"/>
  <c r="DZ71" i="1"/>
  <c r="FF66" i="1"/>
  <c r="FI66" i="1" s="1"/>
  <c r="FY66" i="1"/>
  <c r="HE66" i="1" s="1"/>
  <c r="EL69" i="1"/>
  <c r="EJ69" i="1"/>
  <c r="EH69" i="1"/>
  <c r="EI69" i="1"/>
  <c r="DW72" i="1"/>
  <c r="DX72" i="1" s="1"/>
  <c r="EA72" i="1" s="1"/>
  <c r="DV72" i="1"/>
  <c r="DZ72" i="1" s="1"/>
  <c r="DR72" i="1"/>
  <c r="EQ67" i="1"/>
  <c r="EZ67" i="1" s="1"/>
  <c r="FC67" i="1" s="1"/>
  <c r="EP67" i="1"/>
  <c r="EK69" i="1"/>
  <c r="EE69" i="1"/>
  <c r="EG69" i="1"/>
  <c r="EF69" i="1"/>
  <c r="IE40" i="1"/>
  <c r="FF65" i="1"/>
  <c r="FI65" i="1" s="1"/>
  <c r="FY65" i="1"/>
  <c r="HE65" i="1" s="1"/>
  <c r="FA65" i="1"/>
  <c r="EV65" i="1"/>
  <c r="FB65" i="1"/>
  <c r="GD63" i="1"/>
  <c r="GA63" i="1"/>
  <c r="GP63" i="1"/>
  <c r="HR52" i="1" s="1"/>
  <c r="GR61" i="1"/>
  <c r="IB29" i="1" s="1"/>
  <c r="GT61" i="1"/>
  <c r="IC29" i="1" s="1"/>
  <c r="HA61" i="1"/>
  <c r="GD62" i="1"/>
  <c r="GA62" i="1"/>
  <c r="GP62" i="1"/>
  <c r="HR46" i="1" s="1"/>
  <c r="HB64" i="1"/>
  <c r="HF64" i="1" s="1"/>
  <c r="HG64" i="1" s="1"/>
  <c r="EW64" i="1"/>
  <c r="EX64" i="1"/>
  <c r="FH64" i="1" s="1"/>
  <c r="FE64" i="1"/>
  <c r="FD64" i="1"/>
  <c r="FV64" i="1" s="1"/>
  <c r="FP63" i="1"/>
  <c r="FR63" i="1"/>
  <c r="FQ63" i="1"/>
  <c r="FQ62" i="1"/>
  <c r="FR62" i="1"/>
  <c r="FP62" i="1"/>
  <c r="FL64" i="1"/>
  <c r="FO64" i="1"/>
  <c r="HD59" i="1"/>
  <c r="HC59" i="1"/>
  <c r="IB31" i="1"/>
  <c r="IC31" i="1"/>
  <c r="IE3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BB80" i="1" s="1"/>
  <c r="BE80" i="1" s="1"/>
  <c r="HY29" i="1" l="1"/>
  <c r="HY40" i="1"/>
  <c r="IC40" i="1"/>
  <c r="IB40" i="1"/>
  <c r="HR37" i="1"/>
  <c r="HR43" i="1"/>
  <c r="FT63" i="1"/>
  <c r="FT62" i="1"/>
  <c r="EV68" i="1"/>
  <c r="FB68" i="1"/>
  <c r="FA68" i="1"/>
  <c r="EM69" i="1"/>
  <c r="EO69" i="1"/>
  <c r="ER69" i="1" s="1"/>
  <c r="EN69" i="1"/>
  <c r="FY68" i="1"/>
  <c r="HE68" i="1" s="1"/>
  <c r="FF68" i="1"/>
  <c r="FI68" i="1" s="1"/>
  <c r="DY72" i="1"/>
  <c r="ED72" i="1" s="1"/>
  <c r="FB67" i="1"/>
  <c r="FA67" i="1"/>
  <c r="EV67" i="1"/>
  <c r="EC71" i="1"/>
  <c r="EB71" i="1"/>
  <c r="ED71" i="1"/>
  <c r="FF67" i="1"/>
  <c r="FI67" i="1" s="1"/>
  <c r="FY67" i="1"/>
  <c r="HE67" i="1" s="1"/>
  <c r="EL70" i="1"/>
  <c r="EJ70" i="1"/>
  <c r="EI70" i="1"/>
  <c r="EH70" i="1"/>
  <c r="EM70" i="1" s="1"/>
  <c r="FL66" i="1"/>
  <c r="FO66" i="1"/>
  <c r="EN70" i="1"/>
  <c r="EO70" i="1"/>
  <c r="ER70" i="1" s="1"/>
  <c r="FD66" i="1"/>
  <c r="FV66" i="1" s="1"/>
  <c r="HB66" i="1"/>
  <c r="HF66" i="1" s="1"/>
  <c r="HG66" i="1" s="1"/>
  <c r="EX66" i="1"/>
  <c r="FH66" i="1" s="1"/>
  <c r="FE66" i="1"/>
  <c r="EW66" i="1"/>
  <c r="BX80" i="1"/>
  <c r="BU80" i="1"/>
  <c r="CA80" i="1"/>
  <c r="EX65" i="1"/>
  <c r="FH65" i="1" s="1"/>
  <c r="FE65" i="1"/>
  <c r="EW65" i="1"/>
  <c r="FD65" i="1"/>
  <c r="FV65" i="1" s="1"/>
  <c r="HB65" i="1"/>
  <c r="HF65" i="1" s="1"/>
  <c r="HG65" i="1" s="1"/>
  <c r="FL65" i="1"/>
  <c r="FO65" i="1"/>
  <c r="FS62" i="1"/>
  <c r="FU64" i="1"/>
  <c r="FG64" i="1"/>
  <c r="FS63" i="1"/>
  <c r="HD61" i="1"/>
  <c r="HC61" i="1"/>
  <c r="GB63" i="1"/>
  <c r="GO63" i="1"/>
  <c r="HM52" i="1" s="1"/>
  <c r="GC63" i="1"/>
  <c r="HH64" i="1"/>
  <c r="GB62" i="1"/>
  <c r="GC62" i="1"/>
  <c r="GO62" i="1"/>
  <c r="HM46" i="1" s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BB81" i="1" s="1"/>
  <c r="BE81" i="1" s="1"/>
  <c r="HM37" i="1" l="1"/>
  <c r="HM43" i="1"/>
  <c r="GH62" i="1"/>
  <c r="EP70" i="1"/>
  <c r="EQ70" i="1"/>
  <c r="EZ70" i="1" s="1"/>
  <c r="FC70" i="1" s="1"/>
  <c r="EL72" i="1"/>
  <c r="EI72" i="1"/>
  <c r="EJ72" i="1"/>
  <c r="EH72" i="1"/>
  <c r="HG67" i="1"/>
  <c r="FD68" i="1"/>
  <c r="FV68" i="1" s="1"/>
  <c r="EW68" i="1"/>
  <c r="HB68" i="1"/>
  <c r="HF68" i="1" s="1"/>
  <c r="HG68" i="1" s="1"/>
  <c r="EX68" i="1"/>
  <c r="FE68" i="1"/>
  <c r="HH66" i="1"/>
  <c r="FG66" i="1"/>
  <c r="FU66" i="1"/>
  <c r="EL71" i="1"/>
  <c r="EH71" i="1"/>
  <c r="EI71" i="1"/>
  <c r="EJ71" i="1"/>
  <c r="HH68" i="1"/>
  <c r="EK71" i="1"/>
  <c r="EG71" i="1"/>
  <c r="EF71" i="1"/>
  <c r="EE71" i="1"/>
  <c r="EW67" i="1"/>
  <c r="EX67" i="1"/>
  <c r="FH67" i="1" s="1"/>
  <c r="FD67" i="1"/>
  <c r="FV67" i="1" s="1"/>
  <c r="FE67" i="1"/>
  <c r="HB67" i="1"/>
  <c r="HF67" i="1" s="1"/>
  <c r="HH67" i="1" s="1"/>
  <c r="EQ69" i="1"/>
  <c r="EZ69" i="1" s="1"/>
  <c r="FC69" i="1" s="1"/>
  <c r="EP69" i="1"/>
  <c r="EB72" i="1"/>
  <c r="FL67" i="1"/>
  <c r="FO67" i="1"/>
  <c r="FL68" i="1"/>
  <c r="FO68" i="1"/>
  <c r="EC72" i="1"/>
  <c r="CA81" i="1"/>
  <c r="BX81" i="1"/>
  <c r="BU81" i="1"/>
  <c r="HH65" i="1"/>
  <c r="FG65" i="1"/>
  <c r="FU65" i="1"/>
  <c r="CE80" i="1"/>
  <c r="CB80" i="1"/>
  <c r="CC80" i="1"/>
  <c r="CK80" i="1" s="1"/>
  <c r="CR80" i="1" s="1"/>
  <c r="GG63" i="1"/>
  <c r="GE63" i="1"/>
  <c r="GF63" i="1" s="1"/>
  <c r="GE62" i="1"/>
  <c r="GF62" i="1" s="1"/>
  <c r="GG62" i="1"/>
  <c r="FJ64" i="1"/>
  <c r="GQ64" i="1" s="1"/>
  <c r="FM64" i="1"/>
  <c r="FN64" i="1" s="1"/>
  <c r="FW64" i="1"/>
  <c r="GI62" i="1"/>
  <c r="FX64" i="1"/>
  <c r="FZ64" i="1" s="1"/>
  <c r="GI63" i="1"/>
  <c r="GH63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BB82" i="1" s="1"/>
  <c r="BE82" i="1" s="1"/>
  <c r="GS62" i="1" l="1"/>
  <c r="HY46" i="1" s="1"/>
  <c r="GY62" i="1"/>
  <c r="IA46" i="1" s="1"/>
  <c r="FU67" i="1"/>
  <c r="FG67" i="1"/>
  <c r="FA69" i="1"/>
  <c r="EV69" i="1"/>
  <c r="FB69" i="1"/>
  <c r="EK72" i="1"/>
  <c r="EF72" i="1"/>
  <c r="EG72" i="1"/>
  <c r="EE72" i="1"/>
  <c r="FF69" i="1"/>
  <c r="FI69" i="1" s="1"/>
  <c r="FY69" i="1"/>
  <c r="HE69" i="1" s="1"/>
  <c r="FH68" i="1"/>
  <c r="EM71" i="1"/>
  <c r="EO71" i="1"/>
  <c r="ER71" i="1" s="1"/>
  <c r="EN71" i="1"/>
  <c r="FU68" i="1"/>
  <c r="FG68" i="1"/>
  <c r="FF70" i="1"/>
  <c r="FI70" i="1" s="1"/>
  <c r="FY70" i="1"/>
  <c r="HE70" i="1" s="1"/>
  <c r="FB70" i="1"/>
  <c r="FA70" i="1"/>
  <c r="EV70" i="1"/>
  <c r="FJ66" i="1"/>
  <c r="GQ66" i="1" s="1"/>
  <c r="HQ16" i="1" s="1"/>
  <c r="FM66" i="1"/>
  <c r="FN66" i="1" s="1"/>
  <c r="FW66" i="1"/>
  <c r="FX66" i="1" s="1"/>
  <c r="FZ66" i="1" s="1"/>
  <c r="FW65" i="1"/>
  <c r="FX65" i="1" s="1"/>
  <c r="FZ65" i="1" s="1"/>
  <c r="FM65" i="1"/>
  <c r="FN65" i="1" s="1"/>
  <c r="FJ65" i="1"/>
  <c r="GQ65" i="1" s="1"/>
  <c r="HQ13" i="1" s="1"/>
  <c r="BU82" i="1"/>
  <c r="CA82" i="1"/>
  <c r="BX82" i="1"/>
  <c r="CN80" i="1"/>
  <c r="CE81" i="1"/>
  <c r="CC81" i="1"/>
  <c r="CK81" i="1" s="1"/>
  <c r="CR81" i="1" s="1"/>
  <c r="CB81" i="1"/>
  <c r="GZ62" i="1"/>
  <c r="IE46" i="1" s="1"/>
  <c r="GT62" i="1"/>
  <c r="IC46" i="1" s="1"/>
  <c r="GR62" i="1"/>
  <c r="IB46" i="1" s="1"/>
  <c r="HA62" i="1"/>
  <c r="GS63" i="1"/>
  <c r="HY52" i="1" s="1"/>
  <c r="GY63" i="1"/>
  <c r="IA52" i="1" s="1"/>
  <c r="FR64" i="1"/>
  <c r="FT64" i="1" s="1"/>
  <c r="FQ64" i="1"/>
  <c r="FP64" i="1"/>
  <c r="GA64" i="1"/>
  <c r="GP64" i="1"/>
  <c r="GD64" i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HY37" i="1" l="1"/>
  <c r="HY43" i="1"/>
  <c r="IA37" i="1"/>
  <c r="IA43" i="1"/>
  <c r="GA66" i="1"/>
  <c r="GP66" i="1"/>
  <c r="HR16" i="1" s="1"/>
  <c r="GD66" i="1"/>
  <c r="CQ80" i="1"/>
  <c r="CP80" i="1"/>
  <c r="FR66" i="1"/>
  <c r="FT66" i="1" s="1"/>
  <c r="FP66" i="1"/>
  <c r="FQ66" i="1"/>
  <c r="EP71" i="1"/>
  <c r="EQ71" i="1"/>
  <c r="EZ71" i="1" s="1"/>
  <c r="FC71" i="1" s="1"/>
  <c r="EN72" i="1"/>
  <c r="EM72" i="1"/>
  <c r="EO72" i="1"/>
  <c r="ER72" i="1" s="1"/>
  <c r="EX69" i="1"/>
  <c r="FH69" i="1" s="1"/>
  <c r="FE69" i="1"/>
  <c r="FD69" i="1"/>
  <c r="FV69" i="1" s="1"/>
  <c r="EW69" i="1"/>
  <c r="HB69" i="1"/>
  <c r="HF69" i="1" s="1"/>
  <c r="HG69" i="1" s="1"/>
  <c r="FL69" i="1"/>
  <c r="FO69" i="1"/>
  <c r="EX70" i="1"/>
  <c r="FH70" i="1" s="1"/>
  <c r="FE70" i="1"/>
  <c r="EW70" i="1"/>
  <c r="HB70" i="1"/>
  <c r="HF70" i="1" s="1"/>
  <c r="HH70" i="1" s="1"/>
  <c r="FD70" i="1"/>
  <c r="FV70" i="1" s="1"/>
  <c r="FJ68" i="1"/>
  <c r="GQ68" i="1" s="1"/>
  <c r="HQ27" i="1" s="1"/>
  <c r="FW68" i="1"/>
  <c r="FM68" i="1"/>
  <c r="FN68" i="1" s="1"/>
  <c r="FJ67" i="1"/>
  <c r="GQ67" i="1" s="1"/>
  <c r="HQ21" i="1" s="1"/>
  <c r="FM67" i="1"/>
  <c r="FN67" i="1" s="1"/>
  <c r="FW67" i="1"/>
  <c r="FL70" i="1"/>
  <c r="FO70" i="1"/>
  <c r="FX68" i="1"/>
  <c r="FZ68" i="1" s="1"/>
  <c r="FX67" i="1"/>
  <c r="FZ67" i="1" s="1"/>
  <c r="GA65" i="1"/>
  <c r="GD65" i="1"/>
  <c r="GP65" i="1"/>
  <c r="HR13" i="1" s="1"/>
  <c r="CB82" i="1"/>
  <c r="CC82" i="1"/>
  <c r="CK82" i="1" s="1"/>
  <c r="CR82" i="1" s="1"/>
  <c r="CE82" i="1"/>
  <c r="BX83" i="1"/>
  <c r="CA83" i="1"/>
  <c r="BU83" i="1"/>
  <c r="CN81" i="1"/>
  <c r="FR65" i="1"/>
  <c r="FQ65" i="1"/>
  <c r="FS65" i="1" s="1"/>
  <c r="FP65" i="1"/>
  <c r="GC64" i="1"/>
  <c r="GO64" i="1"/>
  <c r="GB64" i="1"/>
  <c r="GZ63" i="1"/>
  <c r="IE52" i="1" s="1"/>
  <c r="GT63" i="1"/>
  <c r="IC52" i="1" s="1"/>
  <c r="GR63" i="1"/>
  <c r="IB52" i="1" s="1"/>
  <c r="HA63" i="1"/>
  <c r="GI64" i="1"/>
  <c r="HD62" i="1"/>
  <c r="HC62" i="1"/>
  <c r="FS64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IE37" i="1" l="1"/>
  <c r="IE43" i="1"/>
  <c r="IB37" i="1"/>
  <c r="IB43" i="1"/>
  <c r="IC37" i="1"/>
  <c r="IC43" i="1"/>
  <c r="FG70" i="1"/>
  <c r="FU70" i="1"/>
  <c r="FU69" i="1"/>
  <c r="FG69" i="1"/>
  <c r="GO66" i="1"/>
  <c r="HM16" i="1" s="1"/>
  <c r="GB66" i="1"/>
  <c r="GC66" i="1"/>
  <c r="GH66" i="1" s="1"/>
  <c r="FQ67" i="1"/>
  <c r="FS67" i="1" s="1"/>
  <c r="FP67" i="1"/>
  <c r="FR67" i="1"/>
  <c r="EP72" i="1"/>
  <c r="EQ72" i="1"/>
  <c r="EZ72" i="1" s="1"/>
  <c r="FC72" i="1" s="1"/>
  <c r="CS80" i="1"/>
  <c r="CU80" i="1"/>
  <c r="CT80" i="1"/>
  <c r="FP68" i="1"/>
  <c r="FR68" i="1"/>
  <c r="FQ68" i="1"/>
  <c r="FS68" i="1" s="1"/>
  <c r="FF71" i="1"/>
  <c r="FI71" i="1" s="1"/>
  <c r="FY71" i="1"/>
  <c r="HE71" i="1" s="1"/>
  <c r="CQ81" i="1"/>
  <c r="CP81" i="1"/>
  <c r="GD67" i="1"/>
  <c r="GA67" i="1"/>
  <c r="GP67" i="1"/>
  <c r="HR21" i="1" s="1"/>
  <c r="GP68" i="1"/>
  <c r="HR27" i="1" s="1"/>
  <c r="GD68" i="1"/>
  <c r="GA68" i="1"/>
  <c r="HG70" i="1"/>
  <c r="GI66" i="1"/>
  <c r="HH69" i="1"/>
  <c r="FA71" i="1"/>
  <c r="FB71" i="1"/>
  <c r="EV71" i="1"/>
  <c r="FS66" i="1"/>
  <c r="GO65" i="1"/>
  <c r="HM13" i="1" s="1"/>
  <c r="GC65" i="1"/>
  <c r="GB65" i="1"/>
  <c r="CC83" i="1"/>
  <c r="CK83" i="1" s="1"/>
  <c r="CR83" i="1" s="1"/>
  <c r="CB83" i="1"/>
  <c r="CE83" i="1"/>
  <c r="FT65" i="1"/>
  <c r="CN82" i="1"/>
  <c r="BX84" i="1"/>
  <c r="CA84" i="1"/>
  <c r="BU84" i="1"/>
  <c r="GI65" i="1"/>
  <c r="HD63" i="1"/>
  <c r="HC63" i="1"/>
  <c r="GE64" i="1"/>
  <c r="GF64" i="1" s="1"/>
  <c r="GG64" i="1"/>
  <c r="GH64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CS81" i="1" l="1"/>
  <c r="CT81" i="1" s="1"/>
  <c r="CU81" i="1"/>
  <c r="CV80" i="1"/>
  <c r="CW80" i="1"/>
  <c r="CX80" i="1"/>
  <c r="HG71" i="1"/>
  <c r="CY80" i="1"/>
  <c r="CZ80" i="1"/>
  <c r="DA80" i="1"/>
  <c r="GY66" i="1"/>
  <c r="CQ82" i="1"/>
  <c r="CP82" i="1"/>
  <c r="FE71" i="1"/>
  <c r="EX71" i="1"/>
  <c r="HB71" i="1"/>
  <c r="HF71" i="1" s="1"/>
  <c r="HH71" i="1" s="1"/>
  <c r="FD71" i="1"/>
  <c r="FV71" i="1" s="1"/>
  <c r="EW71" i="1"/>
  <c r="FL71" i="1"/>
  <c r="FO71" i="1"/>
  <c r="GE66" i="1"/>
  <c r="GF66" i="1" s="1"/>
  <c r="GG66" i="1"/>
  <c r="GS66" i="1" s="1"/>
  <c r="FF72" i="1"/>
  <c r="FI72" i="1" s="1"/>
  <c r="FY72" i="1"/>
  <c r="HE72" i="1" s="1"/>
  <c r="FB72" i="1"/>
  <c r="FA72" i="1"/>
  <c r="EV72" i="1"/>
  <c r="FM69" i="1"/>
  <c r="FN69" i="1" s="1"/>
  <c r="FJ69" i="1"/>
  <c r="GQ69" i="1" s="1"/>
  <c r="HQ33" i="1" s="1"/>
  <c r="FW69" i="1"/>
  <c r="FX69" i="1"/>
  <c r="FZ69" i="1" s="1"/>
  <c r="FT68" i="1"/>
  <c r="GO68" i="1"/>
  <c r="HM27" i="1" s="1"/>
  <c r="GC68" i="1"/>
  <c r="GH68" i="1" s="1"/>
  <c r="GB68" i="1"/>
  <c r="FT67" i="1"/>
  <c r="GO67" i="1"/>
  <c r="HM21" i="1" s="1"/>
  <c r="GB67" i="1"/>
  <c r="GI67" i="1" s="1"/>
  <c r="GC67" i="1"/>
  <c r="FJ70" i="1"/>
  <c r="GQ70" i="1" s="1"/>
  <c r="HQ39" i="1" s="1"/>
  <c r="FW70" i="1"/>
  <c r="FX70" i="1" s="1"/>
  <c r="FZ70" i="1" s="1"/>
  <c r="FM70" i="1"/>
  <c r="FN70" i="1" s="1"/>
  <c r="CC84" i="1"/>
  <c r="CK84" i="1" s="1"/>
  <c r="CR84" i="1" s="1"/>
  <c r="CB84" i="1"/>
  <c r="CE84" i="1"/>
  <c r="CN83" i="1"/>
  <c r="GE65" i="1"/>
  <c r="GF65" i="1" s="1"/>
  <c r="GG65" i="1"/>
  <c r="GH65" i="1"/>
  <c r="CA85" i="1"/>
  <c r="BU85" i="1"/>
  <c r="BX85" i="1"/>
  <c r="GS64" i="1"/>
  <c r="GY6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GD70" i="1" l="1"/>
  <c r="GA70" i="1"/>
  <c r="GP70" i="1"/>
  <c r="HR39" i="1" s="1"/>
  <c r="GR66" i="1"/>
  <c r="IB16" i="1" s="1"/>
  <c r="GT66" i="1"/>
  <c r="IC16" i="1" s="1"/>
  <c r="HY16" i="1"/>
  <c r="HA66" i="1"/>
  <c r="CV81" i="1"/>
  <c r="CW81" i="1"/>
  <c r="CX81" i="1"/>
  <c r="CQ83" i="1"/>
  <c r="CP83" i="1"/>
  <c r="FQ70" i="1"/>
  <c r="FS70" i="1" s="1"/>
  <c r="FR70" i="1"/>
  <c r="FP70" i="1"/>
  <c r="GE68" i="1"/>
  <c r="GF68" i="1" s="1"/>
  <c r="GG68" i="1"/>
  <c r="FP69" i="1"/>
  <c r="FR69" i="1"/>
  <c r="FQ69" i="1"/>
  <c r="FS69" i="1" s="1"/>
  <c r="GI68" i="1"/>
  <c r="GY68" i="1" s="1"/>
  <c r="GS68" i="1"/>
  <c r="FD72" i="1"/>
  <c r="FV72" i="1" s="1"/>
  <c r="FE72" i="1"/>
  <c r="EX72" i="1"/>
  <c r="FH72" i="1" s="1"/>
  <c r="EW72" i="1"/>
  <c r="HB72" i="1"/>
  <c r="HF72" i="1" s="1"/>
  <c r="CS82" i="1"/>
  <c r="CT82" i="1" s="1"/>
  <c r="CU82" i="1"/>
  <c r="DN80" i="1"/>
  <c r="FL72" i="1"/>
  <c r="FO72" i="1"/>
  <c r="GZ66" i="1"/>
  <c r="IE16" i="1" s="1"/>
  <c r="IA16" i="1"/>
  <c r="DM80" i="1"/>
  <c r="GH67" i="1"/>
  <c r="FU71" i="1"/>
  <c r="FG71" i="1"/>
  <c r="DL80" i="1"/>
  <c r="GG67" i="1"/>
  <c r="GE67" i="1"/>
  <c r="GF67" i="1" s="1"/>
  <c r="HG72" i="1"/>
  <c r="HH72" i="1"/>
  <c r="DQ80" i="1"/>
  <c r="CY81" i="1"/>
  <c r="CZ81" i="1"/>
  <c r="DP81" i="1" s="1"/>
  <c r="DA81" i="1"/>
  <c r="DQ81" i="1" s="1"/>
  <c r="GA69" i="1"/>
  <c r="GD69" i="1"/>
  <c r="GP69" i="1"/>
  <c r="HR33" i="1" s="1"/>
  <c r="DP80" i="1"/>
  <c r="FH71" i="1"/>
  <c r="DO80" i="1"/>
  <c r="CE85" i="1"/>
  <c r="CC85" i="1"/>
  <c r="CK85" i="1" s="1"/>
  <c r="CR85" i="1" s="1"/>
  <c r="CB85" i="1"/>
  <c r="GS65" i="1"/>
  <c r="GY65" i="1"/>
  <c r="CN84" i="1"/>
  <c r="GZ64" i="1"/>
  <c r="GT64" i="1"/>
  <c r="GR64" i="1"/>
  <c r="HA64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CV82" i="1" l="1"/>
  <c r="CW82" i="1"/>
  <c r="CX82" i="1"/>
  <c r="GZ68" i="1"/>
  <c r="IE27" i="1" s="1"/>
  <c r="IA27" i="1"/>
  <c r="DU80" i="1"/>
  <c r="DY80" i="1" s="1"/>
  <c r="DS80" i="1"/>
  <c r="DO81" i="1"/>
  <c r="GR68" i="1"/>
  <c r="IB27" i="1" s="1"/>
  <c r="GT68" i="1"/>
  <c r="IC27" i="1" s="1"/>
  <c r="HY27" i="1"/>
  <c r="HA68" i="1"/>
  <c r="GO70" i="1"/>
  <c r="HM39" i="1" s="1"/>
  <c r="GC70" i="1"/>
  <c r="GH70" i="1" s="1"/>
  <c r="GB70" i="1"/>
  <c r="HC66" i="1"/>
  <c r="HD66" i="1"/>
  <c r="DL81" i="1"/>
  <c r="FW71" i="1"/>
  <c r="FJ71" i="1"/>
  <c r="GQ71" i="1" s="1"/>
  <c r="HQ45" i="1" s="1"/>
  <c r="FM71" i="1"/>
  <c r="FN71" i="1" s="1"/>
  <c r="FT70" i="1"/>
  <c r="CY82" i="1"/>
  <c r="DO82" i="1" s="1"/>
  <c r="CZ82" i="1"/>
  <c r="DP82" i="1" s="1"/>
  <c r="DA82" i="1"/>
  <c r="DQ82" i="1" s="1"/>
  <c r="FG72" i="1"/>
  <c r="FU72" i="1"/>
  <c r="FT69" i="1"/>
  <c r="CS83" i="1"/>
  <c r="CU83" i="1" s="1"/>
  <c r="CT83" i="1"/>
  <c r="FX71" i="1"/>
  <c r="FZ71" i="1" s="1"/>
  <c r="GB69" i="1"/>
  <c r="GC69" i="1"/>
  <c r="GO69" i="1"/>
  <c r="HM33" i="1" s="1"/>
  <c r="DN81" i="1"/>
  <c r="GS67" i="1"/>
  <c r="GY67" i="1"/>
  <c r="CP84" i="1"/>
  <c r="CQ84" i="1"/>
  <c r="DW80" i="1"/>
  <c r="DX80" i="1" s="1"/>
  <c r="EA80" i="1" s="1"/>
  <c r="DV80" i="1"/>
  <c r="DR80" i="1"/>
  <c r="DM81" i="1"/>
  <c r="GI70" i="1"/>
  <c r="GR65" i="1"/>
  <c r="IB13" i="1" s="1"/>
  <c r="GT65" i="1"/>
  <c r="IC13" i="1" s="1"/>
  <c r="HY13" i="1"/>
  <c r="HA65" i="1"/>
  <c r="GZ65" i="1"/>
  <c r="IE13" i="1" s="1"/>
  <c r="IA13" i="1"/>
  <c r="CN85" i="1"/>
  <c r="HC64" i="1"/>
  <c r="HD64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CY83" i="1" l="1"/>
  <c r="CZ83" i="1"/>
  <c r="DA83" i="1"/>
  <c r="CS84" i="1"/>
  <c r="CT84" i="1"/>
  <c r="CU84" i="1"/>
  <c r="HC68" i="1"/>
  <c r="HD68" i="1"/>
  <c r="CV83" i="1"/>
  <c r="CW83" i="1"/>
  <c r="CX83" i="1"/>
  <c r="CP85" i="1"/>
  <c r="CQ85" i="1"/>
  <c r="GH69" i="1"/>
  <c r="DU82" i="1"/>
  <c r="DS82" i="1"/>
  <c r="DV81" i="1"/>
  <c r="DW81" i="1"/>
  <c r="DX81" i="1" s="1"/>
  <c r="EA81" i="1" s="1"/>
  <c r="DR81" i="1"/>
  <c r="GZ67" i="1"/>
  <c r="IE21" i="1" s="1"/>
  <c r="IA21" i="1"/>
  <c r="GR67" i="1"/>
  <c r="IB21" i="1" s="1"/>
  <c r="GT67" i="1"/>
  <c r="IC21" i="1" s="1"/>
  <c r="HY21" i="1"/>
  <c r="HA67" i="1"/>
  <c r="FJ72" i="1"/>
  <c r="GQ72" i="1" s="1"/>
  <c r="HQ51" i="1" s="1"/>
  <c r="FM72" i="1"/>
  <c r="FN72" i="1" s="1"/>
  <c r="FW72" i="1"/>
  <c r="FX72" i="1" s="1"/>
  <c r="FZ72" i="1" s="1"/>
  <c r="FR71" i="1"/>
  <c r="FQ71" i="1"/>
  <c r="FS71" i="1" s="1"/>
  <c r="FP71" i="1"/>
  <c r="DN82" i="1"/>
  <c r="GE69" i="1"/>
  <c r="GF69" i="1" s="1"/>
  <c r="GG69" i="1"/>
  <c r="GA71" i="1"/>
  <c r="GD71" i="1"/>
  <c r="GP71" i="1"/>
  <c r="HR45" i="1" s="1"/>
  <c r="GI69" i="1"/>
  <c r="GG70" i="1"/>
  <c r="GE70" i="1"/>
  <c r="GF70" i="1" s="1"/>
  <c r="DU81" i="1"/>
  <c r="DS81" i="1"/>
  <c r="DM82" i="1"/>
  <c r="DZ80" i="1"/>
  <c r="GY70" i="1"/>
  <c r="GS70" i="1"/>
  <c r="DL82" i="1"/>
  <c r="HC65" i="1"/>
  <c r="HD65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GA72" i="1" l="1"/>
  <c r="GP72" i="1"/>
  <c r="HR51" i="1" s="1"/>
  <c r="GD72" i="1"/>
  <c r="DY82" i="1"/>
  <c r="DV82" i="1"/>
  <c r="DZ82" i="1" s="1"/>
  <c r="DR82" i="1"/>
  <c r="DW82" i="1"/>
  <c r="DX82" i="1" s="1"/>
  <c r="EA82" i="1" s="1"/>
  <c r="FT71" i="1"/>
  <c r="GS69" i="1"/>
  <c r="GY69" i="1"/>
  <c r="CY84" i="1"/>
  <c r="CZ84" i="1"/>
  <c r="DP84" i="1" s="1"/>
  <c r="DA84" i="1"/>
  <c r="DQ84" i="1" s="1"/>
  <c r="CS85" i="1"/>
  <c r="CT85" i="1" s="1"/>
  <c r="CV84" i="1"/>
  <c r="CW84" i="1"/>
  <c r="CX84" i="1"/>
  <c r="GC71" i="1"/>
  <c r="GH71" i="1" s="1"/>
  <c r="GO71" i="1"/>
  <c r="HM45" i="1" s="1"/>
  <c r="GB71" i="1"/>
  <c r="DY81" i="1"/>
  <c r="FQ72" i="1"/>
  <c r="FR72" i="1"/>
  <c r="FT72" i="1" s="1"/>
  <c r="FP72" i="1"/>
  <c r="DN83" i="1"/>
  <c r="DQ83" i="1"/>
  <c r="GZ70" i="1"/>
  <c r="IE39" i="1" s="1"/>
  <c r="IA39" i="1"/>
  <c r="HD67" i="1"/>
  <c r="HC67" i="1"/>
  <c r="DM83" i="1"/>
  <c r="DP83" i="1"/>
  <c r="GR70" i="1"/>
  <c r="IB39" i="1" s="1"/>
  <c r="GT70" i="1"/>
  <c r="IC39" i="1" s="1"/>
  <c r="HY39" i="1"/>
  <c r="HA70" i="1"/>
  <c r="ED80" i="1"/>
  <c r="EB80" i="1"/>
  <c r="EC80" i="1"/>
  <c r="DZ81" i="1"/>
  <c r="DL83" i="1"/>
  <c r="DO83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GR69" i="1"/>
  <c r="IB33" i="1" s="1"/>
  <c r="GT69" i="1"/>
  <c r="IC33" i="1" s="1"/>
  <c r="HY33" i="1"/>
  <c r="HA69" i="1"/>
  <c r="ED81" i="1"/>
  <c r="EB81" i="1"/>
  <c r="EC81" i="1"/>
  <c r="GE71" i="1"/>
  <c r="GF71" i="1" s="1"/>
  <c r="GG71" i="1"/>
  <c r="GS71" i="1" s="1"/>
  <c r="CU85" i="1"/>
  <c r="EC82" i="1"/>
  <c r="ED82" i="1"/>
  <c r="EB82" i="1"/>
  <c r="DL84" i="1"/>
  <c r="GY71" i="1"/>
  <c r="EK80" i="1"/>
  <c r="EE80" i="1"/>
  <c r="EF80" i="1"/>
  <c r="EG80" i="1"/>
  <c r="EL80" i="1"/>
  <c r="EH80" i="1"/>
  <c r="EJ80" i="1"/>
  <c r="EI80" i="1"/>
  <c r="DN84" i="1"/>
  <c r="DO84" i="1"/>
  <c r="GI71" i="1"/>
  <c r="DS83" i="1"/>
  <c r="DU83" i="1"/>
  <c r="DY83" i="1" s="1"/>
  <c r="HD70" i="1"/>
  <c r="HC70" i="1"/>
  <c r="GB72" i="1"/>
  <c r="GC72" i="1"/>
  <c r="GO72" i="1"/>
  <c r="HM51" i="1" s="1"/>
  <c r="DM84" i="1"/>
  <c r="GZ69" i="1"/>
  <c r="IE33" i="1" s="1"/>
  <c r="IA33" i="1"/>
  <c r="GI72" i="1"/>
  <c r="DW83" i="1"/>
  <c r="DX83" i="1" s="1"/>
  <c r="EA83" i="1" s="1"/>
  <c r="DV83" i="1"/>
  <c r="DZ83" i="1" s="1"/>
  <c r="DR83" i="1"/>
  <c r="FS72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T71" i="1" l="1"/>
  <c r="IC45" i="1" s="1"/>
  <c r="GR71" i="1"/>
  <c r="IB45" i="1" s="1"/>
  <c r="HY45" i="1"/>
  <c r="HA71" i="1"/>
  <c r="EN80" i="1"/>
  <c r="EM80" i="1"/>
  <c r="EO80" i="1"/>
  <c r="ER80" i="1" s="1"/>
  <c r="GZ71" i="1"/>
  <c r="IE45" i="1" s="1"/>
  <c r="IA45" i="1"/>
  <c r="CY85" i="1"/>
  <c r="DO85" i="1" s="1"/>
  <c r="CZ85" i="1"/>
  <c r="DP85" i="1" s="1"/>
  <c r="DA85" i="1"/>
  <c r="DQ85" i="1" s="1"/>
  <c r="EK81" i="1"/>
  <c r="EG81" i="1"/>
  <c r="EF81" i="1"/>
  <c r="EE81" i="1"/>
  <c r="EK82" i="1"/>
  <c r="EG82" i="1"/>
  <c r="EE82" i="1"/>
  <c r="EF82" i="1"/>
  <c r="ED83" i="1"/>
  <c r="EC83" i="1"/>
  <c r="EB83" i="1"/>
  <c r="DS84" i="1"/>
  <c r="DU84" i="1"/>
  <c r="DY84" i="1" s="1"/>
  <c r="DV84" i="1"/>
  <c r="DZ84" i="1" s="1"/>
  <c r="DW84" i="1"/>
  <c r="DX84" i="1" s="1"/>
  <c r="EA84" i="1" s="1"/>
  <c r="DR84" i="1"/>
  <c r="DN85" i="1"/>
  <c r="GH72" i="1"/>
  <c r="EL81" i="1"/>
  <c r="EJ81" i="1"/>
  <c r="EI81" i="1"/>
  <c r="EH81" i="1"/>
  <c r="DM85" i="1"/>
  <c r="GE72" i="1"/>
  <c r="GF72" i="1" s="1"/>
  <c r="GG72" i="1"/>
  <c r="EL82" i="1"/>
  <c r="EJ82" i="1"/>
  <c r="EH82" i="1"/>
  <c r="EI82" i="1"/>
  <c r="HC69" i="1"/>
  <c r="HD69" i="1"/>
  <c r="DL85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EK83" i="1" l="1"/>
  <c r="EF83" i="1"/>
  <c r="EE83" i="1"/>
  <c r="EG83" i="1"/>
  <c r="EP80" i="1"/>
  <c r="EQ80" i="1"/>
  <c r="EZ80" i="1" s="1"/>
  <c r="FC80" i="1" s="1"/>
  <c r="EL83" i="1"/>
  <c r="EJ83" i="1"/>
  <c r="EH83" i="1"/>
  <c r="EI83" i="1"/>
  <c r="EO81" i="1"/>
  <c r="ER81" i="1" s="1"/>
  <c r="EM81" i="1"/>
  <c r="EN81" i="1"/>
  <c r="DR85" i="1"/>
  <c r="DV85" i="1"/>
  <c r="DW85" i="1"/>
  <c r="DX85" i="1" s="1"/>
  <c r="HC71" i="1"/>
  <c r="HD71" i="1"/>
  <c r="ED84" i="1"/>
  <c r="EC84" i="1"/>
  <c r="EB84" i="1"/>
  <c r="DS85" i="1"/>
  <c r="DU85" i="1"/>
  <c r="EO82" i="1"/>
  <c r="ER82" i="1" s="1"/>
  <c r="EM82" i="1"/>
  <c r="EN82" i="1"/>
  <c r="GS72" i="1"/>
  <c r="GY72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FF80" i="1" l="1"/>
  <c r="FI80" i="1" s="1"/>
  <c r="FY80" i="1"/>
  <c r="HE80" i="1" s="1"/>
  <c r="FB80" i="1"/>
  <c r="FA80" i="1"/>
  <c r="EV80" i="1"/>
  <c r="EK84" i="1"/>
  <c r="EF84" i="1"/>
  <c r="EG84" i="1"/>
  <c r="EE84" i="1"/>
  <c r="EL84" i="1"/>
  <c r="EJ84" i="1"/>
  <c r="EH84" i="1"/>
  <c r="EI84" i="1"/>
  <c r="EP82" i="1"/>
  <c r="EQ82" i="1"/>
  <c r="EZ82" i="1" s="1"/>
  <c r="FC82" i="1" s="1"/>
  <c r="EA85" i="1"/>
  <c r="EN83" i="1"/>
  <c r="EO83" i="1"/>
  <c r="ER83" i="1" s="1"/>
  <c r="EM83" i="1"/>
  <c r="GZ72" i="1"/>
  <c r="IE51" i="1" s="1"/>
  <c r="IA51" i="1"/>
  <c r="EQ81" i="1"/>
  <c r="EZ81" i="1" s="1"/>
  <c r="FC81" i="1" s="1"/>
  <c r="EP81" i="1"/>
  <c r="GT72" i="1"/>
  <c r="IC51" i="1" s="1"/>
  <c r="GR72" i="1"/>
  <c r="IB51" i="1" s="1"/>
  <c r="HY51" i="1"/>
  <c r="HA72" i="1"/>
  <c r="DY85" i="1"/>
  <c r="DZ85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FF81" i="1" l="1"/>
  <c r="FI81" i="1" s="1"/>
  <c r="FY81" i="1"/>
  <c r="HE81" i="1" s="1"/>
  <c r="FB82" i="1"/>
  <c r="EV82" i="1"/>
  <c r="FA82" i="1"/>
  <c r="EM84" i="1"/>
  <c r="EO84" i="1"/>
  <c r="ER84" i="1" s="1"/>
  <c r="EN84" i="1"/>
  <c r="FY82" i="1"/>
  <c r="HE82" i="1" s="1"/>
  <c r="FF82" i="1"/>
  <c r="FI82" i="1" s="1"/>
  <c r="EC85" i="1"/>
  <c r="ED85" i="1"/>
  <c r="EB85" i="1"/>
  <c r="HC72" i="1"/>
  <c r="HD72" i="1"/>
  <c r="FD80" i="1"/>
  <c r="FV80" i="1" s="1"/>
  <c r="EX80" i="1"/>
  <c r="EW80" i="1"/>
  <c r="HB80" i="1"/>
  <c r="HF80" i="1" s="1"/>
  <c r="HH80" i="1" s="1"/>
  <c r="FE80" i="1"/>
  <c r="EQ83" i="1"/>
  <c r="EZ83" i="1" s="1"/>
  <c r="FC83" i="1" s="1"/>
  <c r="EP83" i="1"/>
  <c r="FL80" i="1"/>
  <c r="FO80" i="1"/>
  <c r="HG80" i="1"/>
  <c r="EV81" i="1"/>
  <c r="FB81" i="1"/>
  <c r="FA81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FB83" i="1" l="1"/>
  <c r="EV83" i="1"/>
  <c r="FA83" i="1"/>
  <c r="EQ84" i="1"/>
  <c r="EZ84" i="1" s="1"/>
  <c r="FC84" i="1" s="1"/>
  <c r="EP84" i="1"/>
  <c r="FL82" i="1"/>
  <c r="FO82" i="1"/>
  <c r="FF83" i="1"/>
  <c r="FI83" i="1" s="1"/>
  <c r="FY83" i="1"/>
  <c r="HE83" i="1" s="1"/>
  <c r="EW81" i="1"/>
  <c r="EX81" i="1"/>
  <c r="FH81" i="1" s="1"/>
  <c r="FE81" i="1"/>
  <c r="HB81" i="1"/>
  <c r="HF81" i="1" s="1"/>
  <c r="HG81" i="1" s="1"/>
  <c r="FD81" i="1"/>
  <c r="FV81" i="1" s="1"/>
  <c r="EL85" i="1"/>
  <c r="EH85" i="1"/>
  <c r="EJ85" i="1"/>
  <c r="EI85" i="1"/>
  <c r="HB82" i="1"/>
  <c r="HF82" i="1" s="1"/>
  <c r="HG82" i="1" s="1"/>
  <c r="EW82" i="1"/>
  <c r="FD82" i="1"/>
  <c r="FV82" i="1" s="1"/>
  <c r="EX82" i="1"/>
  <c r="FH82" i="1" s="1"/>
  <c r="FE82" i="1"/>
  <c r="EK85" i="1"/>
  <c r="EE85" i="1"/>
  <c r="EF85" i="1"/>
  <c r="EG85" i="1"/>
  <c r="FL81" i="1"/>
  <c r="FO81" i="1"/>
  <c r="FG80" i="1"/>
  <c r="FU80" i="1"/>
  <c r="FH80" i="1"/>
  <c r="HH82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EV84" i="1" l="1"/>
  <c r="FB84" i="1"/>
  <c r="FA84" i="1"/>
  <c r="FG82" i="1"/>
  <c r="FU82" i="1"/>
  <c r="FF84" i="1"/>
  <c r="FI84" i="1" s="1"/>
  <c r="FY84" i="1"/>
  <c r="HE84" i="1" s="1"/>
  <c r="FW80" i="1"/>
  <c r="FX80" i="1" s="1"/>
  <c r="FZ80" i="1" s="1"/>
  <c r="FJ80" i="1"/>
  <c r="GQ80" i="1" s="1"/>
  <c r="HQ20" i="1" s="1"/>
  <c r="FM80" i="1"/>
  <c r="FN80" i="1" s="1"/>
  <c r="FU81" i="1"/>
  <c r="FG81" i="1"/>
  <c r="FL83" i="1"/>
  <c r="FO83" i="1"/>
  <c r="HH81" i="1"/>
  <c r="EX83" i="1"/>
  <c r="EW83" i="1"/>
  <c r="FD83" i="1"/>
  <c r="FV83" i="1" s="1"/>
  <c r="HB83" i="1"/>
  <c r="HF83" i="1" s="1"/>
  <c r="HG83" i="1" s="1"/>
  <c r="FE83" i="1"/>
  <c r="EN85" i="1"/>
  <c r="EO85" i="1"/>
  <c r="ER85" i="1" s="1"/>
  <c r="EM85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GD80" i="1" l="1"/>
  <c r="GP80" i="1"/>
  <c r="HR20" i="1" s="1"/>
  <c r="GA80" i="1"/>
  <c r="FU83" i="1"/>
  <c r="FG83" i="1"/>
  <c r="FM81" i="1"/>
  <c r="FN81" i="1" s="1"/>
  <c r="FJ81" i="1"/>
  <c r="GQ81" i="1" s="1"/>
  <c r="HQ26" i="1" s="1"/>
  <c r="FW81" i="1"/>
  <c r="FJ82" i="1"/>
  <c r="GQ82" i="1" s="1"/>
  <c r="HQ32" i="1" s="1"/>
  <c r="FM82" i="1"/>
  <c r="FN82" i="1" s="1"/>
  <c r="FW82" i="1"/>
  <c r="FX82" i="1" s="1"/>
  <c r="FZ82" i="1" s="1"/>
  <c r="EQ85" i="1"/>
  <c r="EZ85" i="1" s="1"/>
  <c r="FC85" i="1" s="1"/>
  <c r="EP85" i="1"/>
  <c r="FH83" i="1"/>
  <c r="FX81" i="1"/>
  <c r="FZ81" i="1" s="1"/>
  <c r="FL84" i="1"/>
  <c r="FO84" i="1"/>
  <c r="HH83" i="1"/>
  <c r="FQ80" i="1"/>
  <c r="FR80" i="1"/>
  <c r="FT80" i="1" s="1"/>
  <c r="FP80" i="1"/>
  <c r="FE84" i="1"/>
  <c r="EX84" i="1"/>
  <c r="FD84" i="1"/>
  <c r="FV84" i="1" s="1"/>
  <c r="EW84" i="1"/>
  <c r="HB84" i="1"/>
  <c r="HF84" i="1" s="1"/>
  <c r="HH84" i="1" s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GA82" i="1" l="1"/>
  <c r="GD82" i="1"/>
  <c r="GP82" i="1"/>
  <c r="HR32" i="1" s="1"/>
  <c r="FU84" i="1"/>
  <c r="FG84" i="1"/>
  <c r="FQ82" i="1"/>
  <c r="FS82" i="1" s="1"/>
  <c r="FP82" i="1"/>
  <c r="FR82" i="1"/>
  <c r="FH84" i="1"/>
  <c r="GD81" i="1"/>
  <c r="GA81" i="1"/>
  <c r="GP81" i="1"/>
  <c r="HR26" i="1" s="1"/>
  <c r="HG84" i="1"/>
  <c r="GB80" i="1"/>
  <c r="GO80" i="1"/>
  <c r="HM20" i="1" s="1"/>
  <c r="GC80" i="1"/>
  <c r="EV85" i="1"/>
  <c r="FB85" i="1"/>
  <c r="FA85" i="1"/>
  <c r="FR81" i="1"/>
  <c r="FQ81" i="1"/>
  <c r="FS81" i="1" s="1"/>
  <c r="FP81" i="1"/>
  <c r="FF85" i="1"/>
  <c r="FI85" i="1" s="1"/>
  <c r="FY85" i="1"/>
  <c r="HE85" i="1" s="1"/>
  <c r="FW83" i="1"/>
  <c r="FX83" i="1" s="1"/>
  <c r="FZ83" i="1" s="1"/>
  <c r="FJ83" i="1"/>
  <c r="GQ83" i="1" s="1"/>
  <c r="HQ38" i="1" s="1"/>
  <c r="FM83" i="1"/>
  <c r="FN83" i="1" s="1"/>
  <c r="FS80" i="1"/>
  <c r="GI80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GP83" i="1" l="1"/>
  <c r="HR38" i="1" s="1"/>
  <c r="GD83" i="1"/>
  <c r="GA83" i="1"/>
  <c r="GG80" i="1"/>
  <c r="GE80" i="1"/>
  <c r="GF80" i="1" s="1"/>
  <c r="GB81" i="1"/>
  <c r="GC81" i="1"/>
  <c r="GH81" i="1" s="1"/>
  <c r="GO81" i="1"/>
  <c r="HM26" i="1" s="1"/>
  <c r="GC82" i="1"/>
  <c r="GH82" i="1" s="1"/>
  <c r="GB82" i="1"/>
  <c r="GO82" i="1"/>
  <c r="HM32" i="1" s="1"/>
  <c r="FT81" i="1"/>
  <c r="FW84" i="1"/>
  <c r="FJ84" i="1"/>
  <c r="GQ84" i="1" s="1"/>
  <c r="HQ44" i="1" s="1"/>
  <c r="FM84" i="1"/>
  <c r="FN84" i="1" s="1"/>
  <c r="FX84" i="1"/>
  <c r="FZ84" i="1" s="1"/>
  <c r="FL85" i="1"/>
  <c r="FO85" i="1"/>
  <c r="EW85" i="1"/>
  <c r="FD85" i="1"/>
  <c r="FV85" i="1" s="1"/>
  <c r="FE85" i="1"/>
  <c r="HB85" i="1"/>
  <c r="HF85" i="1" s="1"/>
  <c r="HG85" i="1" s="1"/>
  <c r="HG8" i="1" s="1"/>
  <c r="EX85" i="1"/>
  <c r="FH85" i="1" s="1"/>
  <c r="FQ83" i="1"/>
  <c r="FS83" i="1" s="1"/>
  <c r="FP83" i="1"/>
  <c r="FR83" i="1"/>
  <c r="GI81" i="1"/>
  <c r="GH80" i="1"/>
  <c r="GI82" i="1"/>
  <c r="FT82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R84" i="1" l="1"/>
  <c r="FQ84" i="1"/>
  <c r="FS84" i="1" s="1"/>
  <c r="FP84" i="1"/>
  <c r="GY81" i="1"/>
  <c r="GG81" i="1"/>
  <c r="GS81" i="1" s="1"/>
  <c r="GE81" i="1"/>
  <c r="GF81" i="1" s="1"/>
  <c r="GY80" i="1"/>
  <c r="GS80" i="1"/>
  <c r="HH85" i="1"/>
  <c r="HH8" i="1" s="1"/>
  <c r="HF8" i="1" s="1"/>
  <c r="FG85" i="1"/>
  <c r="FU85" i="1"/>
  <c r="GD84" i="1"/>
  <c r="GP84" i="1"/>
  <c r="HR44" i="1" s="1"/>
  <c r="GA84" i="1"/>
  <c r="FT83" i="1"/>
  <c r="GG82" i="1"/>
  <c r="GS82" i="1" s="1"/>
  <c r="GE82" i="1"/>
  <c r="GF82" i="1" s="1"/>
  <c r="GC83" i="1"/>
  <c r="GH83" i="1" s="1"/>
  <c r="GB83" i="1"/>
  <c r="GO83" i="1"/>
  <c r="HM38" i="1" s="1"/>
  <c r="GY82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E8" i="1" l="1"/>
  <c r="GT82" i="1"/>
  <c r="IC32" i="1" s="1"/>
  <c r="GR82" i="1"/>
  <c r="IB32" i="1" s="1"/>
  <c r="HY32" i="1"/>
  <c r="HA82" i="1"/>
  <c r="GT81" i="1"/>
  <c r="IC26" i="1" s="1"/>
  <c r="GR81" i="1"/>
  <c r="IB26" i="1" s="1"/>
  <c r="HY26" i="1"/>
  <c r="HA81" i="1"/>
  <c r="GS83" i="1"/>
  <c r="GZ81" i="1"/>
  <c r="IE26" i="1" s="1"/>
  <c r="IA26" i="1"/>
  <c r="GG83" i="1"/>
  <c r="GE83" i="1"/>
  <c r="GF83" i="1" s="1"/>
  <c r="GI84" i="1"/>
  <c r="FJ85" i="1"/>
  <c r="GQ85" i="1" s="1"/>
  <c r="HQ50" i="1" s="1"/>
  <c r="FM85" i="1"/>
  <c r="FN85" i="1" s="1"/>
  <c r="FW85" i="1"/>
  <c r="FX85" i="1" s="1"/>
  <c r="FZ85" i="1" s="1"/>
  <c r="GB84" i="1"/>
  <c r="GO84" i="1"/>
  <c r="HM44" i="1" s="1"/>
  <c r="GC84" i="1"/>
  <c r="GH84" i="1" s="1"/>
  <c r="GZ80" i="1"/>
  <c r="IE20" i="1" s="1"/>
  <c r="IA20" i="1"/>
  <c r="GI83" i="1"/>
  <c r="GY83" i="1" s="1"/>
  <c r="GZ82" i="1"/>
  <c r="IE32" i="1" s="1"/>
  <c r="IA32" i="1"/>
  <c r="GT80" i="1"/>
  <c r="IC20" i="1" s="1"/>
  <c r="GR80" i="1"/>
  <c r="IB20" i="1" s="1"/>
  <c r="HY20" i="1"/>
  <c r="HA80" i="1"/>
  <c r="FT84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GZ83" i="1" l="1"/>
  <c r="IE38" i="1" s="1"/>
  <c r="IA38" i="1"/>
  <c r="GP85" i="1"/>
  <c r="HR50" i="1" s="1"/>
  <c r="GD85" i="1"/>
  <c r="GA85" i="1"/>
  <c r="GR83" i="1"/>
  <c r="IB38" i="1" s="1"/>
  <c r="GT83" i="1"/>
  <c r="IC38" i="1" s="1"/>
  <c r="HY38" i="1"/>
  <c r="HA83" i="1"/>
  <c r="HC81" i="1"/>
  <c r="HD81" i="1"/>
  <c r="HC80" i="1"/>
  <c r="HD80" i="1"/>
  <c r="GY84" i="1"/>
  <c r="GG84" i="1"/>
  <c r="GS84" i="1" s="1"/>
  <c r="GE84" i="1"/>
  <c r="GF84" i="1" s="1"/>
  <c r="HC82" i="1"/>
  <c r="HD82" i="1"/>
  <c r="FP85" i="1"/>
  <c r="FR85" i="1"/>
  <c r="FQ85" i="1"/>
  <c r="FS85" i="1" s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R84" i="1" l="1"/>
  <c r="IB44" i="1" s="1"/>
  <c r="GT84" i="1"/>
  <c r="IC44" i="1" s="1"/>
  <c r="HY44" i="1"/>
  <c r="HA84" i="1"/>
  <c r="GZ84" i="1"/>
  <c r="IE44" i="1" s="1"/>
  <c r="IA44" i="1"/>
  <c r="FT85" i="1"/>
  <c r="GC85" i="1"/>
  <c r="GO85" i="1"/>
  <c r="HM50" i="1" s="1"/>
  <c r="GB85" i="1"/>
  <c r="HD83" i="1"/>
  <c r="HC83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G85" i="1" l="1"/>
  <c r="GE85" i="1"/>
  <c r="GF85" i="1" s="1"/>
  <c r="GH85" i="1"/>
  <c r="HC84" i="1"/>
  <c r="HD84" i="1"/>
  <c r="GI85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S85" i="1" l="1"/>
  <c r="GS2" i="1" s="1"/>
  <c r="GY85" i="1"/>
  <c r="GY2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5" i="1" l="1"/>
  <c r="IE50" i="1" s="1"/>
  <c r="IA50" i="1"/>
  <c r="GT85" i="1"/>
  <c r="IC50" i="1" s="1"/>
  <c r="GR85" i="1"/>
  <c r="HY50" i="1"/>
  <c r="HA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IB50" i="1" l="1"/>
  <c r="GR2" i="1"/>
  <c r="HC85" i="1"/>
  <c r="HC8" i="1" s="1"/>
  <c r="HD85" i="1"/>
  <c r="HD8" i="1" s="1"/>
  <c r="HH3" i="1" s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B8" i="1" l="1"/>
  <c r="HA8" i="1"/>
  <c r="HG3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F3" i="1" l="1"/>
  <c r="HE3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W2" i="1" l="1"/>
  <c r="HA4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U2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IU1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<sst xmlns="http://schemas.openxmlformats.org/spreadsheetml/2006/main" count="909" uniqueCount="409">
  <si>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</si>
  <si>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</si>
  <si>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</si>
  <si>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</si>
  <si>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</si>
  <si>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</si>
  <si>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</si>
  <si>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</si>
  <si>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</si>
  <si>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</si>
  <si>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</si>
  <si>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</si>
  <si>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</si>
  <si>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</si>
  <si>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</si>
  <si>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</si>
  <si>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</si>
  <si>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</si>
  <si>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</si>
  <si>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</si>
  <si>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</si>
  <si>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</si>
  <si>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</si>
  <si>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</si>
  <si>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</si>
  <si>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</si>
  <si>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</si>
  <si>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</si>
  <si>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</si>
  <si>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</si>
  <si>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</si>
  <si>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</si>
  <si>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</si>
  <si>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</si>
  <si>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</si>
  <si>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</si>
  <si>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</si>
  <si>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</si>
  <si>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</si>
  <si>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</si>
  <si>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</si>
  <si>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</si>
  <si>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</si>
  <si>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</si>
  <si>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</si>
  <si>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</si>
  <si>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</si>
  <si>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</si>
  <si>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</si>
  <si>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</si>
  <si>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</si>
  <si>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</si>
  <si>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</si>
  <si>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</si>
  <si>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</si>
  <si>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</si>
  <si>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</si>
  <si>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</si>
  <si>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</si>
  <si>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</si>
  <si>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</si>
  <si>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</si>
  <si>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</si>
  <si>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</si>
  <si>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</si>
  <si>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</si>
  <si>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</si>
  <si>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</si>
  <si>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</si>
  <si>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</si>
  <si>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</si>
  <si>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</si>
  <si>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</si>
  <si>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</si>
  <si>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</si>
  <si>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</si>
  <si>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</si>
  <si>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</si>
  <si>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</si>
  <si>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</si>
  <si>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</si>
  <si>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</si>
  <si>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</si>
  <si>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</si>
  <si>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</si>
  <si>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</si>
  <si>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</si>
  <si>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</si>
  <si>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</si>
  <si>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</si>
  <si>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</si>
  <si>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</si>
  <si>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</si>
  <si>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</si>
  <si>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</si>
  <si>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</si>
  <si>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</si>
  <si>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</si>
  <si>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</si>
  <si>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</si>
  <si>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</si>
  <si>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</si>
  <si>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</si>
  <si>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</si>
  <si>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</si>
  <si>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</si>
  <si>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</si>
  <si>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</si>
  <si>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</si>
  <si>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</si>
  <si>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</si>
  <si>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</si>
  <si>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</si>
  <si>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</si>
  <si>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</si>
  <si>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</si>
  <si>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</si>
  <si>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</si>
  <si>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</si>
  <si>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</si>
  <si>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</si>
  <si>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</si>
  <si>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</si>
  <si>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</si>
  <si>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</si>
  <si>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</si>
  <si>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</si>
  <si>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</si>
  <si>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</si>
  <si>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</si>
  <si>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</si>
  <si>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</si>
  <si>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</si>
  <si>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</si>
  <si>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</si>
  <si>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</si>
  <si>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</si>
  <si>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</si>
  <si>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</si>
  <si>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</si>
  <si>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</si>
  <si>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</si>
  <si>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</si>
  <si>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</si>
  <si>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</si>
  <si>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</si>
  <si>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</si>
  <si>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</si>
  <si>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</si>
  <si>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</si>
  <si>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</si>
  <si>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</si>
  <si>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</si>
  <si>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</si>
  <si>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</si>
  <si>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</si>
  <si>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</si>
  <si>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</si>
  <si>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</si>
  <si>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</si>
  <si>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</si>
  <si>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</si>
  <si>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</si>
  <si>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</si>
  <si>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</si>
  <si>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</si>
  <si>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</si>
  <si>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</si>
  <si>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</si>
  <si>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</si>
  <si>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</si>
  <si>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</si>
  <si>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</si>
  <si>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</si>
  <si>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</si>
  <si>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</si>
  <si>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</si>
  <si>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</si>
  <si>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</si>
  <si>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</si>
  <si>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</si>
  <si>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</si>
  <si>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</si>
  <si>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</si>
  <si>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</si>
  <si>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</si>
  <si>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</si>
  <si>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</si>
  <si>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</si>
  <si>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</si>
  <si>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</si>
  <si>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</si>
  <si>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</si>
  <si>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</si>
  <si>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</si>
  <si>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</si>
  <si>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</si>
  <si>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</si>
  <si>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</si>
  <si>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</si>
  <si>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</si>
  <si>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</si>
  <si>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</si>
  <si>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</si>
  <si>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</si>
  <si>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</si>
  <si>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</si>
  <si>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</si>
  <si>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</si>
  <si>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</si>
  <si>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</si>
  <si>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</si>
  <si>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</si>
  <si>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</si>
  <si>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</si>
  <si>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</si>
  <si>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</si>
  <si>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</si>
  <si>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</si>
  <si>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</si>
  <si>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</si>
  <si>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</si>
  <si>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</si>
  <si>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</si>
  <si>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</si>
  <si>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</si>
  <si>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</si>
  <si>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</si>
  <si>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</si>
  <si>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</si>
  <si>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</si>
  <si>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</si>
  <si>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</si>
  <si>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</si>
  <si>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</si>
  <si>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</si>
  <si>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</si>
  <si>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</si>
  <si>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</si>
  <si>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</si>
  <si>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</si>
  <si>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</si>
  <si>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</si>
  <si>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</si>
  <si>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</si>
  <si>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</si>
  <si>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</si>
  <si>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</si>
  <si>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</si>
  <si>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</si>
  <si>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</si>
  <si>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</si>
  <si>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</si>
  <si>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</si>
  <si>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</si>
  <si>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</si>
  <si>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</si>
  <si>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</si>
  <si>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</si>
  <si>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</si>
  <si>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</si>
  <si>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</si>
  <si>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</si>
  <si>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</si>
  <si>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</si>
  <si>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</si>
  <si>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</si>
  <si>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</si>
  <si>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</si>
  <si>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</si>
  <si>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</si>
  <si>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</si>
  <si>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</si>
  <si>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</si>
  <si>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</si>
  <si>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</si>
  <si>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</si>
  <si>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</si>
  <si>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</si>
  <si>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</si>
  <si>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</si>
  <si>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</si>
  <si>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</si>
  <si>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</si>
  <si>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</si>
  <si>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</si>
  <si>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</si>
  <si>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</si>
  <si>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</si>
  <si>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</si>
  <si>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</si>
  <si>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</si>
  <si>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</si>
  <si>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</si>
  <si>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</si>
  <si>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</si>
  <si>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</si>
  <si>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</si>
  <si>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</si>
  <si>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</si>
  <si>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</si>
  <si>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</si>
  <si>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</si>
  <si>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</si>
  <si>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</si>
  <si>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</si>
  <si>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</si>
  <si>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</si>
  <si>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</si>
  <si>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</si>
  <si>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</si>
  <si>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</si>
  <si>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</si>
  <si>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</si>
  <si>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</si>
  <si>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</si>
  <si>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</si>
  <si>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</si>
  <si>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</si>
  <si>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</si>
  <si>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</si>
  <si>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</si>
  <si>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</si>
  <si>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</si>
  <si>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</si>
  <si>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</si>
  <si>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</si>
  <si>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</si>
  <si>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</si>
  <si>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</si>
  <si>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</si>
  <si>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</si>
  <si>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</si>
  <si>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</si>
  <si>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</si>
  <si>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</si>
  <si>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</si>
  <si>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</si>
  <si>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</si>
  <si>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</si>
  <si>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</si>
  <si>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</si>
  <si>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</si>
  <si>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</si>
  <si>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</si>
  <si>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</si>
  <si>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</si>
  <si>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</si>
  <si>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</si>
  <si>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</si>
  <si>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</si>
  <si>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</si>
  <si>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</si>
  <si>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</si>
  <si>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</si>
  <si>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</si>
  <si>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</si>
  <si>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</si>
  <si>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</si>
  <si>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</si>
  <si>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</si>
  <si>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</si>
  <si>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</si>
  <si>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</si>
  <si>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</si>
  <si>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</si>
  <si>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</si>
  <si>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</si>
  <si>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</si>
  <si>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</si>
  <si>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</si>
  <si>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</si>
  <si>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</si>
  <si>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</si>
  <si>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</si>
  <si>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</si>
  <si>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</si>
  <si>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</si>
  <si>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</si>
  <si>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</si>
  <si>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</si>
  <si>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</si>
  <si>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</si>
  <si>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</si>
  <si>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</si>
  <si>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</si>
  <si>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</si>
  <si>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</si>
  <si>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</si>
  <si>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</si>
  <si>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</si>
  <si>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</si>
  <si>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</si>
  <si>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</si>
  <si>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</si>
  <si>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</si>
  <si>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</si>
  <si>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</si>
  <si>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</si>
  <si>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</si>
  <si>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</si>
  <si>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</si>
  <si>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</si>
  <si>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torque</t>
  </si>
  <si>
    <t>Cutlet Centroid</t>
  </si>
  <si>
    <t>WOB</t>
  </si>
  <si>
    <t>Small</t>
  </si>
  <si>
    <t>Large</t>
  </si>
  <si>
    <t>4538r00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</si>
</sst>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;;;"/>
  </numFmts>
  <fonts count="5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  <font>
      <sz val="18"/>
      <color theme="1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27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3" xfId="0" applyBorder="1" applyAlignment="1">
      <alignment horizontal="center"/>
    </xf>
    <xf numFmtId="0" fontId="0" fillId="0" borderId="314" xfId="0" applyBorder="1" applyAlignment="1">
      <alignment horizontal="center" wrapText="1"/>
    </xf>
    <xf numFmtId="3" fontId="25" fillId="0" borderId="327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28" xfId="37" applyBorder="1" applyAlignment="1">
      <alignment horizontal="center" vertical="center"/>
    </xf>
    <xf numFmtId="0" fontId="3" fillId="0" borderId="329" xfId="37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0" fontId="0" fillId="0" borderId="333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36" xfId="0" applyBorder="1" applyAlignment="1">
      <alignment horizontal="center" vertical="center" wrapText="1"/>
    </xf>
    <xf numFmtId="0" fontId="0" fillId="0" borderId="338" xfId="0" applyBorder="1" applyAlignment="1">
      <alignment horizontal="center" vertical="center"/>
    </xf>
    <xf numFmtId="0" fontId="0" fillId="0" borderId="337" xfId="0" applyBorder="1" applyAlignment="1">
      <alignment horizontal="center" vertical="center" wrapText="1"/>
    </xf>
    <xf numFmtId="0" fontId="0" fillId="0" borderId="339" xfId="0" applyBorder="1" applyAlignment="1">
      <alignment horizontal="center" vertical="center" wrapText="1"/>
    </xf>
    <xf numFmtId="0" fontId="0" fillId="0" borderId="341" xfId="0" applyBorder="1" applyAlignment="1">
      <alignment horizontal="center" vertical="center" wrapText="1"/>
    </xf>
    <xf numFmtId="0" fontId="0" fillId="0" borderId="343" xfId="0" applyBorder="1" applyAlignment="1">
      <alignment horizontal="center" vertical="center" wrapText="1"/>
    </xf>
    <xf numFmtId="0" fontId="0" fillId="0" borderId="346" xfId="0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0" fontId="47" fillId="0" borderId="326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0" fontId="0" fillId="0" borderId="272" xfId="0" applyBorder="1" applyAlignment="1">
      <alignment horizontal="center"/>
    </xf>
    <xf numFmtId="172" fontId="31" fillId="0" borderId="344" xfId="0" applyNumberFormat="1" applyFont="1" applyBorder="1" applyAlignment="1">
      <alignment horizontal="center"/>
    </xf>
    <xf numFmtId="172" fontId="31" fillId="0" borderId="95" xfId="0" applyNumberFormat="1" applyFont="1" applyBorder="1" applyAlignment="1">
      <alignment horizontal="center"/>
    </xf>
    <xf numFmtId="172" fontId="31" fillId="0" borderId="347" xfId="0" applyNumberFormat="1" applyFont="1" applyBorder="1" applyAlignment="1">
      <alignment horizontal="center"/>
    </xf>
    <xf numFmtId="172" fontId="31" fillId="0" borderId="342" xfId="0" applyNumberFormat="1" applyFont="1" applyBorder="1" applyAlignment="1">
      <alignment horizontal="center"/>
    </xf>
    <xf numFmtId="172" fontId="31" fillId="0" borderId="101" xfId="0" applyNumberFormat="1" applyFont="1" applyBorder="1" applyAlignment="1">
      <alignment horizontal="center"/>
    </xf>
    <xf numFmtId="172" fontId="31" fillId="0" borderId="334" xfId="0" applyNumberFormat="1" applyFont="1" applyBorder="1" applyAlignment="1">
      <alignment horizontal="center"/>
    </xf>
    <xf numFmtId="164" fontId="31" fillId="0" borderId="318" xfId="0" applyNumberFormat="1" applyFont="1" applyBorder="1" applyAlignment="1">
      <alignment horizontal="center"/>
    </xf>
    <xf numFmtId="164" fontId="31" fillId="0" borderId="165" xfId="0" applyNumberFormat="1" applyFont="1" applyBorder="1" applyAlignment="1">
      <alignment horizontal="center"/>
    </xf>
    <xf numFmtId="164" fontId="31" fillId="0" borderId="324" xfId="0" applyNumberFormat="1" applyFont="1" applyBorder="1" applyAlignment="1">
      <alignment horizontal="center"/>
    </xf>
    <xf numFmtId="10" fontId="31" fillId="0" borderId="312" xfId="0" applyNumberFormat="1" applyFont="1" applyBorder="1" applyAlignment="1">
      <alignment horizontal="center"/>
    </xf>
    <xf numFmtId="3" fontId="31" fillId="0" borderId="95" xfId="0" applyNumberFormat="1" applyFont="1" applyBorder="1" applyAlignment="1">
      <alignment horizontal="center"/>
    </xf>
    <xf numFmtId="172" fontId="31" fillId="0" borderId="338" xfId="0" applyNumberFormat="1" applyFont="1" applyBorder="1" applyAlignment="1">
      <alignment horizontal="center"/>
    </xf>
    <xf numFmtId="172" fontId="31" fillId="0" borderId="77" xfId="0" applyNumberFormat="1" applyFont="1" applyBorder="1" applyAlignment="1">
      <alignment horizontal="center"/>
    </xf>
    <xf numFmtId="172" fontId="31" fillId="0" borderId="345" xfId="0" applyNumberFormat="1" applyFont="1" applyBorder="1" applyAlignment="1">
      <alignment horizontal="center"/>
    </xf>
    <xf numFmtId="172" fontId="31" fillId="0" borderId="340" xfId="0" applyNumberFormat="1" applyFont="1" applyBorder="1" applyAlignment="1">
      <alignment horizontal="center"/>
    </xf>
    <xf numFmtId="172" fontId="31" fillId="0" borderId="335" xfId="0" applyNumberFormat="1" applyFont="1" applyBorder="1" applyAlignment="1">
      <alignment horizontal="center"/>
    </xf>
    <xf numFmtId="164" fontId="31" fillId="0" borderId="319" xfId="0" applyNumberFormat="1" applyFont="1" applyBorder="1" applyAlignment="1">
      <alignment horizontal="center"/>
    </xf>
    <xf numFmtId="164" fontId="31" fillId="0" borderId="78" xfId="0" applyNumberFormat="1" applyFont="1" applyBorder="1" applyAlignment="1">
      <alignment horizontal="center"/>
    </xf>
    <xf numFmtId="164" fontId="31" fillId="0" borderId="325" xfId="0" applyNumberFormat="1" applyFont="1" applyBorder="1" applyAlignment="1">
      <alignment horizontal="center"/>
    </xf>
    <xf numFmtId="10" fontId="31" fillId="0" borderId="313" xfId="0" applyNumberFormat="1" applyFont="1" applyBorder="1" applyAlignment="1">
      <alignment horizontal="center"/>
    </xf>
    <xf numFmtId="3" fontId="31" fillId="0" borderId="77" xfId="0" applyNumberFormat="1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175" fontId="31" fillId="0" borderId="187" xfId="0" applyNumberFormat="1" applyFont="1" applyBorder="1" applyAlignment="1">
      <alignment horizontal="center"/>
    </xf>
    <xf numFmtId="175" fontId="31" fillId="0" borderId="96" xfId="0" applyNumberFormat="1" applyFont="1" applyBorder="1" applyAlignment="1">
      <alignment horizontal="center"/>
    </xf>
    <xf numFmtId="175" fontId="31" fillId="0" borderId="95" xfId="0" applyNumberFormat="1" applyFont="1" applyBorder="1" applyAlignment="1">
      <alignment horizontal="center"/>
    </xf>
    <xf numFmtId="175" fontId="31" fillId="0" borderId="165" xfId="0" applyNumberFormat="1" applyFont="1" applyBorder="1" applyAlignment="1">
      <alignment horizontal="center"/>
    </xf>
    <xf numFmtId="175" fontId="31" fillId="0" borderId="324" xfId="0" applyNumberFormat="1" applyFont="1" applyBorder="1" applyAlignment="1">
      <alignment horizontal="center"/>
    </xf>
    <xf numFmtId="175" fontId="31" fillId="0" borderId="315" xfId="0" applyNumberFormat="1" applyFont="1" applyBorder="1" applyAlignment="1">
      <alignment horizontal="center"/>
    </xf>
    <xf numFmtId="175" fontId="31" fillId="0" borderId="77" xfId="0" applyNumberFormat="1" applyFont="1" applyBorder="1" applyAlignment="1">
      <alignment horizontal="center"/>
    </xf>
    <xf numFmtId="175" fontId="31" fillId="0" borderId="78" xfId="0" applyNumberFormat="1" applyFont="1" applyBorder="1" applyAlignment="1">
      <alignment horizontal="center"/>
    </xf>
    <xf numFmtId="175" fontId="31" fillId="0" borderId="325" xfId="0" applyNumberFormat="1" applyFont="1" applyBorder="1" applyAlignment="1">
      <alignment horizontal="center"/>
    </xf>
    <xf numFmtId="175" fontId="31" fillId="0" borderId="316" xfId="0" applyNumberFormat="1" applyFont="1" applyBorder="1" applyAlignment="1">
      <alignment horizontal="center"/>
    </xf>
    <xf numFmtId="3" fontId="25" fillId="0" borderId="154" xfId="0" applyNumberFormat="1" applyFont="1" applyBorder="1" applyAlignment="1">
      <alignment horizontal="center" vertical="center"/>
    </xf>
    <xf numFmtId="3" fontId="25" fillId="0" borderId="94" xfId="0" applyNumberFormat="1" applyFont="1" applyBorder="1" applyAlignment="1">
      <alignment horizontal="center" vertical="center"/>
    </xf>
    <xf numFmtId="3" fontId="25" fillId="0" borderId="199" xfId="0" applyNumberFormat="1" applyFont="1" applyBorder="1" applyAlignment="1">
      <alignment horizontal="center" vertical="center"/>
    </xf>
    <xf numFmtId="3" fontId="25" fillId="0" borderId="348" xfId="0" applyNumberFormat="1" applyFont="1" applyBorder="1" applyAlignment="1">
      <alignment horizontal="center" vertical="center"/>
    </xf>
    <xf numFmtId="3" fontId="25" fillId="0" borderId="349" xfId="0" applyNumberFormat="1" applyFont="1" applyBorder="1" applyAlignment="1">
      <alignment horizontal="center" vertical="center"/>
    </xf>
    <xf numFmtId="0" fontId="0" fillId="0" borderId="350" xfId="0" applyBorder="1" applyAlignment="1">
      <alignment horizontal="center" vertical="center"/>
    </xf>
    <xf numFmtId="0" fontId="0" fillId="0" borderId="351" xfId="0" applyBorder="1" applyAlignment="1">
      <alignment horizontal="center" vertical="center" wrapText="1"/>
    </xf>
    <xf numFmtId="166" fontId="25" fillId="0" borderId="23" xfId="0" applyNumberFormat="1" applyFont="1" applyBorder="1" applyAlignment="1">
      <alignment horizontal="center"/>
    </xf>
    <xf numFmtId="166" fontId="25" fillId="0" borderId="6" xfId="0" applyNumberFormat="1" applyFont="1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170" xfId="0" applyBorder="1" applyAlignment="1">
      <alignment horizontal="center"/>
    </xf>
    <xf numFmtId="0" fontId="0" fillId="0" borderId="252" xfId="0" applyBorder="1" applyAlignment="1">
      <alignment horizontal="center"/>
    </xf>
    <xf numFmtId="0" fontId="0" fillId="0" borderId="189" xfId="0" applyBorder="1" applyAlignment="1">
      <alignment horizontal="center"/>
    </xf>
    <xf numFmtId="0" fontId="0" fillId="0" borderId="256" xfId="0" applyBorder="1" applyAlignment="1">
      <alignment horizontal="center"/>
    </xf>
    <xf numFmtId="0" fontId="51" fillId="0" borderId="84" xfId="0" applyFont="1" applyBorder="1" applyAlignment="1">
      <alignment horizontal="center"/>
    </xf>
    <xf numFmtId="0" fontId="51" fillId="0" borderId="84" xfId="0" applyFont="1" applyBorder="1" applyAlignment="1">
      <alignment horizontal="center" vertical="top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36" xfId="0" applyBorder="1" applyAlignment="1">
      <alignment horizontal="center"/>
    </xf>
    <xf numFmtId="0" fontId="0" fillId="0" borderId="353" xfId="0" applyBorder="1" applyAlignment="1">
      <alignment horizontal="center"/>
    </xf>
    <xf numFmtId="0" fontId="0" fillId="0" borderId="237" xfId="0" applyBorder="1" applyAlignment="1">
      <alignment horizont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352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0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45" xfId="0" applyBorder="1" applyAlignment="1">
      <alignment horizontal="center" vertical="center" wrapText="1"/>
    </xf>
    <xf numFmtId="0" fontId="0" fillId="0" borderId="34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239</xdr:col>
      <xdr:colOff>1095375</xdr:colOff>
      <xdr:row>26</xdr:row>
      <xdr:rowOff>11910</xdr:rowOff>
    </xdr:from>
    <xdr:to>
      <xdr:col>239</xdr:col>
      <xdr:colOff>1726405</xdr:colOff>
      <xdr:row>49</xdr:row>
      <xdr:rowOff>35722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158168578" y="7042551"/>
          <a:ext cx="4405312" cy="6310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F33" sqref="F33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04" t="s">
        <v>77</v>
      </c>
      <c r="D1" s="1004"/>
      <c r="E1" s="1004"/>
      <c r="F1" s="1004"/>
      <c r="G1" s="1004"/>
      <c r="H1" s="1004"/>
      <c r="I1" s="1004"/>
      <c r="J1" s="1004"/>
      <c r="K1" s="1004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91" t="s">
        <v>80</v>
      </c>
      <c r="B6" s="991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90" t="s">
        <v>370</v>
      </c>
      <c r="AQ7" s="990"/>
      <c r="AR7" s="990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6">
        <v>9</v>
      </c>
      <c r="D9" s="966"/>
      <c r="E9" s="966"/>
      <c r="F9" s="966"/>
      <c r="G9" s="966"/>
      <c r="H9" s="966"/>
      <c r="I9" s="966"/>
      <c r="J9" s="966"/>
      <c r="K9" s="997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85"/>
      <c r="C10" s="986"/>
      <c r="D10" s="986"/>
      <c r="E10" s="986"/>
      <c r="F10" s="986"/>
      <c r="G10" s="986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02"/>
      <c r="B11" s="992" t="s">
        <v>33</v>
      </c>
      <c r="C11" s="1001" t="s">
        <v>34</v>
      </c>
      <c r="D11" s="1001"/>
      <c r="E11" s="998" t="s">
        <v>39</v>
      </c>
      <c r="F11" s="992" t="s">
        <v>35</v>
      </c>
      <c r="G11" s="992" t="s">
        <v>36</v>
      </c>
      <c r="H11" s="992" t="s">
        <v>43</v>
      </c>
      <c r="I11" s="999" t="s">
        <v>67</v>
      </c>
      <c r="J11" s="1001" t="s">
        <v>56</v>
      </c>
      <c r="K11" s="100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65" t="s">
        <v>338</v>
      </c>
      <c r="AN11" s="966"/>
      <c r="AO11" s="966"/>
      <c r="AP11" s="966"/>
      <c r="AQ11" s="966"/>
      <c r="AR11" s="967"/>
      <c r="AS11" s="976" t="s">
        <v>345</v>
      </c>
      <c r="AT11" s="977"/>
      <c r="AU11" s="977"/>
      <c r="AV11" s="978"/>
      <c r="BC11" s="419"/>
    </row>
    <row r="12" spans="1:55" ht="15.75" thickBot="1" x14ac:dyDescent="0.3">
      <c r="A12" s="1003"/>
      <c r="B12" s="993"/>
      <c r="C12" s="48" t="s">
        <v>8</v>
      </c>
      <c r="D12" s="49" t="s">
        <v>10</v>
      </c>
      <c r="E12" s="993"/>
      <c r="F12" s="993"/>
      <c r="G12" s="993"/>
      <c r="H12" s="993"/>
      <c r="I12" s="1000"/>
      <c r="J12" s="52" t="s">
        <v>8</v>
      </c>
      <c r="K12" s="53" t="s">
        <v>10</v>
      </c>
      <c r="M12" s="31"/>
      <c r="N12" s="31"/>
      <c r="O12" s="1013" t="s">
        <v>46</v>
      </c>
      <c r="P12" s="1014"/>
      <c r="Q12" s="994" t="s">
        <v>45</v>
      </c>
      <c r="R12" s="995"/>
      <c r="S12" s="995"/>
      <c r="T12" s="995"/>
      <c r="U12" s="995"/>
      <c r="V12" s="995"/>
      <c r="W12" s="995"/>
      <c r="X12" s="995"/>
      <c r="Y12" s="995"/>
      <c r="Z12" s="995"/>
      <c r="AA12" s="995"/>
      <c r="AB12" s="995"/>
      <c r="AC12" s="995"/>
      <c r="AD12" s="995"/>
      <c r="AE12" s="996"/>
      <c r="AF12" s="1007" t="s">
        <v>56</v>
      </c>
      <c r="AG12" s="1008"/>
      <c r="AH12" s="31"/>
      <c r="AK12" s="971" t="s">
        <v>346</v>
      </c>
      <c r="AL12" s="987"/>
      <c r="AM12" s="968" t="s">
        <v>343</v>
      </c>
      <c r="AN12" s="969"/>
      <c r="AO12" s="970"/>
      <c r="AP12" s="971" t="s">
        <v>371</v>
      </c>
      <c r="AQ12" s="970"/>
      <c r="AR12" s="743" t="s">
        <v>369</v>
      </c>
      <c r="AS12" s="973" t="s">
        <v>343</v>
      </c>
      <c r="AT12" s="970"/>
      <c r="AU12" s="974" t="s">
        <v>344</v>
      </c>
      <c r="AV12" s="975"/>
      <c r="AW12" s="979" t="s">
        <v>342</v>
      </c>
      <c r="AX12" s="980"/>
      <c r="AZ12" s="971" t="s">
        <v>60</v>
      </c>
      <c r="BA12" s="970"/>
      <c r="BC12" s="972" t="s">
        <v>374</v>
      </c>
    </row>
    <row r="13" spans="1:55" ht="15.75" thickBot="1" x14ac:dyDescent="0.3">
      <c r="A13" s="63" t="s">
        <v>57</v>
      </c>
      <c r="B13" s="981" t="s">
        <v>97</v>
      </c>
      <c r="C13" s="983" t="str">
        <f>SUBSTITUTE(ADDRESS(1,COLUMN(Assy.Model!X9),4),"1","")</f>
        <v>X</v>
      </c>
      <c r="D13" s="97" t="str">
        <f>SUBSTITUTE(ADDRESS(1,COLUMN(Assy.Model!Y9),4),"1","")</f>
        <v>Y</v>
      </c>
      <c r="E13" s="988" t="str">
        <f>SUBSTITUTE(ADDRESS(1,COLUMN(Assy.Model!H9),4),"1","")</f>
        <v>H</v>
      </c>
      <c r="F13" s="988" t="str">
        <f>SUBSTITUTE(ADDRESS(1,COLUMN(Assy.Model!AN9),4),"1","")</f>
        <v>AN</v>
      </c>
      <c r="G13" s="988" t="str">
        <f>SUBSTITUTE(ADDRESS(1,COLUMN(Assy.Model!AO9),4),"1","")</f>
        <v>AO</v>
      </c>
      <c r="H13" s="988" t="str">
        <f>SUBSTITUTE(ADDRESS(1,COLUMN(Assy.Model!AO9),4),"1","")</f>
        <v>AO</v>
      </c>
      <c r="I13" s="988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15"/>
      <c r="P13" s="1016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72"/>
    </row>
    <row r="14" spans="1:55" x14ac:dyDescent="0.25">
      <c r="A14" s="61" t="s">
        <v>58</v>
      </c>
      <c r="B14" s="982"/>
      <c r="C14" s="984"/>
      <c r="D14" s="98" t="str">
        <f>SUBSTITUTE(ADDRESS(1,COLUMN(Assy.Model!AT9),4),"1","")</f>
        <v>AT</v>
      </c>
      <c r="E14" s="989"/>
      <c r="F14" s="989"/>
      <c r="G14" s="989"/>
      <c r="H14" s="989"/>
      <c r="I14" s="989"/>
      <c r="J14" s="87">
        <v>0</v>
      </c>
      <c r="K14" s="88">
        <v>0</v>
      </c>
      <c r="L14" s="31"/>
      <c r="M14" s="185">
        <v>6.25E-2</v>
      </c>
      <c r="N14" s="31">
        <v>32</v>
      </c>
      <c r="O14" s="1011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11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11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11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11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12.25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11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12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96" t="s">
        <v>64</v>
      </c>
      <c r="C21" s="966"/>
      <c r="D21" s="966"/>
      <c r="E21" s="966"/>
      <c r="F21" s="997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02"/>
      <c r="C22" s="996" t="s">
        <v>63</v>
      </c>
      <c r="D22" s="997"/>
      <c r="E22" s="999" t="s">
        <v>60</v>
      </c>
      <c r="F22" s="999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17"/>
      <c r="C23" s="56" t="s">
        <v>8</v>
      </c>
      <c r="D23" s="56" t="s">
        <v>9</v>
      </c>
      <c r="E23" s="1000"/>
      <c r="F23" s="1000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09">
        <v>0</v>
      </c>
      <c r="E24" s="1009">
        <v>2</v>
      </c>
      <c r="F24" s="1009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6.125</v>
      </c>
      <c r="D25" s="1010"/>
      <c r="E25" s="1010"/>
      <c r="F25" s="1010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05" t="s">
        <v>302</v>
      </c>
      <c r="C27" s="1005"/>
      <c r="D27" s="1005"/>
      <c r="E27" s="1005"/>
      <c r="F27" s="1005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06" t="s">
        <v>408</v>
      </c>
      <c r="C28" s="1006"/>
      <c r="D28" s="1006"/>
      <c r="E28" s="1006"/>
      <c r="F28" s="1006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66" t="s">
        <v>95</v>
      </c>
      <c r="D3" s="966"/>
      <c r="E3" s="966"/>
      <c r="F3" s="966"/>
      <c r="G3" s="966"/>
      <c r="H3" s="966"/>
      <c r="I3" s="966"/>
      <c r="J3" s="966"/>
      <c r="K3" s="967"/>
      <c r="L3" s="1023"/>
      <c r="M3" s="966"/>
      <c r="N3" s="966"/>
      <c r="O3" s="966"/>
      <c r="P3" s="966"/>
      <c r="Q3" s="966"/>
      <c r="R3" s="997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5" t="s">
        <v>86</v>
      </c>
      <c r="C4" s="1062" t="s">
        <v>82</v>
      </c>
      <c r="D4" s="966" t="s">
        <v>83</v>
      </c>
      <c r="E4" s="966"/>
      <c r="F4" s="966"/>
      <c r="G4" s="966"/>
      <c r="H4" s="966"/>
      <c r="I4" s="966"/>
      <c r="J4" s="966"/>
      <c r="K4" s="966"/>
      <c r="L4" s="146" t="s">
        <v>91</v>
      </c>
      <c r="M4" s="996" t="s">
        <v>94</v>
      </c>
      <c r="N4" s="966"/>
      <c r="O4" s="966"/>
      <c r="P4" s="967"/>
      <c r="Q4" s="966" t="s">
        <v>52</v>
      </c>
      <c r="R4" s="997"/>
      <c r="S4" s="103"/>
      <c r="T4" s="996">
        <v>350</v>
      </c>
      <c r="U4" s="966"/>
      <c r="V4" s="966" t="s">
        <v>76</v>
      </c>
      <c r="W4" s="966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6"/>
      <c r="C5" s="1063"/>
      <c r="D5" s="1051" t="s">
        <v>85</v>
      </c>
      <c r="E5" s="1065" t="s">
        <v>89</v>
      </c>
      <c r="F5" s="1001" t="s">
        <v>34</v>
      </c>
      <c r="G5" s="1001"/>
      <c r="H5" s="998" t="s">
        <v>39</v>
      </c>
      <c r="I5" s="992" t="s">
        <v>35</v>
      </c>
      <c r="J5" s="992" t="s">
        <v>36</v>
      </c>
      <c r="K5" s="1035" t="s">
        <v>67</v>
      </c>
      <c r="L5" s="147" t="s">
        <v>92</v>
      </c>
      <c r="M5" s="999" t="s">
        <v>90</v>
      </c>
      <c r="N5" s="999" t="s">
        <v>47</v>
      </c>
      <c r="O5" s="1018" t="s">
        <v>84</v>
      </c>
      <c r="P5" s="1019"/>
      <c r="Q5" s="1020" t="s">
        <v>84</v>
      </c>
      <c r="R5" s="1021"/>
      <c r="S5" s="103"/>
      <c r="T5" s="1013" t="s">
        <v>46</v>
      </c>
      <c r="U5" s="1024"/>
      <c r="V5" s="980" t="s">
        <v>45</v>
      </c>
      <c r="W5" s="1008"/>
      <c r="X5" s="1008"/>
      <c r="Y5" s="1008"/>
      <c r="Z5" s="1008"/>
      <c r="AA5" s="1008"/>
      <c r="AB5" s="1008"/>
      <c r="AC5" s="1008"/>
      <c r="AD5" s="1008"/>
      <c r="AE5" s="1008"/>
      <c r="AF5" s="1008"/>
      <c r="AG5" s="1008"/>
      <c r="AH5" s="1008"/>
      <c r="AI5" s="1008"/>
      <c r="AJ5" s="1008"/>
      <c r="AK5" s="31"/>
      <c r="AL5" s="31"/>
    </row>
    <row r="6" spans="2:38" ht="15" customHeight="1" thickBot="1" x14ac:dyDescent="0.3">
      <c r="B6" s="1047"/>
      <c r="C6" s="1064"/>
      <c r="D6" s="1052"/>
      <c r="E6" s="1066"/>
      <c r="F6" s="104" t="s">
        <v>8</v>
      </c>
      <c r="G6" s="105" t="s">
        <v>10</v>
      </c>
      <c r="H6" s="1036"/>
      <c r="I6" s="1036"/>
      <c r="J6" s="1036"/>
      <c r="K6" s="1025"/>
      <c r="L6" s="148" t="s">
        <v>93</v>
      </c>
      <c r="M6" s="1022"/>
      <c r="N6" s="102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25"/>
      <c r="U6" s="1026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53">
        <f>ROW(Assy.Model!B9)</f>
        <v>9</v>
      </c>
      <c r="D7" s="1042" t="str">
        <f>SUBSTITUTE(ADDRESS(1,COLUMN(Assy.Model!B9),4),"1","")</f>
        <v>B</v>
      </c>
      <c r="E7" s="1056" t="str">
        <f>SUBSTITUTE(ADDRESS(1,COLUMN(Assy.Model!M9),4),"1","")</f>
        <v>M</v>
      </c>
      <c r="F7" s="1059" t="str">
        <f>SUBSTITUTE(ADDRESS(1,COLUMN(Assy.Model!X9),4),"1","")</f>
        <v>X</v>
      </c>
      <c r="G7" s="1048" t="str">
        <f>SUBSTITUTE(ADDRESS(1,COLUMN(Assy.Model!AT9),4),"1","")</f>
        <v>AT</v>
      </c>
      <c r="H7" s="1027" t="str">
        <f>SUBSTITUTE(ADDRESS(1,COLUMN(Assy.Model!H9),4),"1","")</f>
        <v>H</v>
      </c>
      <c r="I7" s="1027" t="str">
        <f>SUBSTITUTE(ADDRESS(1,COLUMN(Assy.Model!AN9),4),"1","")</f>
        <v>AN</v>
      </c>
      <c r="J7" s="1027" t="str">
        <f>SUBSTITUTE(ADDRESS(1,COLUMN(Assy.Model!AO9),4),"1","")</f>
        <v>AO</v>
      </c>
      <c r="K7" s="1030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9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7" t="s">
        <v>81</v>
      </c>
      <c r="C8" s="1054"/>
      <c r="D8" s="1043"/>
      <c r="E8" s="1057"/>
      <c r="F8" s="1060"/>
      <c r="G8" s="1049"/>
      <c r="H8" s="1028"/>
      <c r="I8" s="1028"/>
      <c r="J8" s="1028"/>
      <c r="K8" s="1031"/>
      <c r="L8" s="149" t="s">
        <v>93</v>
      </c>
      <c r="M8" s="1033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40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7"/>
      <c r="C9" s="1054"/>
      <c r="D9" s="1043"/>
      <c r="E9" s="1057"/>
      <c r="F9" s="1060"/>
      <c r="G9" s="1049"/>
      <c r="H9" s="1028"/>
      <c r="I9" s="1028"/>
      <c r="J9" s="1028"/>
      <c r="K9" s="1031"/>
      <c r="L9" s="149" t="s">
        <v>92</v>
      </c>
      <c r="M9" s="1033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40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7"/>
      <c r="C10" s="1054"/>
      <c r="D10" s="1043"/>
      <c r="E10" s="1057"/>
      <c r="F10" s="1060"/>
      <c r="G10" s="1049"/>
      <c r="H10" s="1028"/>
      <c r="I10" s="1028"/>
      <c r="J10" s="1028"/>
      <c r="K10" s="1031"/>
      <c r="L10" s="149" t="s">
        <v>92</v>
      </c>
      <c r="M10" s="1033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40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7"/>
      <c r="C11" s="1054"/>
      <c r="D11" s="1043"/>
      <c r="E11" s="1057"/>
      <c r="F11" s="1060"/>
      <c r="G11" s="1049"/>
      <c r="H11" s="1028"/>
      <c r="I11" s="1028"/>
      <c r="J11" s="1028"/>
      <c r="K11" s="1031"/>
      <c r="L11" s="149" t="s">
        <v>92</v>
      </c>
      <c r="M11" s="1033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40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7"/>
      <c r="C12" s="1054"/>
      <c r="D12" s="1043"/>
      <c r="E12" s="1057"/>
      <c r="F12" s="1060"/>
      <c r="G12" s="1049"/>
      <c r="H12" s="1028"/>
      <c r="I12" s="1028"/>
      <c r="J12" s="1028"/>
      <c r="K12" s="1031"/>
      <c r="L12" s="149" t="s">
        <v>92</v>
      </c>
      <c r="M12" s="1033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40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7"/>
      <c r="C13" s="1054"/>
      <c r="D13" s="1043"/>
      <c r="E13" s="1057"/>
      <c r="F13" s="1060"/>
      <c r="G13" s="1049"/>
      <c r="H13" s="1028"/>
      <c r="I13" s="1028"/>
      <c r="J13" s="1028"/>
      <c r="K13" s="1031"/>
      <c r="L13" s="149" t="s">
        <v>92</v>
      </c>
      <c r="M13" s="1033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40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8"/>
      <c r="C14" s="1055"/>
      <c r="D14" s="1044"/>
      <c r="E14" s="1058"/>
      <c r="F14" s="1061"/>
      <c r="G14" s="1050"/>
      <c r="H14" s="1029"/>
      <c r="I14" s="1029"/>
      <c r="J14" s="1029"/>
      <c r="K14" s="1032"/>
      <c r="L14" s="150" t="s">
        <v>93</v>
      </c>
      <c r="M14" s="1034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1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style="31" hidden="1" customWidth="1"/>
    <col min="226" max="226" width="12.5703125" style="31" hidden="1" customWidth="1"/>
    <col min="227" max="227" width="10.7109375" style="31" bestFit="1" customWidth="1"/>
    <col min="228" max="230" width="7.7109375" style="31" customWidth="1"/>
    <col min="231" max="231" width="11.7109375" style="31" hidden="1" customWidth="1"/>
    <col min="232" max="235" width="11.7109375" style="31" customWidth="1"/>
    <col min="236" max="236" width="12.7109375" style="31" customWidth="1"/>
    <col min="237" max="237" width="10.7109375" hidden="1" customWidth="1"/>
    <col min="238" max="238" width="11.7109375" hidden="1" customWidth="1"/>
    <col min="239" max="239" width="10.7109375" hidden="1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302" t="str">
        <f>CONCATENATE(Settings!$C$19," ",Settings!$B$28)</f>
        <v>12.25 4538r00</v>
      </c>
      <c r="D1" s="1302"/>
      <c r="E1" s="1302"/>
      <c r="F1" s="1302"/>
      <c r="G1" s="1302"/>
      <c r="H1" s="1302"/>
      <c r="I1" s="1302"/>
      <c r="J1" s="1302"/>
      <c r="K1" s="1302"/>
      <c r="L1" s="709"/>
      <c r="M1" s="907">
        <f>IFERROR(LARGE(M9:M150,1),"Null")</f>
        <v>6.1559999999999997</v>
      </c>
      <c r="N1" s="419"/>
      <c r="O1" s="419"/>
      <c r="P1" s="903"/>
      <c r="Q1" s="82"/>
      <c r="R1" s="903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K1" s="103">
        <v>8000</v>
      </c>
      <c r="IL1" s="103">
        <v>14000</v>
      </c>
      <c r="IM1" s="945">
        <v>18000</v>
      </c>
      <c r="IN1" s="945"/>
      <c r="IO1" s="945"/>
      <c r="IP1" s="945"/>
      <c r="IQ1" s="945"/>
      <c r="IR1" s="945"/>
      <c r="IS1" s="945"/>
      <c r="IT1" s="945" t="s">
        <v>403</v>
      </c>
      <c r="IU1" s="141">
        <f>IM1/HX6</f>
        <v>2.5064317998967338</v>
      </c>
      <c r="JC1" s="82"/>
      <c r="JD1" s="82"/>
      <c r="JE1" s="82"/>
    </row>
    <row r="2" spans="1:285" ht="15" customHeight="1" thickTop="1" thickBot="1" x14ac:dyDescent="0.3">
      <c r="B2" s="1078" t="s">
        <v>306</v>
      </c>
      <c r="C2" s="1307"/>
      <c r="D2" s="1307"/>
      <c r="E2" s="1307"/>
      <c r="F2" s="1307"/>
      <c r="G2" s="1307"/>
      <c r="H2" s="1307"/>
      <c r="I2" s="1307"/>
      <c r="J2" s="1307"/>
      <c r="K2" s="1308"/>
      <c r="L2" s="1146" t="str" cm="1">
        <f t="array" ref="L2">IF(OR($K$9:$K$150="Undefined"),"Undefined Element","")</f>
        <v/>
      </c>
      <c r="M2" s="1317" t="s">
        <v>0</v>
      </c>
      <c r="N2" s="1264" t="s">
        <v>1</v>
      </c>
      <c r="O2" s="1265"/>
      <c r="P2" s="1265"/>
      <c r="Q2" s="1265"/>
      <c r="R2" s="1265"/>
      <c r="S2" s="1265"/>
      <c r="T2" s="1265"/>
      <c r="U2" s="1265"/>
      <c r="V2" s="1265"/>
      <c r="W2" s="1265"/>
      <c r="X2" s="1265"/>
      <c r="Y2" s="1277"/>
      <c r="Z2" s="1264" t="s">
        <v>2</v>
      </c>
      <c r="AA2" s="1265"/>
      <c r="AB2" s="1265"/>
      <c r="AC2" s="1265"/>
      <c r="AD2" s="1265"/>
      <c r="AE2" s="1265"/>
      <c r="AF2" s="1265"/>
      <c r="AG2" s="1265"/>
      <c r="AH2" s="1265"/>
      <c r="AI2" s="1265"/>
      <c r="AJ2" s="1265"/>
      <c r="AK2" s="1265"/>
      <c r="AL2" s="1265"/>
      <c r="AM2" s="1265"/>
      <c r="AN2" s="1265"/>
      <c r="AO2" s="1265"/>
      <c r="AP2" s="1265"/>
      <c r="AQ2" s="1266"/>
      <c r="AS2" s="1097" t="s">
        <v>44</v>
      </c>
      <c r="AT2" s="1099"/>
      <c r="AV2" s="1359" t="s">
        <v>0</v>
      </c>
      <c r="AW2" s="1264" t="s">
        <v>109</v>
      </c>
      <c r="AX2" s="1265"/>
      <c r="AY2" s="1265"/>
      <c r="AZ2" s="1265"/>
      <c r="BA2" s="1265"/>
      <c r="BB2" s="1265"/>
      <c r="BC2" s="1265"/>
      <c r="BD2" s="1265"/>
      <c r="BE2" s="1266"/>
      <c r="BF2" s="1276" t="s">
        <v>115</v>
      </c>
      <c r="BG2" s="1265"/>
      <c r="BH2" s="1265"/>
      <c r="BI2" s="1265"/>
      <c r="BJ2" s="1265"/>
      <c r="BK2" s="1265"/>
      <c r="BL2" s="1265"/>
      <c r="BM2" s="1265"/>
      <c r="BN2" s="1265"/>
      <c r="BO2" s="1265"/>
      <c r="BP2" s="1265"/>
      <c r="BQ2" s="1265"/>
      <c r="BR2" s="1265"/>
      <c r="BS2" s="1265"/>
      <c r="BT2" s="1265"/>
      <c r="BU2" s="1265"/>
      <c r="BV2" s="1265"/>
      <c r="BW2" s="1265"/>
      <c r="BX2" s="1265"/>
      <c r="BY2" s="1265"/>
      <c r="BZ2" s="1265"/>
      <c r="CA2" s="1265"/>
      <c r="CB2" s="1265"/>
      <c r="CC2" s="1265"/>
      <c r="CD2" s="1265"/>
      <c r="CE2" s="1265"/>
      <c r="CF2" s="1265"/>
      <c r="CG2" s="1265"/>
      <c r="CH2" s="1265"/>
      <c r="CI2" s="1265"/>
      <c r="CJ2" s="1265"/>
      <c r="CK2" s="1265"/>
      <c r="CL2" s="1265"/>
      <c r="CM2" s="1265"/>
      <c r="CN2" s="1265"/>
      <c r="CO2" s="1265"/>
      <c r="CP2" s="1265"/>
      <c r="CQ2" s="1265"/>
      <c r="CR2" s="1265"/>
      <c r="CS2" s="1265"/>
      <c r="CT2" s="1265"/>
      <c r="CU2" s="1265"/>
      <c r="CV2" s="1265"/>
      <c r="CW2" s="1265"/>
      <c r="CX2" s="1265"/>
      <c r="CY2" s="1265"/>
      <c r="CZ2" s="1265"/>
      <c r="DA2" s="1265"/>
      <c r="DB2" s="1265"/>
      <c r="DC2" s="1265"/>
      <c r="DD2" s="1265"/>
      <c r="DE2" s="1265"/>
      <c r="DF2" s="1265"/>
      <c r="DG2" s="1265"/>
      <c r="DH2" s="1265"/>
      <c r="DI2" s="1265"/>
      <c r="DJ2" s="1265"/>
      <c r="DK2" s="1265"/>
      <c r="DL2" s="1265"/>
      <c r="DM2" s="1265"/>
      <c r="DN2" s="1265"/>
      <c r="DO2" s="1265"/>
      <c r="DP2" s="1265"/>
      <c r="DQ2" s="1265"/>
      <c r="DR2" s="1265"/>
      <c r="DS2" s="1265"/>
      <c r="DT2" s="1265"/>
      <c r="DU2" s="1265"/>
      <c r="DV2" s="1265"/>
      <c r="DW2" s="1265"/>
      <c r="DX2" s="1265"/>
      <c r="DY2" s="1265"/>
      <c r="DZ2" s="1265"/>
      <c r="EA2" s="1265"/>
      <c r="EB2" s="1265"/>
      <c r="EC2" s="1265"/>
      <c r="ED2" s="1265"/>
      <c r="EE2" s="1265"/>
      <c r="EF2" s="1265"/>
      <c r="EG2" s="1265"/>
      <c r="EH2" s="1265"/>
      <c r="EI2" s="1265"/>
      <c r="EJ2" s="1265"/>
      <c r="EK2" s="1265"/>
      <c r="EL2" s="1265"/>
      <c r="EM2" s="1265"/>
      <c r="EN2" s="1265"/>
      <c r="EO2" s="1265"/>
      <c r="EP2" s="1265"/>
      <c r="EQ2" s="1265"/>
      <c r="ER2" s="1277"/>
      <c r="ES2" s="1126" t="s">
        <v>196</v>
      </c>
      <c r="ET2" s="1127"/>
      <c r="EU2" s="1127"/>
      <c r="EV2" s="1127"/>
      <c r="EW2" s="1127"/>
      <c r="EX2" s="1127"/>
      <c r="EY2" s="1127"/>
      <c r="EZ2" s="1127"/>
      <c r="FA2" s="1127"/>
      <c r="FB2" s="1127"/>
      <c r="FC2" s="1127"/>
      <c r="FD2" s="1127"/>
      <c r="FE2" s="1127"/>
      <c r="FF2" s="1128"/>
      <c r="FP2" t="s">
        <v>204</v>
      </c>
      <c r="GB2" s="1"/>
      <c r="GE2" s="302"/>
      <c r="GF2" s="302"/>
      <c r="GI2" s="302"/>
      <c r="GL2" s="322">
        <f>SUM(GL9:GL150)</f>
        <v>0.93369999999999986</v>
      </c>
      <c r="GM2" s="322">
        <f>SUM(GM9:GM150)</f>
        <v>18.050392181373319</v>
      </c>
      <c r="GR2" s="309">
        <f>SUM(GR9:GR150)</f>
        <v>62633.663239024732</v>
      </c>
      <c r="GS2" s="309">
        <f>SUM(GS9:GS150)</f>
        <v>6424.1940126018571</v>
      </c>
      <c r="GT2" s="309"/>
      <c r="GU2" s="309">
        <f>SUM(GU9:GU150)</f>
        <v>45125.98045343328</v>
      </c>
      <c r="GV2" s="309"/>
      <c r="GW2" s="369">
        <v>30000</v>
      </c>
      <c r="GX2" s="309">
        <f>SUM(GX9:GX150)</f>
        <v>7181.5239499999989</v>
      </c>
      <c r="GY2" s="309">
        <f>SUM(GY9:GY150)</f>
        <v>11083.488772989576</v>
      </c>
      <c r="GZ2" s="309"/>
      <c r="HE2" s="309"/>
      <c r="HF2" s="309"/>
      <c r="HG2" s="309"/>
      <c r="HH2" s="309"/>
      <c r="HU2" s="920"/>
      <c r="HV2" s="921"/>
      <c r="HW2" s="1095" t="str">
        <f>IFERROR(CONCATENATE("Sum of Lateral Forces = ",ROUND(HE3,0)," lbs @ ",ROUND(HF3,1),"° Relative to Blade 1"),"")</f>
        <v>Sum of Lateral Forces = 962 lbs @ 143.5° Relative to Blade 1</v>
      </c>
      <c r="HX2" s="1095"/>
      <c r="HY2" s="1095"/>
      <c r="HZ2" s="1095"/>
      <c r="IA2" s="1095"/>
      <c r="IB2" s="1095"/>
      <c r="IC2" s="1095"/>
      <c r="ID2" s="1095"/>
      <c r="IE2" s="1095"/>
      <c r="IF2" s="847"/>
      <c r="IM2">
        <v>47000</v>
      </c>
      <c r="IN2" s="323" t="s">
        <v>396</v>
      </c>
      <c r="IO2" s="31"/>
      <c r="IP2" s="31"/>
      <c r="IQ2" s="31"/>
      <c r="IR2" s="31"/>
      <c r="IS2" s="31"/>
      <c r="IT2" s="31" t="s">
        <v>405</v>
      </c>
      <c r="IU2" s="82">
        <f>IM2/IE6</f>
        <v>6.4755184413022269</v>
      </c>
      <c r="JC2" s="82"/>
      <c r="JD2" s="82"/>
      <c r="JE2" s="82"/>
    </row>
    <row r="3" spans="1:285" ht="15" customHeight="1" x14ac:dyDescent="0.25">
      <c r="B3" s="1309"/>
      <c r="C3" s="1310"/>
      <c r="D3" s="1310"/>
      <c r="E3" s="1310"/>
      <c r="F3" s="1310"/>
      <c r="G3" s="1310"/>
      <c r="H3" s="1310"/>
      <c r="I3" s="1310"/>
      <c r="J3" s="1310"/>
      <c r="K3" s="1311"/>
      <c r="L3" s="1146"/>
      <c r="M3" s="1309"/>
      <c r="N3" s="1267"/>
      <c r="O3" s="1268"/>
      <c r="P3" s="1268"/>
      <c r="Q3" s="1268"/>
      <c r="R3" s="1268"/>
      <c r="S3" s="1268"/>
      <c r="T3" s="1268"/>
      <c r="U3" s="1268"/>
      <c r="V3" s="1268"/>
      <c r="W3" s="1268"/>
      <c r="X3" s="1268"/>
      <c r="Y3" s="1361"/>
      <c r="Z3" s="1267"/>
      <c r="AA3" s="1268"/>
      <c r="AB3" s="1268"/>
      <c r="AC3" s="1268"/>
      <c r="AD3" s="1268"/>
      <c r="AE3" s="1268"/>
      <c r="AF3" s="1268"/>
      <c r="AG3" s="1268"/>
      <c r="AH3" s="1268"/>
      <c r="AI3" s="1268"/>
      <c r="AJ3" s="1268"/>
      <c r="AK3" s="1268"/>
      <c r="AL3" s="1268"/>
      <c r="AM3" s="1268"/>
      <c r="AN3" s="1268"/>
      <c r="AO3" s="1268"/>
      <c r="AP3" s="1268"/>
      <c r="AQ3" s="1269"/>
      <c r="AS3" s="415">
        <v>215</v>
      </c>
      <c r="AT3" s="412" t="s">
        <v>45</v>
      </c>
      <c r="AV3" s="1360"/>
      <c r="AW3" s="1129"/>
      <c r="AX3" s="1130"/>
      <c r="AY3" s="1130"/>
      <c r="AZ3" s="1130"/>
      <c r="BA3" s="1130"/>
      <c r="BB3" s="1130"/>
      <c r="BC3" s="1130"/>
      <c r="BD3" s="1130"/>
      <c r="BE3" s="1285"/>
      <c r="BF3" s="1278"/>
      <c r="BG3" s="1130"/>
      <c r="BH3" s="1130"/>
      <c r="BI3" s="1130"/>
      <c r="BJ3" s="1130"/>
      <c r="BK3" s="1130"/>
      <c r="BL3" s="1130"/>
      <c r="BM3" s="1130"/>
      <c r="BN3" s="1130"/>
      <c r="BO3" s="1130"/>
      <c r="BP3" s="1130"/>
      <c r="BQ3" s="1130"/>
      <c r="BR3" s="1130"/>
      <c r="BS3" s="1130"/>
      <c r="BT3" s="1130"/>
      <c r="BU3" s="1130"/>
      <c r="BV3" s="1130"/>
      <c r="BW3" s="1130"/>
      <c r="BX3" s="1130"/>
      <c r="BY3" s="1130"/>
      <c r="BZ3" s="1130"/>
      <c r="CA3" s="1130"/>
      <c r="CB3" s="1130"/>
      <c r="CC3" s="1130"/>
      <c r="CD3" s="1130"/>
      <c r="CE3" s="1130"/>
      <c r="CF3" s="1130"/>
      <c r="CG3" s="1130"/>
      <c r="CH3" s="1130"/>
      <c r="CI3" s="1130"/>
      <c r="CJ3" s="1130"/>
      <c r="CK3" s="1130"/>
      <c r="CL3" s="1130"/>
      <c r="CM3" s="1130"/>
      <c r="CN3" s="1130"/>
      <c r="CO3" s="1130"/>
      <c r="CP3" s="1130"/>
      <c r="CQ3" s="1130"/>
      <c r="CR3" s="1130"/>
      <c r="CS3" s="1130"/>
      <c r="CT3" s="1130"/>
      <c r="CU3" s="1130"/>
      <c r="CV3" s="1130"/>
      <c r="CW3" s="1130"/>
      <c r="CX3" s="1130"/>
      <c r="CY3" s="1130"/>
      <c r="CZ3" s="1130"/>
      <c r="DA3" s="1130"/>
      <c r="DB3" s="1130"/>
      <c r="DC3" s="1130"/>
      <c r="DD3" s="1130"/>
      <c r="DE3" s="1130"/>
      <c r="DF3" s="1130"/>
      <c r="DG3" s="1130"/>
      <c r="DH3" s="1130"/>
      <c r="DI3" s="1130"/>
      <c r="DJ3" s="1130"/>
      <c r="DK3" s="1130"/>
      <c r="DL3" s="1130"/>
      <c r="DM3" s="1130"/>
      <c r="DN3" s="1130"/>
      <c r="DO3" s="1130"/>
      <c r="DP3" s="1130"/>
      <c r="DQ3" s="1130"/>
      <c r="DR3" s="1130"/>
      <c r="DS3" s="1130"/>
      <c r="DT3" s="1130"/>
      <c r="DU3" s="1130"/>
      <c r="DV3" s="1130"/>
      <c r="DW3" s="1130"/>
      <c r="DX3" s="1130"/>
      <c r="DY3" s="1130"/>
      <c r="DZ3" s="1130"/>
      <c r="EA3" s="1130"/>
      <c r="EB3" s="1130"/>
      <c r="EC3" s="1130"/>
      <c r="ED3" s="1130"/>
      <c r="EE3" s="1130"/>
      <c r="EF3" s="1130"/>
      <c r="EG3" s="1130"/>
      <c r="EH3" s="1130"/>
      <c r="EI3" s="1130"/>
      <c r="EJ3" s="1130"/>
      <c r="EK3" s="1130"/>
      <c r="EL3" s="1130"/>
      <c r="EM3" s="1130"/>
      <c r="EN3" s="1130"/>
      <c r="EO3" s="1130"/>
      <c r="EP3" s="1130"/>
      <c r="EQ3" s="1130"/>
      <c r="ER3" s="1131"/>
      <c r="ES3" s="1129"/>
      <c r="ET3" s="1130"/>
      <c r="EU3" s="1130"/>
      <c r="EV3" s="1130"/>
      <c r="EW3" s="1130"/>
      <c r="EX3" s="1130"/>
      <c r="EY3" s="1130"/>
      <c r="EZ3" s="1130"/>
      <c r="FA3" s="1130"/>
      <c r="FB3" s="1130"/>
      <c r="FC3" s="1130"/>
      <c r="FD3" s="1130"/>
      <c r="FE3" s="1130"/>
      <c r="FF3" s="113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961.50892619181798</v>
      </c>
      <c r="HF3" s="162">
        <f>IFERROR(IF((DEGREES(ATAN2(HG3,HH3)))&lt;0,(360+(DEGREES(ATAN2(HG3,HH3)))),(DEGREES(ATAN2(HG3,HH3)))),"")</f>
        <v>143.53948541002464</v>
      </c>
      <c r="HG3" s="309">
        <f>HC8+HG8</f>
        <v>-773.30950730915322</v>
      </c>
      <c r="HH3" s="309">
        <f>HD8+HH8</f>
        <v>571.39462812649685</v>
      </c>
      <c r="HI3" s="103"/>
      <c r="HJ3" s="31"/>
      <c r="IN3" s="31"/>
      <c r="IO3" s="710"/>
      <c r="JC3" s="82"/>
      <c r="JD3" s="82"/>
      <c r="JE3" s="82"/>
    </row>
    <row r="4" spans="1:285" ht="15" customHeight="1" thickBot="1" x14ac:dyDescent="0.3">
      <c r="A4" s="31" t="s">
        <v>401</v>
      </c>
      <c r="B4" s="1312"/>
      <c r="C4" s="1313"/>
      <c r="D4" s="1313"/>
      <c r="E4" s="1313"/>
      <c r="F4" s="1313"/>
      <c r="G4" s="1313"/>
      <c r="H4" s="1313"/>
      <c r="I4" s="1313"/>
      <c r="J4" s="1313"/>
      <c r="K4" s="1314"/>
      <c r="L4" s="1146"/>
      <c r="M4" s="1309"/>
      <c r="N4" s="1319" t="s">
        <v>3</v>
      </c>
      <c r="O4" s="1316"/>
      <c r="P4" s="1316"/>
      <c r="Q4" s="1315" t="s">
        <v>4</v>
      </c>
      <c r="R4" s="1316"/>
      <c r="S4" s="1334"/>
      <c r="T4" s="1328" t="str">
        <f>N4</f>
        <v>Cartesian Coordinates</v>
      </c>
      <c r="U4" s="1289"/>
      <c r="V4" s="1329"/>
      <c r="W4" s="1289" t="str">
        <f>$Q$4</f>
        <v>Polar XY; Cartesian Z</v>
      </c>
      <c r="X4" s="1289"/>
      <c r="Y4" s="1303"/>
      <c r="Z4" s="1319" t="s">
        <v>3</v>
      </c>
      <c r="AA4" s="1316"/>
      <c r="AB4" s="1316"/>
      <c r="AC4" s="1316"/>
      <c r="AD4" s="1316"/>
      <c r="AE4" s="1316"/>
      <c r="AF4" s="1316"/>
      <c r="AG4" s="1356" t="s">
        <v>31</v>
      </c>
      <c r="AH4" s="1316"/>
      <c r="AI4" s="1316"/>
      <c r="AJ4" s="1334"/>
      <c r="AK4" s="1270" t="s">
        <v>32</v>
      </c>
      <c r="AL4" s="1271"/>
      <c r="AM4" s="1271"/>
      <c r="AN4" s="1271"/>
      <c r="AO4" s="1271"/>
      <c r="AP4" s="1271"/>
      <c r="AQ4" s="1272"/>
      <c r="AS4" s="416">
        <v>165</v>
      </c>
      <c r="AT4" s="413" t="s">
        <v>46</v>
      </c>
      <c r="AV4" s="1360"/>
      <c r="AW4" s="1210" t="s">
        <v>112</v>
      </c>
      <c r="AX4" s="1162"/>
      <c r="AY4" s="1014"/>
      <c r="AZ4" s="1283"/>
      <c r="BA4" s="1284"/>
      <c r="BB4" s="1286" t="s">
        <v>113</v>
      </c>
      <c r="BC4" s="1289" t="str">
        <f>$Q$4</f>
        <v>Polar XY; Cartesian Z</v>
      </c>
      <c r="BD4" s="1289"/>
      <c r="BE4" s="1290"/>
      <c r="BF4" s="1242" t="s">
        <v>129</v>
      </c>
      <c r="BG4" s="1243"/>
      <c r="BH4" s="1243"/>
      <c r="BI4" s="1243"/>
      <c r="BJ4" s="1243"/>
      <c r="BK4" s="1243"/>
      <c r="BL4" s="1243"/>
      <c r="BM4" s="1243"/>
      <c r="BN4" s="1243"/>
      <c r="BO4" s="1243"/>
      <c r="BP4" s="1243"/>
      <c r="BQ4" s="1243"/>
      <c r="BR4" s="1243"/>
      <c r="BS4" s="1243"/>
      <c r="BT4" s="1243"/>
      <c r="BU4" s="1243"/>
      <c r="BV4" s="1243"/>
      <c r="BW4" s="1243"/>
      <c r="BX4" s="1243"/>
      <c r="BY4" s="1243"/>
      <c r="BZ4" s="1243"/>
      <c r="CA4" s="1243"/>
      <c r="CB4" s="1243"/>
      <c r="CC4" s="1243"/>
      <c r="CD4" s="1243"/>
      <c r="CE4" s="1243"/>
      <c r="CF4" s="1243"/>
      <c r="CG4" s="1243"/>
      <c r="CH4" s="1243"/>
      <c r="CI4" s="1243"/>
      <c r="CJ4" s="1243"/>
      <c r="CK4" s="1243"/>
      <c r="CL4" s="1243"/>
      <c r="CM4" s="1243"/>
      <c r="CN4" s="1244"/>
      <c r="CO4" s="1279" t="s">
        <v>192</v>
      </c>
      <c r="CP4" s="1280"/>
      <c r="CQ4" s="1280"/>
      <c r="CR4" s="1280"/>
      <c r="CS4" s="1280"/>
      <c r="CT4" s="1280"/>
      <c r="CU4" s="1280"/>
      <c r="CV4" s="1280"/>
      <c r="CW4" s="1280"/>
      <c r="CX4" s="1280"/>
      <c r="CY4" s="1280"/>
      <c r="CZ4" s="1280"/>
      <c r="DA4" s="1281"/>
      <c r="DB4" s="1123" t="s">
        <v>389</v>
      </c>
      <c r="DC4" s="1124"/>
      <c r="DD4" s="1124"/>
      <c r="DE4" s="1124"/>
      <c r="DF4" s="1124"/>
      <c r="DG4" s="1124"/>
      <c r="DH4" s="1124"/>
      <c r="DI4" s="1124"/>
      <c r="DJ4" s="1124"/>
      <c r="DK4" s="1124"/>
      <c r="DL4" s="1124"/>
      <c r="DM4" s="1124"/>
      <c r="DN4" s="1124"/>
      <c r="DO4" s="1124"/>
      <c r="DP4" s="1124"/>
      <c r="DQ4" s="1124"/>
      <c r="DR4" s="1124"/>
      <c r="DS4" s="1124"/>
      <c r="DT4" s="1124"/>
      <c r="DU4" s="1124"/>
      <c r="DV4" s="1124"/>
      <c r="DW4" s="1124"/>
      <c r="DX4" s="1124"/>
      <c r="DY4" s="1124"/>
      <c r="DZ4" s="1124"/>
      <c r="EA4" s="1124"/>
      <c r="EB4" s="1124"/>
      <c r="EC4" s="1124"/>
      <c r="ED4" s="1124"/>
      <c r="EE4" s="1124"/>
      <c r="EF4" s="1124"/>
      <c r="EG4" s="1124"/>
      <c r="EH4" s="1124"/>
      <c r="EI4" s="1124"/>
      <c r="EJ4" s="1124"/>
      <c r="EK4" s="1124"/>
      <c r="EL4" s="1124"/>
      <c r="EM4" s="1124"/>
      <c r="EN4" s="1124"/>
      <c r="EO4" s="1124"/>
      <c r="EP4" s="1124"/>
      <c r="EQ4" s="1124"/>
      <c r="ER4" s="1125"/>
      <c r="ES4" s="1183" t="s">
        <v>195</v>
      </c>
      <c r="ET4" s="1184"/>
      <c r="EU4" s="1184"/>
      <c r="EV4" s="1184"/>
      <c r="EW4" s="1184"/>
      <c r="EX4" s="1184"/>
      <c r="EY4" s="1185"/>
      <c r="EZ4" s="1214" t="s">
        <v>200</v>
      </c>
      <c r="FA4" s="1215"/>
      <c r="FB4" s="1215"/>
      <c r="FC4" s="1215"/>
      <c r="FD4" s="1215"/>
      <c r="FE4" s="1215"/>
      <c r="FF4" s="1216"/>
      <c r="FG4" s="325"/>
      <c r="FP4" s="1139" t="s">
        <v>228</v>
      </c>
      <c r="FZ4" s="1139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94" t="s">
        <v>235</v>
      </c>
      <c r="GK4" s="995"/>
      <c r="GL4" s="995"/>
      <c r="GM4" s="995"/>
      <c r="GN4" s="1152"/>
      <c r="GO4" s="1154" t="s">
        <v>228</v>
      </c>
      <c r="GP4" s="1158" t="s">
        <v>227</v>
      </c>
      <c r="GR4" s="1164" t="s">
        <v>257</v>
      </c>
      <c r="GS4" s="1023" t="s">
        <v>255</v>
      </c>
      <c r="GT4" s="966"/>
      <c r="GU4" s="966"/>
      <c r="GV4" s="966"/>
      <c r="GW4" s="966"/>
      <c r="GX4" s="966"/>
      <c r="GY4" s="966"/>
      <c r="GZ4" s="966"/>
      <c r="HA4" s="1200" t="str">
        <f>IFERROR(CONCATENATE("Lateral Forces = ",ROUND(HE3,0)," lbs @ ",ROUND(HF3,1),"° Relative to Blade 1"),"")</f>
        <v>Lateral Forces = 962 lbs @ 143.5° Relative to Blade 1</v>
      </c>
      <c r="HB4" s="1201"/>
      <c r="HC4" s="1201"/>
      <c r="HD4" s="1201"/>
      <c r="HE4" s="1201"/>
      <c r="HF4" s="1201"/>
      <c r="HG4" s="1201"/>
      <c r="HH4" s="1202"/>
      <c r="HI4" s="1205" t="s">
        <v>0</v>
      </c>
      <c r="HV4" s="922"/>
      <c r="HW4" s="1096" t="str">
        <f>CONCATENATE("Yeield Strength of Rock = ",IF(HW6&gt;1000,(ROUNDDOWN(HW6,-3)/1000),""), IF(HW6&gt;1000,",",""),RIGHT(HW6,3)," psi")</f>
        <v>Yeield Strength of Rock = 30,000 psi</v>
      </c>
      <c r="HX4" s="1096"/>
      <c r="HY4" s="1096"/>
      <c r="HZ4" s="1096"/>
      <c r="IA4" s="1096"/>
      <c r="IB4" s="1096"/>
      <c r="IC4" s="1096"/>
      <c r="ID4" s="1096"/>
      <c r="IE4" s="1096"/>
      <c r="IF4" s="845"/>
      <c r="IG4" s="991" t="s">
        <v>372</v>
      </c>
      <c r="IH4" s="991"/>
      <c r="II4" s="710" cm="1">
        <f t="array" ref="II4">MAX(MOD(IF($II$9:$II$150="",0,($II$9:$II$150*1000)),100))</f>
        <v>57</v>
      </c>
      <c r="IN4" s="31"/>
      <c r="IO4" s="710"/>
    </row>
    <row r="5" spans="1:285" ht="15" customHeight="1" thickBot="1" x14ac:dyDescent="0.3">
      <c r="A5" s="139">
        <v>0.02</v>
      </c>
      <c r="B5" s="1304" t="str">
        <f>CONCATENATE(B7," ; ",E7," ; ",H7)</f>
        <v>Absolute-Point ; Incremental-Vector Point ; Pocket Info.</v>
      </c>
      <c r="C5" s="1305"/>
      <c r="D5" s="1305"/>
      <c r="E5" s="1305"/>
      <c r="F5" s="1305"/>
      <c r="G5" s="1305"/>
      <c r="H5" s="1305"/>
      <c r="I5" s="1305"/>
      <c r="J5" s="1305"/>
      <c r="K5" s="1306"/>
      <c r="L5" s="813" t="str" cm="1">
        <f t="array" ref="L5">IF(OR(IF(LEFT($K$9:$K$150,4)="&lt;&gt;CS",TRUE,FALSE)),"Wrong CS","")</f>
        <v/>
      </c>
      <c r="M5" s="1309"/>
      <c r="N5" s="1339" t="s">
        <v>5</v>
      </c>
      <c r="O5" s="1274"/>
      <c r="P5" s="1274"/>
      <c r="Q5" s="1342" t="s">
        <v>6</v>
      </c>
      <c r="R5" s="1274"/>
      <c r="S5" s="1275"/>
      <c r="T5" s="1258" t="str">
        <f>CONCATENATE("Relative to ",M8,"'s θ about Z Axis")</f>
        <v>Relative to 1.117's θ about Z Axis</v>
      </c>
      <c r="U5" s="1259"/>
      <c r="V5" s="1260"/>
      <c r="W5" s="1259" t="str">
        <f>CONCATENATE("Relative to ",M8,"'s θ about Z Axis")</f>
        <v>Relative to 1.117's θ about Z Axis</v>
      </c>
      <c r="X5" s="1259"/>
      <c r="Y5" s="1330"/>
      <c r="Z5" s="1320" t="str">
        <f>N5</f>
        <v>Relative to World_CS</v>
      </c>
      <c r="AA5" s="1259"/>
      <c r="AB5" s="1259"/>
      <c r="AC5" s="1259"/>
      <c r="AD5" s="1259"/>
      <c r="AE5" s="1259"/>
      <c r="AF5" s="1259"/>
      <c r="AG5" s="1258" t="str">
        <f>N5</f>
        <v>Relative to World_CS</v>
      </c>
      <c r="AH5" s="1259"/>
      <c r="AI5" s="1259"/>
      <c r="AJ5" s="1296"/>
      <c r="AK5" s="1273" t="s">
        <v>7</v>
      </c>
      <c r="AL5" s="1274"/>
      <c r="AM5" s="1274"/>
      <c r="AN5" s="1274"/>
      <c r="AO5" s="1274"/>
      <c r="AP5" s="1274"/>
      <c r="AQ5" s="1275"/>
      <c r="AS5" s="167">
        <f>(((AS4*12)/60)/AS3)</f>
        <v>0.15348837209302327</v>
      </c>
      <c r="AT5" s="413" t="s">
        <v>47</v>
      </c>
      <c r="AV5" s="1360"/>
      <c r="AW5" s="1299"/>
      <c r="AX5" s="1300"/>
      <c r="AY5" s="1301"/>
      <c r="AZ5" s="1170"/>
      <c r="BA5" s="1004"/>
      <c r="BB5" s="1287"/>
      <c r="BC5" s="1295" t="str">
        <f>$W$5</f>
        <v>Relative to 1.117's θ about Z Axis</v>
      </c>
      <c r="BD5" s="1259"/>
      <c r="BE5" s="1296"/>
      <c r="BF5" s="1023" t="s">
        <v>128</v>
      </c>
      <c r="BG5" s="966"/>
      <c r="BH5" s="966"/>
      <c r="BI5" s="966"/>
      <c r="BJ5" s="966"/>
      <c r="BK5" s="966"/>
      <c r="BL5" s="966"/>
      <c r="BM5" s="966"/>
      <c r="BN5" s="966"/>
      <c r="BO5" s="966"/>
      <c r="BP5" s="966"/>
      <c r="BQ5" s="966"/>
      <c r="BR5" s="967"/>
      <c r="BS5" s="1023" t="s">
        <v>130</v>
      </c>
      <c r="BT5" s="966"/>
      <c r="BU5" s="966"/>
      <c r="BV5" s="966"/>
      <c r="BW5" s="966"/>
      <c r="BX5" s="966"/>
      <c r="BY5" s="966"/>
      <c r="BZ5" s="966"/>
      <c r="CA5" s="966"/>
      <c r="CB5" s="966"/>
      <c r="CC5" s="966"/>
      <c r="CD5" s="966"/>
      <c r="CE5" s="967"/>
      <c r="CF5" s="1023" t="s">
        <v>138</v>
      </c>
      <c r="CG5" s="966"/>
      <c r="CH5" s="967"/>
      <c r="CI5" s="1023" t="s">
        <v>139</v>
      </c>
      <c r="CJ5" s="966"/>
      <c r="CK5" s="966"/>
      <c r="CL5" s="966"/>
      <c r="CM5" s="966"/>
      <c r="CN5" s="967"/>
      <c r="CO5" s="1177" t="s">
        <v>266</v>
      </c>
      <c r="CP5" s="1177" t="s">
        <v>149</v>
      </c>
      <c r="CQ5" s="1162"/>
      <c r="CR5" s="1162"/>
      <c r="CS5" s="1024"/>
      <c r="CT5" s="1162" t="s">
        <v>150</v>
      </c>
      <c r="CU5" s="1014"/>
      <c r="CV5" s="1023" t="s">
        <v>161</v>
      </c>
      <c r="CW5" s="966"/>
      <c r="CX5" s="966"/>
      <c r="CY5" s="966"/>
      <c r="CZ5" s="966"/>
      <c r="DA5" s="967"/>
      <c r="DB5" s="1023" t="s">
        <v>162</v>
      </c>
      <c r="DC5" s="966"/>
      <c r="DD5" s="966"/>
      <c r="DE5" s="966"/>
      <c r="DF5" s="966"/>
      <c r="DG5" s="966"/>
      <c r="DH5" s="967"/>
      <c r="DI5" s="1106" t="s">
        <v>172</v>
      </c>
      <c r="DJ5" s="1106"/>
      <c r="DK5" s="1252"/>
      <c r="DL5" s="1105" t="s">
        <v>173</v>
      </c>
      <c r="DM5" s="1106"/>
      <c r="DN5" s="1107"/>
      <c r="DO5" s="1254" t="s">
        <v>174</v>
      </c>
      <c r="DP5" s="1255"/>
      <c r="DQ5" s="1255"/>
      <c r="DR5" s="1176" t="s">
        <v>186</v>
      </c>
      <c r="DS5" s="1176"/>
      <c r="DT5" s="1176"/>
      <c r="DU5" s="1176"/>
      <c r="DV5" s="1176"/>
      <c r="DW5" s="1176"/>
      <c r="DX5" s="1177" t="s">
        <v>189</v>
      </c>
      <c r="DY5" s="1045" t="s">
        <v>149</v>
      </c>
      <c r="DZ5" s="1176"/>
      <c r="EA5" s="1176"/>
      <c r="EB5" s="1176"/>
      <c r="EC5" s="1176" t="s">
        <v>150</v>
      </c>
      <c r="ED5" s="1176"/>
      <c r="EE5" s="1164" t="s">
        <v>193</v>
      </c>
      <c r="EF5" s="1164"/>
      <c r="EG5" s="1173"/>
      <c r="EH5" s="1111" t="s">
        <v>194</v>
      </c>
      <c r="EI5" s="1112"/>
      <c r="EJ5" s="1113"/>
      <c r="EK5" s="1176" t="s">
        <v>187</v>
      </c>
      <c r="EL5" s="1177"/>
      <c r="EM5" s="1023" t="s">
        <v>188</v>
      </c>
      <c r="EN5" s="966"/>
      <c r="EO5" s="966"/>
      <c r="EP5" s="966"/>
      <c r="EQ5" s="966"/>
      <c r="ER5" s="1245"/>
      <c r="ES5" s="1210" t="s">
        <v>201</v>
      </c>
      <c r="ET5" s="1162"/>
      <c r="EU5" s="1024"/>
      <c r="EV5" s="1186" t="s">
        <v>221</v>
      </c>
      <c r="EW5" s="1187"/>
      <c r="EX5" s="1187"/>
      <c r="EY5" s="1188"/>
      <c r="EZ5" s="1234" t="s">
        <v>199</v>
      </c>
      <c r="FA5" s="1018" t="s">
        <v>201</v>
      </c>
      <c r="FB5" s="1134"/>
      <c r="FC5" s="1019"/>
      <c r="FD5" s="1227" t="s">
        <v>221</v>
      </c>
      <c r="FE5" s="1228"/>
      <c r="FF5" s="1229"/>
      <c r="FJ5" s="31" t="s">
        <v>390</v>
      </c>
      <c r="FP5" s="1140"/>
      <c r="FQ5" s="31"/>
      <c r="FR5" s="31"/>
      <c r="FS5" s="31"/>
      <c r="FT5" s="31"/>
      <c r="FZ5" s="1140"/>
      <c r="GJ5" s="1150" t="s">
        <v>262</v>
      </c>
      <c r="GK5" s="1117" t="s">
        <v>260</v>
      </c>
      <c r="GL5" s="1119" t="s">
        <v>110</v>
      </c>
      <c r="GM5" s="1119" t="s">
        <v>111</v>
      </c>
      <c r="GN5" s="1120"/>
      <c r="GO5" s="1155"/>
      <c r="GP5" s="1159"/>
      <c r="GQ5" s="31"/>
      <c r="GR5" s="1146"/>
      <c r="GS5" s="1170" t="s">
        <v>244</v>
      </c>
      <c r="GT5" s="1171"/>
      <c r="GU5" s="1166" t="s">
        <v>245</v>
      </c>
      <c r="GV5" s="1167"/>
      <c r="GW5" s="1168"/>
      <c r="GX5" s="1169"/>
      <c r="GY5" s="1153" t="s">
        <v>107</v>
      </c>
      <c r="GZ5" s="1006"/>
      <c r="HA5" s="1197" t="s">
        <v>244</v>
      </c>
      <c r="HB5" s="1198"/>
      <c r="HC5" s="1198"/>
      <c r="HD5" s="1199"/>
      <c r="HE5" s="1208" t="s">
        <v>245</v>
      </c>
      <c r="HF5" s="1198"/>
      <c r="HG5" s="1198"/>
      <c r="HH5" s="1209"/>
      <c r="HI5" s="1206"/>
      <c r="HM5" s="923"/>
      <c r="HS5" s="1067" t="s">
        <v>404</v>
      </c>
      <c r="HT5" s="1006"/>
      <c r="HU5" s="1006"/>
      <c r="HV5" s="1068"/>
      <c r="HW5" s="1172" t="s">
        <v>245</v>
      </c>
      <c r="HX5" s="1099"/>
      <c r="HY5" s="1097" t="s">
        <v>388</v>
      </c>
      <c r="HZ5" s="1098"/>
      <c r="IA5" s="1098"/>
      <c r="IB5" s="1099"/>
      <c r="IC5" s="1192" t="s">
        <v>254</v>
      </c>
      <c r="ID5" s="1193"/>
      <c r="IE5" s="1194"/>
      <c r="IF5" s="845"/>
    </row>
    <row r="6" spans="1:285" ht="15" hidden="1" customHeight="1" thickBot="1" x14ac:dyDescent="0.4">
      <c r="B6" s="1090"/>
      <c r="C6" s="1091"/>
      <c r="D6" s="1091"/>
      <c r="E6" s="1091"/>
      <c r="F6" s="1091"/>
      <c r="G6" s="1091"/>
      <c r="H6" s="1091"/>
      <c r="I6" s="1091"/>
      <c r="J6" s="1091"/>
      <c r="K6" s="1092"/>
      <c r="L6" s="1146" t="str" cm="1">
        <f t="array" ref="L6">IF(OR($K$9:$K$150="Inactive"),"Inactive Element","")</f>
        <v/>
      </c>
      <c r="M6" s="1309"/>
      <c r="N6" s="1335" t="s">
        <v>8</v>
      </c>
      <c r="O6" s="1337" t="s">
        <v>9</v>
      </c>
      <c r="P6" s="1340" t="s">
        <v>10</v>
      </c>
      <c r="Q6" s="1352" t="s">
        <v>11</v>
      </c>
      <c r="R6" s="1353"/>
      <c r="S6" s="1331" t="s">
        <v>10</v>
      </c>
      <c r="T6" s="1370" t="str">
        <f>N6</f>
        <v>X</v>
      </c>
      <c r="U6" s="1372" t="str">
        <f>O6</f>
        <v>Y</v>
      </c>
      <c r="V6" s="1326" t="str">
        <f>P6</f>
        <v>Z</v>
      </c>
      <c r="W6" s="1291" t="str">
        <f>$Q$6</f>
        <v>Projected XY</v>
      </c>
      <c r="X6" s="1292"/>
      <c r="Y6" s="1368" t="str">
        <f>$S$6</f>
        <v>Z</v>
      </c>
      <c r="Z6" s="1357" t="s">
        <v>12</v>
      </c>
      <c r="AA6" s="1310"/>
      <c r="AB6" s="1310"/>
      <c r="AC6" s="1358"/>
      <c r="AD6" s="1315" t="s">
        <v>13</v>
      </c>
      <c r="AE6" s="1316"/>
      <c r="AF6" s="1316"/>
      <c r="AG6" s="1356" t="s">
        <v>7</v>
      </c>
      <c r="AH6" s="1316"/>
      <c r="AI6" s="1315" t="s">
        <v>14</v>
      </c>
      <c r="AJ6" s="1334"/>
      <c r="AK6" s="1261" t="str">
        <f>AD6</f>
        <v>Unit Vector</v>
      </c>
      <c r="AL6" s="1262"/>
      <c r="AM6" s="1263"/>
      <c r="AN6" s="34" t="s">
        <v>15</v>
      </c>
      <c r="AO6" s="35" t="s">
        <v>16</v>
      </c>
      <c r="AP6" s="680" t="s">
        <v>17</v>
      </c>
      <c r="AQ6" s="1362" t="s">
        <v>108</v>
      </c>
      <c r="AS6" s="168">
        <f>(AS5/360)</f>
        <v>4.2635658914728686E-4</v>
      </c>
      <c r="AT6" s="414" t="s">
        <v>48</v>
      </c>
      <c r="AV6" s="1360"/>
      <c r="AW6" s="1354" t="s">
        <v>105</v>
      </c>
      <c r="AX6" s="1355"/>
      <c r="AY6" s="188" t="s">
        <v>110</v>
      </c>
      <c r="AZ6" s="1297" t="s">
        <v>111</v>
      </c>
      <c r="BA6" s="1298"/>
      <c r="BB6" s="1288"/>
      <c r="BC6" s="1291" t="str">
        <f>$Q$6</f>
        <v>Projected XY</v>
      </c>
      <c r="BD6" s="1292"/>
      <c r="BE6" s="1293" t="str">
        <f>$S$6</f>
        <v>Z</v>
      </c>
      <c r="BF6" s="973" t="s">
        <v>125</v>
      </c>
      <c r="BG6" s="969"/>
      <c r="BH6" s="1149"/>
      <c r="BI6" s="971" t="s">
        <v>126</v>
      </c>
      <c r="BJ6" s="969"/>
      <c r="BK6" s="970"/>
      <c r="BL6" s="974" t="s">
        <v>127</v>
      </c>
      <c r="BM6" s="969"/>
      <c r="BN6" s="975"/>
      <c r="BO6" s="973" t="s">
        <v>135</v>
      </c>
      <c r="BP6" s="969"/>
      <c r="BQ6" s="969"/>
      <c r="BR6" s="975"/>
      <c r="BS6" s="973" t="s">
        <v>125</v>
      </c>
      <c r="BT6" s="969"/>
      <c r="BU6" s="1149"/>
      <c r="BV6" s="971" t="s">
        <v>126</v>
      </c>
      <c r="BW6" s="969"/>
      <c r="BX6" s="970"/>
      <c r="BY6" s="974" t="s">
        <v>127</v>
      </c>
      <c r="BZ6" s="969"/>
      <c r="CA6" s="975"/>
      <c r="CB6" s="973" t="s">
        <v>135</v>
      </c>
      <c r="CC6" s="969"/>
      <c r="CD6" s="969"/>
      <c r="CE6" s="975"/>
      <c r="CF6" s="979" t="s">
        <v>136</v>
      </c>
      <c r="CG6" s="1247"/>
      <c r="CH6" s="1247"/>
      <c r="CI6" s="1249" t="s">
        <v>137</v>
      </c>
      <c r="CJ6" s="1247"/>
      <c r="CK6" s="980"/>
      <c r="CL6" s="1246" t="s">
        <v>140</v>
      </c>
      <c r="CM6" s="1247"/>
      <c r="CN6" s="1248"/>
      <c r="CO6" s="1179"/>
      <c r="CP6" s="1179"/>
      <c r="CQ6" s="1212"/>
      <c r="CR6" s="1212"/>
      <c r="CS6" s="1213"/>
      <c r="CT6" s="1212"/>
      <c r="CU6" s="1282"/>
      <c r="CV6" s="1333" t="s">
        <v>147</v>
      </c>
      <c r="CW6" s="969"/>
      <c r="CX6" s="970"/>
      <c r="CY6" s="1237" t="s">
        <v>148</v>
      </c>
      <c r="CZ6" s="1196"/>
      <c r="DA6" s="1238"/>
      <c r="DB6" s="1250" t="s">
        <v>175</v>
      </c>
      <c r="DC6" s="1240"/>
      <c r="DD6" s="1241"/>
      <c r="DE6" s="1251" t="s">
        <v>176</v>
      </c>
      <c r="DF6" s="1240"/>
      <c r="DG6" s="1241"/>
      <c r="DH6" s="242" t="s">
        <v>29</v>
      </c>
      <c r="DI6" s="1109"/>
      <c r="DJ6" s="1109"/>
      <c r="DK6" s="1253"/>
      <c r="DL6" s="1108"/>
      <c r="DM6" s="1109"/>
      <c r="DN6" s="1110"/>
      <c r="DO6" s="1256"/>
      <c r="DP6" s="1257"/>
      <c r="DQ6" s="1257"/>
      <c r="DR6" s="1178"/>
      <c r="DS6" s="1178"/>
      <c r="DT6" s="1178"/>
      <c r="DU6" s="1178"/>
      <c r="DV6" s="1178"/>
      <c r="DW6" s="1178"/>
      <c r="DX6" s="1179"/>
      <c r="DY6" s="1182"/>
      <c r="DZ6" s="1178"/>
      <c r="EA6" s="1178"/>
      <c r="EB6" s="1178"/>
      <c r="EC6" s="1178"/>
      <c r="ED6" s="1178"/>
      <c r="EE6" s="1174"/>
      <c r="EF6" s="1174"/>
      <c r="EG6" s="1175"/>
      <c r="EH6" s="1114"/>
      <c r="EI6" s="1115"/>
      <c r="EJ6" s="1116"/>
      <c r="EK6" s="1178"/>
      <c r="EL6" s="1179"/>
      <c r="EM6" s="1102" t="s">
        <v>198</v>
      </c>
      <c r="EN6" s="1103"/>
      <c r="EO6" s="1104"/>
      <c r="EP6" s="1217" t="s">
        <v>197</v>
      </c>
      <c r="EQ6" s="1103"/>
      <c r="ER6" s="1219"/>
      <c r="ES6" s="1211"/>
      <c r="ET6" s="1212"/>
      <c r="EU6" s="1213"/>
      <c r="EV6" s="263" t="s">
        <v>220</v>
      </c>
      <c r="EW6" s="1217" t="s">
        <v>201</v>
      </c>
      <c r="EX6" s="1103"/>
      <c r="EY6" s="1218"/>
      <c r="EZ6" s="1235"/>
      <c r="FA6" s="1224"/>
      <c r="FB6" s="1225"/>
      <c r="FC6" s="1226"/>
      <c r="FD6" s="1102" t="s">
        <v>201</v>
      </c>
      <c r="FE6" s="1103"/>
      <c r="FF6" s="1219"/>
      <c r="FG6" s="1221" t="s">
        <v>223</v>
      </c>
      <c r="FH6" s="1222"/>
      <c r="FI6" s="1223"/>
      <c r="FJ6" s="1176" t="s">
        <v>202</v>
      </c>
      <c r="FK6" s="1177" t="s">
        <v>213</v>
      </c>
      <c r="FL6" s="1162"/>
      <c r="FM6" s="1024"/>
      <c r="FN6" s="1135" t="s">
        <v>203</v>
      </c>
      <c r="FO6" s="1180" t="s">
        <v>226</v>
      </c>
      <c r="FP6" s="1132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0" t="s">
        <v>217</v>
      </c>
      <c r="FV6" s="1134"/>
      <c r="FW6" s="1021"/>
      <c r="FX6" s="1135" t="s">
        <v>218</v>
      </c>
      <c r="FY6" s="1180" t="s">
        <v>226</v>
      </c>
      <c r="FZ6" s="1132" t="s">
        <v>224</v>
      </c>
      <c r="GA6" s="1137" t="s">
        <v>237</v>
      </c>
      <c r="GB6" s="318" t="s">
        <v>206</v>
      </c>
      <c r="GC6" s="319" t="s">
        <v>238</v>
      </c>
      <c r="GD6" s="320" t="s">
        <v>225</v>
      </c>
      <c r="GE6" s="1147"/>
      <c r="GF6" s="1173" t="s">
        <v>256</v>
      </c>
      <c r="GG6" s="318" t="s">
        <v>206</v>
      </c>
      <c r="GH6" s="319" t="s">
        <v>238</v>
      </c>
      <c r="GI6" s="320" t="s">
        <v>225</v>
      </c>
      <c r="GJ6" s="1151"/>
      <c r="GK6" s="1118"/>
      <c r="GL6" s="1121"/>
      <c r="GM6" s="1121"/>
      <c r="GN6" s="1122"/>
      <c r="GO6" s="1156" t="s">
        <v>236</v>
      </c>
      <c r="GP6" s="1160" t="s">
        <v>224</v>
      </c>
      <c r="GQ6" s="1162" t="s">
        <v>202</v>
      </c>
      <c r="GR6" s="1146"/>
      <c r="GS6" s="1203" t="s">
        <v>248</v>
      </c>
      <c r="GT6" s="1204"/>
      <c r="GU6" s="1195" t="s">
        <v>247</v>
      </c>
      <c r="GV6" s="1196"/>
      <c r="GW6" s="1196"/>
      <c r="GX6" s="340" t="s">
        <v>106</v>
      </c>
      <c r="GY6" s="971" t="s">
        <v>246</v>
      </c>
      <c r="GZ6" s="1149"/>
      <c r="HA6" s="1239" t="s">
        <v>248</v>
      </c>
      <c r="HB6" s="1240"/>
      <c r="HC6" s="1240"/>
      <c r="HD6" s="1241"/>
      <c r="HE6" s="971" t="s">
        <v>247</v>
      </c>
      <c r="HF6" s="969"/>
      <c r="HG6" s="969"/>
      <c r="HH6" s="975"/>
      <c r="HI6" s="1206"/>
      <c r="HM6" s="872" t="s">
        <v>392</v>
      </c>
      <c r="HN6" s="1233" t="s">
        <v>393</v>
      </c>
      <c r="HO6" s="1233"/>
      <c r="HP6" s="1233"/>
      <c r="HQ6" s="1233"/>
      <c r="HR6" s="1233"/>
      <c r="HS6" s="1069"/>
      <c r="HT6" s="1004"/>
      <c r="HU6" s="1004"/>
      <c r="HV6" s="1070"/>
      <c r="HW6" s="855">
        <f>AVERAGE(HW$9:HW$150)</f>
        <v>30000</v>
      </c>
      <c r="HX6" s="956">
        <f t="shared" ref="HX6:IE6" si="0">SUM(HX$9:HX$150)</f>
        <v>7181.5239499999989</v>
      </c>
      <c r="HY6" s="957">
        <f t="shared" si="0"/>
        <v>6424.1940126018562</v>
      </c>
      <c r="HZ6" s="958">
        <f t="shared" si="0"/>
        <v>45125.980453433287</v>
      </c>
      <c r="IA6" s="959">
        <f t="shared" si="0"/>
        <v>11083.488772989573</v>
      </c>
      <c r="IB6" s="960">
        <f t="shared" si="0"/>
        <v>62633.663239024703</v>
      </c>
      <c r="IC6" s="862">
        <f t="shared" si="0"/>
        <v>4097.0986251164422</v>
      </c>
      <c r="ID6" s="863">
        <f t="shared" si="0"/>
        <v>28011</v>
      </c>
      <c r="IE6" s="863">
        <f t="shared" si="0"/>
        <v>7258.106115523362</v>
      </c>
      <c r="IF6" s="845"/>
      <c r="IG6" s="794"/>
      <c r="IH6" s="794"/>
    </row>
    <row r="7" spans="1:285" ht="15" customHeight="1" thickTop="1" thickBot="1" x14ac:dyDescent="0.4">
      <c r="A7" s="139" t="s">
        <v>402</v>
      </c>
      <c r="B7" s="1321" t="s">
        <v>40</v>
      </c>
      <c r="C7" s="1322"/>
      <c r="D7" s="1323"/>
      <c r="E7" s="1324" t="s">
        <v>41</v>
      </c>
      <c r="F7" s="1322"/>
      <c r="G7" s="1325"/>
      <c r="H7" s="1076" t="s">
        <v>98</v>
      </c>
      <c r="I7" s="1074"/>
      <c r="J7" s="1077"/>
      <c r="K7" s="169"/>
      <c r="L7" s="1146"/>
      <c r="M7" s="1318"/>
      <c r="N7" s="1336"/>
      <c r="O7" s="1338"/>
      <c r="P7" s="1341"/>
      <c r="Q7" s="36" t="s">
        <v>18</v>
      </c>
      <c r="R7" s="2" t="s">
        <v>19</v>
      </c>
      <c r="S7" s="1332"/>
      <c r="T7" s="1371"/>
      <c r="U7" s="1373"/>
      <c r="V7" s="1327"/>
      <c r="W7" s="37" t="str">
        <f>$Q$7</f>
        <v>&lt; θ°</v>
      </c>
      <c r="X7" s="27" t="str">
        <f>$R$7</f>
        <v>r</v>
      </c>
      <c r="Y7" s="1369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63"/>
      <c r="AS7" s="1366" t="s">
        <v>54</v>
      </c>
      <c r="AT7" s="1364" t="s">
        <v>53</v>
      </c>
      <c r="AV7" s="1360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88"/>
      <c r="BC7" s="37" t="str">
        <f>$Q$7</f>
        <v>&lt; θ°</v>
      </c>
      <c r="BD7" s="27" t="str">
        <f>$R$7</f>
        <v>r</v>
      </c>
      <c r="BE7" s="129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36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0"/>
      <c r="FK7" s="358" t="s">
        <v>210</v>
      </c>
      <c r="FL7" s="361" t="s">
        <v>211</v>
      </c>
      <c r="FM7" s="866" t="s">
        <v>212</v>
      </c>
      <c r="FN7" s="1136"/>
      <c r="FO7" s="1181"/>
      <c r="FP7" s="1133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36"/>
      <c r="FY7" s="1181"/>
      <c r="FZ7" s="1133"/>
      <c r="GA7" s="1138"/>
      <c r="GB7" s="212" t="s">
        <v>231</v>
      </c>
      <c r="GC7" s="127" t="s">
        <v>232</v>
      </c>
      <c r="GD7" s="213" t="s">
        <v>233</v>
      </c>
      <c r="GE7" s="1148"/>
      <c r="GF7" s="1230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57"/>
      <c r="GP7" s="1161"/>
      <c r="GQ7" s="1163"/>
      <c r="GR7" s="116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07"/>
      <c r="HJ7" s="31"/>
      <c r="HK7" s="820" t="s">
        <v>244</v>
      </c>
      <c r="HL7" s="823" t="s">
        <v>386</v>
      </c>
      <c r="HM7" s="868" t="s">
        <v>259</v>
      </c>
      <c r="HN7" s="874" t="s">
        <v>395</v>
      </c>
      <c r="HO7" s="1231" t="s">
        <v>394</v>
      </c>
      <c r="HP7" s="1232"/>
      <c r="HQ7" s="1228" t="s">
        <v>390</v>
      </c>
      <c r="HR7" s="1229"/>
      <c r="HS7" s="856" t="s">
        <v>29</v>
      </c>
      <c r="HT7" s="857" t="s">
        <v>110</v>
      </c>
      <c r="HU7" s="1100" t="s">
        <v>391</v>
      </c>
      <c r="HV7" s="1101"/>
      <c r="HW7" s="824" t="s">
        <v>258</v>
      </c>
      <c r="HX7" s="906" t="s">
        <v>106</v>
      </c>
      <c r="HY7" s="905" t="s">
        <v>244</v>
      </c>
      <c r="HZ7" s="904" t="s">
        <v>245</v>
      </c>
      <c r="IA7" s="961" t="s">
        <v>107</v>
      </c>
      <c r="IB7" s="962" t="s">
        <v>384</v>
      </c>
      <c r="IC7" s="864" t="s">
        <v>244</v>
      </c>
      <c r="ID7" s="849" t="s">
        <v>245</v>
      </c>
      <c r="IE7" s="848" t="s">
        <v>107</v>
      </c>
      <c r="IF7" s="845"/>
      <c r="IG7" s="785" t="s">
        <v>359</v>
      </c>
      <c r="IH7" s="319" t="s">
        <v>377</v>
      </c>
      <c r="II7" s="977" t="s">
        <v>33</v>
      </c>
      <c r="IJ7" s="1189" t="s">
        <v>376</v>
      </c>
      <c r="IK7" s="973" t="s">
        <v>324</v>
      </c>
      <c r="IL7" s="974"/>
      <c r="IM7" s="974"/>
      <c r="IN7" s="969"/>
      <c r="IO7" s="969"/>
      <c r="IP7" s="969"/>
      <c r="IQ7" s="970"/>
      <c r="IR7" s="971" t="s">
        <v>320</v>
      </c>
      <c r="IS7" s="969"/>
      <c r="IT7" s="969"/>
      <c r="IU7" s="969"/>
      <c r="IV7" s="969"/>
      <c r="IW7" s="971" t="s">
        <v>319</v>
      </c>
      <c r="IX7" s="969"/>
      <c r="IY7" s="969"/>
      <c r="IZ7" s="969"/>
      <c r="JA7" s="970"/>
      <c r="JC7" s="725"/>
      <c r="JD7" s="1343" t="s">
        <v>355</v>
      </c>
      <c r="JE7" s="1343"/>
      <c r="JF7" s="1343"/>
      <c r="JG7" s="1344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46"/>
      <c r="M8" s="411" cm="1">
        <f t="array" ref="M8">IF(AND(ISNUMBER('SN#.Run#'!$P$1),COUNT($M$9:$M$150)&gt;='SN#.Run#'!$P$1),INDEX($M$9:$M$150,'SN#.Run#'!$P$1),"")</f>
        <v>1.117</v>
      </c>
      <c r="N8" s="551"/>
      <c r="O8" s="552"/>
      <c r="P8" s="562"/>
      <c r="Q8" s="554">
        <f>IFERROR(INDEX(Q$9:Q$150,MATCH($M$8,$M$9:$M$150,0)),"")</f>
        <v>89.990000001443818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0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67"/>
      <c r="AT8" s="1365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164.7498778533612</v>
      </c>
      <c r="HB8" s="360">
        <f>IFERROR(IF((DEGREES(ATAN2(HC8,HD8)))&lt;0,(360+(DEGREES(ATAN2(HC8,HD8)))),(DEGREES(ATAN2(HC8,HD8)))),"")</f>
        <v>236.57354524107294</v>
      </c>
      <c r="HC8" s="360">
        <f>SUM(HC9:HC150)</f>
        <v>-90.755130853219825</v>
      </c>
      <c r="HD8" s="364">
        <f>SUM(HD9:HD150)</f>
        <v>-137.49919445768541</v>
      </c>
      <c r="HE8" s="366">
        <f>SQRT(HG8^2+HH8^2)</f>
        <v>984.07872069116615</v>
      </c>
      <c r="HF8" s="360">
        <f>IFERROR(IF((DEGREES(ATAN2(HG8,HH8)))&lt;0,(360+(DEGREES(ATAN2(HG8,HH8)))),(DEGREES(ATAN2(HG8,HH8)))),"")</f>
        <v>133.91554792863062</v>
      </c>
      <c r="HG8" s="360">
        <f>SUM(HG9:HG150)</f>
        <v>-682.55437645593338</v>
      </c>
      <c r="HH8" s="367">
        <f>SUM(HH9:HH150)</f>
        <v>708.89382258418232</v>
      </c>
      <c r="HI8" s="316"/>
      <c r="HK8" s="821" t="s">
        <v>387</v>
      </c>
      <c r="HL8" s="825" t="s">
        <v>33</v>
      </c>
      <c r="HM8" s="869" t="str">
        <f>"@ 0 IPR"</f>
        <v>@ 0 IPR</v>
      </c>
      <c r="HN8" s="870" t="str">
        <f>"@ 0 IPR"</f>
        <v>@ 0 IPR</v>
      </c>
      <c r="HO8" s="873" t="str">
        <f>"@ 0 IPR"</f>
        <v>@ 0 IPR</v>
      </c>
      <c r="HP8" s="871" t="str">
        <f>"@ IDS"</f>
        <v>@ IDS</v>
      </c>
      <c r="HQ8" s="870" t="str">
        <f>"@ 0 IPR"</f>
        <v>@ 0 IPR</v>
      </c>
      <c r="HR8" s="867" t="str">
        <f>"@ IDS"</f>
        <v>@ IDS</v>
      </c>
      <c r="HS8" s="858" t="s">
        <v>261</v>
      </c>
      <c r="HT8" s="859" t="s">
        <v>49</v>
      </c>
      <c r="HU8" s="860" t="s">
        <v>50</v>
      </c>
      <c r="HV8" s="861" t="s">
        <v>51</v>
      </c>
      <c r="HW8" s="840" t="s">
        <v>243</v>
      </c>
      <c r="HX8" s="850" t="s">
        <v>239</v>
      </c>
      <c r="HY8" s="851" t="s">
        <v>249</v>
      </c>
      <c r="HZ8" s="852" t="s">
        <v>250</v>
      </c>
      <c r="IA8" s="853" t="s">
        <v>251</v>
      </c>
      <c r="IB8" s="854" t="s">
        <v>385</v>
      </c>
      <c r="IC8" s="865" t="s">
        <v>240</v>
      </c>
      <c r="ID8" s="852" t="s">
        <v>241</v>
      </c>
      <c r="IE8" s="822" t="s">
        <v>242</v>
      </c>
      <c r="IF8" s="845"/>
      <c r="IG8" s="793">
        <v>0.75</v>
      </c>
      <c r="IH8" s="799">
        <v>-6.25E-2</v>
      </c>
      <c r="II8" s="1191"/>
      <c r="IJ8" s="1190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0.34220103207831276</v>
      </c>
      <c r="D9" s="642">
        <f t="shared" si="2"/>
        <v>-0.82580249062031164</v>
      </c>
      <c r="E9" s="643">
        <f t="shared" ref="E9:K9" si="3">R164</f>
        <v>-0.92387955420894774</v>
      </c>
      <c r="F9" s="641">
        <f t="shared" si="3"/>
        <v>-0.10548183497343269</v>
      </c>
      <c r="G9" s="644">
        <f t="shared" si="3"/>
        <v>0.36785887484919227</v>
      </c>
      <c r="H9" s="643">
        <f t="shared" si="3"/>
        <v>0.3125</v>
      </c>
      <c r="I9" s="641">
        <f t="shared" si="3"/>
        <v>0.52</v>
      </c>
      <c r="J9" s="886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0.34220103207831276</v>
      </c>
      <c r="P9" s="568">
        <f t="shared" ref="P9:P40" si="7">IF(M9="","",D9)</f>
        <v>-0.82580249062031164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0.34220103207831276</v>
      </c>
      <c r="S9" s="569">
        <f>IF(M9="","",P9)</f>
        <v>-0.82580249062031164</v>
      </c>
      <c r="T9" s="570">
        <f>IF(M9="","",X9*COS(RADIANS(W9)))</f>
        <v>0.3422010268662945</v>
      </c>
      <c r="U9" s="567">
        <f>IF(M9="","",X9*SIN(RADIANS(W9)))</f>
        <v>5.9725338208418555E-5</v>
      </c>
      <c r="V9" s="571">
        <f>IF(M9="","",Y9)</f>
        <v>-0.82580249062031164</v>
      </c>
      <c r="W9" s="526">
        <f t="shared" ref="W9:W14" si="8">IF(M9="","",IF(Q9-$Q$8&lt;0,360+Q9-$Q$8,Q9-$Q$8))</f>
        <v>9.9999985561822768E-3</v>
      </c>
      <c r="X9" s="572">
        <f>IF(M9="","",R9)</f>
        <v>0.34220103207831276</v>
      </c>
      <c r="Y9" s="573">
        <f t="shared" ref="Y9:Y15" si="9">IF(M9="","",S9)</f>
        <v>-0.82580249062031164</v>
      </c>
      <c r="Z9" s="566">
        <f t="shared" ref="Z9:Z40" si="10">IF(M9="","",-E9)</f>
        <v>0.92387955420894774</v>
      </c>
      <c r="AA9" s="567">
        <f t="shared" ref="AA9:AA40" si="11">IF(M9="","",-F9)</f>
        <v>0.10548183497343269</v>
      </c>
      <c r="AB9" s="567">
        <f t="shared" ref="AB9:AB40" si="12">IF(M9="","",-G9)</f>
        <v>-0.36785887484919227</v>
      </c>
      <c r="AC9" s="571">
        <f>IF(M9="","",SQRT(Z9^2+AA9^2+AB9^2))</f>
        <v>1</v>
      </c>
      <c r="AD9" s="574">
        <f>IF(M9="","",Z9*(1/SQRT(Z9^2+AA9^2+AB9^2)))</f>
        <v>0.92387955420894774</v>
      </c>
      <c r="AE9" s="567">
        <f>IF(M9="","",AA9*(1/SQRT(Z9^2+AA9^2+AB9^2)))</f>
        <v>0.10548183497343269</v>
      </c>
      <c r="AF9" s="568">
        <f>IF(M9="","",AB9*(1/SQRT(Z9^2+AA9^2+AB9^2)))</f>
        <v>-0.36785887484919227</v>
      </c>
      <c r="AG9" s="542">
        <f>IF(M9="","",DEGREES(ATAN2(-AF9,AE9)))</f>
        <v>16</v>
      </c>
      <c r="AH9" s="543">
        <f>IF(M9="","",DEGREES(ACOS(AD9)))</f>
        <v>22.499996751402389</v>
      </c>
      <c r="AI9" s="526">
        <f>IF(M9="","",DEGREES(-ACOS(-AF9)))</f>
        <v>-68.416370986085454</v>
      </c>
      <c r="AJ9" s="544">
        <f>IF(M9="","",DEGREES(ATAN2(-AE9,AD9)))</f>
        <v>96.513410634821525</v>
      </c>
      <c r="AK9" s="570">
        <f>IF(M9="","",(COS(RADIANS((90-$Q$8)-W9))*AD9)+(-SIN(RADIANS((90-$Q$8)-W9))*AE9))</f>
        <v>0.92387955420894774</v>
      </c>
      <c r="AL9" s="567">
        <f>IF(M9="","",(SIN(RADIANS((90-$Q$8)-W9))*AD9)+(COS(RADIANS((90-$Q$8)-W9))*AE9))</f>
        <v>0.10548183497343269</v>
      </c>
      <c r="AM9" s="569">
        <f>IF(M9="","",AF9)</f>
        <v>-0.36785887484919227</v>
      </c>
      <c r="AN9" s="524">
        <f>IF(M9="","",DEGREES(ATAN2(-AM9,AL9)))</f>
        <v>16</v>
      </c>
      <c r="AO9" s="525">
        <f>IF(ROUND(IF(M9="",0,DEGREES(ACOS(AK9))),4)=90,0,IF(M9="","",DEGREES(ACOS(AK9))))</f>
        <v>22.499996751402389</v>
      </c>
      <c r="AP9" s="722">
        <f>IF(M9="","",DEGREES(ATAN2(AK9,AL9)))</f>
        <v>6.5134106348215326</v>
      </c>
      <c r="AQ9" s="527">
        <f t="shared" ref="AQ9:AQ40" si="13">IF(M9="","",DEGREES(ATAN(($AS$5*SIN(RADIANS(90)))/(($X9*2*PI())-($AS$5*COS(RADIANS(90)))))))</f>
        <v>4.0832016934928621</v>
      </c>
      <c r="AS9" s="899">
        <f>IF(M9="","",W9)</f>
        <v>9.9999985561822768E-3</v>
      </c>
      <c r="AT9" s="895">
        <f t="shared" ref="AT9:AT40" si="14">IF(M9="","",Y9+(((AS9-$AS$9)*$AS$6)*-1))</f>
        <v>-0.82580249062031164</v>
      </c>
      <c r="AU9" s="418"/>
      <c r="AV9" s="164">
        <f t="shared" ref="AV9:AV40" si="15">IF(AND(ISNUMBER(VALUE(K9)),ISNUMBER(AW9),ISNUMBER(AX9),ISNUMBER(AY9),AY9&gt;=0.0001),$M9,"")</f>
        <v>1.101</v>
      </c>
      <c r="AW9" s="826">
        <f>IFERROR(INDEX(MassProp!C$9:C$150,MATCH($M9,MassProp!$B$9:$B$150,0)),"")</f>
        <v>0.22189999999999999</v>
      </c>
      <c r="AX9" s="827">
        <f>IFERROR(INDEX(MassProp!D$9:D$150,MATCH($M9,MassProp!$B$9:$B$150,0)),"")</f>
        <v>-0.50819999999999999</v>
      </c>
      <c r="AY9" s="828">
        <f>IFERROR(INDEX(MassProp!E$9:E$150,MATCH($M9,MassProp!$B$9:$B$150,0)),"")</f>
        <v>5.6300000000000003E-2</v>
      </c>
      <c r="AZ9" s="297">
        <f>IF(ISNUMBER(AV9),$AY9*SQRT((2*PI()*$AW9)^2+$AS$5^2),"")</f>
        <v>7.8969868199337379E-2</v>
      </c>
      <c r="BA9" s="296">
        <f t="shared" ref="BA9:BA40" si="16">IF(ISNUMBER(AV9),AZ9/$AZ$151,"")</f>
        <v>4.3749668930090331E-3</v>
      </c>
      <c r="BB9" s="290">
        <f>IF(ISNUMBER($AV9),$AX9-($AT9+$AS$5),"")</f>
        <v>0.16411411852728841</v>
      </c>
      <c r="BC9" s="180"/>
      <c r="BD9" s="191">
        <f>IF(ISNUMBER(AV9),AW9,"")</f>
        <v>0.22189999999999999</v>
      </c>
      <c r="BE9" s="181">
        <f t="shared" ref="BE9:BE40" si="17">IF(ISNUMBER(AV9),Y9+BB9,"")</f>
        <v>-0.66168837209302322</v>
      </c>
      <c r="BF9" s="4">
        <f t="shared" ref="BF9:BF40" si="18">IF(ISNUMBER($AV9),N9,"")</f>
        <v>0</v>
      </c>
      <c r="BG9" s="5">
        <f t="shared" ref="BG9:BG40" si="19">IF(ISNUMBER($AV9),O9,"")</f>
        <v>0.34220103207831276</v>
      </c>
      <c r="BH9" s="10">
        <f t="shared" ref="BH9:BH40" si="20">IF(ISNUMBER($AV9),P9,"")</f>
        <v>-0.82580249062031164</v>
      </c>
      <c r="BI9" s="9">
        <f>IF(ISNUMBER($AV9),BF9+0,"")</f>
        <v>0</v>
      </c>
      <c r="BJ9" s="5">
        <f t="shared" ref="BJ9:BJ40" si="21">IF(ISNUMBER($AV9),BG9+COS(RADIANS($AG9)),"")</f>
        <v>1.3034627280166315</v>
      </c>
      <c r="BK9" s="8">
        <f t="shared" ref="BK9:BK40" si="22">IF(ISNUMBER($AV9),BH9+SIN(RADIANS($AG9)),"")</f>
        <v>-0.55016513480331253</v>
      </c>
      <c r="BL9" s="173">
        <f t="shared" ref="BL9:BL40" si="23">IF(ISNUMBER($AV9),BF9+SIN(RADIANS($AH9)),"")</f>
        <v>0.38268337998229818</v>
      </c>
      <c r="BM9" s="5">
        <f t="shared" ref="BM9:BM40" si="24">IF(ISNUMBER($AV9),BG9-SIN(RADIANS($AG9))*COS(RADIANS($AH9)),"")</f>
        <v>8.754531466277049E-2</v>
      </c>
      <c r="BN9" s="6">
        <f t="shared" ref="BN9:BN40" si="25">IF(ISNUMBER($AV9),BH9+COS(RADIANS($AG9))*COS(RADIANS($AH9)),"")</f>
        <v>6.2287536501319463E-2</v>
      </c>
      <c r="BO9" s="4">
        <f>IF(ISNUMBER($AV9),BJ9*BN9-BM9*BK9-BG9*(BN9-BK9)+BH9*(BM9-BJ9),"")</f>
        <v>0.92387955420894752</v>
      </c>
      <c r="BP9" s="5">
        <f>IF(ISNUMBER($AV9),BF9*(BN9-BK9)-(BI9*BN9-BL9*BK9)+BH9*(BI9-BL9),"")</f>
        <v>0.10548183497343258</v>
      </c>
      <c r="BQ9" s="5">
        <f>IF(ISNUMBER($AV9),BF9*(BJ9-BM9)-BG9*(BI9-BL9)+(BI9*BM9-BL9*BJ9),"")</f>
        <v>-0.367858874849192</v>
      </c>
      <c r="BR9" s="6">
        <f>IF(ISNUMBER($AV9),-(BF9*(BJ9*BN9-BM9*BK9)-BG9*(BI9*BN9-BL9*BK9)+BH9*(BI9*BM9-BL9*BJ9)),"")</f>
        <v>-0.33987476784067117</v>
      </c>
      <c r="BS9" s="4">
        <f>IF(ISNUMBER($AV9),0,"")</f>
        <v>0</v>
      </c>
      <c r="BT9" s="5">
        <f>IF(ISNUMBER($AV9),0,"")</f>
        <v>0</v>
      </c>
      <c r="BU9" s="10">
        <f>IF(ISNUMBER($AV9),$BE9,"")</f>
        <v>-0.66168837209302322</v>
      </c>
      <c r="BV9" s="9">
        <f>IF(ISNUMBER($AV9),0,"")</f>
        <v>0</v>
      </c>
      <c r="BW9" s="5">
        <f>IF(ISNUMBER($AV9),1,"")</f>
        <v>1</v>
      </c>
      <c r="BX9" s="8">
        <f>IF(ISNUMBER($AV9),$BE9,"")</f>
        <v>-0.66168837209302322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-0.66168837209302322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-0.66168837209302322</v>
      </c>
      <c r="CF9" s="4">
        <f>IF(ISNUMBER($AV9),(BP9*CD9)-(BQ9*CC9),"")</f>
        <v>-0.10548183497343258</v>
      </c>
      <c r="CG9" s="5">
        <f>IF(ISNUMBER($AV9),(BQ9*CB9)-(BO9*CD9),"")</f>
        <v>0.92387955420894752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0.91453497946859741</v>
      </c>
      <c r="CK9" s="8">
        <f>IF(ISNUMBER($AV9),(CC9*BR9-BP9*CE9)/(-CC9*BQ9+BP9*CD9),"")</f>
        <v>-0.66168837209302322</v>
      </c>
      <c r="CL9" s="173">
        <f>IF(ISNUMBER($AV9),CI9+CF9,"")</f>
        <v>-0.10548183497343258</v>
      </c>
      <c r="CM9" s="5">
        <f>IF(ISNUMBER($AV9),CJ9+CG9,"")</f>
        <v>1.838414533677545</v>
      </c>
      <c r="CN9" s="181">
        <f>IF(ISNUMBER($AV9),CK9+CH9,"")</f>
        <v>-0.66168837209302322</v>
      </c>
      <c r="CO9" s="228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>0.3125</v>
      </c>
      <c r="CP9" s="23">
        <f>IF(ISNUMBER($AV9),(CL9-CI9)^2+(CM9-CJ9)^2+(CN9-CK9)^2,"")</f>
        <v>0.86467984819468635</v>
      </c>
      <c r="CQ9" s="20">
        <f>IF(ISNUMBER($AV9),2*((CL9-CI9)*(CI9-BF9)+(CM9-CJ9)*(CJ9-BG9)+(CN9-CK9)*(CK9-BH9)),"")</f>
        <v>1.0575352643471669</v>
      </c>
      <c r="CR9" s="20">
        <f>IF(ISNUMBER($AV9),BF9^2+BG9^2+BH9^2+CI9^2+CJ9^2+CK9^2-2*(BF9*CI9+BG9*CJ9+BH9*CK9)-CO9^2,"")</f>
        <v>0.25684334123533414</v>
      </c>
      <c r="CS9" s="25">
        <f>IF(ISNUMBER($AV9),CQ9^2-(4*CP9*CR9),"")</f>
        <v>0.2300317901010932</v>
      </c>
      <c r="CT9" s="24">
        <f>IF(ISNUMBER($AV9),(-CQ9+SQRT(CS9))/(CP9*2),"")</f>
        <v>-0.33418089417497232</v>
      </c>
      <c r="CU9" s="22">
        <f>IF(ISNUMBER($AV9),(-CQ9-SQRT(CS9))/(CP9*2),"")</f>
        <v>-0.88885589401331722</v>
      </c>
      <c r="CV9" s="23">
        <f t="shared" ref="CV9:CX10" si="27">IF(ISNUMBER($AV9),CI9+($CT9*(CL9-CI9)),"")</f>
        <v>3.525001393063857E-2</v>
      </c>
      <c r="CW9" s="20">
        <f t="shared" si="27"/>
        <v>0.60579208393307649</v>
      </c>
      <c r="CX9" s="25">
        <f t="shared" si="27"/>
        <v>-0.66168837209302322</v>
      </c>
      <c r="CY9" s="24">
        <f t="shared" ref="CY9:DA10" si="28">IF(ISNUMBER($AV9),CI9+($CU9*(CL9-CI9)),"")</f>
        <v>9.3758150727475606E-2</v>
      </c>
      <c r="CZ9" s="20">
        <f t="shared" si="28"/>
        <v>9.3339192351578282E-2</v>
      </c>
      <c r="DA9" s="22">
        <f t="shared" si="28"/>
        <v>-0.66168837209302322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0.22189999999999999</v>
      </c>
      <c r="DI9" s="4">
        <f t="shared" ref="DI9:DK9" si="29">IF(ISNUMBER($AV9),DE9-DB9,"")</f>
        <v>0</v>
      </c>
      <c r="DJ9" s="5">
        <f t="shared" si="29"/>
        <v>0</v>
      </c>
      <c r="DK9" s="10">
        <f t="shared" si="29"/>
        <v>20</v>
      </c>
      <c r="DL9" s="9">
        <f t="shared" ref="DL9:DN9" si="30">IF(ISNUMBER($AV9),CV9-DB9,"")</f>
        <v>3.525001393063857E-2</v>
      </c>
      <c r="DM9" s="173">
        <f t="shared" si="30"/>
        <v>0.60579208393307649</v>
      </c>
      <c r="DN9" s="178">
        <f t="shared" si="30"/>
        <v>9.3383116279069771</v>
      </c>
      <c r="DO9" s="9">
        <f t="shared" ref="DO9:DQ10" si="31">IF(ISNUMBER($AV9),CY9-CV9,"")</f>
        <v>5.8508136796837036E-2</v>
      </c>
      <c r="DP9" s="173">
        <f t="shared" si="31"/>
        <v>-0.5124528915814982</v>
      </c>
      <c r="DQ9" s="11">
        <f t="shared" si="31"/>
        <v>0</v>
      </c>
      <c r="DR9" s="173">
        <f>IF(ISNUMBER($AV9),SUMPRODUCT(DI9:DK9,DL9:DN9),"")</f>
        <v>186.76623255813954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0.2660311681616761</v>
      </c>
      <c r="DV9" s="5">
        <f>IF(ISNUMBER($AV9),SUMPRODUCT(DL9:DN9,DO9:DQ9),"")</f>
        <v>-0.30837749247154245</v>
      </c>
      <c r="DW9" s="5">
        <f>IF(ISNUMBER($AV9),SUMPRODUCT(DL9:DN9,DL9:DN9),"")</f>
        <v>87.572290672340756</v>
      </c>
      <c r="DX9" s="167">
        <f>IF(ISNUMBER($AV9),DW9-DH9*DH9,"")</f>
        <v>87.523051062340755</v>
      </c>
      <c r="DY9" s="9">
        <f>IF(ISNUMBER($AV9),DT9*DU9-DS9*DS9,"")</f>
        <v>106.41246726467044</v>
      </c>
      <c r="DZ9" s="5">
        <f>IF(ISNUMBER($AV9),DT9*DV9-DS9*DR9,"")</f>
        <v>-123.35099698861698</v>
      </c>
      <c r="EA9" s="10">
        <f>IF(ISNUMBER($AV9),DT9*DX9-DR9*DR9,"")</f>
        <v>127.5948009752392</v>
      </c>
      <c r="EB9" s="6">
        <f>IF(ISNUMBER($AV9),DZ9*DZ9-DY9*EA9,"")</f>
        <v>1637.7908761660146</v>
      </c>
      <c r="EC9" s="173">
        <f>IF(ISNUMBER($AV9),(-DZ9+SQRT(DZ9^2-DY9*EA9))/DY9,"")</f>
        <v>1.5394871508812331</v>
      </c>
      <c r="ED9" s="5">
        <f>IF(ISNUMBER($AV9),(-DZ9-SQRT(DZ9^2-DY9*EA9))/DY9,"")</f>
        <v>0.77886896206964551</v>
      </c>
      <c r="EE9" s="4">
        <f t="shared" ref="EE9:EG10" si="32">IF(ISNUMBER($AV9),CV9+DO9*$EC9,"")</f>
        <v>0.12532253875137064</v>
      </c>
      <c r="EF9" s="5">
        <f t="shared" si="32"/>
        <v>-0.18312255808857358</v>
      </c>
      <c r="EG9" s="10">
        <f t="shared" si="32"/>
        <v>-0.66168837209302322</v>
      </c>
      <c r="EH9" s="9">
        <f t="shared" ref="EH9:EJ10" si="33">IF(ISNUMBER($AV9),CV9+DO9*$ED9,"")</f>
        <v>8.0820185710219872E-2</v>
      </c>
      <c r="EI9" s="5">
        <f t="shared" si="33"/>
        <v>0.20665843215740642</v>
      </c>
      <c r="EJ9" s="6">
        <f t="shared" si="33"/>
        <v>-0.66168837209302322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34">IF(ISNUMBER($AV9),IF($EK9=TRUE,EE9,IF($EL9=TRUE,EH9,"")),"")</f>
        <v>8.0820185710219872E-2</v>
      </c>
      <c r="EN9" s="5">
        <f t="shared" si="34"/>
        <v>0.20665843215740642</v>
      </c>
      <c r="EO9" s="10">
        <f t="shared" si="34"/>
        <v>-0.66168837209302322</v>
      </c>
      <c r="EP9" s="9">
        <f>IF(ISNUMBER($AV9),IF(DEGREES(ATAN2(EM9,EN9))&lt;0,DEGREES(ATAN2(EM9,EN9))+360,IF(DEGREES(ATAN2(EM9,EN9))&gt;360,DEGREES(ATAN2(EM9,EN9))-360,DEGREES(ATAN2(EM9,EN9)))),"")</f>
        <v>68.640476344017458</v>
      </c>
      <c r="EQ9" s="5">
        <f>IF(ISNUMBER($AV9),SQRT(EM9^2+EN9^2),"")</f>
        <v>0.22189999999998147</v>
      </c>
      <c r="ER9" s="7">
        <f>IF(ISNUMBER($AV9),EO9,"")</f>
        <v>-0.66168837209302322</v>
      </c>
      <c r="ES9" s="274">
        <f>IF(ISNUMBER($AV9),AD9,"")</f>
        <v>0.92387955420894774</v>
      </c>
      <c r="ET9" s="267">
        <f t="shared" ref="ET9:ET40" si="35">IF(ISNUMBER($AV9),AE9,"")</f>
        <v>0.10548183497343269</v>
      </c>
      <c r="EU9" s="273">
        <f t="shared" ref="EU9:EU40" si="36">IF(ISNUMBER($AV9),AF9,"")</f>
        <v>-0.36785887484919227</v>
      </c>
      <c r="EV9" s="174">
        <f>IF(ISNUMBER($AV9),IF(($EV$1-EP9)&lt;0,(360+($EV$1-EP9)),($EV$1-EP9)),"")</f>
        <v>21.359523655982542</v>
      </c>
      <c r="EW9" s="9">
        <f>IF(ISNUMBER($AV9),(COS(RADIANS($EV9))*ES9)+(-SIN(RADIANS($EV9))*ET9),"")</f>
        <v>0.82200287824926699</v>
      </c>
      <c r="EX9" s="5">
        <f t="shared" ref="EX9:EX40" si="37">IF(ISNUMBER($AV9),(SIN(RADIANS($EV9))*ES9)+(COS(RADIANS($EV9))*ET9),"")</f>
        <v>0.43473108509124037</v>
      </c>
      <c r="EY9" s="6">
        <f>IF(ISNUMBER($AV9),EU9,"")</f>
        <v>-0.36785887484919227</v>
      </c>
      <c r="EZ9" s="51">
        <f>IF(ISNUMBER($AV9),DEGREES(ATAN($AS$5/($EQ9*2*PI()))),"")</f>
        <v>6.2822561917430617</v>
      </c>
      <c r="FA9" s="266">
        <f>IF(ISNUMBER($AV9),SIN(RADIANS($EP9))*COS(RADIANS($EZ9)),"")</f>
        <v>0.92572071105478515</v>
      </c>
      <c r="FB9" s="267">
        <f>IF(ISNUMBER($AV9),-1*COS(RADIANS($EP9))*COS(RADIANS($EZ9)),"")</f>
        <v>-0.36203177872876918</v>
      </c>
      <c r="FC9" s="268">
        <f t="shared" ref="FC9:FC53" si="38">IF(ISNUMBER($AV9),-1*SIN(RADIANS($EZ9)),"")</f>
        <v>-0.10942648817679591</v>
      </c>
      <c r="FD9" s="4">
        <f>IF(ISNUMBER($AV9),(COS(RADIANS($EV9))*FA9)+(-SIN(RADIANS($EV9))*FB9),"")</f>
        <v>0.99399489117665663</v>
      </c>
      <c r="FE9" s="5">
        <f t="shared" ref="FE9:FE40" si="39">IF(ISNUMBER($AV9),(SIN(RADIANS($EV9))*FA9)+(COS(RADIANS($EV9))*FB9),"")</f>
        <v>5.5511151231257827E-17</v>
      </c>
      <c r="FF9" s="7">
        <f>IF(ISNUMBER($AV9),FC9,"")</f>
        <v>-0.10942648817679591</v>
      </c>
      <c r="FG9" s="173">
        <f>IF(ISNUMBER($AV9),EW9-FD9,"")</f>
        <v>-0.17199201292738964</v>
      </c>
      <c r="FH9" s="5">
        <f t="shared" ref="FH9:FH40" si="40">IF(ISNUMBER($AV9),EX9-FE9,"")</f>
        <v>0.43473108509124031</v>
      </c>
      <c r="FI9" s="10">
        <f t="shared" ref="FI9:FI40" si="41">IF(ISNUMBER($AV9),EY9-FF9,"")</f>
        <v>-0.25843238667239637</v>
      </c>
      <c r="FJ9" s="279">
        <f>IF(ISNUMBER($AV9),DEGREES(ACOS((2-SQRT((FG9)^2+(FH9)^2+(FI9)^2)^2)/2)),"")</f>
        <v>30.982990151126291</v>
      </c>
      <c r="FK9" s="23">
        <f t="shared" ref="FK9:FK40" si="42">IF(ISNUMBER($AV9),SQRT(ES9^2+ET9^2),"")</f>
        <v>0.92988163128146928</v>
      </c>
      <c r="FL9" s="20">
        <f>IF(ISNUMBER($AV9),SQRT(FA9^2+FB9^2),"")</f>
        <v>0.99399489117665674</v>
      </c>
      <c r="FM9" s="25">
        <f>IF(ISNUMBER($AV9),SQRT(FG9^2+FH9^2),"")</f>
        <v>0.46751723909971765</v>
      </c>
      <c r="FN9" s="24">
        <f>IF(ISNUMBER($AV9),DEGREES(ACOS((FK9^2+FL9^2-FM9^2)/(2*FK9*FL9))),"")</f>
        <v>27.872934290804075</v>
      </c>
      <c r="FO9" s="10">
        <f t="shared" ref="FO9:FO40" si="43">IF(ISNUMBER($AV9),IF(SQRT((EM9+(ES9/SQRT(ES9^2+(ET9/SQRT(ES9^2+ET9^2))^2)))^2+(EN9+ET9)^2)&gt;SQRT((EM9+(FA9/SQRT(FA9^2+FB9^2)))^2+(EN9+(FB9/SQRT(FA9^2+FB9^2)))^2),-1,1),"")</f>
        <v>-1</v>
      </c>
      <c r="FP9" s="276">
        <f t="shared" ref="FP9:FP40" si="44">IF(ISNUMBER($AV9),FN9*FO9,"")</f>
        <v>-27.872934290804075</v>
      </c>
      <c r="FQ9" s="173">
        <f>IF(ISNUMBER($AV9),SIN(RADIANS(FN9)),"")</f>
        <v>0.46751228378620374</v>
      </c>
      <c r="FR9" s="10">
        <f>IF(ISNUMBER($AV9),COS(RADIANS(FN9)),"")</f>
        <v>0.88398657484659127</v>
      </c>
      <c r="FS9" s="9">
        <f>IF(ISNUMBER($AV9),FQ9/(FQ9+FR9),"")</f>
        <v>0.34592133082461435</v>
      </c>
      <c r="FT9" s="6">
        <f>IF(ISNUMBER($AV9),FR9/(FQ9+FR9),"")</f>
        <v>0.65407866917538571</v>
      </c>
      <c r="FU9" s="4">
        <f>IF(ISNUMBER($AV9),SQRT(EW9^2+EY9^2),"")</f>
        <v>0.90056031650045132</v>
      </c>
      <c r="FV9" s="5">
        <f>IF(ISNUMBER($AV9),SQRT(FD9^2+FF9^2),"")</f>
        <v>1</v>
      </c>
      <c r="FW9" s="8">
        <f>IF(ISNUMBER($AV9),SQRT(FG9^2+FI9^2),"")</f>
        <v>0.31043284457673992</v>
      </c>
      <c r="FX9" s="9">
        <f>IF(ISNUMBER($AV9),DEGREES(ACOS((FU9^2+FV9^2-FW9^2)/(2*FU9*FV9))),"")</f>
        <v>17.826990660969024</v>
      </c>
      <c r="FY9" s="10">
        <f t="shared" ref="FY9:FY40" si="45">IF(ISNUMBER($AV9),IF(EU9&lt;FC9,1,-1),"")</f>
        <v>1</v>
      </c>
      <c r="FZ9" s="277">
        <f>IF(ISNUMBER($AV9),FX9*FY9,"")</f>
        <v>17.826990660969024</v>
      </c>
      <c r="GA9" s="177">
        <f>IF(ISNUMBER($AV9),DEGREES(FZ9*SIN(RADIANS(FU9))),"")</f>
        <v>16.053619331931632</v>
      </c>
      <c r="GB9" s="4">
        <f>IF(ISNUMBER($AV9),COS(RADIANS(FP9+90))*COS(RADIANS(FZ9)),"")</f>
        <v>0.44506481304353285</v>
      </c>
      <c r="GC9" s="5">
        <f>IF(ISNUMBER($AV9),SIN(RADIANS(FP9+90))*COS(RADIANS(FZ9)),"")</f>
        <v>0.84154220821930237</v>
      </c>
      <c r="GD9" s="10">
        <f>IF(ISNUMBER($AV9),-SIN(RADIANS(FZ9)),"")</f>
        <v>-0.30614379623945603</v>
      </c>
      <c r="GE9" s="311">
        <f>IF(ISNUMBER($AV9),SUM(ABS(GB9),ABS(GC9),ABS(GD9)),"")</f>
        <v>1.5927508175022911</v>
      </c>
      <c r="GF9" s="341">
        <f>IF(ISNUMBER($AV9),1/GE9,"")</f>
        <v>0.62784460005374421</v>
      </c>
      <c r="GG9" s="303">
        <f t="shared" ref="GG9:GG40" si="46">IF(ISNUMBER($AV9),ABS(GB9)/(ABS($GB9)+ABS($GC9)+ABS($GD9)),"")</f>
        <v>0.27943153954331129</v>
      </c>
      <c r="GH9" s="304">
        <f t="shared" ref="GH9:GH40" si="47">IF(ISNUMBER($AV9),ABS(GC9)/(ABS($GB9)+ABS($GC9)+ABS($GD9)),"")</f>
        <v>0.52835773114779261</v>
      </c>
      <c r="GI9" s="305">
        <f t="shared" ref="GI9:GI40" si="48">IF(ISNUMBER($AV9),ABS(GD9)/(ABS($GB9)+ABS($GC9)+ABS($GD9)),"")</f>
        <v>0.19221072930889621</v>
      </c>
      <c r="GJ9" s="167">
        <f>IF(ISNUMBER($AV9),AW9,"")</f>
        <v>0.22189999999999999</v>
      </c>
      <c r="GK9" s="174">
        <f t="shared" ref="GK9:GK53" si="49">IF(ISNUMBER($AV9),SQRT((2*PI()*$GJ9)^2+$AS$5^2)/12,"")</f>
        <v>0.11688849644662135</v>
      </c>
      <c r="GL9" s="174">
        <f t="shared" ref="GL9:GN10" si="50">IF(ISNUMBER($AV9),AY9,"")</f>
        <v>5.6300000000000003E-2</v>
      </c>
      <c r="GM9" s="9">
        <f t="shared" si="50"/>
        <v>7.8969868199337379E-2</v>
      </c>
      <c r="GN9" s="281">
        <f t="shared" si="50"/>
        <v>4.3749668930090331E-3</v>
      </c>
      <c r="GO9" s="4">
        <f>IF(ISNUMBER($AV9),FP9,"")</f>
        <v>-27.872934290804075</v>
      </c>
      <c r="GP9" s="8">
        <f>IF(ISNUMBER($AV9),FZ9,"")</f>
        <v>17.826990660969024</v>
      </c>
      <c r="GQ9" s="177">
        <f>IF(ISNUMBER($AV9),FJ9,"")</f>
        <v>30.982990151126291</v>
      </c>
      <c r="GR9" s="371">
        <f>IF(ISNUMBER($AV9),GS9+GU9+GY9,"")</f>
        <v>373.65720015010004</v>
      </c>
      <c r="GS9" s="342">
        <f t="shared" ref="GS9:GS40" si="51">IF(ISNUMBER($AV9),GU9/GH9*GG9,"")</f>
        <v>104.41160669938564</v>
      </c>
      <c r="GT9" s="343">
        <f t="shared" ref="GT9:GT40" si="52">IF(ISNUMBER($AV9),GS9/$GK9,"")</f>
        <v>893.2581894152994</v>
      </c>
      <c r="GU9" s="344">
        <f t="shared" ref="GU9:GU53" si="53">IF(ISNUMBER($AV9),$GV9*$GK9,"")</f>
        <v>197.42467049834346</v>
      </c>
      <c r="GV9" s="343">
        <f>IF(ISNUMBER($AV9),GW9*$GL9,"")</f>
        <v>1689</v>
      </c>
      <c r="GW9" s="345">
        <f>IF(ISNUMBER($AV9),$GW$2,"")</f>
        <v>30000</v>
      </c>
      <c r="GX9" s="346">
        <f t="shared" ref="GX9:GX53" si="54">IF(ISNUMBER($AV9),($GJ9/12)*$GV9,"")</f>
        <v>31.232424999999999</v>
      </c>
      <c r="GY9" s="344">
        <f t="shared" ref="GY9:GY40" si="55">IF(ISNUMBER($AV9),GU9/GH9*GI9,"")</f>
        <v>71.820922952370921</v>
      </c>
      <c r="GZ9" s="345">
        <f t="shared" ref="GZ9:GZ40" si="56">IF(ISNUMBER($AV9),GY9/$GK9,"")</f>
        <v>614.4396166920402</v>
      </c>
      <c r="HA9" s="342">
        <f t="shared" ref="HA9:HA53" si="57">IF(ISNUMBER($AV9),$FO9*$GS9,"")</f>
        <v>-104.41160669938564</v>
      </c>
      <c r="HB9" s="191">
        <f>IF(ISNUMBER($AV9),$EV9,"")</f>
        <v>21.359523655982542</v>
      </c>
      <c r="HC9" s="362">
        <f>IF(ISNUMBER($AV9),HA9*COS(RADIANS(HB9)),"")</f>
        <v>-97.239923116415454</v>
      </c>
      <c r="HD9" s="365">
        <f>IF(ISNUMBER($AV9),HA9*SIN(RADIANS(HB9)),"")</f>
        <v>-38.028686091696663</v>
      </c>
      <c r="HE9" s="344">
        <f t="shared" ref="HE9:HE53" si="58">IF(ISNUMBER($AV9),$FY9*$GV9,"")</f>
        <v>1689</v>
      </c>
      <c r="HF9" s="5">
        <f t="shared" ref="HF9:HF53" si="59">IF(ISNUMBER($AV9),IF(($HB9+90)&lt;0,(360+($HB9+90)),($HB9+90)),"")</f>
        <v>111.35952365598254</v>
      </c>
      <c r="HG9" s="362">
        <f>IF(ISNUMBER($AV9),HE9*COS(RADIANS(HF9)),"")</f>
        <v>-615.16581191785838</v>
      </c>
      <c r="HH9" s="368">
        <f>IF(ISNUMBER($AV9),HE9*SIN(RADIANS(HF9)),"")</f>
        <v>1572.988246570025</v>
      </c>
      <c r="HI9" s="317">
        <f t="shared" ref="HI9:HI40" si="60">IF(ISNUMBER($AV9),$M9,"")</f>
        <v>1.101</v>
      </c>
      <c r="HJ9" s="336"/>
      <c r="HK9" s="315">
        <v>1</v>
      </c>
      <c r="HL9" s="347">
        <f t="shared" ref="HL9:HL40" si="61">IF(ISNUMBER($HS9),INDEX(HI$9:HI$150,MATCH($HS9,$GJ$9:$GJ$150,0)),"")</f>
        <v>1.101</v>
      </c>
      <c r="HM9" s="924">
        <f t="shared" ref="HM9:HM40" si="62">IF(ISNUMBER($HL9),INDEX(GO$9:GO$150,MATCH($HL9,$AV$9:$AV$150,0)),"")</f>
        <v>-27.872934290804075</v>
      </c>
      <c r="HN9" s="925">
        <f t="shared" ref="HN9:HN40" si="63">IF(ISNUMBER($HL9),INDEX(AO$9:AO$150,MATCH($HL9,$AV$9:$AV$150,0)),"")</f>
        <v>22.499996751402389</v>
      </c>
      <c r="HO9" s="926"/>
      <c r="HP9" s="927"/>
      <c r="HQ9" s="928">
        <f t="shared" ref="HQ9:HQ40" si="64">IF(ISNUMBER($HL9),INDEX(GQ$9:GQ$150,MATCH($HL9,$AV$9:$AV$150,0)),"")</f>
        <v>30.982990151126291</v>
      </c>
      <c r="HR9" s="929">
        <f t="shared" ref="HR9:HR40" si="65">IF(ISNUMBER($HL9),INDEX(GP$9:GP$150,MATCH($HL9,$AV$9:$AV$150,0)),"")</f>
        <v>17.826990660969024</v>
      </c>
      <c r="HS9" s="930">
        <f>IFERROR(SMALL($GJ$9:$GJ$150,$HK9),"")</f>
        <v>0.22189999999999999</v>
      </c>
      <c r="HT9" s="931">
        <f t="shared" ref="HT9:HT40" si="66">IF(ISNUMBER($HL9),INDEX(GL$9:GL$150,MATCH($HL9,$AV$9:$AV$150,0)),"")</f>
        <v>5.6300000000000003E-2</v>
      </c>
      <c r="HU9" s="932">
        <f t="shared" ref="HU9:HU40" si="67">IF(ISNUMBER($HL9),INDEX(GM$9:GM$150,MATCH($HL9,$AV$9:$AV$150,0)),"")</f>
        <v>7.8969868199337379E-2</v>
      </c>
      <c r="HV9" s="933">
        <f t="shared" ref="HV9:HV40" si="68">IF(ISNUMBER($HL9),INDEX(GN$9:GN$150,MATCH($HL9,$AV$9:$AV$150,0)),"")</f>
        <v>4.3749668930090331E-3</v>
      </c>
      <c r="HW9" s="934">
        <f t="shared" ref="HW9:HW40" si="69">IF(ISNUMBER($HL9),INDEX(GW$9:GW$150,MATCH($HL9,$AV$9:$AV$150,0)),"")</f>
        <v>30000</v>
      </c>
      <c r="HX9" s="946">
        <f t="shared" ref="HX9:HX40" si="70">IF(ISNUMBER($HL9),INDEX(GX$9:GX$150,MATCH($HL9,$AV$9:$AV$150,0)),"")</f>
        <v>31.232424999999999</v>
      </c>
      <c r="HY9" s="948">
        <f t="shared" ref="HY9:HY40" si="71">IF(ISNUMBER($HL9),INDEX(GS$9:GS$150,MATCH($HL9,$AV$9:$AV$150,0)),"")</f>
        <v>104.41160669938564</v>
      </c>
      <c r="HZ9" s="949">
        <f t="shared" ref="HZ9:HZ40" si="72">IF(ISNUMBER($HL9),INDEX(GU$9:GU$150,MATCH($HL9,$AV$9:$AV$150,0)),"")</f>
        <v>197.42467049834346</v>
      </c>
      <c r="IA9" s="950">
        <f t="shared" ref="IA9:IA40" si="73">IF(ISNUMBER($HL9),INDEX(GY$9:GY$150,MATCH($HL9,$AV$9:$AV$150,0)),"")</f>
        <v>71.820922952370921</v>
      </c>
      <c r="IB9" s="951">
        <f t="shared" ref="IB9:IB40" si="74">IF(ISNUMBER($HL9),INDEX(GR$9:GR$150,MATCH($HL9,$AV$9:$AV$150,0)),"")</f>
        <v>373.65720015010004</v>
      </c>
      <c r="IC9" s="841">
        <f t="shared" ref="IC9:IC40" si="75">IF(ISNUMBER($HL9),INDEX(GT$9:GT$150,MATCH($HL9,$AV$9:$AV$150,0)),"")</f>
        <v>893.2581894152994</v>
      </c>
      <c r="ID9" s="350">
        <f t="shared" ref="ID9:ID40" si="76">IF(ISNUMBER($HL9),INDEX(GV$9:GV$150,MATCH($HL9,$AV$9:$AV$150,0)),"")</f>
        <v>1689</v>
      </c>
      <c r="IE9" s="843">
        <f t="shared" ref="IE9:IE40" si="77">IF(ISNUMBER($HL9),INDEX(GZ$9:GZ$150,MATCH($HL9,$AV$9:$AV$150,0)),"")</f>
        <v>614.4396166920402</v>
      </c>
      <c r="IF9" s="845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96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8">IF(ISNUMBER($IK9),INDEX($K$9:$K$150,MATCH($IK9,$M$9:$M$150,0)),$K9)</f>
        <v>1613</v>
      </c>
      <c r="IM9" s="781" t="str">
        <f t="shared" ref="IM9" si="79">IF(ISNUMBER($IK9),INDEX($K$9:$K$150,MATCH($II9,$M$9:$M$150,0)),"")</f>
        <v/>
      </c>
      <c r="IN9" s="672" t="str">
        <f t="shared" ref="IN9:IN40" si="8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2">IF(ISNUMBER($IK9),INDEX($Y$9:$Y$150,MATCH($IK9,$M$9:$M$150,0)),"")</f>
        <v/>
      </c>
      <c r="IT9" s="20" t="str">
        <f t="shared" ref="IT9:IT40" si="83">IF(ISNUMBER($IK9),INDEX($H$9:$H$150,MATCH($IK9,$M$9:$M$150,0)),"")</f>
        <v/>
      </c>
      <c r="IU9" s="20" t="str">
        <f t="shared" ref="IU9:IU40" si="84">IF(ISNUMBER($IK9),$IT9*COS(RADIANS(INDEX($AO$9:$AO$150,MATCH($IK9,$M$9:$M$150,0)))),"")</f>
        <v/>
      </c>
      <c r="IV9" s="672" t="str">
        <f t="shared" ref="IV9:IV40" si="85">IF(ISNUMBER($IK9),(-1*INDEX($AN$9:$AN$150,MATCH($IK9,$M$9:$M$150,0))),"")</f>
        <v/>
      </c>
      <c r="IW9" s="24" t="str">
        <f t="shared" ref="IW9:IW40" si="86">IF(ISNUMBER($IK9),-$X9,"")</f>
        <v/>
      </c>
      <c r="IX9" s="20" t="str">
        <f t="shared" ref="IX9:IX40" si="87">IF(ISNUMBER($IK9),$Y9,"")</f>
        <v/>
      </c>
      <c r="IY9" s="20" t="str">
        <f t="shared" ref="IY9:IY40" si="88">IF(ISNUMBER($IK9),$H9,"")</f>
        <v/>
      </c>
      <c r="IZ9" s="20" t="str">
        <f t="shared" ref="IZ9:IZ40" si="89">IF(ISNUMBER($IK9),$IY9*COS(RADIANS($AO9)),"")</f>
        <v/>
      </c>
      <c r="JA9" s="704" t="str">
        <f t="shared" ref="JA9:JA40" si="9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57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>IFERROR(O165+($A10*-E10),"")</f>
        <v>0</v>
      </c>
      <c r="C10" s="572">
        <f>IFERROR(P165+($A10*-F10),"")</f>
        <v>1.054703180984794</v>
      </c>
      <c r="D10" s="576">
        <f>IFERROR(Q165+($A10*-G10),"")</f>
        <v>-0.59110178276297676</v>
      </c>
      <c r="E10" s="580">
        <f t="shared" ref="E10:K10" si="91">R165</f>
        <v>-0.96592583607220739</v>
      </c>
      <c r="F10" s="572">
        <f t="shared" si="91"/>
        <v>-5.8221608866857143E-2</v>
      </c>
      <c r="G10" s="579">
        <f t="shared" si="91"/>
        <v>0.2521854941688001</v>
      </c>
      <c r="H10" s="580">
        <f t="shared" si="91"/>
        <v>0.3125</v>
      </c>
      <c r="I10" s="572">
        <f t="shared" si="91"/>
        <v>0.52</v>
      </c>
      <c r="J10" s="483">
        <f t="shared" ref="J10:J73" si="92">IF(W165=0,"",W165)</f>
        <v>1.1040000000000001</v>
      </c>
      <c r="K10" s="806">
        <f t="shared" si="91"/>
        <v>1613</v>
      </c>
      <c r="M10" s="164">
        <f t="shared" si="4"/>
        <v>1.1040000000000001</v>
      </c>
      <c r="N10" s="575">
        <f t="shared" si="5"/>
        <v>0</v>
      </c>
      <c r="O10" s="572">
        <f t="shared" si="6"/>
        <v>1.054703180984794</v>
      </c>
      <c r="P10" s="576">
        <f t="shared" si="7"/>
        <v>-0.59110178276297676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93">IF(M10="","",SQRT(N10^2+O10^2))</f>
        <v>1.054703180984794</v>
      </c>
      <c r="S10" s="577">
        <f t="shared" ref="S10:S105" si="94">IF(M10="","",P10)</f>
        <v>-0.59110178276297676</v>
      </c>
      <c r="T10" s="578">
        <f t="shared" ref="T10:T105" si="95">IF(M10="","",X10*COS(RADIANS(W10)))</f>
        <v>1.0547031649207506</v>
      </c>
      <c r="U10" s="572">
        <f t="shared" ref="U10:U105" si="96">IF(M10="","",X10*SIN(RADIANS(W10)))</f>
        <v>1.8408040388199608E-4</v>
      </c>
      <c r="V10" s="579">
        <f>IF(M10="","",Y10)</f>
        <v>-0.59110178276297676</v>
      </c>
      <c r="W10" s="528">
        <f t="shared" si="8"/>
        <v>9.9999985561822768E-3</v>
      </c>
      <c r="X10" s="572">
        <f t="shared" ref="X10:X105" si="97">IF(M10="","",R10)</f>
        <v>1.054703180984794</v>
      </c>
      <c r="Y10" s="573">
        <f t="shared" si="9"/>
        <v>-0.59110178276297676</v>
      </c>
      <c r="Z10" s="575">
        <f>IF(M10="","",-E10)</f>
        <v>0.96592583607220739</v>
      </c>
      <c r="AA10" s="572">
        <f t="shared" si="11"/>
        <v>5.8221608866857143E-2</v>
      </c>
      <c r="AB10" s="572">
        <f t="shared" si="12"/>
        <v>-0.2521854941688001</v>
      </c>
      <c r="AC10" s="579">
        <f t="shared" ref="AC10:AC105" si="98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99">IF(M10="","",AA10*(1/SQRT(Z10^2+AA10^2+AB10^2)))</f>
        <v>5.8221608866857143E-2</v>
      </c>
      <c r="AF10" s="576">
        <f t="shared" ref="AF10:AF105" si="100">IF(M10="","",AB10*(1/SQRT(Z10^2+AA10^2+AB10^2)))</f>
        <v>-0.2521854941688001</v>
      </c>
      <c r="AG10" s="545">
        <f t="shared" ref="AG10:AG105" si="101">IF(M10="","",DEGREES(ATAN2(-AF10,AE10)))</f>
        <v>13.000000000000005</v>
      </c>
      <c r="AH10" s="546">
        <f t="shared" ref="AH10:AH105" si="102">IF(M10="","",DEGREES(ACOS(AD10)))</f>
        <v>14.999997834268255</v>
      </c>
      <c r="AI10" s="528">
        <f t="shared" ref="AI10:AI105" si="103">IF(M10="","",DEGREES(-ACOS(-AF10)))</f>
        <v>-75.393123758026334</v>
      </c>
      <c r="AJ10" s="529">
        <f t="shared" ref="AJ10:AJ105" si="104">IF(M10="","",DEGREES(ATAN2(-AE10,AD10)))</f>
        <v>93.449355284583731</v>
      </c>
      <c r="AK10" s="578">
        <f>IF(M10="","",(COS(RADIANS((90-$Q$8)-W10))*AD10)+(-SIN(RADIANS((90-$Q$8)-W10))*AE10))</f>
        <v>0.96592583607220739</v>
      </c>
      <c r="AL10" s="572">
        <f t="shared" ref="AL10:AL105" si="105">IF(M10="","",(SIN(RADIANS((90-$Q$8)-W10))*AD10)+(COS(RADIANS((90-$Q$8)-W10))*AE10))</f>
        <v>5.8221608866857143E-2</v>
      </c>
      <c r="AM10" s="577">
        <f t="shared" ref="AM10:AM105" si="106">IF(M10="","",AF10)</f>
        <v>-0.2521854941688001</v>
      </c>
      <c r="AN10" s="524">
        <f t="shared" ref="AN10:AN105" si="107">IF(M10="","",DEGREES(ATAN2(-AM10,AL10)))</f>
        <v>13.000000000000005</v>
      </c>
      <c r="AO10" s="525">
        <f t="shared" ref="AO10:AO54" si="108">IF(ROUND(IF(M10="",0,DEGREES(ACOS(AK10))),4)=90,0,IF(M10="","",DEGREES(ACOS(AK10))))</f>
        <v>14.999997834268255</v>
      </c>
      <c r="AP10" s="528">
        <f t="shared" ref="AP10:AP105" si="109">IF(M10="","",DEGREES(ATAN2(AK10,AL10)))</f>
        <v>3.4493552845837328</v>
      </c>
      <c r="AQ10" s="529">
        <f t="shared" si="13"/>
        <v>1.3268149210917328</v>
      </c>
      <c r="AS10" s="900">
        <f>IF($M10="","",IF(AND($W10&lt;($AS$9+180),$W10&gt;($AS$9-180)),$W10,IF($W10&gt;($AS$9+180),$W10-360,IF($W10&lt;($AS$9-180),$W10+360,"Error"))))</f>
        <v>9.9999985561822768E-3</v>
      </c>
      <c r="AT10" s="896">
        <f t="shared" si="14"/>
        <v>-0.59110178276297676</v>
      </c>
      <c r="AU10" s="418"/>
      <c r="AV10" s="164">
        <f t="shared" si="15"/>
        <v>1.1040000000000001</v>
      </c>
      <c r="AW10" s="829">
        <f>IFERROR(INDEX(MassProp!C$9:C$150,MATCH($M10,MassProp!$B$9:$B$150,0)),"")</f>
        <v>0.99319999999999997</v>
      </c>
      <c r="AX10" s="830">
        <f>IFERROR(INDEX(MassProp!D$9:D$150,MATCH($M10,MassProp!$B$9:$B$150,0)),"")</f>
        <v>-0.21190000000000001</v>
      </c>
      <c r="AY10" s="831">
        <f>IFERROR(INDEX(MassProp!E$9:E$150,MATCH($M10,MassProp!$B$9:$B$150,0)),"")</f>
        <v>3.5499999999999997E-2</v>
      </c>
      <c r="AZ10" s="297">
        <f>IF(ISNUMBER(AV10),$AY10*SQRT((2*PI()*$AW10)^2+$AS$5^2),"")</f>
        <v>0.22160331627903299</v>
      </c>
      <c r="BA10" s="296">
        <f t="shared" si="16"/>
        <v>1.2276925290726446E-2</v>
      </c>
      <c r="BB10" s="291">
        <f>IF(ISNUMBER($AV10),$AX10-($AT10+$AS$5),"")</f>
        <v>0.22571341066995351</v>
      </c>
      <c r="BC10" s="9"/>
      <c r="BD10" s="5">
        <f>IF(ISNUMBER(AV10),AW10,"")</f>
        <v>0.99319999999999997</v>
      </c>
      <c r="BE10" s="6">
        <f t="shared" si="17"/>
        <v>-0.36538837209302322</v>
      </c>
      <c r="BF10" s="4">
        <f t="shared" si="18"/>
        <v>0</v>
      </c>
      <c r="BG10" s="5">
        <f t="shared" si="19"/>
        <v>1.054703180984794</v>
      </c>
      <c r="BH10" s="10">
        <f t="shared" si="20"/>
        <v>-0.59110178276297676</v>
      </c>
      <c r="BI10" s="9">
        <f>IF(ISNUMBER($AV10),BF10+0,"")</f>
        <v>0</v>
      </c>
      <c r="BJ10" s="5">
        <f t="shared" si="21"/>
        <v>2.0290732457700291</v>
      </c>
      <c r="BK10" s="8">
        <f t="shared" si="22"/>
        <v>-0.36615072841911167</v>
      </c>
      <c r="BL10" s="173">
        <f t="shared" si="23"/>
        <v>0.25881900859134571</v>
      </c>
      <c r="BM10" s="5">
        <f t="shared" si="24"/>
        <v>0.83741714574237158</v>
      </c>
      <c r="BN10" s="6">
        <f t="shared" si="25"/>
        <v>0.35006743670843243</v>
      </c>
      <c r="BO10" s="4">
        <f>IF(ISNUMBER($AV10),BJ10*BN10-BM10*BK10-BG10*(BN10-BK10)+BH10*(BM10-BJ10),"")</f>
        <v>0.96592583607220728</v>
      </c>
      <c r="BP10" s="5">
        <f>IF(ISNUMBER($AV10),BF10*(BN10-BK10)-(BI10*BN10-BL10*BK10)+BH10*(BI10-BL10),"")</f>
        <v>5.8221608866857094E-2</v>
      </c>
      <c r="BQ10" s="5">
        <f>IF(ISNUMBER($AV10),BF10*(BJ10-BM10)-BG10*(BI10-BL10)+(BI10*BM10-BL10*BJ10),"")</f>
        <v>-0.25218549416879987</v>
      </c>
      <c r="BR10" s="6">
        <f>IF(ISNUMBER($AV10),-(BF10*(BJ10*BN10-BM10*BK10)-BG10*(BI10*BN10-BL10*BK10)+BH10*(BI10*BM10-BL10*BJ10)),"")</f>
        <v>-0.21047381126406653</v>
      </c>
      <c r="BS10" s="4">
        <f t="shared" ref="BS10:BT41" si="110">IF(ISNUMBER($AV10),0,"")</f>
        <v>0</v>
      </c>
      <c r="BT10" s="5">
        <f t="shared" si="110"/>
        <v>0</v>
      </c>
      <c r="BU10" s="10">
        <f t="shared" ref="BU10:BU73" si="111">IF(ISNUMBER($AV10),$BE10,"")</f>
        <v>-0.36538837209302322</v>
      </c>
      <c r="BV10" s="9">
        <f t="shared" ref="BV10:BV73" si="112">IF(ISNUMBER($AV10),0,"")</f>
        <v>0</v>
      </c>
      <c r="BW10" s="5">
        <f t="shared" ref="BW10:BW73" si="113">IF(ISNUMBER($AV10),1,"")</f>
        <v>1</v>
      </c>
      <c r="BX10" s="8">
        <f t="shared" ref="BX10:BX73" si="114">IF(ISNUMBER($AV10),$BE10,"")</f>
        <v>-0.36538837209302322</v>
      </c>
      <c r="BY10" s="173">
        <f t="shared" ref="BY10:BY73" si="115">IF(ISNUMBER($AV10),1,"")</f>
        <v>1</v>
      </c>
      <c r="BZ10" s="5">
        <f t="shared" ref="BZ10:BZ73" si="116">IF(ISNUMBER($AV10),0,"")</f>
        <v>0</v>
      </c>
      <c r="CA10" s="6">
        <f t="shared" ref="CA10:CA73" si="117">IF(ISNUMBER($AV10),$BE10,"")</f>
        <v>-0.36538837209302322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-0.36538837209302322</v>
      </c>
      <c r="CF10" s="4">
        <f>IF(ISNUMBER($AV10),(BP10*CD10)-(BQ10*CC10),"")</f>
        <v>-5.8221608866857094E-2</v>
      </c>
      <c r="CG10" s="5">
        <f>IF(ISNUMBER($AV10),(BQ10*CB10)-(BO10*CD10),"")</f>
        <v>0.96592583607220728</v>
      </c>
      <c r="CH10" s="5">
        <f>IF(ISNUMBER($AV10),(BO10*CC10)-(BP10*CB10),"")</f>
        <v>0</v>
      </c>
      <c r="CI10" s="4">
        <f t="shared" ref="CI10:CI73" si="118">IF(ISNUMBER($AV10),0,"")</f>
        <v>0</v>
      </c>
      <c r="CJ10" s="5">
        <f t="shared" ref="CJ10:CJ73" si="119">IF(ISNUMBER($AV10),(CD10*BR10-BQ10*CE10)/(BQ10*CC10-CD10*BP10),"")</f>
        <v>2.0323753738040891</v>
      </c>
      <c r="CK10" s="8">
        <f t="shared" ref="CK10:CK73" si="120">IF(ISNUMBER($AV10),(CC10*BR10-BP10*CE10)/(-CC10*BQ10+BP10*CD10),"")</f>
        <v>-0.36538837209302322</v>
      </c>
      <c r="CL10" s="173">
        <f t="shared" ref="CL10:CL73" si="121">IF(ISNUMBER($AV10),CI10+CF10,"")</f>
        <v>-5.8221608866857094E-2</v>
      </c>
      <c r="CM10" s="5">
        <f t="shared" ref="CM10:CM73" si="122">IF(ISNUMBER($AV10),CJ10+CG10,"")</f>
        <v>2.9983012098762964</v>
      </c>
      <c r="CN10" s="6">
        <f t="shared" ref="CN10:CN73" si="123">IF(ISNUMBER($AV10),CK10+CH10,"")</f>
        <v>-0.36538837209302322</v>
      </c>
      <c r="CO10" s="167">
        <f t="shared" si="26"/>
        <v>0.3125</v>
      </c>
      <c r="CP10" s="4">
        <f>IF(ISNUMBER($AV10),(CL10-CI10)^2+(CM10-CJ10)^2+(CN10-CK10)^2,"")</f>
        <v>0.93640247653083819</v>
      </c>
      <c r="CQ10" s="5">
        <f>IF(ISNUMBER($AV10),2*((CL10-CI10)*(CI10-BF10)+(CM10-CJ10)*(CJ10-BG10)+(CN10-CK10)*(CK10-BH10)),"")</f>
        <v>1.8887176605070519</v>
      </c>
      <c r="CR10" s="5">
        <f>IF(ISNUMBER($AV10),BF10^2+BG10^2+BH10^2+CI10^2+CJ10^2+CK10^2-2*(BF10*CI10+BG10*CJ10+BH10*CK10)-CO10^2,"")</f>
        <v>0.90913321036835182</v>
      </c>
      <c r="CS10" s="8">
        <f>IF(ISNUMBER($AV10),CQ10^2-(4*CP10*CR10),"")</f>
        <v>0.16199604236980703</v>
      </c>
      <c r="CT10" s="9">
        <f>IF(ISNUMBER($AV10),(-CQ10+SQRT(CS10))/(CP10*2),"")</f>
        <v>-0.79358522549988442</v>
      </c>
      <c r="CU10" s="6">
        <f>IF(ISNUMBER($AV10),(-CQ10-SQRT(CS10))/(CP10*2),"")</f>
        <v>-1.2234082231978685</v>
      </c>
      <c r="CV10" s="4">
        <f t="shared" si="27"/>
        <v>4.6203808601570855E-2</v>
      </c>
      <c r="CW10" s="5">
        <f t="shared" si="27"/>
        <v>1.265830901368562</v>
      </c>
      <c r="CX10" s="8">
        <f t="shared" si="27"/>
        <v>-0.36538837209302322</v>
      </c>
      <c r="CY10" s="9">
        <f t="shared" si="28"/>
        <v>7.1228795055522903E-2</v>
      </c>
      <c r="CZ10" s="5">
        <f t="shared" si="28"/>
        <v>0.85065376295407424</v>
      </c>
      <c r="DA10" s="6">
        <f t="shared" si="28"/>
        <v>-0.36538837209302322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0.99319999999999997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4.6203808601570855E-2</v>
      </c>
      <c r="DM10" s="173">
        <f>IF(ISNUMBER($AV10),CW10-DC10,"")</f>
        <v>1.265830901368562</v>
      </c>
      <c r="DN10" s="178">
        <f>IF(ISNUMBER($AV10),CX10-DD10,"")</f>
        <v>9.6346116279069776</v>
      </c>
      <c r="DO10" s="9">
        <f t="shared" si="31"/>
        <v>2.5024986453952049E-2</v>
      </c>
      <c r="DP10" s="173">
        <f t="shared" si="31"/>
        <v>-0.41517713841448778</v>
      </c>
      <c r="DQ10" s="11">
        <f t="shared" si="31"/>
        <v>0</v>
      </c>
      <c r="DR10" s="173">
        <f>IF(ISNUMBER($AV10),SUMPRODUCT(DI10:DK10,DL10:DN10),"")</f>
        <v>192.69223255813955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0.17299830620906323</v>
      </c>
      <c r="DV10" s="5">
        <f>IF(ISNUMBER($AV10),SUMPRODUCT(DL10:DN10,DO10:DQ10),"")</f>
        <v>-0.52438780166245602</v>
      </c>
      <c r="DW10" s="5">
        <f>IF(ISNUMBER($AV10),SUMPRODUCT(DL10:DN10,DL10:DN10),"")</f>
        <v>94.430203883389169</v>
      </c>
      <c r="DX10" s="167">
        <f>IF(ISNUMBER($AV10),DW10-DH10*DH10,"")</f>
        <v>93.443757643389162</v>
      </c>
      <c r="DY10" s="9">
        <f>IF(ISNUMBER($AV10),DT10*DU10-DS10*DS10,"")</f>
        <v>69.199322483625295</v>
      </c>
      <c r="DZ10" s="5">
        <f>IF(ISNUMBER($AV10),DT10*DV10-DS10*DR10,"")</f>
        <v>-209.7551206649824</v>
      </c>
      <c r="EA10" s="10">
        <f>IF(ISNUMBER($AV10),DT10*DX10-DR10*DR10,"")</f>
        <v>247.20656911552942</v>
      </c>
      <c r="EB10" s="6">
        <f>IF(ISNUMBER($AV10),DZ10*DZ10-DY10*EA10,"")</f>
        <v>26890.683548885198</v>
      </c>
      <c r="EC10" s="173">
        <f>IF(ISNUMBER($AV10),(-DZ10+SQRT(DZ10^2-DY10*EA10))/DY10,"")</f>
        <v>5.4009041961348316</v>
      </c>
      <c r="ED10" s="5">
        <f>IF(ISNUMBER($AV10),(-DZ10-SQRT(DZ10^2-DY10*EA10))/DY10,"")</f>
        <v>0.66144188289266137</v>
      </c>
      <c r="EE10" s="4">
        <f t="shared" si="32"/>
        <v>0.18136136294893782</v>
      </c>
      <c r="EF10" s="5">
        <f>IF(ISNUMBER($AV10),CW10+DP10*$EC10,"")</f>
        <v>-0.97650104763349677</v>
      </c>
      <c r="EG10" s="10">
        <f>IF(ISNUMBER($AV10),CX10+DQ10*$EC10,"")</f>
        <v>-0.36538837209302322</v>
      </c>
      <c r="EH10" s="9">
        <f>IF(ISNUMBER($AV10),CV10+DO10*$ED10,"")</f>
        <v>6.2756382761036247E-2</v>
      </c>
      <c r="EI10" s="5">
        <f>IF(ISNUMBER($AV10),CW10+DP10*$ED10,"")</f>
        <v>0.99121535320169607</v>
      </c>
      <c r="EJ10" s="6">
        <f t="shared" si="33"/>
        <v>-0.36538837209302322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34"/>
        <v>6.2756382761036247E-2</v>
      </c>
      <c r="EN10" s="5">
        <f t="shared" si="34"/>
        <v>0.99121535320169607</v>
      </c>
      <c r="EO10" s="10">
        <f t="shared" si="34"/>
        <v>-0.36538837209302322</v>
      </c>
      <c r="EP10" s="9">
        <f>IF(ISNUMBER($AV10),IF(DEGREES(ATAN2(EM10,EN10))&lt;0,DEGREES(ATAN2(EM10,EN10))+360,IF(DEGREES(ATAN2(EM10,EN10))&gt;360,DEGREES(ATAN2(EM10,EN10))-360,DEGREES(ATAN2(EM10,EN10)))),"")</f>
        <v>86.377292803855596</v>
      </c>
      <c r="EQ10" s="5">
        <f>IF(ISNUMBER($AV10),SQRT(EM10^2+EN10^2),"")</f>
        <v>0.99320000000000641</v>
      </c>
      <c r="ER10" s="7">
        <f>IF(ISNUMBER($AV10),EO10,"")</f>
        <v>-0.36538837209302322</v>
      </c>
      <c r="ES10" s="21">
        <f t="shared" ref="ES10:ES40" si="124">IF(ISNUMBER($AV10),AD10,"")</f>
        <v>0.96592583607220739</v>
      </c>
      <c r="ET10" s="5">
        <f t="shared" si="35"/>
        <v>5.8221608866857143E-2</v>
      </c>
      <c r="EU10" s="10">
        <f t="shared" si="36"/>
        <v>-0.2521854941688001</v>
      </c>
      <c r="EV10" s="174">
        <f>IF(ISNUMBER($AV10),IF(($EV$1-EP10)&lt;0,(360+($EV$1-EP10)),($EV$1-EP10)),"")</f>
        <v>3.622707196144404</v>
      </c>
      <c r="EW10" s="9">
        <f t="shared" ref="EW10:EW40" si="125">IF(ISNUMBER($AV10),(COS(RADIANS($EV10))*ES10)+(-SIN(RADIANS($EV10))*ET10),"")</f>
        <v>0.96031689609135984</v>
      </c>
      <c r="EX10" s="5">
        <f t="shared" si="37"/>
        <v>0.11913830455522893</v>
      </c>
      <c r="EY10" s="6">
        <f>IF(ISNUMBER($AV10),EU10,"")</f>
        <v>-0.2521854941688001</v>
      </c>
      <c r="EZ10" s="51">
        <f>IF(ISNUMBER($AV10),DEGREES(ATAN($AS$5/($EQ10*2*PI()))),"")</f>
        <v>1.4089448077657882</v>
      </c>
      <c r="FA10" s="266">
        <f t="shared" ref="FA10:FA53" si="126">IF(ISNUMBER($AV10),SIN(RADIANS($EP10))*COS(RADIANS($EZ10)),"")</f>
        <v>0.99770003268101548</v>
      </c>
      <c r="FB10" s="267">
        <f t="shared" ref="FB10:FB53" si="127">IF(ISNUMBER($AV10),-1*COS(RADIANS($EP10))*COS(RADIANS($EZ10)),"")</f>
        <v>-6.3166944427754168E-2</v>
      </c>
      <c r="FC10" s="269">
        <f t="shared" si="38"/>
        <v>-2.4588247598431052E-2</v>
      </c>
      <c r="FD10" s="4">
        <f t="shared" ref="FD10:FD40" si="128">IF(ISNUMBER($AV10),(COS(RADIANS($EV10))*FA10)+(-SIN(RADIANS($EV10))*FB10),"")</f>
        <v>0.99969766333629007</v>
      </c>
      <c r="FE10" s="5">
        <f t="shared" si="39"/>
        <v>-1.3877787807814457E-16</v>
      </c>
      <c r="FF10" s="7">
        <f>IF(ISNUMBER($AV10),FC10,"")</f>
        <v>-2.4588247598431052E-2</v>
      </c>
      <c r="FG10" s="173">
        <f>IF(ISNUMBER($AV10),EW10-FD10,"")</f>
        <v>-3.9380767244930226E-2</v>
      </c>
      <c r="FH10" s="5">
        <f t="shared" si="40"/>
        <v>0.11913830455522907</v>
      </c>
      <c r="FI10" s="10">
        <f t="shared" si="41"/>
        <v>-0.22759724657036903</v>
      </c>
      <c r="FJ10" s="279">
        <f>IF(ISNUMBER($AV10),DEGREES(ACOS((2-SQRT((FG10)^2+(FH10)^2+(FI10)^2)^2)/2)),"")</f>
        <v>14.933103329506412</v>
      </c>
      <c r="FK10" s="4">
        <f t="shared" si="42"/>
        <v>0.96767891189734945</v>
      </c>
      <c r="FL10" s="5">
        <f>IF(ISNUMBER($AV10),SQRT(FA10^2+FB10^2),"")</f>
        <v>0.99969766333629007</v>
      </c>
      <c r="FM10" s="8">
        <f>IF(ISNUMBER($AV10),SQRT(FG10^2+FH10^2),"")</f>
        <v>0.12547820703649654</v>
      </c>
      <c r="FN10" s="9">
        <f>IF(ISNUMBER($AV10),DEGREES(ACOS((FK10^2+FL10^2-FM10^2)/(2*FK10*FL10))),"")</f>
        <v>7.0720624807281975</v>
      </c>
      <c r="FO10" s="10">
        <f t="shared" si="43"/>
        <v>-1</v>
      </c>
      <c r="FP10" s="277">
        <f t="shared" si="44"/>
        <v>-7.0720624807281975</v>
      </c>
      <c r="FQ10" s="173">
        <f>IF(ISNUMBER($AV10),SIN(RADIANS(FN10)),"")</f>
        <v>0.12311759933016712</v>
      </c>
      <c r="FR10" s="10">
        <f>IF(ISNUMBER($AV10),COS(RADIANS(FN10)),"")</f>
        <v>0.99239208820666058</v>
      </c>
      <c r="FS10" s="9">
        <f>IF(ISNUMBER($AV10),FQ10/(FQ10+FR10),"")</f>
        <v>0.1103689198809423</v>
      </c>
      <c r="FT10" s="6">
        <f>IF(ISNUMBER($AV10),FR10/(FQ10+FR10),"")</f>
        <v>0.88963108011905767</v>
      </c>
      <c r="FU10" s="4">
        <f>IF(ISNUMBER($AV10),SQRT(EW10^2+EY10^2),"")</f>
        <v>0.99287766839007185</v>
      </c>
      <c r="FV10" s="5">
        <f>IF(ISNUMBER($AV10),SQRT(FD10^2+FF10^2),"")</f>
        <v>1</v>
      </c>
      <c r="FW10" s="8">
        <f>IF(ISNUMBER($AV10),SQRT(FG10^2+FI10^2),"")</f>
        <v>0.23097911480307637</v>
      </c>
      <c r="FX10" s="9">
        <f>IF(ISNUMBER($AV10),DEGREES(ACOS((FU10^2+FV10^2-FW10^2)/(2*FU10*FV10))),"")</f>
        <v>13.305069546577196</v>
      </c>
      <c r="FY10" s="10">
        <f t="shared" si="45"/>
        <v>1</v>
      </c>
      <c r="FZ10" s="277">
        <f>IF(ISNUMBER($AV10),FX10*FY10,"")</f>
        <v>13.305069546577196</v>
      </c>
      <c r="GA10" s="177">
        <f>IF(ISNUMBER($AV10),DEGREES(FZ10*SIN(RADIANS(FU10))),"")</f>
        <v>13.209645277134992</v>
      </c>
      <c r="GB10" s="4">
        <f>IF(ISNUMBER($AV10),COS(RADIANS(FP10+90))*COS(RADIANS(FZ10)),"")</f>
        <v>0.11981294002403819</v>
      </c>
      <c r="GC10" s="5">
        <f>IF(ISNUMBER($AV10),SIN(RADIANS(FP10+90))*COS(RADIANS(FZ10)),"")</f>
        <v>0.96575480996648022</v>
      </c>
      <c r="GD10" s="10">
        <f>IF(ISNUMBER($AV10),-SIN(RADIANS(FZ10)),"")</f>
        <v>-0.23013584342601595</v>
      </c>
      <c r="GE10" s="311">
        <f>IF(ISNUMBER($AV10),SUM(ABS(GB10),ABS(GC10),ABS(GD10)),"")</f>
        <v>1.3157035934165342</v>
      </c>
      <c r="GF10" s="341">
        <f>IF(ISNUMBER($AV10),1/GE10,"")</f>
        <v>0.76004960768045371</v>
      </c>
      <c r="GG10" s="285">
        <f t="shared" si="46"/>
        <v>9.1063778060311962E-2</v>
      </c>
      <c r="GH10" s="286">
        <f t="shared" si="47"/>
        <v>0.73402156443053446</v>
      </c>
      <c r="GI10" s="281">
        <f t="shared" si="48"/>
        <v>0.17491465750915375</v>
      </c>
      <c r="GJ10" s="167">
        <f>IF(ISNUMBER($AV10),AW10,"")</f>
        <v>0.99319999999999997</v>
      </c>
      <c r="GK10" s="174">
        <f t="shared" si="49"/>
        <v>0.52019557811979578</v>
      </c>
      <c r="GL10" s="174">
        <f t="shared" si="50"/>
        <v>3.5499999999999997E-2</v>
      </c>
      <c r="GM10" s="9">
        <f>IF(ISNUMBER($AV10),AZ10,"")</f>
        <v>0.22160331627903299</v>
      </c>
      <c r="GN10" s="281">
        <f>IF(ISNUMBER($AV10),BA10,"")</f>
        <v>1.2276925290726446E-2</v>
      </c>
      <c r="GO10" s="4">
        <f>IF(ISNUMBER($AV10),FP10,"")</f>
        <v>-7.0720624807281975</v>
      </c>
      <c r="GP10" s="8">
        <f>IF(ISNUMBER($AV10),FZ10,"")</f>
        <v>13.305069546577196</v>
      </c>
      <c r="GQ10" s="177">
        <f>IF(ISNUMBER($AV10),FJ10,"")</f>
        <v>14.933103329506412</v>
      </c>
      <c r="GR10" s="371">
        <f>IF(ISNUMBER($AV10),GS10+GU10+GY10,"")</f>
        <v>754.75751332645245</v>
      </c>
      <c r="GS10" s="342">
        <f t="shared" si="51"/>
        <v>68.731070682913</v>
      </c>
      <c r="GT10" s="343">
        <f t="shared" si="52"/>
        <v>132.1254419949816</v>
      </c>
      <c r="GU10" s="344">
        <f t="shared" si="53"/>
        <v>554.00829069758254</v>
      </c>
      <c r="GV10" s="343">
        <f>IF(ISNUMBER($AV10),GW10*$GL10,"")</f>
        <v>1065</v>
      </c>
      <c r="GW10" s="345">
        <f t="shared" ref="GW10:GW53" si="129">IF(ISNUMBER($AV10),$GW$2,"")</f>
        <v>30000</v>
      </c>
      <c r="GX10" s="346">
        <f t="shared" si="54"/>
        <v>88.146500000000003</v>
      </c>
      <c r="GY10" s="344">
        <f t="shared" si="55"/>
        <v>132.01815194595696</v>
      </c>
      <c r="GZ10" s="345">
        <f t="shared" si="56"/>
        <v>253.78560967997024</v>
      </c>
      <c r="HA10" s="342">
        <f t="shared" si="57"/>
        <v>-68.731070682913</v>
      </c>
      <c r="HB10" s="5">
        <f>IF(ISNUMBER($AV10),$EV10,"")</f>
        <v>3.622707196144404</v>
      </c>
      <c r="HC10" s="343">
        <f>IF(ISNUMBER($AV10),HA10*COS(RADIANS(HB10)),"")</f>
        <v>-68.593729865982581</v>
      </c>
      <c r="HD10" s="345">
        <f>IF(ISNUMBER($AV10),HA10*SIN(RADIANS(HB10)),"")</f>
        <v>-4.3428447234723047</v>
      </c>
      <c r="HE10" s="344">
        <f t="shared" si="58"/>
        <v>1065</v>
      </c>
      <c r="HF10" s="5">
        <f t="shared" si="59"/>
        <v>93.622707196144404</v>
      </c>
      <c r="HG10" s="343">
        <f>IF(ISNUMBER($AV10),HE10*COS(RADIANS(HF10)),"")</f>
        <v>-67.293140999298345</v>
      </c>
      <c r="HH10" s="349">
        <f>IF(ISNUMBER($AV10),HE10*SIN(RADIANS(HF10)),"")</f>
        <v>1062.8718799434148</v>
      </c>
      <c r="HI10" s="317">
        <f t="shared" si="60"/>
        <v>1.1040000000000001</v>
      </c>
      <c r="HJ10" s="336"/>
      <c r="HK10" s="310">
        <f t="shared" ref="HK10:HK41" si="130">IF(ISNUMBER(HS10),HK9+1,"")</f>
        <v>2</v>
      </c>
      <c r="HL10" s="348">
        <f t="shared" si="61"/>
        <v>3.1019999999999999</v>
      </c>
      <c r="HM10" s="935">
        <f t="shared" si="62"/>
        <v>-14.514822612936699</v>
      </c>
      <c r="HN10" s="936">
        <f t="shared" si="63"/>
        <v>19.999997112357679</v>
      </c>
      <c r="HO10" s="937"/>
      <c r="HP10" s="938"/>
      <c r="HQ10" s="936">
        <f t="shared" si="64"/>
        <v>21.842359358732732</v>
      </c>
      <c r="HR10" s="939">
        <f t="shared" si="65"/>
        <v>17.19081770748814</v>
      </c>
      <c r="HS10" s="940">
        <f>IFERROR(SMALL($GJ$9:$GJ$150,($HK9+1)),"")</f>
        <v>0.52049999999999996</v>
      </c>
      <c r="HT10" s="941">
        <f t="shared" si="66"/>
        <v>3.6499999999999998E-2</v>
      </c>
      <c r="HU10" s="942">
        <f t="shared" si="67"/>
        <v>0.11950091888025362</v>
      </c>
      <c r="HV10" s="943">
        <f t="shared" si="68"/>
        <v>6.6204056775879807E-3</v>
      </c>
      <c r="HW10" s="944">
        <f t="shared" si="69"/>
        <v>30000</v>
      </c>
      <c r="HX10" s="947">
        <f>IF(ISNUMBER($HL10),INDEX(GX$9:GX$150,MATCH($HL10,$AV$9:$AV$150,0)),"")</f>
        <v>47.495624999999997</v>
      </c>
      <c r="HY10" s="952">
        <f t="shared" si="71"/>
        <v>77.345060450002848</v>
      </c>
      <c r="HZ10" s="953">
        <f t="shared" si="72"/>
        <v>298.75229720063402</v>
      </c>
      <c r="IA10" s="954">
        <f t="shared" si="73"/>
        <v>95.474082855548147</v>
      </c>
      <c r="IB10" s="955">
        <f t="shared" si="74"/>
        <v>471.57144050618501</v>
      </c>
      <c r="IC10" s="842">
        <f t="shared" si="75"/>
        <v>283.48850196748674</v>
      </c>
      <c r="ID10" s="351">
        <f t="shared" si="76"/>
        <v>1095</v>
      </c>
      <c r="IE10" s="844">
        <f t="shared" si="77"/>
        <v>349.9357886330032</v>
      </c>
      <c r="IF10" s="845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96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8"/>
        <v>1613</v>
      </c>
      <c r="IM10" s="482" t="str">
        <f>IF(ISNUMBER($IK10),INDEX($K$9:$K$150,MATCH($II10,$M$9:$M$150,0)),"")</f>
        <v/>
      </c>
      <c r="IN10" s="670" t="str">
        <f t="shared" si="80"/>
        <v/>
      </c>
      <c r="IO10" s="702"/>
      <c r="IP10" s="5" t="str">
        <f t="shared" si="81"/>
        <v/>
      </c>
      <c r="IQ10" s="714"/>
      <c r="IR10" s="9" t="str">
        <f t="shared" ref="IR10:IR40" si="131">IF(ISNUMBER($IK10),(INDEX($X$9:$X$150,MATCH($IK10,$M$9:$M$150,0))*-1),"")</f>
        <v/>
      </c>
      <c r="IS10" s="5" t="str">
        <f t="shared" si="82"/>
        <v/>
      </c>
      <c r="IT10" s="5" t="str">
        <f t="shared" si="83"/>
        <v/>
      </c>
      <c r="IU10" s="5" t="str">
        <f t="shared" si="84"/>
        <v/>
      </c>
      <c r="IV10" s="670" t="str">
        <f t="shared" si="85"/>
        <v/>
      </c>
      <c r="IW10" s="9" t="str">
        <f t="shared" si="86"/>
        <v/>
      </c>
      <c r="IX10" s="5" t="str">
        <f t="shared" si="87"/>
        <v/>
      </c>
      <c r="IY10" s="5" t="str">
        <f t="shared" si="88"/>
        <v/>
      </c>
      <c r="IZ10" s="5" t="str">
        <f t="shared" si="89"/>
        <v/>
      </c>
      <c r="JA10" s="705" t="str">
        <f t="shared" si="9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ref="B11:D11" si="132">IFERROR(O166+($A11*-E11),"")</f>
        <v>0</v>
      </c>
      <c r="C11" s="572">
        <f t="shared" si="132"/>
        <v>1.762905316922436</v>
      </c>
      <c r="D11" s="576">
        <f t="shared" si="132"/>
        <v>-0.34440103871353278</v>
      </c>
      <c r="E11" s="580">
        <f>R166</f>
        <v>-0.96592583607220739</v>
      </c>
      <c r="F11" s="572">
        <f t="shared" ref="F11:K11" si="133">S166</f>
        <v>-4.4943449187448817E-2</v>
      </c>
      <c r="G11" s="579">
        <f t="shared" si="133"/>
        <v>0.25488696628769081</v>
      </c>
      <c r="H11" s="580">
        <f t="shared" si="133"/>
        <v>0.3125</v>
      </c>
      <c r="I11" s="572">
        <f t="shared" si="133"/>
        <v>0.52</v>
      </c>
      <c r="J11" s="483">
        <f t="shared" si="92"/>
        <v>1.107</v>
      </c>
      <c r="K11" s="806">
        <f t="shared" si="133"/>
        <v>1613</v>
      </c>
      <c r="L11" s="720" t="s">
        <v>323</v>
      </c>
      <c r="M11" s="164">
        <f t="shared" si="4"/>
        <v>1.107</v>
      </c>
      <c r="N11" s="575">
        <f t="shared" si="5"/>
        <v>0</v>
      </c>
      <c r="O11" s="572">
        <f t="shared" si="6"/>
        <v>1.762905316922436</v>
      </c>
      <c r="P11" s="576">
        <f t="shared" si="7"/>
        <v>-0.34440103871353278</v>
      </c>
      <c r="Q11" s="528">
        <f t="shared" ref="Q11:Q73" si="134">IF(M11="","",IF(DEGREES(ATAN2(N11,O11))&lt;0,DEGREES(ATAN2(N11,O11))+360,IF(DEGREES(ATAN2(N11,O11))&gt;360,DEGREES(ATAN2(N11,O11))-360,DEGREES(ATAN2(N11,O11)))))</f>
        <v>90</v>
      </c>
      <c r="R11" s="572">
        <f t="shared" si="93"/>
        <v>1.762905316922436</v>
      </c>
      <c r="S11" s="577">
        <f t="shared" si="94"/>
        <v>-0.34440103871353278</v>
      </c>
      <c r="T11" s="578">
        <f t="shared" si="95"/>
        <v>1.7629052900718603</v>
      </c>
      <c r="U11" s="572">
        <f t="shared" si="96"/>
        <v>3.0768497582589444E-4</v>
      </c>
      <c r="V11" s="579">
        <f t="shared" ref="V11:V105" si="135">IF(M11="","",Y11)</f>
        <v>-0.34440103871353278</v>
      </c>
      <c r="W11" s="528">
        <f t="shared" si="8"/>
        <v>9.9999985561822768E-3</v>
      </c>
      <c r="X11" s="572">
        <f>IF(M11="","",R11)</f>
        <v>1.762905316922436</v>
      </c>
      <c r="Y11" s="573">
        <f t="shared" si="9"/>
        <v>-0.34440103871353278</v>
      </c>
      <c r="Z11" s="575">
        <f t="shared" si="10"/>
        <v>0.96592583607220739</v>
      </c>
      <c r="AA11" s="572">
        <f t="shared" si="11"/>
        <v>4.4943449187448817E-2</v>
      </c>
      <c r="AB11" s="572">
        <f t="shared" si="12"/>
        <v>-0.25488696628769081</v>
      </c>
      <c r="AC11" s="579">
        <f t="shared" si="98"/>
        <v>1</v>
      </c>
      <c r="AD11" s="580">
        <f t="shared" ref="AD11:AD105" si="136">IF(M11="","",Z11*(1/SQRT(Z11^2+AA11^2+AB11^2)))</f>
        <v>0.96592583607220739</v>
      </c>
      <c r="AE11" s="572">
        <f t="shared" si="99"/>
        <v>4.4943449187448817E-2</v>
      </c>
      <c r="AF11" s="576">
        <f t="shared" si="100"/>
        <v>-0.25488696628769081</v>
      </c>
      <c r="AG11" s="545">
        <f>IF(M11="","",DEGREES(ATAN2(-AF11,AE11)))</f>
        <v>10</v>
      </c>
      <c r="AH11" s="546">
        <f t="shared" si="102"/>
        <v>14.999997834268255</v>
      </c>
      <c r="AI11" s="528">
        <f t="shared" si="103"/>
        <v>-75.233112521953231</v>
      </c>
      <c r="AJ11" s="529">
        <f t="shared" si="104"/>
        <v>92.663987214416693</v>
      </c>
      <c r="AK11" s="578">
        <f>IF(M11="","",(COS(RADIANS((90-$Q$8)-W11))*AD11)+(-SIN(RADIANS((90-$Q$8)-W11))*AE11))</f>
        <v>0.96592583607220739</v>
      </c>
      <c r="AL11" s="572">
        <f t="shared" si="105"/>
        <v>4.4943449187448817E-2</v>
      </c>
      <c r="AM11" s="577">
        <f t="shared" si="106"/>
        <v>-0.25488696628769081</v>
      </c>
      <c r="AN11" s="524">
        <f>IF(M11="","",DEGREES(ATAN2(-AM11,AL11)))</f>
        <v>10</v>
      </c>
      <c r="AO11" s="525">
        <f>IF(ROUND(IF(M11="",0,DEGREES(ACOS(AK11))),4)=90,0,IF(M11="","",DEGREES(ACOS(AK11))))</f>
        <v>14.999997834268255</v>
      </c>
      <c r="AP11" s="528">
        <f t="shared" si="109"/>
        <v>2.6639872144166916</v>
      </c>
      <c r="AQ11" s="529">
        <f>IF(M11="","",DEGREES(ATAN(($AS$5*SIN(RADIANS(90)))/(($X11*2*PI())-($AS$5*COS(RADIANS(90)))))))</f>
        <v>0.79389206621070185</v>
      </c>
      <c r="AS11" s="900">
        <f t="shared" ref="AS11:AS42" si="137">IF(G11="","",IF(AND(W11&lt;(AS10+180),W11&gt;(AS10-180)),W11,IF(W11&gt;(AS10+180),W11-360,IF(W11&lt;(AS10-180),W11+360,"Error"))))</f>
        <v>9.9999985561822768E-3</v>
      </c>
      <c r="AT11" s="896">
        <f t="shared" si="14"/>
        <v>-0.34440103871353278</v>
      </c>
      <c r="AU11" s="418"/>
      <c r="AV11" s="164">
        <f t="shared" si="15"/>
        <v>1.107</v>
      </c>
      <c r="AW11" s="829">
        <f>IFERROR(INDEX(MassProp!C$9:C$150,MATCH($M11,MassProp!$B$9:$B$150,0)),"")</f>
        <v>1.7002999999999999</v>
      </c>
      <c r="AX11" s="830">
        <f>IFERROR(INDEX(MassProp!D$9:D$150,MATCH($M11,MassProp!$B$9:$B$150,0)),"")</f>
        <v>3.4500000000000003E-2</v>
      </c>
      <c r="AY11" s="831">
        <f>IFERROR(INDEX(MassProp!E$9:E$150,MATCH($M11,MassProp!$B$9:$B$150,0)),"")</f>
        <v>3.5499999999999997E-2</v>
      </c>
      <c r="AZ11" s="297">
        <f t="shared" ref="AZ11:AZ74" si="138">IF(ISNUMBER(AV11),$AY11*SQRT((2*PI()*$AW11)^2+$AS$5^2),"")</f>
        <v>0.37929628927159592</v>
      </c>
      <c r="BA11" s="296">
        <f t="shared" si="16"/>
        <v>2.1013188270945265E-2</v>
      </c>
      <c r="BB11" s="291">
        <f t="shared" ref="BB11:BB73" si="139">IF(ISNUMBER($AV11),$AX11-($AT11+$AS$5),"")</f>
        <v>0.22541266662050952</v>
      </c>
      <c r="BC11" s="9"/>
      <c r="BD11" s="5">
        <f>IF(ISNUMBER(AV11),AW11,"")</f>
        <v>1.7002999999999999</v>
      </c>
      <c r="BE11" s="6">
        <f t="shared" si="17"/>
        <v>-0.11898837209302326</v>
      </c>
      <c r="BF11" s="4">
        <f t="shared" si="18"/>
        <v>0</v>
      </c>
      <c r="BG11" s="5">
        <f t="shared" si="19"/>
        <v>1.762905316922436</v>
      </c>
      <c r="BH11" s="10">
        <f t="shared" si="20"/>
        <v>-0.34440103871353278</v>
      </c>
      <c r="BI11" s="9">
        <f t="shared" ref="BI11:BI74" si="140">IF(ISNUMBER($AV11),BF11+0,"")</f>
        <v>0</v>
      </c>
      <c r="BJ11" s="5">
        <f t="shared" si="21"/>
        <v>2.7477130699346439</v>
      </c>
      <c r="BK11" s="8">
        <f t="shared" si="22"/>
        <v>-0.17075286104660245</v>
      </c>
      <c r="BL11" s="173">
        <f t="shared" si="23"/>
        <v>0.25881900859134571</v>
      </c>
      <c r="BM11" s="5">
        <f t="shared" si="24"/>
        <v>1.595174055727091</v>
      </c>
      <c r="BN11" s="6">
        <f t="shared" si="25"/>
        <v>0.6068502134851762</v>
      </c>
      <c r="BO11" s="4">
        <f t="shared" ref="BO11:BO74" si="141">IF(ISNUMBER($AV11),BJ11*BN11-BM11*BK11-BG11*(BN11-BK11)+BH11*(BM11-BJ11),"")</f>
        <v>0.96592583607220739</v>
      </c>
      <c r="BP11" s="5">
        <f t="shared" ref="BP11:BP74" si="142">IF(ISNUMBER($AV11),BF11*(BN11-BK11)-(BI11*BN11-BL11*BK11)+BH11*(BI11-BL11),"")</f>
        <v>4.4943449187448761E-2</v>
      </c>
      <c r="BQ11" s="5">
        <f t="shared" ref="BQ11:BQ74" si="143">IF(ISNUMBER($AV11),BF11*(BJ11-BM11)-BG11*(BI11-BL11)+(BI11*BM11-BL11*BJ11),"")</f>
        <v>-0.25488696628769048</v>
      </c>
      <c r="BR11" s="6">
        <f t="shared" ref="BR11:BR74" si="144">IF(ISNUMBER($AV11),-(BF11*(BJ11*BN11-BM11*BK11)-BG11*(BI11*BN11-BL11*BK11)+BH11*(BI11*BM11-BL11*BJ11)),"")</f>
        <v>-0.16701438147740857</v>
      </c>
      <c r="BS11" s="4">
        <f t="shared" si="110"/>
        <v>0</v>
      </c>
      <c r="BT11" s="5">
        <f t="shared" si="110"/>
        <v>0</v>
      </c>
      <c r="BU11" s="10">
        <f t="shared" si="111"/>
        <v>-0.11898837209302326</v>
      </c>
      <c r="BV11" s="9">
        <f t="shared" si="112"/>
        <v>0</v>
      </c>
      <c r="BW11" s="5">
        <f t="shared" si="113"/>
        <v>1</v>
      </c>
      <c r="BX11" s="8">
        <f t="shared" si="114"/>
        <v>-0.11898837209302326</v>
      </c>
      <c r="BY11" s="173">
        <f t="shared" si="115"/>
        <v>1</v>
      </c>
      <c r="BZ11" s="5">
        <f t="shared" si="116"/>
        <v>0</v>
      </c>
      <c r="CA11" s="6">
        <f t="shared" si="117"/>
        <v>-0.11898837209302326</v>
      </c>
      <c r="CB11" s="4">
        <f t="shared" ref="CB11:CB74" si="145">IF(ISNUMBER($AV11),BW11*CA11-BZ11*BX11-BT11*(CA11-BX11)+BU11*(BZ11-BW11),"")</f>
        <v>0</v>
      </c>
      <c r="CC11" s="5">
        <f t="shared" ref="CC11:CC74" si="146">IF(ISNUMBER($AV11),BS11*(CA11-BX11)-(BV11*CA11-BY11*BX11)+BU11*(BV11-BY11),"")</f>
        <v>0</v>
      </c>
      <c r="CD11" s="5">
        <f t="shared" ref="CD11:CD74" si="147">IF(ISNUMBER($AV11),BS11*(BW11-BZ11)-BT11*(BV11-BY11)+(BV11*BZ11-BY11*BW11),"")</f>
        <v>-1</v>
      </c>
      <c r="CE11" s="6">
        <f t="shared" ref="CE11:CE74" si="148">IF(ISNUMBER($AV11),-(BS11*(BW11*CA11-BZ11*BX11)-BT11*(BV11*CA11-BY11*BX11)+BU11*(BV11*BZ11-BY11*BW11)),"")</f>
        <v>-0.11898837209302326</v>
      </c>
      <c r="CF11" s="4">
        <f t="shared" ref="CF11:CF74" si="149">IF(ISNUMBER($AV11),(BP11*CD11)-(BQ11*CC11),"")</f>
        <v>-4.4943449187448761E-2</v>
      </c>
      <c r="CG11" s="5">
        <f t="shared" ref="CG11:CG74" si="150">IF(ISNUMBER($AV11),(BQ11*CB11)-(BO11*CD11),"")</f>
        <v>0.96592583607220739</v>
      </c>
      <c r="CH11" s="5">
        <f t="shared" ref="CH11:CH74" si="151">IF(ISNUMBER($AV11),(BO11*CC11)-(BP11*CB11),"")</f>
        <v>0</v>
      </c>
      <c r="CI11" s="4">
        <f t="shared" si="118"/>
        <v>0</v>
      </c>
      <c r="CJ11" s="5">
        <f t="shared" si="119"/>
        <v>3.0412840750388797</v>
      </c>
      <c r="CK11" s="8">
        <f t="shared" si="120"/>
        <v>-0.11898837209302326</v>
      </c>
      <c r="CL11" s="173">
        <f t="shared" si="121"/>
        <v>-4.4943449187448761E-2</v>
      </c>
      <c r="CM11" s="5">
        <f t="shared" si="122"/>
        <v>4.0072099111110866</v>
      </c>
      <c r="CN11" s="6">
        <f t="shared" si="123"/>
        <v>-0.11898837209302326</v>
      </c>
      <c r="CO11" s="167">
        <f t="shared" si="26"/>
        <v>0.3125</v>
      </c>
      <c r="CP11" s="4">
        <f>IF(ISNUMBER($AV11),(CL11-CI11)^2+(CM11-CJ11)^2+(CN11-CK11)^2,"")</f>
        <v>0.93503263441665674</v>
      </c>
      <c r="CQ11" s="5">
        <f>IF(ISNUMBER($AV11),2*((CL11-CI11)*(CI11-BF11)+(CM11-CJ11)*(CJ11-BG11)+(CN11-CK11)*(CK11-BH11)),"")</f>
        <v>2.469638141501151</v>
      </c>
      <c r="CR11" s="5">
        <f t="shared" ref="CR11:CR74" si="152">IF(ISNUMBER($AV11),BF11^2+BG11^2+BH11^2+CI11^2+CJ11^2+CK11^2-2*(BF11*CI11+BG11*CJ11+BH11*CK11)-CO11^2,"")</f>
        <v>1.587406869476311</v>
      </c>
      <c r="CS11" s="8">
        <f t="shared" ref="CS11:CS74" si="153">IF(ISNUMBER($AV11),CQ11^2-(4*CP11*CR11),"")</f>
        <v>0.16200364172712689</v>
      </c>
      <c r="CT11" s="9">
        <f t="shared" ref="CT11:CT74" si="154">IF(ISNUMBER($AV11),(-CQ11+SQRT(CS11))/(CP11*2),"")</f>
        <v>-1.1053846173477972</v>
      </c>
      <c r="CU11" s="6">
        <f t="shared" ref="CU11:CU74" si="155">IF(ISNUMBER($AV11),(-CQ11-SQRT(CS11))/(CP11*2),"")</f>
        <v>-1.535847410924559</v>
      </c>
      <c r="CV11" s="4">
        <f>IF(ISNUMBER($AV11),CI11+($CT11*(CL11-CI11)),"")</f>
        <v>4.9679797382358219E-2</v>
      </c>
      <c r="CW11" s="5">
        <f t="shared" ref="CW11:CW74" si="156">IF(ISNUMBER($AV11),CJ11+($CT11*(CM11-CJ11)),"")</f>
        <v>1.973564514345852</v>
      </c>
      <c r="CX11" s="8">
        <f t="shared" ref="CX11:CX74" si="157">IF(ISNUMBER($AV11),CK11+($CT11*(CN11-CK11)),"")</f>
        <v>-0.11898837209302326</v>
      </c>
      <c r="CY11" s="9">
        <f t="shared" ref="CY11:CY74" si="158">IF(ISNUMBER($AV11),CI11+($CU11*(CL11-CI11)),"")</f>
        <v>6.902628007256266E-2</v>
      </c>
      <c r="CZ11" s="5">
        <f t="shared" ref="CZ11:CZ74" si="159">IF(ISNUMBER($AV11),CJ11+($CU11*(CM11-CJ11)),"")</f>
        <v>1.5577693805622406</v>
      </c>
      <c r="DA11" s="6">
        <f t="shared" ref="DA11:DA74" si="160">IF(ISNUMBER($AV11),CK11+($CU11*(CN11-CK11)),"")</f>
        <v>-0.11898837209302326</v>
      </c>
      <c r="DB11" s="4">
        <f t="shared" ref="DB11:DC42" si="161">IF(ISNUMBER($AV11),0,"")</f>
        <v>0</v>
      </c>
      <c r="DC11" s="5">
        <f t="shared" si="161"/>
        <v>0</v>
      </c>
      <c r="DD11" s="10">
        <f t="shared" ref="DD11:DD74" si="162">IF(ISNUMBER($AV11),-10,"")</f>
        <v>-10</v>
      </c>
      <c r="DE11" s="9">
        <f t="shared" ref="DE11:DF42" si="163">IF(ISNUMBER($AV11),0,"")</f>
        <v>0</v>
      </c>
      <c r="DF11" s="5">
        <f t="shared" si="163"/>
        <v>0</v>
      </c>
      <c r="DG11" s="10">
        <f t="shared" ref="DG11:DG74" si="164">IF(ISNUMBER($AV11),10,"")</f>
        <v>10</v>
      </c>
      <c r="DH11" s="70">
        <f t="shared" ref="DH11:DH74" si="165">IF(ISNUMBER($AV11),BD11,"")</f>
        <v>1.7002999999999999</v>
      </c>
      <c r="DI11" s="4">
        <f t="shared" ref="DI11:DI74" si="166">IF(ISNUMBER($AV11),DE11-DB11,"")</f>
        <v>0</v>
      </c>
      <c r="DJ11" s="5">
        <f t="shared" ref="DJ11:DJ74" si="167">IF(ISNUMBER($AV11),DF11-DC11,"")</f>
        <v>0</v>
      </c>
      <c r="DK11" s="10">
        <f t="shared" ref="DK11:DK74" si="168">IF(ISNUMBER($AV11),DG11-DD11,"")</f>
        <v>20</v>
      </c>
      <c r="DL11" s="9">
        <f t="shared" ref="DL11:DL74" si="169">IF(ISNUMBER($AV11),CV11-DB11,"")</f>
        <v>4.9679797382358219E-2</v>
      </c>
      <c r="DM11" s="173">
        <f t="shared" ref="DM11:DM74" si="170">IF(ISNUMBER($AV11),CW11-DC11,"")</f>
        <v>1.973564514345852</v>
      </c>
      <c r="DN11" s="178">
        <f t="shared" ref="DN11:DN74" si="171">IF(ISNUMBER($AV11),CX11-DD11,"")</f>
        <v>9.8810116279069771</v>
      </c>
      <c r="DO11" s="9">
        <f t="shared" ref="DO11:DO74" si="172">IF(ISNUMBER($AV11),CY11-CV11,"")</f>
        <v>1.934648269020444E-2</v>
      </c>
      <c r="DP11" s="173">
        <f t="shared" ref="DP11:DP74" si="173">IF(ISNUMBER($AV11),CZ11-CW11,"")</f>
        <v>-0.41579513378361144</v>
      </c>
      <c r="DQ11" s="11">
        <f t="shared" ref="DQ11:DQ74" si="174">IF(ISNUMBER($AV11),DA11-CX11,"")</f>
        <v>0</v>
      </c>
      <c r="DR11" s="173">
        <f t="shared" ref="DR11:DR74" si="175">IF(ISNUMBER($AV11),SUMPRODUCT(DI11:DK11,DL11:DN11),"")</f>
        <v>197.62023255813955</v>
      </c>
      <c r="DS11" s="5">
        <f t="shared" ref="DS11:DS74" si="176">IF(ISNUMBER($AV11),SUMPRODUCT(DO11:DQ11,DI11:DK11),"")</f>
        <v>0</v>
      </c>
      <c r="DT11" s="5">
        <f t="shared" ref="DT11:DT74" si="177">IF(ISNUMBER($AV11),SUMPRODUCT(DI11:DK11,DI11:DK11),"")</f>
        <v>400</v>
      </c>
      <c r="DU11" s="5">
        <f t="shared" ref="DU11:DU74" si="178">IF(ISNUMBER($AV11),SUMPRODUCT(DO11:DQ11,DO11:DQ11),"")</f>
        <v>0.17325987967061371</v>
      </c>
      <c r="DV11" s="5">
        <f t="shared" ref="DV11:DV74" si="179">IF(ISNUMBER($AV11),SUMPRODUCT(DL11:DN11,DO11:DQ11),"")</f>
        <v>-0.81963739193291107</v>
      </c>
      <c r="DW11" s="5">
        <f t="shared" ref="DW11:DW74" si="180">IF(ISNUMBER($AV11),SUMPRODUCT(DL11:DN11,DL11:DN11),"")</f>
        <v>101.53181576538603</v>
      </c>
      <c r="DX11" s="167">
        <f t="shared" ref="DX11:DX74" si="181">IF(ISNUMBER($AV11),DW11-DH11*DH11,"")</f>
        <v>98.64079567538603</v>
      </c>
      <c r="DY11" s="9">
        <f t="shared" ref="DY11:DY74" si="182">IF(ISNUMBER($AV11),DT11*DU11-DS11*DS11,"")</f>
        <v>69.303951868245477</v>
      </c>
      <c r="DZ11" s="5">
        <f t="shared" ref="DZ11:DZ74" si="183">IF(ISNUMBER($AV11),DT11*DV11-DS11*DR11,"")</f>
        <v>-327.85495677316442</v>
      </c>
      <c r="EA11" s="10">
        <f t="shared" ref="EA11:EA74" si="184">IF(ISNUMBER($AV11),DT11*DX11-DR11*DR11,"")</f>
        <v>402.56195382125588</v>
      </c>
      <c r="EB11" s="6">
        <f t="shared" ref="EB11:EB74" si="185">IF(ISNUMBER($AV11),DZ11*DZ11-DY11*EA11,"")</f>
        <v>79589.738409118319</v>
      </c>
      <c r="EC11" s="173">
        <f t="shared" ref="EC11:EC74" si="186">IF(ISNUMBER($AV11),(-DZ11+SQRT(DZ11^2-DY11*EA11))/DY11,"")</f>
        <v>8.8013955007601421</v>
      </c>
      <c r="ED11" s="5">
        <f t="shared" ref="ED11:ED74" si="187">IF(ISNUMBER($AV11),(-DZ11-SQRT(DZ11^2-DY11*EA11))/DY11,"")</f>
        <v>0.65996847445596629</v>
      </c>
      <c r="EE11" s="4">
        <f t="shared" ref="EE11:EE74" si="188">IF(ISNUMBER($AV11),CV11+DO11*$EC11,"")</f>
        <v>0.21995584308745755</v>
      </c>
      <c r="EF11" s="5">
        <f t="shared" ref="EF11:EF74" si="189">IF(ISNUMBER($AV11),CW11+DP11*$EC11,"")</f>
        <v>-1.6860129053751869</v>
      </c>
      <c r="EG11" s="10">
        <f t="shared" ref="EG11:EG74" si="190">IF(ISNUMBER($AV11),CX11+DQ11*$EC11,"")</f>
        <v>-0.11898837209302326</v>
      </c>
      <c r="EH11" s="9">
        <f t="shared" ref="EH11:EH74" si="191">IF(ISNUMBER($AV11),CV11+DO11*$ED11,"")</f>
        <v>6.2447866049501199E-2</v>
      </c>
      <c r="EI11" s="5">
        <f t="shared" ref="EI11:EI74" si="192">IF(ISNUMBER($AV11),CW11+DP11*$ED11,"")</f>
        <v>1.6991528342164677</v>
      </c>
      <c r="EJ11" s="6">
        <f t="shared" ref="EJ11:EJ74" si="193">IF(ISNUMBER($AV11),CX11+DQ11*$ED11,"")</f>
        <v>-0.11898837209302326</v>
      </c>
      <c r="EK11" s="236" t="b">
        <f t="shared" ref="EK11:EK74" si="194">IF(ISNUMBER($AV11),IF(OR($EC11&lt;0,$EC11&gt;1),FALSE,TRUE),"")</f>
        <v>0</v>
      </c>
      <c r="EL11" s="238" t="b">
        <f t="shared" ref="EL11:EL74" si="195">IF(ISNUMBER($AV11),IF(OR($ED11&lt;0,$ED11&gt;1),FALSE,TRUE),"")</f>
        <v>1</v>
      </c>
      <c r="EM11" s="4">
        <f t="shared" ref="EM11:EM74" si="196">IF(ISNUMBER($AV11),IF($EK11=TRUE,EE11,IF($EL11=TRUE,EH11,"")),"")</f>
        <v>6.2447866049501199E-2</v>
      </c>
      <c r="EN11" s="5">
        <f t="shared" ref="EN11:EN74" si="197">IF(ISNUMBER($AV11),IF($EK11=TRUE,EF11,IF($EL11=TRUE,EI11,"")),"")</f>
        <v>1.6991528342164677</v>
      </c>
      <c r="EO11" s="10">
        <f t="shared" ref="EO11:EO74" si="198">IF(ISNUMBER($AV11),IF($EK11=TRUE,EG11,IF($EL11=TRUE,EJ11,"")),"")</f>
        <v>-0.11898837209302326</v>
      </c>
      <c r="EP11" s="9">
        <f t="shared" ref="EP11:EP74" si="199">IF(ISNUMBER($AV11),IF(DEGREES(ATAN2(EM11,EN11))&lt;0,DEGREES(ATAN2(EM11,EN11))+360,IF(DEGREES(ATAN2(EM11,EN11))&gt;360,DEGREES(ATAN2(EM11,EN11))-360,DEGREES(ATAN2(EM11,EN11)))),"")</f>
        <v>87.895192580842931</v>
      </c>
      <c r="EQ11" s="5">
        <f t="shared" ref="EQ11:EQ74" si="200">IF(ISNUMBER($AV11),SQRT(EM11^2+EN11^2),"")</f>
        <v>1.7002999999999975</v>
      </c>
      <c r="ER11" s="7">
        <f t="shared" ref="ER11:ER74" si="201">IF(ISNUMBER($AV11),EO11,"")</f>
        <v>-0.11898837209302326</v>
      </c>
      <c r="ES11" s="21">
        <f t="shared" si="124"/>
        <v>0.96592583607220739</v>
      </c>
      <c r="ET11" s="5">
        <f t="shared" si="35"/>
        <v>4.4943449187448817E-2</v>
      </c>
      <c r="EU11" s="10">
        <f t="shared" si="36"/>
        <v>-0.25488696628769081</v>
      </c>
      <c r="EV11" s="174">
        <f>IF(ISNUMBER($AV11),IF(($EV$1-EP11)&lt;0,(360+($EV$1-EP11)),($EV$1-EP11)),"")</f>
        <v>2.1048074191570691</v>
      </c>
      <c r="EW11" s="9">
        <f t="shared" si="125"/>
        <v>0.96362347792174585</v>
      </c>
      <c r="EX11" s="5">
        <f t="shared" si="37"/>
        <v>8.0389223249489578E-2</v>
      </c>
      <c r="EY11" s="6">
        <f t="shared" ref="EY11:EY74" si="202">IF(ISNUMBER($AV11),EU11,"")</f>
        <v>-0.25488696628769081</v>
      </c>
      <c r="EZ11" s="51">
        <f t="shared" ref="EZ11:EZ74" si="203">IF(ISNUMBER($AV11),DEGREES(ATAN($AS$5/($EQ11*2*PI()))),"")</f>
        <v>0.82311934820262878</v>
      </c>
      <c r="FA11" s="266">
        <f t="shared" si="126"/>
        <v>0.99922219402723367</v>
      </c>
      <c r="FB11" s="267">
        <f t="shared" si="127"/>
        <v>-3.672376755624545E-2</v>
      </c>
      <c r="FC11" s="269">
        <f t="shared" si="38"/>
        <v>-1.4365648606176272E-2</v>
      </c>
      <c r="FD11" s="4">
        <f t="shared" si="128"/>
        <v>0.99989680874584441</v>
      </c>
      <c r="FE11" s="5">
        <f t="shared" si="39"/>
        <v>-2.0816681711721685E-17</v>
      </c>
      <c r="FF11" s="7">
        <f t="shared" ref="FF11:FF74" si="204">IF(ISNUMBER($AV11),FC11,"")</f>
        <v>-1.4365648606176272E-2</v>
      </c>
      <c r="FG11" s="173">
        <f t="shared" ref="FG11:FG40" si="205">IF(ISNUMBER($AV11),EW11-FD11,"")</f>
        <v>-3.627333082409856E-2</v>
      </c>
      <c r="FH11" s="5">
        <f t="shared" si="40"/>
        <v>8.0389223249489605E-2</v>
      </c>
      <c r="FI11" s="10">
        <f t="shared" si="41"/>
        <v>-0.24052131768151452</v>
      </c>
      <c r="FJ11" s="279">
        <f t="shared" ref="FJ11:FJ74" si="206">IF(ISNUMBER($AV11),DEGREES(ACOS((2-SQRT((FG11)^2+(FH11)^2+(FI11)^2)^2)/2)),"")</f>
        <v>14.718524917231225</v>
      </c>
      <c r="FK11" s="4">
        <f t="shared" si="42"/>
        <v>0.96697085499856594</v>
      </c>
      <c r="FL11" s="5">
        <f t="shared" ref="FL11:FL73" si="207">IF(ISNUMBER($AV11),SQRT(FA11^2+FB11^2),"")</f>
        <v>0.99989680874584441</v>
      </c>
      <c r="FM11" s="8">
        <f t="shared" ref="FM11:FM73" si="208">IF(ISNUMBER($AV11),SQRT(FG11^2+FH11^2),"")</f>
        <v>8.8194000610760243E-2</v>
      </c>
      <c r="FN11" s="9">
        <f t="shared" ref="FN11:FN73" si="209">IF(ISNUMBER($AV11),DEGREES(ACOS((FK11^2+FL11^2-FM11^2)/(2*FK11*FL11))),"")</f>
        <v>4.7687946335737301</v>
      </c>
      <c r="FO11" s="10">
        <f t="shared" si="43"/>
        <v>-1</v>
      </c>
      <c r="FP11" s="277">
        <f t="shared" si="44"/>
        <v>-4.7687946335737301</v>
      </c>
      <c r="FQ11" s="173">
        <f>IF(ISNUMBER($AV11),SIN(RADIANS(FN11)),"")</f>
        <v>8.3135104676560587E-2</v>
      </c>
      <c r="FR11" s="10">
        <f t="shared" ref="FR11:FR74" si="210">IF(ISNUMBER($AV11),COS(RADIANS(FN11)),"")</f>
        <v>0.99653828545140066</v>
      </c>
      <c r="FS11" s="9">
        <f t="shared" ref="FS11:FS74" si="211">IF(ISNUMBER($AV11),FQ11/(FQ11+FR11),"")</f>
        <v>7.7000234919846963E-2</v>
      </c>
      <c r="FT11" s="6">
        <f t="shared" ref="FT11:FT74" si="212">IF(ISNUMBER($AV11),FR11/(FQ11+FR11),"")</f>
        <v>0.92299976508015313</v>
      </c>
      <c r="FU11" s="4">
        <f t="shared" ref="FU11:FU74" si="213">IF(ISNUMBER($AV11),SQRT(EW11^2+EY11^2),"")</f>
        <v>0.99676354908541065</v>
      </c>
      <c r="FV11" s="5">
        <f t="shared" ref="FV11:FV74" si="214">IF(ISNUMBER($AV11),SQRT(FD11^2+FF11^2),"")</f>
        <v>1</v>
      </c>
      <c r="FW11" s="8">
        <f>IF(ISNUMBER($AV11),SQRT(FG11^2+FI11^2),"")</f>
        <v>0.24324115356642784</v>
      </c>
      <c r="FX11" s="9">
        <f>IF(ISNUMBER($AV11),DEGREES(ACOS((FU11^2+FV11^2-FW11^2)/(2*FU11*FV11))),"")</f>
        <v>13.992811782015375</v>
      </c>
      <c r="FY11" s="10">
        <f t="shared" si="45"/>
        <v>1</v>
      </c>
      <c r="FZ11" s="277">
        <f>IF(ISNUMBER($AV11),FX11*FY11,"")</f>
        <v>13.992811782015375</v>
      </c>
      <c r="GA11" s="177">
        <f t="shared" ref="GA11:GA74" si="215">IF(ISNUMBER($AV11),DEGREES(FZ11*SIN(RADIANS(FU11))),"")</f>
        <v>13.946821210447366</v>
      </c>
      <c r="GB11" s="4">
        <f t="shared" ref="GB11:GB74" si="216">IF(ISNUMBER($AV11),COS(RADIANS(FP11+90))*COS(RADIANS(FZ11)),"")</f>
        <v>8.0668159374424689E-2</v>
      </c>
      <c r="GC11" s="5">
        <f t="shared" ref="GC11:GC74" si="217">IF(ISNUMBER($AV11),SIN(RADIANS(FP11+90))*COS(RADIANS(FZ11)),"")</f>
        <v>0.96696707782187474</v>
      </c>
      <c r="GD11" s="10">
        <f t="shared" ref="GD11:GD74" si="218">IF(ISNUMBER($AV11),-SIN(RADIANS(FZ11)),"")</f>
        <v>-0.2418001622657992</v>
      </c>
      <c r="GE11" s="311">
        <f t="shared" ref="GE11:GE74" si="219">IF(ISNUMBER($AV11),SUM(ABS(GB11),ABS(GC11),ABS(GD11)),"")</f>
        <v>1.2894353994620986</v>
      </c>
      <c r="GF11" s="341">
        <f>IF(ISNUMBER($AV11),1/GE11,"")</f>
        <v>0.77553322982846629</v>
      </c>
      <c r="GG11" s="285">
        <f t="shared" si="46"/>
        <v>6.2560838183965045E-2</v>
      </c>
      <c r="GH11" s="286">
        <f t="shared" si="47"/>
        <v>0.74991510100099246</v>
      </c>
      <c r="GI11" s="281">
        <f t="shared" si="48"/>
        <v>0.1875240608150425</v>
      </c>
      <c r="GJ11" s="167">
        <f t="shared" ref="GJ11:GJ74" si="220">IF(ISNUMBER($AV11),AW11,"")</f>
        <v>1.7002999999999999</v>
      </c>
      <c r="GK11" s="174">
        <f t="shared" si="49"/>
        <v>0.89036687622440358</v>
      </c>
      <c r="GL11" s="174">
        <f t="shared" ref="GL11:GL74" si="221">IF(ISNUMBER($AV11),AY11,"")</f>
        <v>3.5499999999999997E-2</v>
      </c>
      <c r="GM11" s="9">
        <f>IF(ISNUMBER($AV11),AZ11,"")</f>
        <v>0.37929628927159592</v>
      </c>
      <c r="GN11" s="281">
        <f t="shared" ref="GN11:GN74" si="222">IF(ISNUMBER($AV11),BA11,"")</f>
        <v>2.1013188270945265E-2</v>
      </c>
      <c r="GO11" s="4">
        <f t="shared" ref="GO11:GO74" si="223">IF(ISNUMBER($AV11),FP11,"")</f>
        <v>-4.7687946335737301</v>
      </c>
      <c r="GP11" s="8">
        <f>IF(ISNUMBER($AV11),FZ11,"")</f>
        <v>13.992811782015375</v>
      </c>
      <c r="GQ11" s="177">
        <f t="shared" ref="GQ11:GQ74" si="224">IF(ISNUMBER($AV11),FJ11,"")</f>
        <v>14.718524917231225</v>
      </c>
      <c r="GR11" s="371">
        <f>IF(ISNUMBER($AV11),GS11+GU11+GY11,"")</f>
        <v>1264.464099887135</v>
      </c>
      <c r="GS11" s="342">
        <f>IF(ISNUMBER($AV11),GU11/GH11*GG11,"")</f>
        <v>79.105933942472063</v>
      </c>
      <c r="GT11" s="343">
        <f t="shared" si="52"/>
        <v>88.846447520510182</v>
      </c>
      <c r="GU11" s="344">
        <f>IF(ISNUMBER($AV11),$GV11*$GK11,"")</f>
        <v>948.24072317898981</v>
      </c>
      <c r="GV11" s="343">
        <f>IF(ISNUMBER($AV11),GW11*$GL11,"")</f>
        <v>1065</v>
      </c>
      <c r="GW11" s="345">
        <f>IF(ISNUMBER($AV11),$GW$2,"")</f>
        <v>30000</v>
      </c>
      <c r="GX11" s="346">
        <f>IF(ISNUMBER($AV11),($GJ11/12)*$GV11,"")</f>
        <v>150.901625</v>
      </c>
      <c r="GY11" s="344">
        <f t="shared" si="55"/>
        <v>237.11744276567308</v>
      </c>
      <c r="GZ11" s="345">
        <f t="shared" si="56"/>
        <v>266.31431278212915</v>
      </c>
      <c r="HA11" s="342">
        <f t="shared" si="57"/>
        <v>-79.105933942472063</v>
      </c>
      <c r="HB11" s="5">
        <f t="shared" ref="HB11:HB74" si="225">IF(ISNUMBER($AV11),$EV11,"")</f>
        <v>2.1048074191570691</v>
      </c>
      <c r="HC11" s="343">
        <f t="shared" ref="HC11:HC74" si="226">IF(ISNUMBER($AV11),HA11*COS(RADIANS(HB11)),"")</f>
        <v>-79.052562407629409</v>
      </c>
      <c r="HD11" s="345">
        <f t="shared" ref="HD11:HD74" si="227">IF(ISNUMBER($AV11),HA11*SIN(RADIANS(HB11)),"")</f>
        <v>-2.9053677389638164</v>
      </c>
      <c r="HE11" s="344">
        <f t="shared" si="58"/>
        <v>1065</v>
      </c>
      <c r="HF11" s="5">
        <f t="shared" si="59"/>
        <v>92.104807419157069</v>
      </c>
      <c r="HG11" s="343">
        <f t="shared" ref="HG11:HG74" si="228">IF(ISNUMBER($AV11),HE11*COS(RADIANS(HF11)),"")</f>
        <v>-39.114848757700685</v>
      </c>
      <c r="HH11" s="349">
        <f t="shared" ref="HH11:HH74" si="229">IF(ISNUMBER($AV11),HE11*SIN(RADIANS(HF11)),"")</f>
        <v>1064.2814611777574</v>
      </c>
      <c r="HI11" s="317">
        <f t="shared" si="60"/>
        <v>1.107</v>
      </c>
      <c r="HJ11" s="336"/>
      <c r="HK11" s="310">
        <f t="shared" si="130"/>
        <v>3</v>
      </c>
      <c r="HL11" s="348">
        <f t="shared" si="61"/>
        <v>5.1029999999999998</v>
      </c>
      <c r="HM11" s="935">
        <f t="shared" si="62"/>
        <v>-9.8507206046676998</v>
      </c>
      <c r="HN11" s="936">
        <f t="shared" si="63"/>
        <v>17.499997473312952</v>
      </c>
      <c r="HO11" s="937"/>
      <c r="HP11" s="938"/>
      <c r="HQ11" s="936">
        <f t="shared" si="64"/>
        <v>17.957166498821724</v>
      </c>
      <c r="HR11" s="939">
        <f t="shared" si="65"/>
        <v>15.35896994499752</v>
      </c>
      <c r="HS11" s="940">
        <f>IFERROR(SMALL($GJ$9:$GJ$150,($HK10+1)),"")</f>
        <v>0.75870000000000004</v>
      </c>
      <c r="HT11" s="941">
        <f t="shared" si="66"/>
        <v>3.6600000000000001E-2</v>
      </c>
      <c r="HU11" s="942">
        <f t="shared" si="67"/>
        <v>0.17456454335951224</v>
      </c>
      <c r="HV11" s="943">
        <f t="shared" si="68"/>
        <v>9.6709557114027719E-3</v>
      </c>
      <c r="HW11" s="944">
        <f t="shared" si="69"/>
        <v>30000</v>
      </c>
      <c r="HX11" s="947">
        <f t="shared" si="70"/>
        <v>69.421050000000008</v>
      </c>
      <c r="HY11" s="952">
        <f t="shared" si="71"/>
        <v>75.7792475813457</v>
      </c>
      <c r="HZ11" s="953">
        <f t="shared" si="72"/>
        <v>436.41135839878058</v>
      </c>
      <c r="IA11" s="954">
        <f t="shared" si="73"/>
        <v>121.66528364221358</v>
      </c>
      <c r="IB11" s="955">
        <f t="shared" si="74"/>
        <v>633.85588962233987</v>
      </c>
      <c r="IC11" s="842">
        <f t="shared" si="75"/>
        <v>190.65868072179413</v>
      </c>
      <c r="ID11" s="351">
        <f t="shared" si="76"/>
        <v>1098</v>
      </c>
      <c r="IE11" s="844">
        <f t="shared" si="77"/>
        <v>306.1067932083497</v>
      </c>
      <c r="IF11" s="845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0">$M11</f>
        <v>1.107</v>
      </c>
      <c r="IJ11" s="96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8"/>
        <v>1613</v>
      </c>
      <c r="IM11" s="482" t="str">
        <f t="shared" ref="IM11:IM74" si="231">IF(ISNUMBER($IK11),INDEX($K$9:$K$150,MATCH($II11,$M$9:$M$150,0)),"")</f>
        <v/>
      </c>
      <c r="IN11" s="670" t="str">
        <f t="shared" si="80"/>
        <v/>
      </c>
      <c r="IO11" s="702"/>
      <c r="IP11" s="5" t="str">
        <f t="shared" si="81"/>
        <v/>
      </c>
      <c r="IQ11" s="714"/>
      <c r="IR11" s="9" t="str">
        <f t="shared" si="131"/>
        <v/>
      </c>
      <c r="IS11" s="5" t="str">
        <f t="shared" si="82"/>
        <v/>
      </c>
      <c r="IT11" s="5" t="str">
        <f t="shared" si="83"/>
        <v/>
      </c>
      <c r="IU11" s="5" t="str">
        <f t="shared" si="84"/>
        <v/>
      </c>
      <c r="IV11" s="670" t="str">
        <f t="shared" si="85"/>
        <v/>
      </c>
      <c r="IW11" s="9" t="str">
        <f t="shared" si="86"/>
        <v/>
      </c>
      <c r="IX11" s="5" t="str">
        <f t="shared" si="87"/>
        <v/>
      </c>
      <c r="IY11" s="5" t="str">
        <f t="shared" si="88"/>
        <v/>
      </c>
      <c r="IZ11" s="5" t="str">
        <f t="shared" si="89"/>
        <v/>
      </c>
      <c r="JA11" s="705" t="str">
        <f t="shared" si="9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ref="B12:D12" si="232">IFERROR(O167+($A12*-E12),"")</f>
        <v>0</v>
      </c>
      <c r="C12" s="572">
        <f t="shared" si="232"/>
        <v>2.472807457987293</v>
      </c>
      <c r="D12" s="576">
        <f t="shared" si="232"/>
        <v>-0.10230030853773055</v>
      </c>
      <c r="E12" s="580">
        <f t="shared" ref="E12:K12" si="233">R167</f>
        <v>-0.96592583607220739</v>
      </c>
      <c r="F12" s="572">
        <f t="shared" si="233"/>
        <v>-2.7053953232511002E-2</v>
      </c>
      <c r="G12" s="579">
        <f t="shared" si="233"/>
        <v>0.25740117098160287</v>
      </c>
      <c r="H12" s="580">
        <f t="shared" si="233"/>
        <v>0.3125</v>
      </c>
      <c r="I12" s="572">
        <f t="shared" si="233"/>
        <v>0.52</v>
      </c>
      <c r="J12" s="483">
        <f t="shared" si="92"/>
        <v>1.111</v>
      </c>
      <c r="K12" s="806">
        <f t="shared" si="233"/>
        <v>1613</v>
      </c>
      <c r="L12" s="716" t="s">
        <v>357</v>
      </c>
      <c r="M12" s="164">
        <f t="shared" si="4"/>
        <v>1.111</v>
      </c>
      <c r="N12" s="575">
        <f t="shared" si="5"/>
        <v>0</v>
      </c>
      <c r="O12" s="572">
        <f t="shared" si="6"/>
        <v>2.472807457987293</v>
      </c>
      <c r="P12" s="576">
        <f t="shared" si="7"/>
        <v>-0.10230030853773055</v>
      </c>
      <c r="Q12" s="528">
        <f>IF(M12="","",IF(DEGREES(ATAN2(N12,O12))&lt;0,DEGREES(ATAN2(N12,O12))+360,IF(DEGREES(ATAN2(N12,O12))&gt;360,DEGREES(ATAN2(N12,O12))-360,DEGREES(ATAN2(N12,O12)))))</f>
        <v>90</v>
      </c>
      <c r="R12" s="572">
        <f t="shared" si="93"/>
        <v>2.472807457987293</v>
      </c>
      <c r="S12" s="577">
        <f t="shared" si="94"/>
        <v>-0.10230030853773055</v>
      </c>
      <c r="T12" s="578">
        <f>IF(M12="","",X12*COS(RADIANS(W12)))</f>
        <v>2.4728074203242927</v>
      </c>
      <c r="U12" s="572">
        <f t="shared" si="96"/>
        <v>4.3158625459315425E-4</v>
      </c>
      <c r="V12" s="579">
        <f t="shared" si="135"/>
        <v>-0.10230030853773055</v>
      </c>
      <c r="W12" s="528">
        <f>IF(M12="","",IF(Q12-$Q$8&lt;0,360+Q12-$Q$8,Q12-$Q$8))</f>
        <v>9.9999985561822768E-3</v>
      </c>
      <c r="X12" s="572">
        <f t="shared" si="97"/>
        <v>2.472807457987293</v>
      </c>
      <c r="Y12" s="573">
        <f t="shared" si="9"/>
        <v>-0.10230030853773055</v>
      </c>
      <c r="Z12" s="575">
        <f t="shared" si="10"/>
        <v>0.96592583607220739</v>
      </c>
      <c r="AA12" s="572">
        <f t="shared" si="11"/>
        <v>2.7053953232511002E-2</v>
      </c>
      <c r="AB12" s="572">
        <f t="shared" si="12"/>
        <v>-0.25740117098160287</v>
      </c>
      <c r="AC12" s="579">
        <f t="shared" si="98"/>
        <v>1</v>
      </c>
      <c r="AD12" s="580">
        <f t="shared" si="136"/>
        <v>0.96592583607220739</v>
      </c>
      <c r="AE12" s="572">
        <f t="shared" si="99"/>
        <v>2.7053953232511002E-2</v>
      </c>
      <c r="AF12" s="576">
        <f t="shared" si="100"/>
        <v>-0.25740117098160287</v>
      </c>
      <c r="AG12" s="545">
        <f t="shared" si="101"/>
        <v>6.0000000000000009</v>
      </c>
      <c r="AH12" s="546">
        <f t="shared" si="102"/>
        <v>14.999997834268255</v>
      </c>
      <c r="AI12" s="528">
        <f t="shared" si="103"/>
        <v>-75.084087473293579</v>
      </c>
      <c r="AJ12" s="529">
        <f t="shared" si="104"/>
        <v>91.60433870253452</v>
      </c>
      <c r="AK12" s="578">
        <f t="shared" ref="AK12:AK105" si="234">IF(M12="","",(COS(RADIANS((90-$Q$8)-W12))*AD12)+(-SIN(RADIANS((90-$Q$8)-W12))*AE12))</f>
        <v>0.96592583607220739</v>
      </c>
      <c r="AL12" s="572">
        <f>IF(M12="","",(SIN(RADIANS((90-$Q$8)-W12))*AD12)+(COS(RADIANS((90-$Q$8)-W12))*AE12))</f>
        <v>2.7053953232511002E-2</v>
      </c>
      <c r="AM12" s="577">
        <f t="shared" si="106"/>
        <v>-0.25740117098160287</v>
      </c>
      <c r="AN12" s="524">
        <f>IF(M12="","",DEGREES(ATAN2(-AM12,AL12)))</f>
        <v>6.0000000000000009</v>
      </c>
      <c r="AO12" s="525">
        <f t="shared" si="108"/>
        <v>14.999997834268255</v>
      </c>
      <c r="AP12" s="528">
        <f t="shared" si="109"/>
        <v>1.6043387025345293</v>
      </c>
      <c r="AQ12" s="529">
        <f t="shared" si="13"/>
        <v>0.56599659036255867</v>
      </c>
      <c r="AS12" s="900">
        <f t="shared" si="137"/>
        <v>9.9999985561822768E-3</v>
      </c>
      <c r="AT12" s="896">
        <f>IF(M12="","",Y12+(((AS12-$AS$9)*$AS$6)*-1))</f>
        <v>-0.10230030853773055</v>
      </c>
      <c r="AU12" s="418"/>
      <c r="AV12" s="164">
        <f t="shared" si="15"/>
        <v>1.111</v>
      </c>
      <c r="AW12" s="829">
        <f>IFERROR(INDEX(MassProp!C$9:C$150,MATCH($M12,MassProp!$B$9:$B$150,0)),"")</f>
        <v>2.3978000000000002</v>
      </c>
      <c r="AX12" s="830">
        <f>IFERROR(INDEX(MassProp!D$9:D$150,MATCH($M12,MassProp!$B$9:$B$150,0)),"")</f>
        <v>0.28910000000000002</v>
      </c>
      <c r="AY12" s="831">
        <f>IFERROR(INDEX(MassProp!E$9:E$150,MATCH($M12,MassProp!$B$9:$B$150,0)),"")</f>
        <v>2.58E-2</v>
      </c>
      <c r="AZ12" s="297">
        <f t="shared" si="138"/>
        <v>0.3887183720474095</v>
      </c>
      <c r="BA12" s="296">
        <f t="shared" si="16"/>
        <v>2.1535175975208914E-2</v>
      </c>
      <c r="BB12" s="291">
        <f t="shared" si="139"/>
        <v>0.23791193644470732</v>
      </c>
      <c r="BC12" s="9"/>
      <c r="BD12" s="5">
        <f t="shared" ref="BD12:BD73" si="235">IF(ISNUMBER(AV12),AW12,"")</f>
        <v>2.3978000000000002</v>
      </c>
      <c r="BE12" s="6">
        <f t="shared" si="17"/>
        <v>0.13561162790697678</v>
      </c>
      <c r="BF12" s="4">
        <f t="shared" si="18"/>
        <v>0</v>
      </c>
      <c r="BG12" s="5">
        <f t="shared" si="19"/>
        <v>2.472807457987293</v>
      </c>
      <c r="BH12" s="10">
        <f t="shared" si="20"/>
        <v>-0.10230030853773055</v>
      </c>
      <c r="BI12" s="9">
        <f t="shared" si="140"/>
        <v>0</v>
      </c>
      <c r="BJ12" s="5">
        <f t="shared" si="21"/>
        <v>3.4673293533555665</v>
      </c>
      <c r="BK12" s="8">
        <f t="shared" si="22"/>
        <v>2.2281547299229376E-3</v>
      </c>
      <c r="BL12" s="173">
        <f t="shared" si="23"/>
        <v>0.25881900859134571</v>
      </c>
      <c r="BM12" s="5">
        <f t="shared" si="24"/>
        <v>2.3718407147121416</v>
      </c>
      <c r="BN12" s="6">
        <f t="shared" si="25"/>
        <v>0.85833408473798523</v>
      </c>
      <c r="BO12" s="4">
        <f t="shared" si="141"/>
        <v>0.96592583607220794</v>
      </c>
      <c r="BP12" s="5">
        <f t="shared" si="142"/>
        <v>2.7053953232510971E-2</v>
      </c>
      <c r="BQ12" s="5">
        <f t="shared" si="143"/>
        <v>-0.25740117098160264</v>
      </c>
      <c r="BR12" s="6">
        <f t="shared" si="144"/>
        <v>-9.323143653078364E-2</v>
      </c>
      <c r="BS12" s="4">
        <f t="shared" si="110"/>
        <v>0</v>
      </c>
      <c r="BT12" s="5">
        <f t="shared" si="110"/>
        <v>0</v>
      </c>
      <c r="BU12" s="10">
        <f t="shared" si="111"/>
        <v>0.13561162790697678</v>
      </c>
      <c r="BV12" s="9">
        <f t="shared" si="112"/>
        <v>0</v>
      </c>
      <c r="BW12" s="5">
        <f t="shared" si="113"/>
        <v>1</v>
      </c>
      <c r="BX12" s="8">
        <f t="shared" si="114"/>
        <v>0.13561162790697678</v>
      </c>
      <c r="BY12" s="173">
        <f t="shared" si="115"/>
        <v>1</v>
      </c>
      <c r="BZ12" s="5">
        <f t="shared" si="116"/>
        <v>0</v>
      </c>
      <c r="CA12" s="6">
        <f t="shared" si="117"/>
        <v>0.13561162790697678</v>
      </c>
      <c r="CB12" s="4">
        <f t="shared" si="145"/>
        <v>0</v>
      </c>
      <c r="CC12" s="5">
        <f t="shared" si="146"/>
        <v>0</v>
      </c>
      <c r="CD12" s="5">
        <f t="shared" si="147"/>
        <v>-1</v>
      </c>
      <c r="CE12" s="6">
        <f t="shared" si="148"/>
        <v>0.13561162790697678</v>
      </c>
      <c r="CF12" s="4">
        <f t="shared" si="149"/>
        <v>-2.7053953232510971E-2</v>
      </c>
      <c r="CG12" s="5">
        <f t="shared" si="150"/>
        <v>0.96592583607220794</v>
      </c>
      <c r="CH12" s="5">
        <f t="shared" si="151"/>
        <v>0</v>
      </c>
      <c r="CI12" s="4">
        <f t="shared" si="118"/>
        <v>0</v>
      </c>
      <c r="CJ12" s="5">
        <f t="shared" si="119"/>
        <v>4.7363883293320788</v>
      </c>
      <c r="CK12" s="8">
        <f t="shared" si="120"/>
        <v>0.13561162790697678</v>
      </c>
      <c r="CL12" s="173">
        <f t="shared" si="121"/>
        <v>-2.7053953232510971E-2</v>
      </c>
      <c r="CM12" s="5">
        <f t="shared" si="122"/>
        <v>5.702314165404287</v>
      </c>
      <c r="CN12" s="6">
        <f t="shared" si="123"/>
        <v>0.13561162790697678</v>
      </c>
      <c r="CO12" s="167">
        <f t="shared" si="26"/>
        <v>0.3125</v>
      </c>
      <c r="CP12" s="4">
        <f t="shared" ref="CP12:CP74" si="236">IF(ISNUMBER($AV12),(CL12-CI12)^2+(CM12-CJ12)^2+(CN12-CK12)^2,"")</f>
        <v>0.93374463717730138</v>
      </c>
      <c r="CQ12" s="5">
        <f t="shared" ref="CQ12:CQ74" si="237">IF(ISNUMBER($AV12),2*((CL12-CI12)*(CI12-BF12)+(CM12-CJ12)*(CJ12-BG12)+(CN12-CK12)*(CK12-BH12)),"")</f>
        <v>4.3729024913415397</v>
      </c>
      <c r="CR12" s="5">
        <f t="shared" si="152"/>
        <v>5.082744200620894</v>
      </c>
      <c r="CS12" s="8">
        <f t="shared" si="153"/>
        <v>0.13833564088588801</v>
      </c>
      <c r="CT12" s="9">
        <f t="shared" si="154"/>
        <v>-2.1424313118012939</v>
      </c>
      <c r="CU12" s="6">
        <f t="shared" si="155"/>
        <v>-2.5407575572247931</v>
      </c>
      <c r="CV12" s="4">
        <f t="shared" ref="CV12:CV74" si="238">IF(ISNUMBER($AV12),CI12+($CT12*(CL12-CI12)),"")</f>
        <v>5.7961236513339336E-2</v>
      </c>
      <c r="CW12" s="5">
        <f t="shared" si="156"/>
        <v>2.6669585732531362</v>
      </c>
      <c r="CX12" s="8">
        <f t="shared" si="157"/>
        <v>0.13561162790697678</v>
      </c>
      <c r="CY12" s="9">
        <f t="shared" si="158"/>
        <v>6.8737536128308366E-2</v>
      </c>
      <c r="CZ12" s="5">
        <f t="shared" si="159"/>
        <v>2.2822049616129387</v>
      </c>
      <c r="DA12" s="6">
        <f t="shared" si="160"/>
        <v>0.13561162790697678</v>
      </c>
      <c r="DB12" s="4">
        <f t="shared" si="161"/>
        <v>0</v>
      </c>
      <c r="DC12" s="5">
        <f t="shared" si="161"/>
        <v>0</v>
      </c>
      <c r="DD12" s="10">
        <f t="shared" si="162"/>
        <v>-10</v>
      </c>
      <c r="DE12" s="9">
        <f t="shared" si="163"/>
        <v>0</v>
      </c>
      <c r="DF12" s="5">
        <f t="shared" si="163"/>
        <v>0</v>
      </c>
      <c r="DG12" s="10">
        <f t="shared" si="164"/>
        <v>10</v>
      </c>
      <c r="DH12" s="70">
        <f t="shared" si="165"/>
        <v>2.3978000000000002</v>
      </c>
      <c r="DI12" s="4">
        <f t="shared" si="166"/>
        <v>0</v>
      </c>
      <c r="DJ12" s="5">
        <f t="shared" si="167"/>
        <v>0</v>
      </c>
      <c r="DK12" s="10">
        <f t="shared" si="168"/>
        <v>20</v>
      </c>
      <c r="DL12" s="9">
        <f t="shared" si="169"/>
        <v>5.7961236513339336E-2</v>
      </c>
      <c r="DM12" s="173">
        <f t="shared" si="170"/>
        <v>2.6669585732531362</v>
      </c>
      <c r="DN12" s="178">
        <f t="shared" si="171"/>
        <v>10.135611627906977</v>
      </c>
      <c r="DO12" s="9">
        <f t="shared" si="172"/>
        <v>1.077629961496903E-2</v>
      </c>
      <c r="DP12" s="173">
        <f t="shared" si="173"/>
        <v>-0.3847536116401975</v>
      </c>
      <c r="DQ12" s="11">
        <f t="shared" si="174"/>
        <v>0</v>
      </c>
      <c r="DR12" s="173">
        <f t="shared" si="175"/>
        <v>202.71223255813953</v>
      </c>
      <c r="DS12" s="5">
        <f t="shared" si="176"/>
        <v>0</v>
      </c>
      <c r="DT12" s="5">
        <f t="shared" si="177"/>
        <v>400</v>
      </c>
      <c r="DU12" s="5">
        <f t="shared" si="178"/>
        <v>0.14815147030356751</v>
      </c>
      <c r="DV12" s="5">
        <f t="shared" si="179"/>
        <v>-1.0254973355032104</v>
      </c>
      <c r="DW12" s="5">
        <f t="shared" si="180"/>
        <v>109.84665060814967</v>
      </c>
      <c r="DX12" s="167">
        <f t="shared" si="181"/>
        <v>104.09720576814968</v>
      </c>
      <c r="DY12" s="9">
        <f t="shared" si="182"/>
        <v>59.260588121427006</v>
      </c>
      <c r="DZ12" s="5">
        <f t="shared" si="183"/>
        <v>-410.19893420128415</v>
      </c>
      <c r="EA12" s="10">
        <f t="shared" si="184"/>
        <v>546.63307855462335</v>
      </c>
      <c r="EB12" s="6">
        <f t="shared" si="185"/>
        <v>135869.36789809627</v>
      </c>
      <c r="EC12" s="173">
        <f t="shared" si="186"/>
        <v>13.142015319451776</v>
      </c>
      <c r="ED12" s="5">
        <f t="shared" si="187"/>
        <v>0.70188826654613135</v>
      </c>
      <c r="EE12" s="4">
        <f t="shared" si="188"/>
        <v>0.19958353114026461</v>
      </c>
      <c r="EF12" s="5">
        <f t="shared" si="189"/>
        <v>-2.3894792851367384</v>
      </c>
      <c r="EG12" s="10">
        <f t="shared" si="190"/>
        <v>0.13561162790697678</v>
      </c>
      <c r="EH12" s="9">
        <f t="shared" si="191"/>
        <v>6.5524994769871697E-2</v>
      </c>
      <c r="EI12" s="5">
        <f t="shared" si="192"/>
        <v>2.3969045277316345</v>
      </c>
      <c r="EJ12" s="6">
        <f t="shared" si="193"/>
        <v>0.13561162790697678</v>
      </c>
      <c r="EK12" s="236" t="b">
        <f t="shared" si="194"/>
        <v>0</v>
      </c>
      <c r="EL12" s="238" t="b">
        <f t="shared" si="195"/>
        <v>1</v>
      </c>
      <c r="EM12" s="4">
        <f t="shared" si="196"/>
        <v>6.5524994769871697E-2</v>
      </c>
      <c r="EN12" s="5">
        <f t="shared" si="197"/>
        <v>2.3969045277316345</v>
      </c>
      <c r="EO12" s="10">
        <f t="shared" si="198"/>
        <v>0.13561162790697678</v>
      </c>
      <c r="EP12" s="9">
        <f t="shared" si="199"/>
        <v>88.434075786774912</v>
      </c>
      <c r="EQ12" s="5">
        <f t="shared" si="200"/>
        <v>2.3978000000000002</v>
      </c>
      <c r="ER12" s="7">
        <f t="shared" si="201"/>
        <v>0.13561162790697678</v>
      </c>
      <c r="ES12" s="21">
        <f t="shared" si="124"/>
        <v>0.96592583607220739</v>
      </c>
      <c r="ET12" s="5">
        <f t="shared" si="35"/>
        <v>2.7053953232511002E-2</v>
      </c>
      <c r="EU12" s="10">
        <f t="shared" si="36"/>
        <v>-0.25740117098160287</v>
      </c>
      <c r="EV12" s="174">
        <f>IF(ISNUMBER($AV12),IF(($EV$1-EP12)&lt;0,(360+($EV$1-EP12)),($EV$1-EP12)),"")</f>
        <v>1.5659242132250881</v>
      </c>
      <c r="EW12" s="9">
        <f t="shared" si="125"/>
        <v>0.96482579856133677</v>
      </c>
      <c r="EX12" s="5">
        <f t="shared" si="37"/>
        <v>5.3439831659337911E-2</v>
      </c>
      <c r="EY12" s="6">
        <f t="shared" si="202"/>
        <v>-0.25740117098160287</v>
      </c>
      <c r="EZ12" s="51">
        <f t="shared" si="203"/>
        <v>0.58370076614172428</v>
      </c>
      <c r="FA12" s="266">
        <f t="shared" si="126"/>
        <v>0.99957467146828305</v>
      </c>
      <c r="FB12" s="267">
        <f t="shared" si="127"/>
        <v>-2.7325712961141634E-2</v>
      </c>
      <c r="FC12" s="269">
        <f t="shared" si="38"/>
        <v>-1.0187323997943231E-2</v>
      </c>
      <c r="FD12" s="4">
        <f t="shared" si="128"/>
        <v>0.99994810786848365</v>
      </c>
      <c r="FE12" s="5">
        <f t="shared" si="39"/>
        <v>-1.2836953722228372E-16</v>
      </c>
      <c r="FF12" s="7">
        <f t="shared" si="204"/>
        <v>-1.0187323997943231E-2</v>
      </c>
      <c r="FG12" s="173">
        <f t="shared" si="205"/>
        <v>-3.5122309307146882E-2</v>
      </c>
      <c r="FH12" s="5">
        <f t="shared" si="40"/>
        <v>5.3439831659338036E-2</v>
      </c>
      <c r="FI12" s="10">
        <f t="shared" si="41"/>
        <v>-0.24721384698365964</v>
      </c>
      <c r="FJ12" s="279">
        <f t="shared" si="206"/>
        <v>14.670571633139811</v>
      </c>
      <c r="FK12" s="4">
        <f t="shared" si="42"/>
        <v>0.96630462959529473</v>
      </c>
      <c r="FL12" s="5">
        <f t="shared" si="207"/>
        <v>0.99994810786848376</v>
      </c>
      <c r="FM12" s="8">
        <f t="shared" si="208"/>
        <v>6.3948355872886081E-2</v>
      </c>
      <c r="FN12" s="9">
        <f t="shared" si="209"/>
        <v>3.1702629157595648</v>
      </c>
      <c r="FO12" s="10">
        <f t="shared" si="43"/>
        <v>-1</v>
      </c>
      <c r="FP12" s="277">
        <f t="shared" si="44"/>
        <v>-3.1702629157595648</v>
      </c>
      <c r="FQ12" s="173">
        <f t="shared" ref="FQ12:FQ74" si="239">IF(ISNUMBER($AV12),SIN(RADIANS(FN12)),"")</f>
        <v>5.5303296727160015E-2</v>
      </c>
      <c r="FR12" s="10">
        <f t="shared" si="210"/>
        <v>0.99846960162596221</v>
      </c>
      <c r="FS12" s="9">
        <f t="shared" si="211"/>
        <v>5.2481228938028472E-2</v>
      </c>
      <c r="FT12" s="6">
        <f t="shared" si="212"/>
        <v>0.94751877106197147</v>
      </c>
      <c r="FU12" s="4">
        <f t="shared" si="213"/>
        <v>0.99857107127746381</v>
      </c>
      <c r="FV12" s="5">
        <f t="shared" si="214"/>
        <v>0.99999999999999978</v>
      </c>
      <c r="FW12" s="8">
        <f t="shared" ref="FW12:FW74" si="240">IF(ISNUMBER($AV12),SQRT(FG12^2+FI12^2),"")</f>
        <v>0.24969634108558175</v>
      </c>
      <c r="FX12" s="9">
        <f t="shared" ref="FX12:FX74" si="241">IF(ISNUMBER($AV12),DEGREES(ACOS((FU12^2+FV12^2-FW12^2)/(2*FU12*FV12))),"")</f>
        <v>14.354052771522406</v>
      </c>
      <c r="FY12" s="10">
        <f t="shared" si="45"/>
        <v>1</v>
      </c>
      <c r="FZ12" s="277">
        <f t="shared" ref="FZ12:FZ74" si="242">IF(ISNUMBER($AV12),FX12*FY12,"")</f>
        <v>14.354052771522406</v>
      </c>
      <c r="GA12" s="177">
        <f t="shared" si="215"/>
        <v>14.332816234695917</v>
      </c>
      <c r="GB12" s="4">
        <f t="shared" si="216"/>
        <v>5.3576853986020981E-2</v>
      </c>
      <c r="GC12" s="5">
        <f t="shared" si="217"/>
        <v>0.96729965881984747</v>
      </c>
      <c r="GD12" s="10">
        <f t="shared" si="218"/>
        <v>-0.24791307098248622</v>
      </c>
      <c r="GE12" s="311">
        <f t="shared" si="219"/>
        <v>1.2687895837883547</v>
      </c>
      <c r="GF12" s="341">
        <f t="shared" ref="GF12:GF74" si="243">IF(ISNUMBER($AV12),1/GE12,"")</f>
        <v>0.78815275028834786</v>
      </c>
      <c r="GG12" s="285">
        <f t="shared" si="46"/>
        <v>4.2226744820879673E-2</v>
      </c>
      <c r="GH12" s="286">
        <f t="shared" si="47"/>
        <v>0.7623798864518434</v>
      </c>
      <c r="GI12" s="281">
        <f t="shared" si="48"/>
        <v>0.19539336872727692</v>
      </c>
      <c r="GJ12" s="167">
        <f t="shared" si="220"/>
        <v>2.3978000000000002</v>
      </c>
      <c r="GK12" s="174">
        <f t="shared" si="49"/>
        <v>1.2555502973107542</v>
      </c>
      <c r="GL12" s="174">
        <f t="shared" si="221"/>
        <v>2.58E-2</v>
      </c>
      <c r="GM12" s="177">
        <f t="shared" ref="GM12:GM74" si="244">IF(ISNUMBER($AV12),AZ12,"")</f>
        <v>0.3887183720474095</v>
      </c>
      <c r="GN12" s="280">
        <f t="shared" si="222"/>
        <v>2.1535175975208914E-2</v>
      </c>
      <c r="GO12" s="4">
        <f t="shared" si="223"/>
        <v>-3.1702629157595648</v>
      </c>
      <c r="GP12" s="8">
        <f t="shared" ref="GP12:GP74" si="245">IF(ISNUMBER($AV12),FZ12,"")</f>
        <v>14.354052771522406</v>
      </c>
      <c r="GQ12" s="177">
        <f t="shared" si="224"/>
        <v>14.670571633139811</v>
      </c>
      <c r="GR12" s="371">
        <f t="shared" ref="GR12:GR74" si="246">IF(ISNUMBER($AV12),GS12+GU12+GY12,"")</f>
        <v>1274.6872620699817</v>
      </c>
      <c r="GS12" s="342">
        <f t="shared" si="51"/>
        <v>53.825893741854891</v>
      </c>
      <c r="GT12" s="343">
        <f t="shared" si="52"/>
        <v>42.870360396667365</v>
      </c>
      <c r="GU12" s="344">
        <f>IF(ISNUMBER($AV12),$GV12*$GK12,"")</f>
        <v>971.79593011852376</v>
      </c>
      <c r="GV12" s="343">
        <f>IF(ISNUMBER($AV12),GW12*$GL12,"")</f>
        <v>774</v>
      </c>
      <c r="GW12" s="345">
        <f t="shared" si="129"/>
        <v>30000</v>
      </c>
      <c r="GX12" s="346">
        <f>IF(ISNUMBER($AV12),($GJ12/12)*$GV12,"")</f>
        <v>154.65809999999999</v>
      </c>
      <c r="GY12" s="344">
        <f t="shared" si="55"/>
        <v>249.065438209603</v>
      </c>
      <c r="GZ12" s="345">
        <f t="shared" si="56"/>
        <v>198.37153377532769</v>
      </c>
      <c r="HA12" s="342">
        <f t="shared" si="57"/>
        <v>-53.825893741854891</v>
      </c>
      <c r="HB12" s="5">
        <f t="shared" si="225"/>
        <v>1.5659242132250881</v>
      </c>
      <c r="HC12" s="343">
        <f t="shared" si="226"/>
        <v>-53.80579215074394</v>
      </c>
      <c r="HD12" s="345">
        <f t="shared" si="227"/>
        <v>-1.4709072507793353</v>
      </c>
      <c r="HE12" s="344">
        <f t="shared" si="58"/>
        <v>774</v>
      </c>
      <c r="HF12" s="5">
        <f t="shared" si="59"/>
        <v>91.565924213225088</v>
      </c>
      <c r="HG12" s="343">
        <f t="shared" si="228"/>
        <v>-21.151199412745182</v>
      </c>
      <c r="HH12" s="349">
        <f t="shared" si="229"/>
        <v>773.71094522657631</v>
      </c>
      <c r="HI12" s="317">
        <f t="shared" si="60"/>
        <v>1.111</v>
      </c>
      <c r="HJ12" s="336"/>
      <c r="HK12" s="310">
        <f t="shared" si="130"/>
        <v>4</v>
      </c>
      <c r="HL12" s="348">
        <f t="shared" si="61"/>
        <v>1.1040000000000001</v>
      </c>
      <c r="HM12" s="935">
        <f t="shared" si="62"/>
        <v>-7.0720624807281975</v>
      </c>
      <c r="HN12" s="936">
        <f t="shared" si="63"/>
        <v>14.999997834268255</v>
      </c>
      <c r="HO12" s="937"/>
      <c r="HP12" s="938"/>
      <c r="HQ12" s="936">
        <f t="shared" si="64"/>
        <v>14.933103329506412</v>
      </c>
      <c r="HR12" s="939">
        <f t="shared" si="65"/>
        <v>13.305069546577196</v>
      </c>
      <c r="HS12" s="940">
        <f>IFERROR(SMALL($GJ$9:$GJ$150,($HK11+1)),"")</f>
        <v>0.99319999999999997</v>
      </c>
      <c r="HT12" s="941">
        <f t="shared" si="66"/>
        <v>3.5499999999999997E-2</v>
      </c>
      <c r="HU12" s="942">
        <f t="shared" si="67"/>
        <v>0.22160331627903299</v>
      </c>
      <c r="HV12" s="943">
        <f t="shared" si="68"/>
        <v>1.2276925290726446E-2</v>
      </c>
      <c r="HW12" s="944">
        <f t="shared" si="69"/>
        <v>30000</v>
      </c>
      <c r="HX12" s="947">
        <f t="shared" si="70"/>
        <v>88.146500000000003</v>
      </c>
      <c r="HY12" s="952">
        <f t="shared" si="71"/>
        <v>68.731070682913</v>
      </c>
      <c r="HZ12" s="953">
        <f t="shared" si="72"/>
        <v>554.00829069758254</v>
      </c>
      <c r="IA12" s="954">
        <f t="shared" si="73"/>
        <v>132.01815194595696</v>
      </c>
      <c r="IB12" s="955">
        <f t="shared" si="74"/>
        <v>754.75751332645245</v>
      </c>
      <c r="IC12" s="842">
        <f t="shared" si="75"/>
        <v>132.1254419949816</v>
      </c>
      <c r="ID12" s="351">
        <f t="shared" si="76"/>
        <v>1065</v>
      </c>
      <c r="IE12" s="844">
        <f t="shared" si="77"/>
        <v>253.78560967997024</v>
      </c>
      <c r="IF12" s="845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0"/>
        <v>1.111</v>
      </c>
      <c r="IJ12" s="96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8"/>
        <v>1613</v>
      </c>
      <c r="IM12" s="482" t="str">
        <f t="shared" si="231"/>
        <v/>
      </c>
      <c r="IN12" s="670" t="str">
        <f t="shared" si="80"/>
        <v/>
      </c>
      <c r="IO12" s="702"/>
      <c r="IP12" s="5" t="str">
        <f t="shared" si="81"/>
        <v/>
      </c>
      <c r="IQ12" s="714"/>
      <c r="IR12" s="9" t="str">
        <f t="shared" si="131"/>
        <v/>
      </c>
      <c r="IS12" s="5" t="str">
        <f t="shared" si="82"/>
        <v/>
      </c>
      <c r="IT12" s="5" t="str">
        <f t="shared" si="83"/>
        <v/>
      </c>
      <c r="IU12" s="5" t="str">
        <f t="shared" si="84"/>
        <v/>
      </c>
      <c r="IV12" s="670" t="str">
        <f t="shared" si="85"/>
        <v/>
      </c>
      <c r="IW12" s="9" t="str">
        <f t="shared" si="86"/>
        <v/>
      </c>
      <c r="IX12" s="5" t="str">
        <f t="shared" si="87"/>
        <v/>
      </c>
      <c r="IY12" s="5" t="str">
        <f t="shared" si="88"/>
        <v/>
      </c>
      <c r="IZ12" s="5" t="str">
        <f t="shared" si="89"/>
        <v/>
      </c>
      <c r="JA12" s="705" t="str">
        <f t="shared" si="9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ref="B13:D13" si="247">IFERROR(O168+($A13*-E13),"")</f>
        <v>5.6088061620838123E-4</v>
      </c>
      <c r="C13" s="572">
        <f t="shared" si="247"/>
        <v>3.2136096433007713</v>
      </c>
      <c r="D13" s="576">
        <f t="shared" si="247"/>
        <v>0</v>
      </c>
      <c r="E13" s="580">
        <f t="shared" ref="E13:K13" si="248">R168</f>
        <v>-0.96592582136031979</v>
      </c>
      <c r="F13" s="572">
        <f t="shared" si="248"/>
        <v>1.6858583649867671E-4</v>
      </c>
      <c r="G13" s="579">
        <f t="shared" si="248"/>
        <v>0.25881900859134593</v>
      </c>
      <c r="H13" s="580">
        <f t="shared" si="248"/>
        <v>0.3125</v>
      </c>
      <c r="I13" s="572">
        <f t="shared" si="248"/>
        <v>0.52</v>
      </c>
      <c r="J13" s="483">
        <f t="shared" si="92"/>
        <v>1.117</v>
      </c>
      <c r="K13" s="806">
        <f t="shared" si="248"/>
        <v>1613</v>
      </c>
      <c r="L13" s="717" t="str">
        <f>IF($L12=$JJ$22,$JJ$29,IF($L12=$JK$22,$JK$29,""))</f>
        <v/>
      </c>
      <c r="M13" s="164">
        <f t="shared" si="4"/>
        <v>1.117</v>
      </c>
      <c r="N13" s="575">
        <f t="shared" si="5"/>
        <v>5.6088061620838123E-4</v>
      </c>
      <c r="O13" s="572">
        <f t="shared" si="6"/>
        <v>3.2136096433007713</v>
      </c>
      <c r="P13" s="576">
        <f t="shared" si="7"/>
        <v>0</v>
      </c>
      <c r="Q13" s="528">
        <f t="shared" si="134"/>
        <v>89.990000001443818</v>
      </c>
      <c r="R13" s="572">
        <f t="shared" si="93"/>
        <v>3.2136096922468318</v>
      </c>
      <c r="S13" s="577">
        <f t="shared" si="94"/>
        <v>0</v>
      </c>
      <c r="T13" s="578">
        <f>IF(M13="","",X13*COS(RADIANS(W13)))</f>
        <v>3.2136096922468318</v>
      </c>
      <c r="U13" s="572">
        <f t="shared" si="96"/>
        <v>0</v>
      </c>
      <c r="V13" s="579">
        <f t="shared" si="135"/>
        <v>0</v>
      </c>
      <c r="W13" s="528">
        <f t="shared" si="8"/>
        <v>0</v>
      </c>
      <c r="X13" s="572">
        <f t="shared" si="97"/>
        <v>3.2136096922468318</v>
      </c>
      <c r="Y13" s="573">
        <f t="shared" si="9"/>
        <v>0</v>
      </c>
      <c r="Z13" s="575">
        <f t="shared" si="10"/>
        <v>0.96592582136031979</v>
      </c>
      <c r="AA13" s="572">
        <f t="shared" si="11"/>
        <v>-1.6858583649867671E-4</v>
      </c>
      <c r="AB13" s="572">
        <f t="shared" si="12"/>
        <v>-0.25881900859134593</v>
      </c>
      <c r="AC13" s="579">
        <f t="shared" si="98"/>
        <v>1</v>
      </c>
      <c r="AD13" s="580">
        <f>IF(M13="","",Z13*(1/SQRT(Z13^2+AA13^2+AB13^2)))</f>
        <v>0.96592582136031979</v>
      </c>
      <c r="AE13" s="572">
        <f t="shared" si="99"/>
        <v>-1.6858583649867671E-4</v>
      </c>
      <c r="AF13" s="576">
        <f t="shared" si="100"/>
        <v>-0.25881900859134593</v>
      </c>
      <c r="AG13" s="545">
        <f>IF(M13="","",DEGREES(ATAN2(-AF13,AE13)))</f>
        <v>-3.7320502862447494E-2</v>
      </c>
      <c r="AH13" s="546">
        <f t="shared" si="102"/>
        <v>15.0000010910962</v>
      </c>
      <c r="AI13" s="528">
        <f t="shared" si="103"/>
        <v>-75.000002165731729</v>
      </c>
      <c r="AJ13" s="529">
        <f t="shared" si="104"/>
        <v>89.990000001443832</v>
      </c>
      <c r="AK13" s="578">
        <f t="shared" si="234"/>
        <v>0.96592583607220728</v>
      </c>
      <c r="AL13" s="572">
        <f t="shared" si="105"/>
        <v>8.5299605920297061E-17</v>
      </c>
      <c r="AM13" s="577">
        <f t="shared" si="106"/>
        <v>-0.25881900859134593</v>
      </c>
      <c r="AN13" s="524">
        <f t="shared" si="107"/>
        <v>1.8883108470130999E-14</v>
      </c>
      <c r="AO13" s="525">
        <f t="shared" si="108"/>
        <v>14.99999783426828</v>
      </c>
      <c r="AP13" s="528">
        <f t="shared" si="109"/>
        <v>5.0597129001494101E-15</v>
      </c>
      <c r="AQ13" s="529">
        <f t="shared" si="13"/>
        <v>0.43552867158902442</v>
      </c>
      <c r="AS13" s="900">
        <f t="shared" si="137"/>
        <v>0</v>
      </c>
      <c r="AT13" s="896">
        <f t="shared" si="14"/>
        <v>4.2635652758916687E-6</v>
      </c>
      <c r="AU13" s="418"/>
      <c r="AV13" s="164">
        <f t="shared" si="15"/>
        <v>1.117</v>
      </c>
      <c r="AW13" s="829">
        <f>IFERROR(INDEX(MassProp!C$9:C$150,MATCH($M13,MassProp!$B$9:$B$150,0)),"")</f>
        <v>3.2115</v>
      </c>
      <c r="AX13" s="830">
        <f>IFERROR(INDEX(MassProp!D$9:D$150,MATCH($M13,MassProp!$B$9:$B$150,0)),"")</f>
        <v>0.40079999999999999</v>
      </c>
      <c r="AY13" s="831">
        <f>IFERROR(INDEX(MassProp!E$9:E$150,MATCH($M13,MassProp!$B$9:$B$150,0)),"")</f>
        <v>2.7E-2</v>
      </c>
      <c r="AZ13" s="297">
        <f t="shared" si="138"/>
        <v>0.54483390082798111</v>
      </c>
      <c r="BA13" s="296">
        <f t="shared" si="16"/>
        <v>3.0184047823083298E-2</v>
      </c>
      <c r="BB13" s="291">
        <f t="shared" si="139"/>
        <v>0.24730736434170084</v>
      </c>
      <c r="BC13" s="9"/>
      <c r="BD13" s="5">
        <f t="shared" si="235"/>
        <v>3.2115</v>
      </c>
      <c r="BE13" s="6">
        <f t="shared" si="17"/>
        <v>0.24730736434170084</v>
      </c>
      <c r="BF13" s="4">
        <f t="shared" si="18"/>
        <v>5.6088061620838123E-4</v>
      </c>
      <c r="BG13" s="5">
        <f t="shared" si="19"/>
        <v>3.2136096433007713</v>
      </c>
      <c r="BH13" s="10">
        <f t="shared" si="20"/>
        <v>0</v>
      </c>
      <c r="BI13" s="9">
        <f t="shared" si="140"/>
        <v>5.6088061620838123E-4</v>
      </c>
      <c r="BJ13" s="5">
        <f t="shared" si="21"/>
        <v>4.2136094311621717</v>
      </c>
      <c r="BK13" s="8">
        <f t="shared" si="22"/>
        <v>-6.5136560738974396E-4</v>
      </c>
      <c r="BL13" s="173">
        <f t="shared" si="23"/>
        <v>0.25937994411306825</v>
      </c>
      <c r="BM13" s="5">
        <f t="shared" si="24"/>
        <v>3.2142388141600953</v>
      </c>
      <c r="BN13" s="6">
        <f t="shared" si="25"/>
        <v>0.9659256164501685</v>
      </c>
      <c r="BO13" s="4">
        <f t="shared" si="141"/>
        <v>0.96592582136032057</v>
      </c>
      <c r="BP13" s="5">
        <f t="shared" si="142"/>
        <v>-1.6858583649867682E-4</v>
      </c>
      <c r="BQ13" s="5">
        <f t="shared" si="143"/>
        <v>-0.2588190085913461</v>
      </c>
      <c r="BR13" s="6">
        <f t="shared" si="144"/>
        <v>-8.8470897274817162E-17</v>
      </c>
      <c r="BS13" s="4">
        <f t="shared" si="110"/>
        <v>0</v>
      </c>
      <c r="BT13" s="5">
        <f t="shared" si="110"/>
        <v>0</v>
      </c>
      <c r="BU13" s="10">
        <f t="shared" si="111"/>
        <v>0.24730736434170084</v>
      </c>
      <c r="BV13" s="9">
        <f t="shared" si="112"/>
        <v>0</v>
      </c>
      <c r="BW13" s="5">
        <f t="shared" si="113"/>
        <v>1</v>
      </c>
      <c r="BX13" s="8">
        <f t="shared" si="114"/>
        <v>0.24730736434170084</v>
      </c>
      <c r="BY13" s="173">
        <f t="shared" si="115"/>
        <v>1</v>
      </c>
      <c r="BZ13" s="5">
        <f t="shared" si="116"/>
        <v>0</v>
      </c>
      <c r="CA13" s="6">
        <f t="shared" si="117"/>
        <v>0.24730736434170084</v>
      </c>
      <c r="CB13" s="4">
        <f t="shared" si="145"/>
        <v>0</v>
      </c>
      <c r="CC13" s="5">
        <f t="shared" si="146"/>
        <v>0</v>
      </c>
      <c r="CD13" s="5">
        <f t="shared" si="147"/>
        <v>-1</v>
      </c>
      <c r="CE13" s="6">
        <f t="shared" si="148"/>
        <v>0.24730736434170084</v>
      </c>
      <c r="CF13" s="4">
        <f t="shared" si="149"/>
        <v>1.6858583649867682E-4</v>
      </c>
      <c r="CG13" s="5">
        <f t="shared" si="150"/>
        <v>0.96592582136032057</v>
      </c>
      <c r="CH13" s="5">
        <f t="shared" si="151"/>
        <v>0</v>
      </c>
      <c r="CI13" s="4">
        <f t="shared" si="118"/>
        <v>0</v>
      </c>
      <c r="CJ13" s="5">
        <f t="shared" si="119"/>
        <v>-379.67511497776565</v>
      </c>
      <c r="CK13" s="8">
        <f t="shared" si="120"/>
        <v>0.24730736434170084</v>
      </c>
      <c r="CL13" s="173">
        <f t="shared" si="121"/>
        <v>1.6858583649867682E-4</v>
      </c>
      <c r="CM13" s="5">
        <f t="shared" si="122"/>
        <v>-378.70918915640533</v>
      </c>
      <c r="CN13" s="6">
        <f t="shared" si="123"/>
        <v>0.24730736434170084</v>
      </c>
      <c r="CO13" s="167">
        <f t="shared" si="26"/>
        <v>0.3125</v>
      </c>
      <c r="CP13" s="4">
        <f t="shared" si="236"/>
        <v>0.93301272079178388</v>
      </c>
      <c r="CQ13" s="5">
        <f t="shared" si="237"/>
        <v>-739.68421182752741</v>
      </c>
      <c r="CR13" s="5">
        <f t="shared" si="152"/>
        <v>146603.73894694386</v>
      </c>
      <c r="CS13" s="8">
        <f t="shared" si="153"/>
        <v>0.11981436447240412</v>
      </c>
      <c r="CT13" s="9">
        <f t="shared" si="154"/>
        <v>396.58106339403361</v>
      </c>
      <c r="CU13" s="6">
        <f t="shared" si="155"/>
        <v>396.21006939974887</v>
      </c>
      <c r="CV13" s="4">
        <f t="shared" si="238"/>
        <v>6.6857950311817932E-2</v>
      </c>
      <c r="CW13" s="5">
        <f t="shared" si="156"/>
        <v>3.3927744170634924</v>
      </c>
      <c r="CX13" s="8">
        <f t="shared" si="157"/>
        <v>0.24730736434170084</v>
      </c>
      <c r="CY13" s="9">
        <f t="shared" si="158"/>
        <v>6.6795405978955461E-2</v>
      </c>
      <c r="CZ13" s="5">
        <f t="shared" si="159"/>
        <v>3.0344217384142667</v>
      </c>
      <c r="DA13" s="6">
        <f t="shared" si="160"/>
        <v>0.24730736434170084</v>
      </c>
      <c r="DB13" s="4">
        <f t="shared" si="161"/>
        <v>0</v>
      </c>
      <c r="DC13" s="5">
        <f t="shared" si="161"/>
        <v>0</v>
      </c>
      <c r="DD13" s="10">
        <f t="shared" si="162"/>
        <v>-10</v>
      </c>
      <c r="DE13" s="9">
        <f t="shared" si="163"/>
        <v>0</v>
      </c>
      <c r="DF13" s="5">
        <f t="shared" si="163"/>
        <v>0</v>
      </c>
      <c r="DG13" s="10">
        <f t="shared" si="164"/>
        <v>10</v>
      </c>
      <c r="DH13" s="70">
        <f t="shared" si="165"/>
        <v>3.2115</v>
      </c>
      <c r="DI13" s="4">
        <f t="shared" si="166"/>
        <v>0</v>
      </c>
      <c r="DJ13" s="5">
        <f t="shared" si="167"/>
        <v>0</v>
      </c>
      <c r="DK13" s="10">
        <f t="shared" si="168"/>
        <v>20</v>
      </c>
      <c r="DL13" s="9">
        <f t="shared" si="169"/>
        <v>6.6857950311817932E-2</v>
      </c>
      <c r="DM13" s="173">
        <f t="shared" si="170"/>
        <v>3.3927744170634924</v>
      </c>
      <c r="DN13" s="178">
        <f t="shared" si="171"/>
        <v>10.247307364341701</v>
      </c>
      <c r="DO13" s="9">
        <f t="shared" si="172"/>
        <v>-6.2544332862471408E-5</v>
      </c>
      <c r="DP13" s="173">
        <f t="shared" si="173"/>
        <v>-0.35835267864922571</v>
      </c>
      <c r="DQ13" s="11">
        <f t="shared" si="174"/>
        <v>0</v>
      </c>
      <c r="DR13" s="173">
        <f t="shared" si="175"/>
        <v>204.94614728683402</v>
      </c>
      <c r="DS13" s="5">
        <f t="shared" si="176"/>
        <v>0</v>
      </c>
      <c r="DT13" s="5">
        <f t="shared" si="177"/>
        <v>400</v>
      </c>
      <c r="DU13" s="5">
        <f t="shared" si="178"/>
        <v>0.12841664620686882</v>
      </c>
      <c r="DV13" s="5">
        <f t="shared" si="179"/>
        <v>-1.2158139819931666</v>
      </c>
      <c r="DW13" s="5">
        <f t="shared" si="180"/>
        <v>116.52269644989208</v>
      </c>
      <c r="DX13" s="167">
        <f t="shared" si="181"/>
        <v>106.20896419989208</v>
      </c>
      <c r="DY13" s="9">
        <f t="shared" si="182"/>
        <v>51.366658482747532</v>
      </c>
      <c r="DZ13" s="5">
        <f t="shared" si="183"/>
        <v>-486.32559279726661</v>
      </c>
      <c r="EA13" s="10">
        <f t="shared" si="184"/>
        <v>480.66239224016317</v>
      </c>
      <c r="EB13" s="6">
        <f t="shared" si="185"/>
        <v>211822.56126191188</v>
      </c>
      <c r="EC13" s="173">
        <f t="shared" si="186"/>
        <v>18.427662448633633</v>
      </c>
      <c r="ED13" s="5">
        <f t="shared" si="187"/>
        <v>0.50779518720258865</v>
      </c>
      <c r="EE13" s="4">
        <f t="shared" si="188"/>
        <v>6.570540445775333E-2</v>
      </c>
      <c r="EF13" s="5">
        <f t="shared" si="189"/>
        <v>-3.2108277826481197</v>
      </c>
      <c r="EG13" s="10">
        <f t="shared" si="190"/>
        <v>0.24730736434170084</v>
      </c>
      <c r="EH13" s="9">
        <f t="shared" si="191"/>
        <v>6.6826190600603574E-2</v>
      </c>
      <c r="EI13" s="5">
        <f t="shared" si="192"/>
        <v>3.2108046515242599</v>
      </c>
      <c r="EJ13" s="6">
        <f t="shared" si="193"/>
        <v>0.24730736434170084</v>
      </c>
      <c r="EK13" s="236" t="b">
        <f t="shared" si="194"/>
        <v>0</v>
      </c>
      <c r="EL13" s="238" t="b">
        <f t="shared" si="195"/>
        <v>1</v>
      </c>
      <c r="EM13" s="4">
        <f t="shared" si="196"/>
        <v>6.6826190600603574E-2</v>
      </c>
      <c r="EN13" s="5">
        <f t="shared" si="197"/>
        <v>3.2108046515242599</v>
      </c>
      <c r="EO13" s="10">
        <f t="shared" si="198"/>
        <v>0.24730736434170084</v>
      </c>
      <c r="EP13" s="9">
        <f t="shared" si="199"/>
        <v>88.807680197542226</v>
      </c>
      <c r="EQ13" s="5">
        <f t="shared" si="200"/>
        <v>3.2115000000000018</v>
      </c>
      <c r="ER13" s="7">
        <f t="shared" si="201"/>
        <v>0.24730736434170084</v>
      </c>
      <c r="ES13" s="21">
        <f t="shared" si="124"/>
        <v>0.96592582136031979</v>
      </c>
      <c r="ET13" s="5">
        <f t="shared" si="35"/>
        <v>-1.6858583649867671E-4</v>
      </c>
      <c r="EU13" s="10">
        <f t="shared" si="36"/>
        <v>-0.25881900859134593</v>
      </c>
      <c r="EV13" s="174">
        <f>IF(ISNUMBER($AV13),IF(($EV$1-EP13)&lt;0,(360+($EV$1-EP13)),($EV$1-EP13)),"")</f>
        <v>1.1923198024577744</v>
      </c>
      <c r="EW13" s="9">
        <f t="shared" si="125"/>
        <v>0.96572018875925469</v>
      </c>
      <c r="EX13" s="5">
        <f t="shared" si="37"/>
        <v>1.9930825737586279E-2</v>
      </c>
      <c r="EY13" s="6">
        <f t="shared" si="202"/>
        <v>-0.25881900859134593</v>
      </c>
      <c r="EZ13" s="51">
        <f t="shared" si="203"/>
        <v>0.43581476719325629</v>
      </c>
      <c r="FA13" s="266">
        <f t="shared" si="126"/>
        <v>0.99975455943657621</v>
      </c>
      <c r="FB13" s="267">
        <f t="shared" si="127"/>
        <v>-2.0807802402745039E-2</v>
      </c>
      <c r="FC13" s="269">
        <f t="shared" si="38"/>
        <v>-7.6063292688170279E-3</v>
      </c>
      <c r="FD13" s="4">
        <f t="shared" si="128"/>
        <v>0.99997107145909692</v>
      </c>
      <c r="FE13" s="5">
        <f t="shared" si="39"/>
        <v>-6.2450045135165055E-17</v>
      </c>
      <c r="FF13" s="7">
        <f t="shared" si="204"/>
        <v>-7.6063292688170279E-3</v>
      </c>
      <c r="FG13" s="173">
        <f t="shared" si="205"/>
        <v>-3.4250882699842222E-2</v>
      </c>
      <c r="FH13" s="5">
        <f t="shared" si="40"/>
        <v>1.9930825737586342E-2</v>
      </c>
      <c r="FI13" s="10">
        <f t="shared" si="41"/>
        <v>-0.25121267932252889</v>
      </c>
      <c r="FJ13" s="279">
        <f t="shared" si="206"/>
        <v>14.610964640079901</v>
      </c>
      <c r="FK13" s="4">
        <f t="shared" si="42"/>
        <v>0.96592583607220739</v>
      </c>
      <c r="FL13" s="5">
        <f t="shared" si="207"/>
        <v>0.99997107145909681</v>
      </c>
      <c r="FM13" s="8">
        <f t="shared" si="208"/>
        <v>3.9627777887491819E-2</v>
      </c>
      <c r="FN13" s="9">
        <f t="shared" si="209"/>
        <v>1.1823198039015688</v>
      </c>
      <c r="FO13" s="10">
        <f t="shared" si="43"/>
        <v>-1</v>
      </c>
      <c r="FP13" s="277">
        <f t="shared" si="44"/>
        <v>-1.1823198039015688</v>
      </c>
      <c r="FQ13" s="173">
        <f t="shared" si="239"/>
        <v>2.0633908933041397E-2</v>
      </c>
      <c r="FR13" s="10">
        <f t="shared" si="210"/>
        <v>0.99978709823749123</v>
      </c>
      <c r="FS13" s="9">
        <f t="shared" si="211"/>
        <v>2.0220976232404299E-2</v>
      </c>
      <c r="FT13" s="6">
        <f t="shared" si="212"/>
        <v>0.97977902376759574</v>
      </c>
      <c r="FU13" s="4">
        <f t="shared" si="213"/>
        <v>0.99980136136405506</v>
      </c>
      <c r="FV13" s="5">
        <f t="shared" si="214"/>
        <v>1</v>
      </c>
      <c r="FW13" s="8">
        <f t="shared" si="240"/>
        <v>0.25353684785080471</v>
      </c>
      <c r="FX13" s="9">
        <f t="shared" si="241"/>
        <v>14.567233265675076</v>
      </c>
      <c r="FY13" s="10">
        <f t="shared" si="45"/>
        <v>1</v>
      </c>
      <c r="FZ13" s="277">
        <f t="shared" si="242"/>
        <v>14.567233265675076</v>
      </c>
      <c r="GA13" s="177">
        <f t="shared" si="215"/>
        <v>14.563600530049566</v>
      </c>
      <c r="GB13" s="4">
        <f t="shared" si="216"/>
        <v>1.9970594119093823E-2</v>
      </c>
      <c r="GC13" s="5">
        <f t="shared" si="217"/>
        <v>0.96764710987142444</v>
      </c>
      <c r="GD13" s="10">
        <f t="shared" si="218"/>
        <v>-0.25151589637239596</v>
      </c>
      <c r="GE13" s="311">
        <f t="shared" si="219"/>
        <v>1.2391336003629143</v>
      </c>
      <c r="GF13" s="341">
        <f t="shared" si="243"/>
        <v>0.80701548219427066</v>
      </c>
      <c r="GG13" s="285">
        <f t="shared" si="46"/>
        <v>1.6116578642726569E-2</v>
      </c>
      <c r="GH13" s="286">
        <f t="shared" si="47"/>
        <v>0.78090619896678004</v>
      </c>
      <c r="GI13" s="281">
        <f t="shared" si="48"/>
        <v>0.20297722239049334</v>
      </c>
      <c r="GJ13" s="167">
        <f t="shared" si="220"/>
        <v>3.2115</v>
      </c>
      <c r="GK13" s="174">
        <f t="shared" si="49"/>
        <v>1.6815861136666082</v>
      </c>
      <c r="GL13" s="174">
        <f t="shared" si="221"/>
        <v>2.7E-2</v>
      </c>
      <c r="GM13" s="177">
        <f t="shared" si="244"/>
        <v>0.54483390082798111</v>
      </c>
      <c r="GN13" s="280">
        <f t="shared" si="222"/>
        <v>3.0184047823083298E-2</v>
      </c>
      <c r="GO13" s="4">
        <f t="shared" si="223"/>
        <v>-1.1823198039015688</v>
      </c>
      <c r="GP13" s="8">
        <f t="shared" si="245"/>
        <v>14.567233265675076</v>
      </c>
      <c r="GQ13" s="177">
        <f t="shared" si="224"/>
        <v>14.610964640079901</v>
      </c>
      <c r="GR13" s="371">
        <f t="shared" si="246"/>
        <v>1744.2360604540368</v>
      </c>
      <c r="GS13" s="342">
        <f t="shared" si="51"/>
        <v>28.111117639787057</v>
      </c>
      <c r="GT13" s="343">
        <f t="shared" si="52"/>
        <v>16.717025319917916</v>
      </c>
      <c r="GU13" s="344">
        <f>IF(ISNUMBER($AV13),$GV13*$GK13,"")</f>
        <v>1362.0847520699526</v>
      </c>
      <c r="GV13" s="343">
        <f>IF(ISNUMBER($AV13),GW13*$GL13,"")</f>
        <v>810</v>
      </c>
      <c r="GW13" s="345">
        <f t="shared" si="129"/>
        <v>30000</v>
      </c>
      <c r="GX13" s="346">
        <f>IF(ISNUMBER($AV13),($GJ13/12)*$GV13,"")</f>
        <v>216.77625</v>
      </c>
      <c r="GY13" s="344">
        <f t="shared" si="55"/>
        <v>354.04019074429704</v>
      </c>
      <c r="GZ13" s="345">
        <f t="shared" si="56"/>
        <v>210.53943527895305</v>
      </c>
      <c r="HA13" s="342">
        <f t="shared" si="57"/>
        <v>-28.111117639787057</v>
      </c>
      <c r="HB13" s="5">
        <f t="shared" si="225"/>
        <v>1.1923198024577744</v>
      </c>
      <c r="HC13" s="343">
        <f t="shared" si="226"/>
        <v>-28.105031068775929</v>
      </c>
      <c r="HD13" s="345">
        <f t="shared" si="227"/>
        <v>-0.58494750284677011</v>
      </c>
      <c r="HE13" s="344">
        <f t="shared" si="58"/>
        <v>810</v>
      </c>
      <c r="HF13" s="5">
        <f t="shared" si="59"/>
        <v>91.192319802457774</v>
      </c>
      <c r="HG13" s="343">
        <f t="shared" si="228"/>
        <v>-16.854807531212462</v>
      </c>
      <c r="HH13" s="349">
        <f t="shared" si="229"/>
        <v>809.82462018827619</v>
      </c>
      <c r="HI13" s="317">
        <f t="shared" si="60"/>
        <v>1.117</v>
      </c>
      <c r="HJ13" s="336"/>
      <c r="HK13" s="310">
        <f t="shared" si="130"/>
        <v>5</v>
      </c>
      <c r="HL13" s="348">
        <f t="shared" si="61"/>
        <v>3.105</v>
      </c>
      <c r="HM13" s="935">
        <f t="shared" si="62"/>
        <v>-6.1003876171736398</v>
      </c>
      <c r="HN13" s="936">
        <f t="shared" si="63"/>
        <v>14.999997834268255</v>
      </c>
      <c r="HO13" s="937"/>
      <c r="HP13" s="938"/>
      <c r="HQ13" s="936">
        <f t="shared" si="64"/>
        <v>14.807452833723081</v>
      </c>
      <c r="HR13" s="939">
        <f t="shared" si="65"/>
        <v>13.605033333573594</v>
      </c>
      <c r="HS13" s="940">
        <f t="shared" ref="HS13:HS41" si="249">IFERROR(SMALL($GJ$9:$GJ$150,($HK12+1)),"")</f>
        <v>1.228</v>
      </c>
      <c r="HT13" s="941">
        <f t="shared" si="66"/>
        <v>3.6499999999999998E-2</v>
      </c>
      <c r="HU13" s="942">
        <f t="shared" si="67"/>
        <v>0.28168064946833909</v>
      </c>
      <c r="HV13" s="943">
        <f t="shared" si="68"/>
        <v>1.5605237085043109E-2</v>
      </c>
      <c r="HW13" s="944">
        <f t="shared" si="69"/>
        <v>30000</v>
      </c>
      <c r="HX13" s="947">
        <f t="shared" si="70"/>
        <v>112.05499999999999</v>
      </c>
      <c r="HY13" s="952">
        <f t="shared" si="71"/>
        <v>75.262261897775389</v>
      </c>
      <c r="HZ13" s="953">
        <f t="shared" si="72"/>
        <v>704.20162367084765</v>
      </c>
      <c r="IA13" s="954">
        <f t="shared" si="73"/>
        <v>171.40038919289245</v>
      </c>
      <c r="IB13" s="955">
        <f t="shared" si="74"/>
        <v>950.8642747615155</v>
      </c>
      <c r="IC13" s="842">
        <f t="shared" si="75"/>
        <v>117.02923425320657</v>
      </c>
      <c r="ID13" s="351">
        <f t="shared" si="76"/>
        <v>1095</v>
      </c>
      <c r="IE13" s="844">
        <f t="shared" si="77"/>
        <v>266.51944536546927</v>
      </c>
      <c r="IF13" s="845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0"/>
        <v>1.117</v>
      </c>
      <c r="IJ13" s="96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8"/>
        <v>1613</v>
      </c>
      <c r="IM13" s="482" t="str">
        <f t="shared" si="231"/>
        <v/>
      </c>
      <c r="IN13" s="670" t="str">
        <f t="shared" si="80"/>
        <v/>
      </c>
      <c r="IO13" s="702"/>
      <c r="IP13" s="5" t="str">
        <f t="shared" si="81"/>
        <v/>
      </c>
      <c r="IQ13" s="714"/>
      <c r="IR13" s="9" t="str">
        <f t="shared" si="131"/>
        <v/>
      </c>
      <c r="IS13" s="5" t="str">
        <f t="shared" si="82"/>
        <v/>
      </c>
      <c r="IT13" s="5" t="str">
        <f t="shared" si="83"/>
        <v/>
      </c>
      <c r="IU13" s="5" t="str">
        <f t="shared" si="84"/>
        <v/>
      </c>
      <c r="IV13" s="670" t="str">
        <f t="shared" si="85"/>
        <v/>
      </c>
      <c r="IW13" s="9" t="str">
        <f t="shared" si="86"/>
        <v/>
      </c>
      <c r="IX13" s="5" t="str">
        <f t="shared" si="87"/>
        <v/>
      </c>
      <c r="IY13" s="5" t="str">
        <f t="shared" si="88"/>
        <v/>
      </c>
      <c r="IZ13" s="5" t="str">
        <f t="shared" si="89"/>
        <v/>
      </c>
      <c r="JA13" s="705" t="str">
        <f t="shared" si="9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ref="B14:D14" si="250">IFERROR(O169+($A14*-E14),"")</f>
        <v>2.8285483441661975E-2</v>
      </c>
      <c r="C14" s="572">
        <f t="shared" si="250"/>
        <v>3.9527107179261147</v>
      </c>
      <c r="D14" s="576">
        <f t="shared" si="250"/>
        <v>-0.10980033115779876</v>
      </c>
      <c r="E14" s="580">
        <f t="shared" ref="E14:K14" si="251">R169</f>
        <v>-0.96216594281294121</v>
      </c>
      <c r="F14" s="572">
        <f t="shared" si="251"/>
        <v>7.6923554109801076E-2</v>
      </c>
      <c r="G14" s="579">
        <f t="shared" si="251"/>
        <v>0.26137992523145426</v>
      </c>
      <c r="H14" s="580">
        <f t="shared" si="251"/>
        <v>0.3125</v>
      </c>
      <c r="I14" s="572">
        <f t="shared" si="251"/>
        <v>0.52</v>
      </c>
      <c r="J14" s="483">
        <f t="shared" si="92"/>
        <v>1.123</v>
      </c>
      <c r="K14" s="806">
        <f t="shared" si="251"/>
        <v>1613</v>
      </c>
      <c r="L14" s="719" t="s">
        <v>358</v>
      </c>
      <c r="M14" s="164">
        <f t="shared" si="4"/>
        <v>1.123</v>
      </c>
      <c r="N14" s="575">
        <f t="shared" si="5"/>
        <v>2.8285483441661975E-2</v>
      </c>
      <c r="O14" s="572">
        <f t="shared" si="6"/>
        <v>3.9527107179261147</v>
      </c>
      <c r="P14" s="576">
        <f t="shared" si="7"/>
        <v>-0.10980033115779876</v>
      </c>
      <c r="Q14" s="528">
        <f t="shared" si="134"/>
        <v>89.590000059196669</v>
      </c>
      <c r="R14" s="572">
        <f t="shared" si="93"/>
        <v>3.9528119216807558</v>
      </c>
      <c r="S14" s="577">
        <f>IF(M14="","",P14)</f>
        <v>-0.10980033115779876</v>
      </c>
      <c r="T14" s="578">
        <f t="shared" si="95"/>
        <v>3.9527155944703334</v>
      </c>
      <c r="U14" s="572">
        <f t="shared" si="96"/>
        <v>-2.7595604949892553E-2</v>
      </c>
      <c r="V14" s="579">
        <f t="shared" si="135"/>
        <v>-0.10980033115779876</v>
      </c>
      <c r="W14" s="528">
        <f t="shared" si="8"/>
        <v>359.60000005775282</v>
      </c>
      <c r="X14" s="572">
        <f t="shared" si="97"/>
        <v>3.9528119216807558</v>
      </c>
      <c r="Y14" s="573">
        <f t="shared" si="9"/>
        <v>-0.10980033115779876</v>
      </c>
      <c r="Z14" s="575">
        <f t="shared" si="10"/>
        <v>0.96216594281294121</v>
      </c>
      <c r="AA14" s="572">
        <f t="shared" si="11"/>
        <v>-7.6923554109801076E-2</v>
      </c>
      <c r="AB14" s="572">
        <f t="shared" si="12"/>
        <v>-0.26137992523145426</v>
      </c>
      <c r="AC14" s="579">
        <f t="shared" si="98"/>
        <v>1</v>
      </c>
      <c r="AD14" s="580">
        <f>IF(M14="","",Z14*(1/SQRT(Z14^2+AA14^2+AB14^2)))</f>
        <v>0.96216594281294121</v>
      </c>
      <c r="AE14" s="572">
        <f t="shared" si="99"/>
        <v>-7.6923554109801076E-2</v>
      </c>
      <c r="AF14" s="576">
        <f t="shared" si="100"/>
        <v>-0.26137992523145426</v>
      </c>
      <c r="AG14" s="545">
        <f t="shared" si="101"/>
        <v>-16.39904351804406</v>
      </c>
      <c r="AH14" s="546">
        <f t="shared" si="102"/>
        <v>15.81094930584104</v>
      </c>
      <c r="AI14" s="528">
        <f t="shared" si="103"/>
        <v>-74.848042214523261</v>
      </c>
      <c r="AJ14" s="529">
        <f t="shared" si="104"/>
        <v>85.429020765484154</v>
      </c>
      <c r="AK14" s="578">
        <f>IF(M14="","",(COS(RADIANS((90-$Q$8)-W14))*AD14)+(-SIN(RADIANS((90-$Q$8)-W14))*AE14))</f>
        <v>0.96269175713227328</v>
      </c>
      <c r="AL14" s="572">
        <f t="shared" si="105"/>
        <v>-7.0036529294188632E-2</v>
      </c>
      <c r="AM14" s="577">
        <f t="shared" si="106"/>
        <v>-0.26137992523145426</v>
      </c>
      <c r="AN14" s="524">
        <f t="shared" si="107"/>
        <v>-14.999997834268202</v>
      </c>
      <c r="AO14" s="525">
        <f t="shared" si="108"/>
        <v>15.699997733200757</v>
      </c>
      <c r="AP14" s="528">
        <f>IF(M14="","",DEGREES(ATAN2(AK14,AL14)))</f>
        <v>-4.1609792937125016</v>
      </c>
      <c r="AQ14" s="529">
        <f t="shared" si="13"/>
        <v>0.35408421338183771</v>
      </c>
      <c r="AS14" s="900">
        <f t="shared" si="137"/>
        <v>-0.39999994224717739</v>
      </c>
      <c r="AT14" s="896">
        <f>IF(M14="","",Y14+(((AS14-$AS$9)*$AS$6)*-1))</f>
        <v>-0.10962552498148725</v>
      </c>
      <c r="AU14" s="418"/>
      <c r="AV14" s="164">
        <f t="shared" si="15"/>
        <v>1.123</v>
      </c>
      <c r="AW14" s="829">
        <f>IFERROR(INDEX(MassProp!C$9:C$150,MATCH($M14,MassProp!$B$9:$B$150,0)),"")</f>
        <v>4.0247000000000002</v>
      </c>
      <c r="AX14" s="830">
        <f>IFERROR(INDEX(MassProp!D$9:D$150,MATCH($M14,MassProp!$B$9:$B$150,0)),"")</f>
        <v>0.28060000000000002</v>
      </c>
      <c r="AY14" s="831">
        <f>IFERROR(INDEX(MassProp!E$9:E$150,MATCH($M14,MassProp!$B$9:$B$150,0)),"")</f>
        <v>2.58E-2</v>
      </c>
      <c r="AZ14" s="297">
        <f t="shared" si="138"/>
        <v>0.65244076412318952</v>
      </c>
      <c r="BA14" s="296">
        <f t="shared" si="16"/>
        <v>3.6145517369781062E-2</v>
      </c>
      <c r="BB14" s="291">
        <f>IF(ISNUMBER($AV14),$AX14-($AT14+$AS$5),"")</f>
        <v>0.236737152888464</v>
      </c>
      <c r="BC14" s="9"/>
      <c r="BD14" s="5">
        <f t="shared" si="235"/>
        <v>4.0247000000000002</v>
      </c>
      <c r="BE14" s="6">
        <f>IF(ISNUMBER(AV14),Y14+BB14,"")</f>
        <v>0.12693682173066523</v>
      </c>
      <c r="BF14" s="4">
        <f t="shared" si="18"/>
        <v>2.8285483441661975E-2</v>
      </c>
      <c r="BG14" s="5">
        <f t="shared" si="19"/>
        <v>3.9527107179261147</v>
      </c>
      <c r="BH14" s="10">
        <f t="shared" si="20"/>
        <v>-0.10980033115779876</v>
      </c>
      <c r="BI14" s="9">
        <f t="shared" si="140"/>
        <v>2.8285483441661975E-2</v>
      </c>
      <c r="BJ14" s="5">
        <f t="shared" si="21"/>
        <v>4.9120294056728406</v>
      </c>
      <c r="BK14" s="8">
        <f t="shared" si="22"/>
        <v>-0.3921257734046858</v>
      </c>
      <c r="BL14" s="173">
        <f t="shared" si="23"/>
        <v>0.30074960675128948</v>
      </c>
      <c r="BM14" s="5">
        <f t="shared" si="24"/>
        <v>4.2243546432456718</v>
      </c>
      <c r="BN14" s="6">
        <f t="shared" si="25"/>
        <v>0.81322343849610301</v>
      </c>
      <c r="BO14" s="4">
        <f t="shared" si="141"/>
        <v>0.96216594281294032</v>
      </c>
      <c r="BP14" s="5">
        <f t="shared" si="142"/>
        <v>-7.6923554109800937E-2</v>
      </c>
      <c r="BQ14" s="5">
        <f t="shared" si="143"/>
        <v>-0.2613799252314537</v>
      </c>
      <c r="BR14" s="6">
        <f t="shared" si="144"/>
        <v>0.24814162559879874</v>
      </c>
      <c r="BS14" s="4">
        <f t="shared" si="110"/>
        <v>0</v>
      </c>
      <c r="BT14" s="5">
        <f t="shared" si="110"/>
        <v>0</v>
      </c>
      <c r="BU14" s="10">
        <f t="shared" si="111"/>
        <v>0.12693682173066523</v>
      </c>
      <c r="BV14" s="9">
        <f t="shared" si="112"/>
        <v>0</v>
      </c>
      <c r="BW14" s="5">
        <f t="shared" si="113"/>
        <v>1</v>
      </c>
      <c r="BX14" s="8">
        <f t="shared" si="114"/>
        <v>0.12693682173066523</v>
      </c>
      <c r="BY14" s="173">
        <f t="shared" si="115"/>
        <v>1</v>
      </c>
      <c r="BZ14" s="5">
        <f t="shared" si="116"/>
        <v>0</v>
      </c>
      <c r="CA14" s="6">
        <f t="shared" si="117"/>
        <v>0.12693682173066523</v>
      </c>
      <c r="CB14" s="4">
        <f t="shared" si="145"/>
        <v>0</v>
      </c>
      <c r="CC14" s="5">
        <f t="shared" si="146"/>
        <v>0</v>
      </c>
      <c r="CD14" s="5">
        <f t="shared" si="147"/>
        <v>-1</v>
      </c>
      <c r="CE14" s="6">
        <f t="shared" si="148"/>
        <v>0.12693682173066523</v>
      </c>
      <c r="CF14" s="4">
        <f t="shared" si="149"/>
        <v>7.6923554109800937E-2</v>
      </c>
      <c r="CG14" s="5">
        <f t="shared" si="150"/>
        <v>0.96216594281294032</v>
      </c>
      <c r="CH14" s="5">
        <f t="shared" si="151"/>
        <v>0</v>
      </c>
      <c r="CI14" s="4">
        <f t="shared" si="118"/>
        <v>0</v>
      </c>
      <c r="CJ14" s="5">
        <f t="shared" si="119"/>
        <v>2.7945002166551012</v>
      </c>
      <c r="CK14" s="8">
        <f t="shared" si="120"/>
        <v>0.12693682173066523</v>
      </c>
      <c r="CL14" s="173">
        <f t="shared" si="121"/>
        <v>7.6923554109800937E-2</v>
      </c>
      <c r="CM14" s="5">
        <f t="shared" si="122"/>
        <v>3.7566661594680415</v>
      </c>
      <c r="CN14" s="6">
        <f t="shared" si="123"/>
        <v>0.12693682173066523</v>
      </c>
      <c r="CO14" s="167">
        <f t="shared" si="26"/>
        <v>0.3125</v>
      </c>
      <c r="CP14" s="4">
        <f t="shared" si="236"/>
        <v>0.93168053468599776</v>
      </c>
      <c r="CQ14" s="5">
        <f t="shared" si="237"/>
        <v>-2.2331330376946394</v>
      </c>
      <c r="CR14" s="5">
        <f t="shared" si="152"/>
        <v>1.3006398633857188</v>
      </c>
      <c r="CS14" s="8">
        <f t="shared" si="153"/>
        <v>0.13975979063076949</v>
      </c>
      <c r="CT14" s="9">
        <f t="shared" si="154"/>
        <v>1.3990727230188162</v>
      </c>
      <c r="CU14" s="6">
        <f t="shared" si="155"/>
        <v>0.99781435850346456</v>
      </c>
      <c r="CV14" s="4">
        <f>IF(ISNUMBER($AV14),CI14+($CT14*(CL14-CI14)),"")</f>
        <v>0.10762164631268445</v>
      </c>
      <c r="CW14" s="5">
        <f t="shared" si="156"/>
        <v>4.1406403422623681</v>
      </c>
      <c r="CX14" s="8">
        <f t="shared" si="157"/>
        <v>0.12693682173066523</v>
      </c>
      <c r="CY14" s="9">
        <f t="shared" si="158"/>
        <v>7.6755426797877571E-2</v>
      </c>
      <c r="CZ14" s="5">
        <f t="shared" si="159"/>
        <v>3.7545632096568764</v>
      </c>
      <c r="DA14" s="6">
        <f t="shared" si="160"/>
        <v>0.12693682173066523</v>
      </c>
      <c r="DB14" s="4">
        <f t="shared" si="161"/>
        <v>0</v>
      </c>
      <c r="DC14" s="5">
        <f t="shared" si="161"/>
        <v>0</v>
      </c>
      <c r="DD14" s="10">
        <f t="shared" si="162"/>
        <v>-10</v>
      </c>
      <c r="DE14" s="9">
        <f t="shared" si="163"/>
        <v>0</v>
      </c>
      <c r="DF14" s="5">
        <f t="shared" si="163"/>
        <v>0</v>
      </c>
      <c r="DG14" s="10">
        <f t="shared" si="164"/>
        <v>10</v>
      </c>
      <c r="DH14" s="70">
        <f t="shared" si="165"/>
        <v>4.0247000000000002</v>
      </c>
      <c r="DI14" s="4">
        <f t="shared" si="166"/>
        <v>0</v>
      </c>
      <c r="DJ14" s="5">
        <f t="shared" si="167"/>
        <v>0</v>
      </c>
      <c r="DK14" s="10">
        <f t="shared" si="168"/>
        <v>20</v>
      </c>
      <c r="DL14" s="9">
        <f t="shared" si="169"/>
        <v>0.10762164631268445</v>
      </c>
      <c r="DM14" s="173">
        <f t="shared" si="170"/>
        <v>4.1406403422623681</v>
      </c>
      <c r="DN14" s="178">
        <f t="shared" si="171"/>
        <v>10.126936821730665</v>
      </c>
      <c r="DO14" s="9">
        <f t="shared" si="172"/>
        <v>-3.0866219514806878E-2</v>
      </c>
      <c r="DP14" s="173">
        <f t="shared" si="173"/>
        <v>-0.3860771326054917</v>
      </c>
      <c r="DQ14" s="11">
        <f t="shared" si="174"/>
        <v>0</v>
      </c>
      <c r="DR14" s="173">
        <f t="shared" si="175"/>
        <v>202.5387364346133</v>
      </c>
      <c r="DS14" s="5">
        <f t="shared" si="176"/>
        <v>0</v>
      </c>
      <c r="DT14" s="5">
        <f t="shared" si="177"/>
        <v>400</v>
      </c>
      <c r="DU14" s="5">
        <f t="shared" si="178"/>
        <v>0.15000827582801465</v>
      </c>
      <c r="DV14" s="5">
        <f t="shared" si="179"/>
        <v>-1.6019284238509091</v>
      </c>
      <c r="DW14" s="5">
        <f t="shared" si="180"/>
        <v>119.71133425405004</v>
      </c>
      <c r="DX14" s="167">
        <f t="shared" si="181"/>
        <v>103.51312416405004</v>
      </c>
      <c r="DY14" s="9">
        <f t="shared" si="182"/>
        <v>60.00331033120586</v>
      </c>
      <c r="DZ14" s="5">
        <f t="shared" si="183"/>
        <v>-640.77136954036359</v>
      </c>
      <c r="EA14" s="10">
        <f t="shared" si="184"/>
        <v>383.3099090902615</v>
      </c>
      <c r="EB14" s="6">
        <f t="shared" si="185"/>
        <v>387588.08459446393</v>
      </c>
      <c r="EC14" s="173">
        <f t="shared" si="186"/>
        <v>21.054456657391789</v>
      </c>
      <c r="ED14" s="5">
        <f t="shared" si="187"/>
        <v>0.30341063371059313</v>
      </c>
      <c r="EE14" s="4">
        <f t="shared" si="188"/>
        <v>-0.54224983463935761</v>
      </c>
      <c r="EF14" s="5">
        <f t="shared" si="189"/>
        <v>-3.9880039125900586</v>
      </c>
      <c r="EG14" s="10">
        <f t="shared" si="190"/>
        <v>0.12693682173066523</v>
      </c>
      <c r="EH14" s="9">
        <f t="shared" si="191"/>
        <v>9.8256507089446624E-2</v>
      </c>
      <c r="EI14" s="5">
        <f t="shared" si="192"/>
        <v>4.0235004347973673</v>
      </c>
      <c r="EJ14" s="6">
        <f t="shared" si="193"/>
        <v>0.12693682173066523</v>
      </c>
      <c r="EK14" s="236" t="b">
        <f t="shared" si="194"/>
        <v>0</v>
      </c>
      <c r="EL14" s="238" t="b">
        <f t="shared" si="195"/>
        <v>1</v>
      </c>
      <c r="EM14" s="4">
        <f t="shared" si="196"/>
        <v>9.8256507089446624E-2</v>
      </c>
      <c r="EN14" s="5">
        <f t="shared" si="197"/>
        <v>4.0235004347973673</v>
      </c>
      <c r="EO14" s="10">
        <f t="shared" si="198"/>
        <v>0.12693682173066523</v>
      </c>
      <c r="EP14" s="9">
        <f t="shared" si="199"/>
        <v>88.601077709343556</v>
      </c>
      <c r="EQ14" s="5">
        <f t="shared" si="200"/>
        <v>4.0247000000000028</v>
      </c>
      <c r="ER14" s="7">
        <f t="shared" si="201"/>
        <v>0.12693682173066523</v>
      </c>
      <c r="ES14" s="21">
        <f t="shared" si="124"/>
        <v>0.96216594281294121</v>
      </c>
      <c r="ET14" s="5">
        <f t="shared" si="35"/>
        <v>-7.6923554109801076E-2</v>
      </c>
      <c r="EU14" s="10">
        <f t="shared" si="36"/>
        <v>-0.26137992523145426</v>
      </c>
      <c r="EV14" s="174">
        <f t="shared" ref="EV14:EV40" si="252">IF(ISNUMBER($AV14),IF(($EV$1-EP14)&lt;0,(360+($EV$1-EP14)),($EV$1-EP14)),"")</f>
        <v>1.3989222906564436</v>
      </c>
      <c r="EW14" s="9">
        <f t="shared" si="125"/>
        <v>0.96375713195885915</v>
      </c>
      <c r="EX14" s="5">
        <f t="shared" si="37"/>
        <v>-5.3410909788485957E-2</v>
      </c>
      <c r="EY14" s="6">
        <f t="shared" si="202"/>
        <v>-0.26137992523145426</v>
      </c>
      <c r="EZ14" s="51">
        <f>IF(ISNUMBER($AV14),DEGREES(ATAN($AS$5/($EQ14*2*PI()))),"")</f>
        <v>0.3477598158289093</v>
      </c>
      <c r="FA14" s="266">
        <f t="shared" si="126"/>
        <v>0.99968353496818929</v>
      </c>
      <c r="FB14" s="267">
        <f t="shared" si="127"/>
        <v>-2.4412924500094389E-2</v>
      </c>
      <c r="FC14" s="269">
        <f t="shared" si="38"/>
        <v>-6.0695165258746716E-3</v>
      </c>
      <c r="FD14" s="4">
        <f t="shared" si="128"/>
        <v>0.99998158031492879</v>
      </c>
      <c r="FE14" s="5">
        <f t="shared" si="39"/>
        <v>-2.4286128663675299E-17</v>
      </c>
      <c r="FF14" s="7">
        <f t="shared" si="204"/>
        <v>-6.0695165258746716E-3</v>
      </c>
      <c r="FG14" s="173">
        <f t="shared" si="205"/>
        <v>-3.6224448356069638E-2</v>
      </c>
      <c r="FH14" s="5">
        <f t="shared" si="40"/>
        <v>-5.3410909788485936E-2</v>
      </c>
      <c r="FI14" s="10">
        <f t="shared" si="41"/>
        <v>-0.25531040870557958</v>
      </c>
      <c r="FJ14" s="279">
        <f t="shared" si="206"/>
        <v>15.132254056997278</v>
      </c>
      <c r="FK14" s="4">
        <f t="shared" si="42"/>
        <v>0.9652359994768116</v>
      </c>
      <c r="FL14" s="5">
        <f t="shared" si="207"/>
        <v>0.99998158031492868</v>
      </c>
      <c r="FM14" s="8">
        <f t="shared" si="208"/>
        <v>6.4536314917535684E-2</v>
      </c>
      <c r="FN14" s="9">
        <f t="shared" si="209"/>
        <v>3.1720569438593782</v>
      </c>
      <c r="FO14" s="10">
        <f t="shared" si="43"/>
        <v>1</v>
      </c>
      <c r="FP14" s="277">
        <f t="shared" si="44"/>
        <v>3.1720569438593782</v>
      </c>
      <c r="FQ14" s="173">
        <f t="shared" si="239"/>
        <v>5.5334560477889143E-2</v>
      </c>
      <c r="FR14" s="10">
        <f t="shared" si="210"/>
        <v>0.99846786949641941</v>
      </c>
      <c r="FS14" s="9">
        <f t="shared" si="211"/>
        <v>5.2509425774657011E-2</v>
      </c>
      <c r="FT14" s="6">
        <f t="shared" si="212"/>
        <v>0.947490574225343</v>
      </c>
      <c r="FU14" s="4">
        <f t="shared" si="213"/>
        <v>0.99857261864902269</v>
      </c>
      <c r="FV14" s="5">
        <f t="shared" si="214"/>
        <v>1</v>
      </c>
      <c r="FW14" s="8">
        <f t="shared" si="240"/>
        <v>0.25786743775070098</v>
      </c>
      <c r="FX14" s="9">
        <f t="shared" si="241"/>
        <v>14.826377098779473</v>
      </c>
      <c r="FY14" s="10">
        <f t="shared" si="45"/>
        <v>1</v>
      </c>
      <c r="FZ14" s="277">
        <f t="shared" si="242"/>
        <v>14.826377098779473</v>
      </c>
      <c r="GA14" s="177">
        <f t="shared" si="215"/>
        <v>14.804464705894157</v>
      </c>
      <c r="GB14" s="4">
        <f>IF(ISNUMBER($AV14),COS(RADIANS(FP14+90))*COS(RADIANS(FZ14)),"")</f>
        <v>-5.3492234318313334E-2</v>
      </c>
      <c r="GC14" s="5">
        <f t="shared" si="217"/>
        <v>0.96522456803016576</v>
      </c>
      <c r="GD14" s="10">
        <f t="shared" si="218"/>
        <v>-0.25589082464718127</v>
      </c>
      <c r="GE14" s="311">
        <f t="shared" si="219"/>
        <v>1.2746076269956603</v>
      </c>
      <c r="GF14" s="341">
        <f>IF(ISNUMBER($AV14),1/GE14,"")</f>
        <v>0.78455516726906005</v>
      </c>
      <c r="GG14" s="285">
        <f>IF(ISNUMBER($AV14),ABS(GB14)/(ABS($GB14)+ABS($GC14)+ABS($GD14)),"")</f>
        <v>4.1967608843200076E-2</v>
      </c>
      <c r="GH14" s="286">
        <f>IF(ISNUMBER($AV14),ABS(GC14)/(ABS($GB14)+ABS($GC14)+ABS($GD14)),"")</f>
        <v>0.75727192242311292</v>
      </c>
      <c r="GI14" s="281">
        <f t="shared" si="48"/>
        <v>0.20076046873368703</v>
      </c>
      <c r="GJ14" s="167">
        <f t="shared" si="220"/>
        <v>4.0247000000000002</v>
      </c>
      <c r="GK14" s="174">
        <f t="shared" si="49"/>
        <v>2.1073668091834286</v>
      </c>
      <c r="GL14" s="174">
        <f t="shared" si="221"/>
        <v>2.58E-2</v>
      </c>
      <c r="GM14" s="177">
        <f t="shared" si="244"/>
        <v>0.65244076412318952</v>
      </c>
      <c r="GN14" s="280">
        <f t="shared" si="222"/>
        <v>3.6145517369781062E-2</v>
      </c>
      <c r="GO14" s="4">
        <f t="shared" si="223"/>
        <v>3.1720569438593782</v>
      </c>
      <c r="GP14" s="8">
        <f t="shared" si="245"/>
        <v>14.826377098779473</v>
      </c>
      <c r="GQ14" s="177">
        <f t="shared" si="224"/>
        <v>15.132254056997278</v>
      </c>
      <c r="GR14" s="371">
        <f t="shared" si="246"/>
        <v>2153.918377283534</v>
      </c>
      <c r="GS14" s="342">
        <f>IF(ISNUMBER($AV14),GU14/GH14*GG14,"")</f>
        <v>90.394803938015599</v>
      </c>
      <c r="GT14" s="343">
        <f t="shared" si="52"/>
        <v>42.894670042298976</v>
      </c>
      <c r="GU14" s="344">
        <f t="shared" si="53"/>
        <v>1631.1019103079736</v>
      </c>
      <c r="GV14" s="343">
        <f t="shared" ref="GV14:GV74" si="253">IF(ISNUMBER($AV14),GW14*$GL14,"")</f>
        <v>774</v>
      </c>
      <c r="GW14" s="345">
        <f t="shared" si="129"/>
        <v>30000</v>
      </c>
      <c r="GX14" s="346">
        <f t="shared" si="54"/>
        <v>259.59315000000004</v>
      </c>
      <c r="GY14" s="344">
        <f t="shared" si="55"/>
        <v>432.42166303754482</v>
      </c>
      <c r="GZ14" s="345">
        <f t="shared" si="56"/>
        <v>205.19525179629332</v>
      </c>
      <c r="HA14" s="342">
        <f t="shared" si="57"/>
        <v>90.394803938015599</v>
      </c>
      <c r="HB14" s="5">
        <f t="shared" si="225"/>
        <v>1.3989222906564436</v>
      </c>
      <c r="HC14" s="343">
        <f t="shared" si="226"/>
        <v>90.367861691064746</v>
      </c>
      <c r="HD14" s="345">
        <f t="shared" si="227"/>
        <v>2.2068421730774377</v>
      </c>
      <c r="HE14" s="344">
        <f t="shared" si="58"/>
        <v>774</v>
      </c>
      <c r="HF14" s="5">
        <f t="shared" si="59"/>
        <v>91.398922290656444</v>
      </c>
      <c r="HG14" s="343">
        <f t="shared" si="228"/>
        <v>-18.895951620550935</v>
      </c>
      <c r="HH14" s="349">
        <f t="shared" si="229"/>
        <v>773.7693086523617</v>
      </c>
      <c r="HI14" s="317">
        <f t="shared" si="60"/>
        <v>1.123</v>
      </c>
      <c r="HJ14" s="336"/>
      <c r="HK14" s="310">
        <f t="shared" si="130"/>
        <v>6</v>
      </c>
      <c r="HL14" s="348">
        <f t="shared" si="61"/>
        <v>5.1059999999999999</v>
      </c>
      <c r="HM14" s="935">
        <f t="shared" si="62"/>
        <v>-5.363187130217141</v>
      </c>
      <c r="HN14" s="936">
        <f t="shared" si="63"/>
        <v>14.999997834268255</v>
      </c>
      <c r="HO14" s="937"/>
      <c r="HP14" s="938"/>
      <c r="HQ14" s="936">
        <f t="shared" si="64"/>
        <v>14.748492892851051</v>
      </c>
      <c r="HR14" s="939">
        <f>IF(ISNUMBER($HL14),INDEX(GP$9:GP$150,MATCH($HL14,$AV$9:$AV$150,0)),"")</f>
        <v>13.825355415213638</v>
      </c>
      <c r="HS14" s="940">
        <f t="shared" si="249"/>
        <v>1.466</v>
      </c>
      <c r="HT14" s="941">
        <f t="shared" si="66"/>
        <v>3.6499999999999998E-2</v>
      </c>
      <c r="HU14" s="942">
        <f t="shared" si="67"/>
        <v>0.33625363604561481</v>
      </c>
      <c r="HV14" s="943">
        <f t="shared" si="68"/>
        <v>1.8628605554210833E-2</v>
      </c>
      <c r="HW14" s="944">
        <f t="shared" si="69"/>
        <v>30000</v>
      </c>
      <c r="HX14" s="947">
        <f t="shared" si="70"/>
        <v>133.77249999999998</v>
      </c>
      <c r="HY14" s="952">
        <f t="shared" si="71"/>
        <v>78.918411928688386</v>
      </c>
      <c r="HZ14" s="953">
        <f t="shared" si="72"/>
        <v>840.63409011403712</v>
      </c>
      <c r="IA14" s="954">
        <f t="shared" si="73"/>
        <v>207.78366391789459</v>
      </c>
      <c r="IB14" s="955">
        <f t="shared" si="74"/>
        <v>1127.3361659606201</v>
      </c>
      <c r="IC14" s="842">
        <f t="shared" si="75"/>
        <v>102.79818779439574</v>
      </c>
      <c r="ID14" s="351">
        <f t="shared" si="76"/>
        <v>1095</v>
      </c>
      <c r="IE14" s="844">
        <f t="shared" si="77"/>
        <v>270.65653732794692</v>
      </c>
      <c r="IF14" s="845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0"/>
        <v>1.123</v>
      </c>
      <c r="IJ14" s="96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8"/>
        <v>1613</v>
      </c>
      <c r="IM14" s="482" t="str">
        <f t="shared" si="231"/>
        <v/>
      </c>
      <c r="IN14" s="670" t="str">
        <f t="shared" si="80"/>
        <v/>
      </c>
      <c r="IO14" s="702"/>
      <c r="IP14" s="5" t="str">
        <f t="shared" si="81"/>
        <v/>
      </c>
      <c r="IQ14" s="714"/>
      <c r="IR14" s="9" t="str">
        <f t="shared" si="131"/>
        <v/>
      </c>
      <c r="IS14" s="5" t="str">
        <f t="shared" si="82"/>
        <v/>
      </c>
      <c r="IT14" s="5" t="str">
        <f t="shared" si="83"/>
        <v/>
      </c>
      <c r="IU14" s="5" t="str">
        <f t="shared" si="84"/>
        <v/>
      </c>
      <c r="IV14" s="670" t="str">
        <f t="shared" si="85"/>
        <v/>
      </c>
      <c r="IW14" s="9" t="str">
        <f t="shared" si="86"/>
        <v/>
      </c>
      <c r="IX14" s="5" t="str">
        <f t="shared" si="87"/>
        <v/>
      </c>
      <c r="IY14" s="5" t="str">
        <f t="shared" si="88"/>
        <v/>
      </c>
      <c r="IZ14" s="5" t="str">
        <f t="shared" si="89"/>
        <v/>
      </c>
      <c r="JA14" s="705" t="str">
        <f t="shared" si="9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ref="B15:D15" si="254">IFERROR(O170+($A15*-E15),"")</f>
        <v>8.8057448365495644E-2</v>
      </c>
      <c r="C15" s="572">
        <f t="shared" si="254"/>
        <v>4.6281763296035514</v>
      </c>
      <c r="D15" s="576">
        <f t="shared" si="254"/>
        <v>-0.42820129145509511</v>
      </c>
      <c r="E15" s="580">
        <f t="shared" ref="E15:K15" si="255">R170</f>
        <v>-0.95335083903952467</v>
      </c>
      <c r="F15" s="572">
        <f t="shared" si="255"/>
        <v>0.16435108694736519</v>
      </c>
      <c r="G15" s="579">
        <f t="shared" si="255"/>
        <v>0.25320129921043866</v>
      </c>
      <c r="H15" s="580">
        <f t="shared" si="255"/>
        <v>0.3125</v>
      </c>
      <c r="I15" s="572">
        <f t="shared" si="255"/>
        <v>0.52</v>
      </c>
      <c r="J15" s="483">
        <f t="shared" si="92"/>
        <v>1.129</v>
      </c>
      <c r="K15" s="806">
        <f t="shared" si="255"/>
        <v>1613</v>
      </c>
      <c r="L15" s="814" t="str">
        <f>IF($L14=$JJ$22,$JJ$29,IF($L14=$JK$22,$JK$29,""))</f>
        <v/>
      </c>
      <c r="M15" s="164">
        <f t="shared" si="4"/>
        <v>1.129</v>
      </c>
      <c r="N15" s="575">
        <f t="shared" si="5"/>
        <v>8.8057448365495644E-2</v>
      </c>
      <c r="O15" s="572">
        <f t="shared" si="6"/>
        <v>4.6281763296035514</v>
      </c>
      <c r="P15" s="576">
        <f t="shared" si="7"/>
        <v>-0.42820129145509511</v>
      </c>
      <c r="Q15" s="528">
        <f t="shared" si="134"/>
        <v>88.910000157376501</v>
      </c>
      <c r="R15" s="572">
        <f t="shared" si="93"/>
        <v>4.6290139611061063</v>
      </c>
      <c r="S15" s="577">
        <f t="shared" si="94"/>
        <v>-0.42820129145509511</v>
      </c>
      <c r="T15" s="578">
        <f t="shared" si="95"/>
        <v>4.6281916280341671</v>
      </c>
      <c r="U15" s="572">
        <f t="shared" si="96"/>
        <v>-8.7249677991893246E-2</v>
      </c>
      <c r="V15" s="579">
        <f t="shared" si="135"/>
        <v>-0.42820129145509511</v>
      </c>
      <c r="W15" s="528">
        <f t="shared" ref="W15:W78" si="256">IF(M15="","",IF(Q15-$Q$8&lt;0,360+Q15-$Q$8,Q15-$Q$8))</f>
        <v>358.92000015593266</v>
      </c>
      <c r="X15" s="572">
        <f>IF(M15="","",R15)</f>
        <v>4.6290139611061063</v>
      </c>
      <c r="Y15" s="573">
        <f t="shared" si="9"/>
        <v>-0.42820129145509511</v>
      </c>
      <c r="Z15" s="575">
        <f t="shared" si="10"/>
        <v>0.95335083903952467</v>
      </c>
      <c r="AA15" s="572">
        <f t="shared" si="11"/>
        <v>-0.16435108694736519</v>
      </c>
      <c r="AB15" s="572">
        <f t="shared" si="12"/>
        <v>-0.25320129921043866</v>
      </c>
      <c r="AC15" s="579">
        <f t="shared" si="98"/>
        <v>1</v>
      </c>
      <c r="AD15" s="580">
        <f t="shared" si="136"/>
        <v>0.95335083903952467</v>
      </c>
      <c r="AE15" s="572">
        <f t="shared" si="99"/>
        <v>-0.16435108694736519</v>
      </c>
      <c r="AF15" s="576">
        <f t="shared" si="100"/>
        <v>-0.25320129921043866</v>
      </c>
      <c r="AG15" s="545">
        <f t="shared" si="101"/>
        <v>-32.987303509451387</v>
      </c>
      <c r="AH15" s="546">
        <f t="shared" si="102"/>
        <v>17.569623919723835</v>
      </c>
      <c r="AI15" s="528">
        <f t="shared" si="103"/>
        <v>-75.332970214414985</v>
      </c>
      <c r="AJ15" s="529">
        <f t="shared" si="104"/>
        <v>80.218745515467575</v>
      </c>
      <c r="AK15" s="578">
        <f t="shared" si="234"/>
        <v>0.95630476848795665</v>
      </c>
      <c r="AL15" s="572">
        <f t="shared" si="105"/>
        <v>-0.14618581273619402</v>
      </c>
      <c r="AM15" s="577">
        <f t="shared" si="106"/>
        <v>-0.25320129921043866</v>
      </c>
      <c r="AN15" s="524">
        <f>IF(M15="","",DEGREES(ATAN2(-AM15,AL15)))</f>
        <v>-29.99999566853651</v>
      </c>
      <c r="AO15" s="525">
        <f t="shared" si="108"/>
        <v>16.999997545504019</v>
      </c>
      <c r="AP15" s="528">
        <f t="shared" si="109"/>
        <v>-8.691254641908932</v>
      </c>
      <c r="AQ15" s="529">
        <f t="shared" si="13"/>
        <v>0.30236096437503196</v>
      </c>
      <c r="AS15" s="900">
        <f t="shared" si="137"/>
        <v>-1.0799998440673448</v>
      </c>
      <c r="AT15" s="896">
        <f t="shared" si="14"/>
        <v>-0.42773656284002304</v>
      </c>
      <c r="AU15" s="418"/>
      <c r="AV15" s="164">
        <f t="shared" si="15"/>
        <v>1.129</v>
      </c>
      <c r="AW15" s="829">
        <f>IFERROR(INDEX(MassProp!C$9:C$150,MATCH($M15,MassProp!$B$9:$B$150,0)),"")</f>
        <v>4.7686000000000002</v>
      </c>
      <c r="AX15" s="830">
        <f>IFERROR(INDEX(MassProp!D$9:D$150,MATCH($M15,MassProp!$B$9:$B$150,0)),"")</f>
        <v>-6.7100000000000007E-2</v>
      </c>
      <c r="AY15" s="831">
        <f>IFERROR(INDEX(MassProp!E$9:E$150,MATCH($M15,MassProp!$B$9:$B$150,0)),"")</f>
        <v>2.2700000000000001E-2</v>
      </c>
      <c r="AZ15" s="297">
        <f>IF(ISNUMBER(AV15),$AY15*SQRT((2*PI()*$AW15)^2+$AS$5^2),"")</f>
        <v>0.68014626652747923</v>
      </c>
      <c r="BA15" s="296">
        <f t="shared" si="16"/>
        <v>3.7680414901419171E-2</v>
      </c>
      <c r="BB15" s="291">
        <f t="shared" si="139"/>
        <v>0.20714819074699981</v>
      </c>
      <c r="BC15" s="9"/>
      <c r="BD15" s="5">
        <f t="shared" si="235"/>
        <v>4.7686000000000002</v>
      </c>
      <c r="BE15" s="6">
        <f t="shared" si="17"/>
        <v>-0.22105310070809531</v>
      </c>
      <c r="BF15" s="4">
        <f t="shared" si="18"/>
        <v>8.8057448365495644E-2</v>
      </c>
      <c r="BG15" s="5">
        <f t="shared" si="19"/>
        <v>4.6281763296035514</v>
      </c>
      <c r="BH15" s="10">
        <f t="shared" si="20"/>
        <v>-0.42820129145509511</v>
      </c>
      <c r="BI15" s="9">
        <f t="shared" si="140"/>
        <v>8.8057448365495644E-2</v>
      </c>
      <c r="BJ15" s="5">
        <f t="shared" si="21"/>
        <v>5.4669675665505792</v>
      </c>
      <c r="BK15" s="8">
        <f t="shared" si="22"/>
        <v>-0.97265446742239103</v>
      </c>
      <c r="BL15" s="173">
        <f t="shared" si="23"/>
        <v>0.38992195058898382</v>
      </c>
      <c r="BM15" s="5">
        <f t="shared" si="24"/>
        <v>5.1472312217297072</v>
      </c>
      <c r="BN15" s="6">
        <f t="shared" si="25"/>
        <v>0.37146103806735442</v>
      </c>
      <c r="BO15" s="4">
        <f t="shared" si="141"/>
        <v>0.95335083903952422</v>
      </c>
      <c r="BP15" s="5">
        <f t="shared" si="142"/>
        <v>-0.16435108694736497</v>
      </c>
      <c r="BQ15" s="5">
        <f t="shared" si="143"/>
        <v>-0.25320129921043866</v>
      </c>
      <c r="BR15" s="6">
        <f t="shared" si="144"/>
        <v>0.56827504475146717</v>
      </c>
      <c r="BS15" s="4">
        <f t="shared" si="110"/>
        <v>0</v>
      </c>
      <c r="BT15" s="5">
        <f t="shared" si="110"/>
        <v>0</v>
      </c>
      <c r="BU15" s="10">
        <f t="shared" si="111"/>
        <v>-0.22105310070809531</v>
      </c>
      <c r="BV15" s="9">
        <f t="shared" si="112"/>
        <v>0</v>
      </c>
      <c r="BW15" s="5">
        <f t="shared" si="113"/>
        <v>1</v>
      </c>
      <c r="BX15" s="8">
        <f t="shared" si="114"/>
        <v>-0.22105310070809531</v>
      </c>
      <c r="BY15" s="173">
        <f t="shared" si="115"/>
        <v>1</v>
      </c>
      <c r="BZ15" s="5">
        <f t="shared" si="116"/>
        <v>0</v>
      </c>
      <c r="CA15" s="6">
        <f t="shared" si="117"/>
        <v>-0.22105310070809531</v>
      </c>
      <c r="CB15" s="4">
        <f t="shared" si="145"/>
        <v>0</v>
      </c>
      <c r="CC15" s="5">
        <f t="shared" si="146"/>
        <v>0</v>
      </c>
      <c r="CD15" s="5">
        <f t="shared" si="147"/>
        <v>-1</v>
      </c>
      <c r="CE15" s="6">
        <f t="shared" si="148"/>
        <v>-0.22105310070809531</v>
      </c>
      <c r="CF15" s="4">
        <f t="shared" si="149"/>
        <v>0.16435108694736497</v>
      </c>
      <c r="CG15" s="5">
        <f t="shared" si="150"/>
        <v>0.95335083903952422</v>
      </c>
      <c r="CH15" s="5">
        <f t="shared" si="151"/>
        <v>0</v>
      </c>
      <c r="CI15" s="4">
        <f t="shared" si="118"/>
        <v>0</v>
      </c>
      <c r="CJ15" s="5">
        <f t="shared" si="119"/>
        <v>3.7982467207239932</v>
      </c>
      <c r="CK15" s="8">
        <f t="shared" si="120"/>
        <v>-0.22105310070809531</v>
      </c>
      <c r="CL15" s="173">
        <f t="shared" si="121"/>
        <v>0.16435108694736497</v>
      </c>
      <c r="CM15" s="5">
        <f t="shared" si="122"/>
        <v>4.7515975597635176</v>
      </c>
      <c r="CN15" s="6">
        <f t="shared" si="123"/>
        <v>-0.22105310070809531</v>
      </c>
      <c r="CO15" s="167">
        <f t="shared" si="26"/>
        <v>0.3125</v>
      </c>
      <c r="CP15" s="4">
        <f t="shared" si="236"/>
        <v>0.93588910207814557</v>
      </c>
      <c r="CQ15" s="5">
        <f t="shared" si="237"/>
        <v>-1.6113728526435038</v>
      </c>
      <c r="CR15" s="5">
        <f t="shared" si="152"/>
        <v>0.6417913928373693</v>
      </c>
      <c r="CS15" s="8">
        <f t="shared" si="153"/>
        <v>0.19394018878027142</v>
      </c>
      <c r="CT15" s="9">
        <f t="shared" si="154"/>
        <v>1.0961551195407568</v>
      </c>
      <c r="CU15" s="6">
        <f t="shared" si="155"/>
        <v>0.62560106830825624</v>
      </c>
      <c r="CV15" s="4">
        <f t="shared" si="238"/>
        <v>0.18015428535944217</v>
      </c>
      <c r="CW15" s="5">
        <f t="shared" si="156"/>
        <v>4.8432671236556439</v>
      </c>
      <c r="CX15" s="8">
        <f t="shared" si="157"/>
        <v>-0.22105310070809531</v>
      </c>
      <c r="CY15" s="9">
        <f t="shared" si="158"/>
        <v>0.10281821557189463</v>
      </c>
      <c r="CZ15" s="5">
        <f t="shared" si="159"/>
        <v>4.3946640240996917</v>
      </c>
      <c r="DA15" s="6">
        <f t="shared" si="160"/>
        <v>-0.22105310070809531</v>
      </c>
      <c r="DB15" s="4">
        <f t="shared" si="161"/>
        <v>0</v>
      </c>
      <c r="DC15" s="5">
        <f t="shared" si="161"/>
        <v>0</v>
      </c>
      <c r="DD15" s="10">
        <f t="shared" si="162"/>
        <v>-10</v>
      </c>
      <c r="DE15" s="9">
        <f t="shared" si="163"/>
        <v>0</v>
      </c>
      <c r="DF15" s="5">
        <f t="shared" si="163"/>
        <v>0</v>
      </c>
      <c r="DG15" s="10">
        <f t="shared" si="164"/>
        <v>10</v>
      </c>
      <c r="DH15" s="70">
        <f t="shared" si="165"/>
        <v>4.7686000000000002</v>
      </c>
      <c r="DI15" s="4">
        <f t="shared" si="166"/>
        <v>0</v>
      </c>
      <c r="DJ15" s="5">
        <f t="shared" si="167"/>
        <v>0</v>
      </c>
      <c r="DK15" s="10">
        <f t="shared" si="168"/>
        <v>20</v>
      </c>
      <c r="DL15" s="9">
        <f t="shared" si="169"/>
        <v>0.18015428535944217</v>
      </c>
      <c r="DM15" s="173">
        <f t="shared" si="170"/>
        <v>4.8432671236556439</v>
      </c>
      <c r="DN15" s="178">
        <f t="shared" si="171"/>
        <v>9.7789468992919044</v>
      </c>
      <c r="DO15" s="9">
        <f t="shared" si="172"/>
        <v>-7.7336069787547534E-2</v>
      </c>
      <c r="DP15" s="173">
        <f t="shared" si="173"/>
        <v>-0.44860309955595223</v>
      </c>
      <c r="DQ15" s="11">
        <f t="shared" si="174"/>
        <v>0</v>
      </c>
      <c r="DR15" s="173">
        <f t="shared" si="175"/>
        <v>195.57893798583808</v>
      </c>
      <c r="DS15" s="5">
        <f t="shared" si="176"/>
        <v>0</v>
      </c>
      <c r="DT15" s="5">
        <f t="shared" si="177"/>
        <v>400</v>
      </c>
      <c r="DU15" s="5">
        <f t="shared" si="178"/>
        <v>0.207225608621392</v>
      </c>
      <c r="DV15" s="5">
        <f t="shared" si="179"/>
        <v>-2.1866370680344467</v>
      </c>
      <c r="DW15" s="5">
        <f t="shared" si="180"/>
        <v>119.11749445678774</v>
      </c>
      <c r="DX15" s="167">
        <f t="shared" si="181"/>
        <v>96.377948496787738</v>
      </c>
      <c r="DY15" s="9">
        <f t="shared" si="182"/>
        <v>82.890243448556802</v>
      </c>
      <c r="DZ15" s="5">
        <f t="shared" si="183"/>
        <v>-874.65482721377862</v>
      </c>
      <c r="EA15" s="10">
        <f t="shared" si="184"/>
        <v>300.05841504679847</v>
      </c>
      <c r="EB15" s="6">
        <f t="shared" si="185"/>
        <v>740149.15169634775</v>
      </c>
      <c r="EC15" s="173">
        <f t="shared" si="186"/>
        <v>20.930980173673266</v>
      </c>
      <c r="ED15" s="5">
        <f t="shared" si="187"/>
        <v>0.17294691894301784</v>
      </c>
      <c r="EE15" s="4">
        <f t="shared" si="188"/>
        <v>-1.4385654580735272</v>
      </c>
      <c r="EF15" s="5">
        <f t="shared" si="189"/>
        <v>-4.5464354589983662</v>
      </c>
      <c r="EG15" s="10">
        <f t="shared" si="190"/>
        <v>-0.22105310070809531</v>
      </c>
      <c r="EH15" s="9">
        <f t="shared" si="191"/>
        <v>0.16677925036652361</v>
      </c>
      <c r="EI15" s="5">
        <f t="shared" si="192"/>
        <v>4.7656825997591543</v>
      </c>
      <c r="EJ15" s="6">
        <f t="shared" si="193"/>
        <v>-0.22105310070809531</v>
      </c>
      <c r="EK15" s="236" t="b">
        <f t="shared" si="194"/>
        <v>0</v>
      </c>
      <c r="EL15" s="238" t="b">
        <f t="shared" si="195"/>
        <v>1</v>
      </c>
      <c r="EM15" s="4">
        <f t="shared" si="196"/>
        <v>0.16677925036652361</v>
      </c>
      <c r="EN15" s="5">
        <f t="shared" si="197"/>
        <v>4.7656825997591543</v>
      </c>
      <c r="EO15" s="10">
        <f t="shared" si="198"/>
        <v>-0.22105310070809531</v>
      </c>
      <c r="EP15" s="9">
        <f t="shared" si="199"/>
        <v>87.995701809921798</v>
      </c>
      <c r="EQ15" s="5">
        <f t="shared" si="200"/>
        <v>4.7685999999999993</v>
      </c>
      <c r="ER15" s="7">
        <f t="shared" si="201"/>
        <v>-0.22105310070809531</v>
      </c>
      <c r="ES15" s="21">
        <f t="shared" si="124"/>
        <v>0.95335083903952467</v>
      </c>
      <c r="ET15" s="5">
        <f t="shared" si="35"/>
        <v>-0.16435108694736519</v>
      </c>
      <c r="EU15" s="10">
        <f t="shared" si="36"/>
        <v>-0.25320129921043866</v>
      </c>
      <c r="EV15" s="174">
        <f t="shared" si="252"/>
        <v>2.0042981900782024</v>
      </c>
      <c r="EW15" s="9">
        <f t="shared" si="125"/>
        <v>0.95851567675092453</v>
      </c>
      <c r="EX15" s="5">
        <f t="shared" si="37"/>
        <v>-0.1309075990951756</v>
      </c>
      <c r="EY15" s="6">
        <f t="shared" si="202"/>
        <v>-0.25320129921043866</v>
      </c>
      <c r="EZ15" s="51">
        <f t="shared" si="203"/>
        <v>0.29351043805125504</v>
      </c>
      <c r="FA15" s="266">
        <f t="shared" si="126"/>
        <v>0.99937509303951844</v>
      </c>
      <c r="FB15" s="267">
        <f t="shared" si="127"/>
        <v>-3.4974009570114713E-2</v>
      </c>
      <c r="FC15" s="269">
        <f t="shared" si="38"/>
        <v>-5.12270112765643E-3</v>
      </c>
      <c r="FD15" s="4">
        <f t="shared" si="128"/>
        <v>0.99998687888049642</v>
      </c>
      <c r="FE15" s="5">
        <f t="shared" si="39"/>
        <v>-9.7144514654701197E-17</v>
      </c>
      <c r="FF15" s="7">
        <f t="shared" si="204"/>
        <v>-5.12270112765643E-3</v>
      </c>
      <c r="FG15" s="173">
        <f t="shared" si="205"/>
        <v>-4.1471202129571894E-2</v>
      </c>
      <c r="FH15" s="5">
        <f t="shared" si="40"/>
        <v>-0.13090759909517552</v>
      </c>
      <c r="FI15" s="10">
        <f t="shared" si="41"/>
        <v>-0.24807859808278224</v>
      </c>
      <c r="FJ15" s="279">
        <f t="shared" si="206"/>
        <v>16.301044650752733</v>
      </c>
      <c r="FK15" s="4">
        <f t="shared" si="42"/>
        <v>0.96741361478849686</v>
      </c>
      <c r="FL15" s="5">
        <f t="shared" si="207"/>
        <v>0.99998687888049642</v>
      </c>
      <c r="FM15" s="8">
        <f t="shared" si="208"/>
        <v>0.13731955471430501</v>
      </c>
      <c r="FN15" s="9">
        <f t="shared" si="209"/>
        <v>7.7769562944542496</v>
      </c>
      <c r="FO15" s="10">
        <f t="shared" si="43"/>
        <v>1</v>
      </c>
      <c r="FP15" s="277">
        <f t="shared" si="44"/>
        <v>7.7769562944542496</v>
      </c>
      <c r="FQ15" s="173">
        <f>IF(ISNUMBER($AV15),SIN(RADIANS(FN15)),"")</f>
        <v>0.13531709404750919</v>
      </c>
      <c r="FR15" s="10">
        <f t="shared" si="210"/>
        <v>0.99080234358752783</v>
      </c>
      <c r="FS15" s="9">
        <f>IF(ISNUMBER($AV15),FQ15/(FQ15+FR15),"")</f>
        <v>0.12016229320371964</v>
      </c>
      <c r="FT15" s="6">
        <f t="shared" si="212"/>
        <v>0.87983770679628037</v>
      </c>
      <c r="FU15" s="4">
        <f t="shared" si="213"/>
        <v>0.99139457356752614</v>
      </c>
      <c r="FV15" s="5">
        <f t="shared" si="214"/>
        <v>1</v>
      </c>
      <c r="FW15" s="8">
        <f t="shared" si="240"/>
        <v>0.25152107552408093</v>
      </c>
      <c r="FX15" s="9">
        <f t="shared" si="241"/>
        <v>14.503725580887384</v>
      </c>
      <c r="FY15" s="10">
        <f t="shared" si="45"/>
        <v>1</v>
      </c>
      <c r="FZ15" s="277">
        <f t="shared" si="242"/>
        <v>14.503725580887384</v>
      </c>
      <c r="GA15" s="177">
        <f t="shared" si="215"/>
        <v>14.378197346879908</v>
      </c>
      <c r="GB15" s="4">
        <f t="shared" si="216"/>
        <v>-0.13100472198143903</v>
      </c>
      <c r="GC15" s="5">
        <f t="shared" si="217"/>
        <v>0.95922681811856148</v>
      </c>
      <c r="GD15" s="10">
        <f t="shared" si="218"/>
        <v>-0.25044295602133809</v>
      </c>
      <c r="GE15" s="311">
        <f t="shared" si="219"/>
        <v>1.3406744961213386</v>
      </c>
      <c r="GF15" s="341">
        <f t="shared" si="243"/>
        <v>0.74589320740647125</v>
      </c>
      <c r="GG15" s="285">
        <f t="shared" si="46"/>
        <v>9.7715532264128616E-2</v>
      </c>
      <c r="GH15" s="286">
        <f t="shared" si="47"/>
        <v>0.71548076799675764</v>
      </c>
      <c r="GI15" s="281">
        <f t="shared" si="48"/>
        <v>0.1868036997391137</v>
      </c>
      <c r="GJ15" s="167">
        <f t="shared" si="220"/>
        <v>4.7686000000000002</v>
      </c>
      <c r="GK15" s="174">
        <f t="shared" si="49"/>
        <v>2.4968658829936827</v>
      </c>
      <c r="GL15" s="174">
        <f t="shared" si="221"/>
        <v>2.2700000000000001E-2</v>
      </c>
      <c r="GM15" s="177">
        <f t="shared" si="244"/>
        <v>0.68014626652747923</v>
      </c>
      <c r="GN15" s="280">
        <f t="shared" si="222"/>
        <v>3.7680414901419171E-2</v>
      </c>
      <c r="GO15" s="4">
        <f t="shared" si="223"/>
        <v>7.7769562944542496</v>
      </c>
      <c r="GP15" s="8">
        <f t="shared" si="245"/>
        <v>14.503725580887384</v>
      </c>
      <c r="GQ15" s="177">
        <f t="shared" si="224"/>
        <v>16.301044650752733</v>
      </c>
      <c r="GR15" s="371">
        <f t="shared" si="246"/>
        <v>2376.5358097317908</v>
      </c>
      <c r="GS15" s="342">
        <f t="shared" si="51"/>
        <v>232.22446159270382</v>
      </c>
      <c r="GT15" s="343">
        <f t="shared" si="52"/>
        <v>93.006381790227437</v>
      </c>
      <c r="GU15" s="344">
        <f t="shared" si="53"/>
        <v>1700.365666318698</v>
      </c>
      <c r="GV15" s="343">
        <f t="shared" si="253"/>
        <v>681</v>
      </c>
      <c r="GW15" s="345">
        <f t="shared" si="129"/>
        <v>30000</v>
      </c>
      <c r="GX15" s="346">
        <f t="shared" si="54"/>
        <v>270.61805000000004</v>
      </c>
      <c r="GY15" s="344">
        <f t="shared" si="55"/>
        <v>443.94568182038893</v>
      </c>
      <c r="GZ15" s="345">
        <f t="shared" si="56"/>
        <v>177.80117259967068</v>
      </c>
      <c r="HA15" s="342">
        <f t="shared" si="57"/>
        <v>232.22446159270382</v>
      </c>
      <c r="HB15" s="5">
        <f t="shared" si="225"/>
        <v>2.0042981900782024</v>
      </c>
      <c r="HC15" s="343">
        <f t="shared" si="226"/>
        <v>232.08238809100928</v>
      </c>
      <c r="HD15" s="345">
        <f t="shared" si="227"/>
        <v>8.1219271109341591</v>
      </c>
      <c r="HE15" s="344">
        <f t="shared" si="58"/>
        <v>681</v>
      </c>
      <c r="HF15" s="5">
        <f t="shared" si="59"/>
        <v>92.004298190078202</v>
      </c>
      <c r="HG15" s="343">
        <f t="shared" si="228"/>
        <v>-23.817613030994909</v>
      </c>
      <c r="HH15" s="349">
        <f t="shared" si="229"/>
        <v>680.58336837562069</v>
      </c>
      <c r="HI15" s="317">
        <f t="shared" si="60"/>
        <v>1.129</v>
      </c>
      <c r="HJ15" s="336"/>
      <c r="HK15" s="310">
        <f t="shared" si="130"/>
        <v>7</v>
      </c>
      <c r="HL15" s="348">
        <f t="shared" si="61"/>
        <v>1.107</v>
      </c>
      <c r="HM15" s="935">
        <f t="shared" si="62"/>
        <v>-4.7687946335737301</v>
      </c>
      <c r="HN15" s="936">
        <f t="shared" si="63"/>
        <v>14.999997834268255</v>
      </c>
      <c r="HO15" s="937"/>
      <c r="HP15" s="938"/>
      <c r="HQ15" s="936">
        <f t="shared" si="64"/>
        <v>14.718524917231225</v>
      </c>
      <c r="HR15" s="939">
        <f t="shared" si="65"/>
        <v>13.992811782015375</v>
      </c>
      <c r="HS15" s="940">
        <f t="shared" si="249"/>
        <v>1.7002999999999999</v>
      </c>
      <c r="HT15" s="941">
        <f t="shared" si="66"/>
        <v>3.5499999999999997E-2</v>
      </c>
      <c r="HU15" s="942">
        <f t="shared" si="67"/>
        <v>0.37929628927159592</v>
      </c>
      <c r="HV15" s="943">
        <f t="shared" si="68"/>
        <v>2.1013188270945265E-2</v>
      </c>
      <c r="HW15" s="944">
        <f t="shared" si="69"/>
        <v>30000</v>
      </c>
      <c r="HX15" s="947">
        <f t="shared" si="70"/>
        <v>150.901625</v>
      </c>
      <c r="HY15" s="952">
        <f t="shared" si="71"/>
        <v>79.105933942472063</v>
      </c>
      <c r="HZ15" s="953">
        <f t="shared" si="72"/>
        <v>948.24072317898981</v>
      </c>
      <c r="IA15" s="954">
        <f t="shared" si="73"/>
        <v>237.11744276567308</v>
      </c>
      <c r="IB15" s="955">
        <f t="shared" si="74"/>
        <v>1264.464099887135</v>
      </c>
      <c r="IC15" s="842">
        <f t="shared" si="75"/>
        <v>88.846447520510182</v>
      </c>
      <c r="ID15" s="351">
        <f t="shared" si="76"/>
        <v>1065</v>
      </c>
      <c r="IE15" s="844">
        <f t="shared" si="77"/>
        <v>266.31431278212915</v>
      </c>
      <c r="IF15" s="845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0"/>
        <v>1.129</v>
      </c>
      <c r="IJ15" s="96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8"/>
        <v>1613</v>
      </c>
      <c r="IM15" s="482" t="str">
        <f t="shared" si="231"/>
        <v/>
      </c>
      <c r="IN15" s="670" t="str">
        <f t="shared" si="80"/>
        <v/>
      </c>
      <c r="IO15" s="702"/>
      <c r="IP15" s="5" t="str">
        <f t="shared" si="81"/>
        <v/>
      </c>
      <c r="IQ15" s="714"/>
      <c r="IR15" s="9" t="str">
        <f t="shared" si="131"/>
        <v/>
      </c>
      <c r="IS15" s="5" t="str">
        <f t="shared" si="82"/>
        <v/>
      </c>
      <c r="IT15" s="5" t="str">
        <f t="shared" si="83"/>
        <v/>
      </c>
      <c r="IU15" s="5" t="str">
        <f t="shared" si="84"/>
        <v/>
      </c>
      <c r="IV15" s="670" t="str">
        <f t="shared" si="85"/>
        <v/>
      </c>
      <c r="IW15" s="9" t="str">
        <f t="shared" si="86"/>
        <v/>
      </c>
      <c r="IX15" s="5" t="str">
        <f t="shared" si="87"/>
        <v/>
      </c>
      <c r="IY15" s="5" t="str">
        <f t="shared" si="88"/>
        <v/>
      </c>
      <c r="IZ15" s="5" t="str">
        <f t="shared" si="89"/>
        <v/>
      </c>
      <c r="JA15" s="705" t="str">
        <f t="shared" si="9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57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ref="B16:D16" si="257">IFERROR(O171+($A16*-E16),"")</f>
        <v>0.16206694552886936</v>
      </c>
      <c r="C16" s="572">
        <f t="shared" si="257"/>
        <v>5.1858838440802666</v>
      </c>
      <c r="D16" s="576">
        <f t="shared" si="257"/>
        <v>-0.92430278769720775</v>
      </c>
      <c r="E16" s="580">
        <f t="shared" ref="E16:K16" si="258">R171</f>
        <v>-0.94026095845880242</v>
      </c>
      <c r="F16" s="572">
        <f t="shared" si="258"/>
        <v>0.25503296284354637</v>
      </c>
      <c r="G16" s="579">
        <f t="shared" si="258"/>
        <v>0.22553828469104004</v>
      </c>
      <c r="H16" s="580">
        <f t="shared" si="258"/>
        <v>0.3125</v>
      </c>
      <c r="I16" s="572">
        <f t="shared" si="258"/>
        <v>0.52</v>
      </c>
      <c r="J16" s="483">
        <f t="shared" si="92"/>
        <v>1.135</v>
      </c>
      <c r="K16" s="806">
        <f t="shared" si="258"/>
        <v>1613</v>
      </c>
      <c r="L16" s="309"/>
      <c r="M16" s="164">
        <f t="shared" si="4"/>
        <v>1.135</v>
      </c>
      <c r="N16" s="575">
        <f t="shared" si="5"/>
        <v>0.16206694552886936</v>
      </c>
      <c r="O16" s="572">
        <f t="shared" si="6"/>
        <v>5.1858838440802666</v>
      </c>
      <c r="P16" s="576">
        <f t="shared" si="7"/>
        <v>-0.92430278769720775</v>
      </c>
      <c r="Q16" s="528">
        <f>IF(M16="","",IF(DEGREES(ATAN2(N16,O16))&lt;0,DEGREES(ATAN2(N16,O16))+360,IF(DEGREES(ATAN2(N16,O16))&gt;360,DEGREES(ATAN2(N16,O16))-360,DEGREES(ATAN2(N16,O16)))))</f>
        <v>88.210000258443998</v>
      </c>
      <c r="R16" s="572">
        <f t="shared" si="93"/>
        <v>5.1884156482615946</v>
      </c>
      <c r="S16" s="577">
        <f t="shared" si="94"/>
        <v>-0.92430278769720775</v>
      </c>
      <c r="T16" s="578">
        <f t="shared" si="95"/>
        <v>5.1859120511086161</v>
      </c>
      <c r="U16" s="572">
        <f t="shared" si="96"/>
        <v>-0.16116183571867443</v>
      </c>
      <c r="V16" s="579">
        <f t="shared" si="135"/>
        <v>-0.92430278769720775</v>
      </c>
      <c r="W16" s="528">
        <f>IF(M16="","",IF(Q16-$Q$8&lt;0,360+Q16-$Q$8,Q16-$Q$8))</f>
        <v>358.22000025700015</v>
      </c>
      <c r="X16" s="572">
        <f t="shared" si="97"/>
        <v>5.1884156482615946</v>
      </c>
      <c r="Y16" s="573">
        <f t="shared" ref="Y16:Y75" si="259">IF(M16="","",S16)</f>
        <v>-0.92430278769720775</v>
      </c>
      <c r="Z16" s="575">
        <f t="shared" si="10"/>
        <v>0.94026095845880242</v>
      </c>
      <c r="AA16" s="572">
        <f t="shared" si="11"/>
        <v>-0.25503296284354637</v>
      </c>
      <c r="AB16" s="572">
        <f t="shared" si="12"/>
        <v>-0.22553828469104004</v>
      </c>
      <c r="AC16" s="579">
        <f t="shared" si="98"/>
        <v>1</v>
      </c>
      <c r="AD16" s="580">
        <f t="shared" si="136"/>
        <v>0.94026095845880242</v>
      </c>
      <c r="AE16" s="572">
        <f t="shared" si="99"/>
        <v>-0.25503296284354637</v>
      </c>
      <c r="AF16" s="576">
        <f t="shared" si="100"/>
        <v>-0.22553828469104004</v>
      </c>
      <c r="AG16" s="545">
        <f t="shared" si="101"/>
        <v>-48.512077568634311</v>
      </c>
      <c r="AH16" s="546">
        <f t="shared" si="102"/>
        <v>19.904572753459711</v>
      </c>
      <c r="AI16" s="528">
        <f t="shared" si="103"/>
        <v>-76.965466751498099</v>
      </c>
      <c r="AJ16" s="529">
        <f t="shared" si="104"/>
        <v>74.824420283393337</v>
      </c>
      <c r="AK16" s="578">
        <f t="shared" si="234"/>
        <v>0.94776842495950908</v>
      </c>
      <c r="AL16" s="572">
        <f t="shared" si="105"/>
        <v>-0.22553823354011382</v>
      </c>
      <c r="AM16" s="577">
        <f t="shared" si="106"/>
        <v>-0.22553828469104004</v>
      </c>
      <c r="AN16" s="524">
        <f t="shared" si="107"/>
        <v>-44.999993502804799</v>
      </c>
      <c r="AO16" s="525">
        <f t="shared" si="108"/>
        <v>18.599997314492636</v>
      </c>
      <c r="AP16" s="528">
        <f t="shared" si="109"/>
        <v>-13.385579975050645</v>
      </c>
      <c r="AQ16" s="529">
        <f t="shared" si="13"/>
        <v>0.26976169044810772</v>
      </c>
      <c r="AS16" s="900">
        <f t="shared" si="137"/>
        <v>-1.7799997429998484</v>
      </c>
      <c r="AT16" s="896">
        <f t="shared" si="14"/>
        <v>-0.92353960951282343</v>
      </c>
      <c r="AU16" s="418"/>
      <c r="AV16" s="164">
        <f t="shared" si="15"/>
        <v>1.135</v>
      </c>
      <c r="AW16" s="829">
        <f>IFERROR(INDEX(MassProp!C$9:C$150,MATCH($M16,MassProp!$B$9:$B$150,0)),"")</f>
        <v>5.3849999999999998</v>
      </c>
      <c r="AX16" s="830">
        <f>IFERROR(INDEX(MassProp!D$9:D$150,MATCH($M16,MassProp!$B$9:$B$150,0)),"")</f>
        <v>-0.60760000000000003</v>
      </c>
      <c r="AY16" s="831">
        <f>IFERROR(INDEX(MassProp!E$9:E$150,MATCH($M16,MassProp!$B$9:$B$150,0)),"")</f>
        <v>1.77E-2</v>
      </c>
      <c r="AZ16" s="297">
        <f t="shared" si="138"/>
        <v>0.59888482802822895</v>
      </c>
      <c r="BA16" s="296">
        <f t="shared" si="16"/>
        <v>3.3178493963484858E-2</v>
      </c>
      <c r="BB16" s="291">
        <f t="shared" si="139"/>
        <v>0.16245123741980017</v>
      </c>
      <c r="BC16" s="9"/>
      <c r="BD16" s="5">
        <f t="shared" si="235"/>
        <v>5.3849999999999998</v>
      </c>
      <c r="BE16" s="6">
        <f t="shared" si="17"/>
        <v>-0.76185155027740759</v>
      </c>
      <c r="BF16" s="4">
        <f t="shared" si="18"/>
        <v>0.16206694552886936</v>
      </c>
      <c r="BG16" s="5">
        <f t="shared" si="19"/>
        <v>5.1858838440802666</v>
      </c>
      <c r="BH16" s="10">
        <f t="shared" si="20"/>
        <v>-0.92430278769720775</v>
      </c>
      <c r="BI16" s="9">
        <f t="shared" si="140"/>
        <v>0.16206694552886936</v>
      </c>
      <c r="BJ16" s="5">
        <f t="shared" si="21"/>
        <v>5.8483460026991727</v>
      </c>
      <c r="BK16" s="8">
        <f t="shared" si="22"/>
        <v>-1.6733981677376801</v>
      </c>
      <c r="BL16" s="173">
        <f t="shared" si="23"/>
        <v>0.50252153868063476</v>
      </c>
      <c r="BM16" s="5">
        <f t="shared" si="24"/>
        <v>5.8902289840941817</v>
      </c>
      <c r="BN16" s="6">
        <f t="shared" si="25"/>
        <v>-0.30141548349150815</v>
      </c>
      <c r="BO16" s="4">
        <f t="shared" si="141"/>
        <v>0.94026095845880153</v>
      </c>
      <c r="BP16" s="5">
        <f t="shared" si="142"/>
        <v>-0.2550329628435461</v>
      </c>
      <c r="BQ16" s="5">
        <f t="shared" si="143"/>
        <v>-0.22553828469104009</v>
      </c>
      <c r="BR16" s="6">
        <f t="shared" si="144"/>
        <v>0.96172043490842829</v>
      </c>
      <c r="BS16" s="4">
        <f t="shared" si="110"/>
        <v>0</v>
      </c>
      <c r="BT16" s="5">
        <f t="shared" si="110"/>
        <v>0</v>
      </c>
      <c r="BU16" s="10">
        <f t="shared" si="111"/>
        <v>-0.76185155027740759</v>
      </c>
      <c r="BV16" s="9">
        <f t="shared" si="112"/>
        <v>0</v>
      </c>
      <c r="BW16" s="5">
        <f t="shared" si="113"/>
        <v>1</v>
      </c>
      <c r="BX16" s="8">
        <f t="shared" si="114"/>
        <v>-0.76185155027740759</v>
      </c>
      <c r="BY16" s="173">
        <f t="shared" si="115"/>
        <v>1</v>
      </c>
      <c r="BZ16" s="5">
        <f t="shared" si="116"/>
        <v>0</v>
      </c>
      <c r="CA16" s="6">
        <f t="shared" si="117"/>
        <v>-0.76185155027740759</v>
      </c>
      <c r="CB16" s="4">
        <f t="shared" si="145"/>
        <v>0</v>
      </c>
      <c r="CC16" s="5">
        <f t="shared" si="146"/>
        <v>0</v>
      </c>
      <c r="CD16" s="5">
        <f t="shared" si="147"/>
        <v>-1</v>
      </c>
      <c r="CE16" s="6">
        <f t="shared" si="148"/>
        <v>-0.76185155027740759</v>
      </c>
      <c r="CF16" s="4">
        <f t="shared" si="149"/>
        <v>0.2550329628435461</v>
      </c>
      <c r="CG16" s="5">
        <f t="shared" si="150"/>
        <v>0.94026095845880153</v>
      </c>
      <c r="CH16" s="5">
        <f t="shared" si="151"/>
        <v>0</v>
      </c>
      <c r="CI16" s="4">
        <f t="shared" si="118"/>
        <v>0</v>
      </c>
      <c r="CJ16" s="5">
        <f t="shared" si="119"/>
        <v>4.4447083000898058</v>
      </c>
      <c r="CK16" s="8">
        <f t="shared" si="120"/>
        <v>-0.76185155027740759</v>
      </c>
      <c r="CL16" s="173">
        <f t="shared" si="121"/>
        <v>0.2550329628435461</v>
      </c>
      <c r="CM16" s="5">
        <f t="shared" si="122"/>
        <v>5.3849692585486073</v>
      </c>
      <c r="CN16" s="6">
        <f t="shared" si="123"/>
        <v>-0.76185155027740759</v>
      </c>
      <c r="CO16" s="167">
        <f t="shared" si="26"/>
        <v>0.3125</v>
      </c>
      <c r="CP16" s="4">
        <f t="shared" si="236"/>
        <v>0.94913248213862167</v>
      </c>
      <c r="CQ16" s="5">
        <f t="shared" si="237"/>
        <v>-1.476461681351851</v>
      </c>
      <c r="CR16" s="5">
        <f>IF(ISNUMBER($AV16),BF16^2+BG16^2+BH16^2+CI16^2+CJ16^2+CK16^2-2*(BF16*CI16+BG16*CJ16+BH16*CK16)-CO16^2,"")</f>
        <v>0.50434103638183814</v>
      </c>
      <c r="CS16" s="8">
        <f t="shared" si="153"/>
        <v>0.26519325767849922</v>
      </c>
      <c r="CT16" s="9">
        <f t="shared" si="154"/>
        <v>1.0490795016069248</v>
      </c>
      <c r="CU16" s="6">
        <f t="shared" si="155"/>
        <v>0.50651121848415359</v>
      </c>
      <c r="CV16" s="4">
        <f t="shared" si="238"/>
        <v>0.26754985355324468</v>
      </c>
      <c r="CW16" s="5">
        <f t="shared" si="156"/>
        <v>5.4311167977702146</v>
      </c>
      <c r="CX16" s="8">
        <f t="shared" si="157"/>
        <v>-0.76185155027740759</v>
      </c>
      <c r="CY16" s="9">
        <f t="shared" si="158"/>
        <v>0.12917705676350841</v>
      </c>
      <c r="CZ16" s="5">
        <f t="shared" si="159"/>
        <v>4.9209610238518513</v>
      </c>
      <c r="DA16" s="6">
        <f t="shared" si="160"/>
        <v>-0.76185155027740759</v>
      </c>
      <c r="DB16" s="4">
        <f t="shared" si="161"/>
        <v>0</v>
      </c>
      <c r="DC16" s="5">
        <f t="shared" si="161"/>
        <v>0</v>
      </c>
      <c r="DD16" s="10">
        <f>IF(ISNUMBER($AV16),-10,"")</f>
        <v>-10</v>
      </c>
      <c r="DE16" s="9">
        <f t="shared" si="163"/>
        <v>0</v>
      </c>
      <c r="DF16" s="5">
        <f t="shared" si="163"/>
        <v>0</v>
      </c>
      <c r="DG16" s="10">
        <f t="shared" si="164"/>
        <v>10</v>
      </c>
      <c r="DH16" s="70">
        <f t="shared" si="165"/>
        <v>5.3849999999999998</v>
      </c>
      <c r="DI16" s="4">
        <f t="shared" si="166"/>
        <v>0</v>
      </c>
      <c r="DJ16" s="5">
        <f t="shared" si="167"/>
        <v>0</v>
      </c>
      <c r="DK16" s="10">
        <f t="shared" si="168"/>
        <v>20</v>
      </c>
      <c r="DL16" s="9">
        <f t="shared" si="169"/>
        <v>0.26754985355324468</v>
      </c>
      <c r="DM16" s="173">
        <f t="shared" si="170"/>
        <v>5.4311167977702146</v>
      </c>
      <c r="DN16" s="178">
        <f t="shared" si="171"/>
        <v>9.2381484497225923</v>
      </c>
      <c r="DO16" s="9">
        <f t="shared" si="172"/>
        <v>-0.13837279678973627</v>
      </c>
      <c r="DP16" s="173">
        <f t="shared" si="173"/>
        <v>-0.51015577391836331</v>
      </c>
      <c r="DQ16" s="11">
        <f t="shared" si="174"/>
        <v>0</v>
      </c>
      <c r="DR16" s="173">
        <f t="shared" si="175"/>
        <v>184.76296899445185</v>
      </c>
      <c r="DS16" s="5">
        <f t="shared" si="176"/>
        <v>0</v>
      </c>
      <c r="DT16" s="5">
        <f t="shared" si="177"/>
        <v>400</v>
      </c>
      <c r="DU16" s="5">
        <f t="shared" si="178"/>
        <v>0.27940594455365786</v>
      </c>
      <c r="DV16" s="5">
        <f t="shared" si="179"/>
        <v>-2.8077372147243334</v>
      </c>
      <c r="DW16" s="5">
        <f t="shared" si="180"/>
        <v>114.9119993742701</v>
      </c>
      <c r="DX16" s="167">
        <f t="shared" si="181"/>
        <v>85.913774374270105</v>
      </c>
      <c r="DY16" s="9">
        <f t="shared" si="182"/>
        <v>111.76237782146315</v>
      </c>
      <c r="DZ16" s="5">
        <f t="shared" si="183"/>
        <v>-1123.0948858897334</v>
      </c>
      <c r="EA16" s="10">
        <f t="shared" si="184"/>
        <v>228.15503806326888</v>
      </c>
      <c r="EB16" s="6">
        <f t="shared" si="185"/>
        <v>1235842.973145776</v>
      </c>
      <c r="EC16" s="173">
        <f t="shared" si="186"/>
        <v>19.995813214134955</v>
      </c>
      <c r="ED16" s="5">
        <f t="shared" si="187"/>
        <v>0.10209285733109323</v>
      </c>
      <c r="EE16" s="4">
        <f t="shared" si="188"/>
        <v>-2.4993267449717744</v>
      </c>
      <c r="EF16" s="5">
        <f t="shared" si="189"/>
        <v>-4.7698627676138399</v>
      </c>
      <c r="EG16" s="10">
        <f t="shared" si="190"/>
        <v>-0.76185155027740759</v>
      </c>
      <c r="EH16" s="9">
        <f t="shared" si="191"/>
        <v>0.2534229793520858</v>
      </c>
      <c r="EI16" s="5">
        <f t="shared" si="192"/>
        <v>5.3790335371269338</v>
      </c>
      <c r="EJ16" s="6">
        <f t="shared" si="193"/>
        <v>-0.76185155027740759</v>
      </c>
      <c r="EK16" s="236" t="b">
        <f t="shared" si="194"/>
        <v>0</v>
      </c>
      <c r="EL16" s="238" t="b">
        <f t="shared" si="195"/>
        <v>1</v>
      </c>
      <c r="EM16" s="4">
        <f t="shared" si="196"/>
        <v>0.2534229793520858</v>
      </c>
      <c r="EN16" s="5">
        <f t="shared" si="197"/>
        <v>5.3790335371269338</v>
      </c>
      <c r="EO16" s="10">
        <f t="shared" si="198"/>
        <v>-0.76185155027740759</v>
      </c>
      <c r="EP16" s="9">
        <f t="shared" si="199"/>
        <v>87.302612411172404</v>
      </c>
      <c r="EQ16" s="5">
        <f t="shared" si="200"/>
        <v>5.384999999999998</v>
      </c>
      <c r="ER16" s="7">
        <f t="shared" si="201"/>
        <v>-0.76185155027740759</v>
      </c>
      <c r="ES16" s="21">
        <f t="shared" si="124"/>
        <v>0.94026095845880242</v>
      </c>
      <c r="ET16" s="5">
        <f t="shared" si="35"/>
        <v>-0.25503296284354637</v>
      </c>
      <c r="EU16" s="10">
        <f t="shared" si="36"/>
        <v>-0.22553828469104004</v>
      </c>
      <c r="EV16" s="174">
        <f t="shared" si="252"/>
        <v>2.6973875888275956</v>
      </c>
      <c r="EW16" s="9">
        <f t="shared" si="125"/>
        <v>0.95122125208501673</v>
      </c>
      <c r="EX16" s="5">
        <f t="shared" si="37"/>
        <v>-0.21050085919168188</v>
      </c>
      <c r="EY16" s="6">
        <f t="shared" si="202"/>
        <v>-0.22553828469104004</v>
      </c>
      <c r="EZ16" s="51">
        <f t="shared" si="203"/>
        <v>0.25991393079542535</v>
      </c>
      <c r="FA16" s="266">
        <f>IF(ISNUMBER($AV16),SIN(RADIANS($EP16))*COS(RADIANS($EZ16)),"")</f>
        <v>0.99888174391529494</v>
      </c>
      <c r="FB16" s="267">
        <f t="shared" si="127"/>
        <v>-4.7060421879917963E-2</v>
      </c>
      <c r="FC16" s="269">
        <f t="shared" si="38"/>
        <v>-4.5363383056323753E-3</v>
      </c>
      <c r="FD16" s="4">
        <f t="shared" si="128"/>
        <v>0.99998971076445409</v>
      </c>
      <c r="FE16" s="5">
        <f t="shared" si="39"/>
        <v>-1.1102230246251565E-16</v>
      </c>
      <c r="FF16" s="7">
        <f t="shared" si="204"/>
        <v>-4.5363383056323753E-3</v>
      </c>
      <c r="FG16" s="173">
        <f t="shared" si="205"/>
        <v>-4.8768458679437354E-2</v>
      </c>
      <c r="FH16" s="5">
        <f t="shared" si="40"/>
        <v>-0.21050085919168177</v>
      </c>
      <c r="FI16" s="10">
        <f t="shared" si="41"/>
        <v>-0.22100194638540765</v>
      </c>
      <c r="FJ16" s="279">
        <f t="shared" si="206"/>
        <v>17.780273906306054</v>
      </c>
      <c r="FK16" s="4">
        <f t="shared" si="42"/>
        <v>0.97423430556443846</v>
      </c>
      <c r="FL16" s="5">
        <f t="shared" si="207"/>
        <v>0.9999897107644542</v>
      </c>
      <c r="FM16" s="8">
        <f t="shared" si="208"/>
        <v>0.21607631587567439</v>
      </c>
      <c r="FN16" s="9">
        <f t="shared" si="209"/>
        <v>12.478192127779066</v>
      </c>
      <c r="FO16" s="10">
        <f t="shared" si="43"/>
        <v>1</v>
      </c>
      <c r="FP16" s="277">
        <f t="shared" si="44"/>
        <v>12.478192127779066</v>
      </c>
      <c r="FQ16" s="173">
        <f t="shared" si="239"/>
        <v>0.21606800129022843</v>
      </c>
      <c r="FR16" s="10">
        <f t="shared" si="210"/>
        <v>0.97637831746636294</v>
      </c>
      <c r="FS16" s="9">
        <f t="shared" si="211"/>
        <v>0.1811972563389945</v>
      </c>
      <c r="FT16" s="6">
        <f t="shared" si="212"/>
        <v>0.81880274366100547</v>
      </c>
      <c r="FU16" s="4">
        <f t="shared" si="213"/>
        <v>0.97759367238109907</v>
      </c>
      <c r="FV16" s="5">
        <f t="shared" si="214"/>
        <v>0.99999999999999978</v>
      </c>
      <c r="FW16" s="8">
        <f t="shared" si="240"/>
        <v>0.22631885221542325</v>
      </c>
      <c r="FX16" s="9">
        <f t="shared" si="241"/>
        <v>13.078820439146021</v>
      </c>
      <c r="FY16" s="10">
        <f t="shared" si="45"/>
        <v>1</v>
      </c>
      <c r="FZ16" s="277">
        <f t="shared" si="242"/>
        <v>13.078820439146021</v>
      </c>
      <c r="GA16" s="177">
        <f t="shared" si="215"/>
        <v>12.785151747661807</v>
      </c>
      <c r="GB16" s="4">
        <f t="shared" si="216"/>
        <v>-0.21046312886163415</v>
      </c>
      <c r="GC16" s="5">
        <f t="shared" si="217"/>
        <v>0.95105075448264442</v>
      </c>
      <c r="GD16" s="10">
        <f t="shared" si="218"/>
        <v>-0.22629125875244016</v>
      </c>
      <c r="GE16" s="311">
        <f t="shared" si="219"/>
        <v>1.3878051420967188</v>
      </c>
      <c r="GF16" s="341">
        <f t="shared" si="243"/>
        <v>0.72056225306182653</v>
      </c>
      <c r="GG16" s="285">
        <f t="shared" si="46"/>
        <v>0.15165178631898063</v>
      </c>
      <c r="GH16" s="286">
        <f t="shared" si="47"/>
        <v>0.68529127442616422</v>
      </c>
      <c r="GI16" s="281">
        <f t="shared" si="48"/>
        <v>0.16305693925485507</v>
      </c>
      <c r="GJ16" s="167">
        <f t="shared" si="220"/>
        <v>5.3849999999999998</v>
      </c>
      <c r="GK16" s="174">
        <f t="shared" si="49"/>
        <v>2.8196084182120007</v>
      </c>
      <c r="GL16" s="174">
        <f t="shared" si="221"/>
        <v>1.77E-2</v>
      </c>
      <c r="GM16" s="177">
        <f t="shared" si="244"/>
        <v>0.59888482802822895</v>
      </c>
      <c r="GN16" s="280">
        <f t="shared" si="222"/>
        <v>3.3178493963484858E-2</v>
      </c>
      <c r="GO16" s="4">
        <f t="shared" si="223"/>
        <v>12.478192127779066</v>
      </c>
      <c r="GP16" s="8">
        <f t="shared" si="245"/>
        <v>13.078820439146021</v>
      </c>
      <c r="GQ16" s="177">
        <f t="shared" si="224"/>
        <v>17.780273906306054</v>
      </c>
      <c r="GR16" s="371">
        <f t="shared" si="246"/>
        <v>2184.7820422407658</v>
      </c>
      <c r="GS16" s="342">
        <f t="shared" si="51"/>
        <v>331.32609942344271</v>
      </c>
      <c r="GT16" s="343">
        <f t="shared" si="52"/>
        <v>117.50784161495257</v>
      </c>
      <c r="GU16" s="344">
        <f t="shared" si="53"/>
        <v>1497.2120700705723</v>
      </c>
      <c r="GV16" s="343">
        <f t="shared" si="253"/>
        <v>531</v>
      </c>
      <c r="GW16" s="345">
        <f t="shared" si="129"/>
        <v>30000</v>
      </c>
      <c r="GX16" s="346">
        <f t="shared" si="54"/>
        <v>238.28625</v>
      </c>
      <c r="GY16" s="344">
        <f t="shared" si="55"/>
        <v>356.24387274675075</v>
      </c>
      <c r="GZ16" s="345">
        <f t="shared" si="56"/>
        <v>126.3451585850548</v>
      </c>
      <c r="HA16" s="342">
        <f t="shared" si="57"/>
        <v>331.32609942344271</v>
      </c>
      <c r="HB16" s="5">
        <f t="shared" si="225"/>
        <v>2.6973875888275956</v>
      </c>
      <c r="HC16" s="343">
        <f t="shared" si="226"/>
        <v>330.95899731182021</v>
      </c>
      <c r="HD16" s="345">
        <f t="shared" si="227"/>
        <v>15.592506453666473</v>
      </c>
      <c r="HE16" s="344">
        <f t="shared" si="58"/>
        <v>531</v>
      </c>
      <c r="HF16" s="5">
        <f t="shared" si="59"/>
        <v>92.697387588827596</v>
      </c>
      <c r="HG16" s="343">
        <f t="shared" si="228"/>
        <v>-24.989341139453494</v>
      </c>
      <c r="HH16" s="349">
        <f t="shared" si="229"/>
        <v>530.41166354956408</v>
      </c>
      <c r="HI16" s="317">
        <f t="shared" si="60"/>
        <v>1.135</v>
      </c>
      <c r="HJ16" s="336"/>
      <c r="HK16" s="310">
        <f t="shared" si="130"/>
        <v>8</v>
      </c>
      <c r="HL16" s="348">
        <f t="shared" si="61"/>
        <v>3.1080000000000001</v>
      </c>
      <c r="HM16" s="935">
        <f t="shared" si="62"/>
        <v>-4.2386976824686062</v>
      </c>
      <c r="HN16" s="936">
        <f t="shared" si="63"/>
        <v>14.999997834268255</v>
      </c>
      <c r="HO16" s="937"/>
      <c r="HP16" s="938"/>
      <c r="HQ16" s="936">
        <f t="shared" si="64"/>
        <v>14.695507161249756</v>
      </c>
      <c r="HR16" s="939">
        <f t="shared" si="65"/>
        <v>14.124768985040467</v>
      </c>
      <c r="HS16" s="940">
        <f t="shared" si="249"/>
        <v>1.9300999999999999</v>
      </c>
      <c r="HT16" s="941">
        <f t="shared" si="66"/>
        <v>3.5499999999999997E-2</v>
      </c>
      <c r="HU16" s="942">
        <f t="shared" si="67"/>
        <v>0.43054922702541298</v>
      </c>
      <c r="HV16" s="943">
        <f t="shared" si="68"/>
        <v>2.3852624513594128E-2</v>
      </c>
      <c r="HW16" s="944">
        <f t="shared" si="69"/>
        <v>30000</v>
      </c>
      <c r="HX16" s="947">
        <f t="shared" si="70"/>
        <v>171.29637499999998</v>
      </c>
      <c r="HY16" s="952">
        <f t="shared" si="71"/>
        <v>79.774838400523706</v>
      </c>
      <c r="HZ16" s="953">
        <f t="shared" si="72"/>
        <v>1076.3730675635327</v>
      </c>
      <c r="IA16" s="954">
        <f t="shared" si="73"/>
        <v>271.60385042568726</v>
      </c>
      <c r="IB16" s="955">
        <f t="shared" si="74"/>
        <v>1427.7517563897436</v>
      </c>
      <c r="IC16" s="842">
        <f t="shared" si="75"/>
        <v>78.93192932527829</v>
      </c>
      <c r="ID16" s="351">
        <f t="shared" si="76"/>
        <v>1065</v>
      </c>
      <c r="IE16" s="844">
        <f t="shared" si="77"/>
        <v>268.73405645323203</v>
      </c>
      <c r="IF16" s="845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0"/>
        <v>1.135</v>
      </c>
      <c r="IJ16" s="96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8"/>
        <v>1613</v>
      </c>
      <c r="IM16" s="482" t="str">
        <f t="shared" si="231"/>
        <v/>
      </c>
      <c r="IN16" s="670" t="str">
        <f t="shared" si="80"/>
        <v/>
      </c>
      <c r="IO16" s="702"/>
      <c r="IP16" s="5" t="str">
        <f t="shared" si="81"/>
        <v/>
      </c>
      <c r="IQ16" s="714"/>
      <c r="IR16" s="9" t="str">
        <f t="shared" si="131"/>
        <v/>
      </c>
      <c r="IS16" s="5" t="str">
        <f t="shared" si="82"/>
        <v/>
      </c>
      <c r="IT16" s="5" t="str">
        <f t="shared" si="83"/>
        <v/>
      </c>
      <c r="IU16" s="5" t="str">
        <f t="shared" si="84"/>
        <v/>
      </c>
      <c r="IV16" s="670" t="str">
        <f t="shared" si="85"/>
        <v/>
      </c>
      <c r="IW16" s="9" t="str">
        <f t="shared" si="86"/>
        <v/>
      </c>
      <c r="IX16" s="5" t="str">
        <f t="shared" si="87"/>
        <v/>
      </c>
      <c r="IY16" s="5" t="str">
        <f t="shared" si="88"/>
        <v/>
      </c>
      <c r="IZ16" s="5" t="str">
        <f t="shared" si="89"/>
        <v/>
      </c>
      <c r="JA16" s="705" t="str">
        <f t="shared" si="9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ref="B17:D17" si="260">IFERROR(O172+($A17*-E17),"")</f>
        <v>0.22926896320440876</v>
      </c>
      <c r="C17" s="572">
        <f t="shared" si="260"/>
        <v>5.5867144446739188</v>
      </c>
      <c r="D17" s="576">
        <f t="shared" si="260"/>
        <v>-1.5541046871797366</v>
      </c>
      <c r="E17" s="580">
        <f t="shared" ref="E17:K17" si="261">R172</f>
        <v>-0.91938535125986942</v>
      </c>
      <c r="F17" s="572">
        <f t="shared" si="261"/>
        <v>0.34975869164905482</v>
      </c>
      <c r="G17" s="579">
        <f t="shared" si="261"/>
        <v>0.17999842639508837</v>
      </c>
      <c r="H17" s="580">
        <f t="shared" si="261"/>
        <v>0.3125</v>
      </c>
      <c r="I17" s="572">
        <f t="shared" si="261"/>
        <v>0.52</v>
      </c>
      <c r="J17" s="483">
        <f t="shared" si="92"/>
        <v>1.141</v>
      </c>
      <c r="K17" s="806">
        <f t="shared" si="261"/>
        <v>1613</v>
      </c>
      <c r="M17" s="164">
        <f t="shared" si="4"/>
        <v>1.141</v>
      </c>
      <c r="N17" s="575">
        <f t="shared" si="5"/>
        <v>0.22926896320440876</v>
      </c>
      <c r="O17" s="572">
        <f t="shared" si="6"/>
        <v>5.5867144446739188</v>
      </c>
      <c r="P17" s="576">
        <f t="shared" si="7"/>
        <v>-1.5541046871797366</v>
      </c>
      <c r="Q17" s="528">
        <f>IF(M17="","",IF(DEGREES(ATAN2(N17,O17))&lt;0,DEGREES(ATAN2(N17,O17))+360,IF(DEGREES(ATAN2(N17,O17))&gt;360,DEGREES(ATAN2(N17,O17))-360,DEGREES(ATAN2(N17,O17)))))</f>
        <v>87.650000339297975</v>
      </c>
      <c r="R17" s="572">
        <f>IF(M17="","",SQRT(N17^2+O17^2))</f>
        <v>5.5914168637132606</v>
      </c>
      <c r="S17" s="577">
        <f>IF(M17="","",P17)</f>
        <v>-1.5541046871797366</v>
      </c>
      <c r="T17" s="578">
        <f>IF(M17="","",X17*COS(RADIANS(W17)))</f>
        <v>5.5867543745602415</v>
      </c>
      <c r="U17" s="572">
        <f>IF(M17="","",X17*SIN(RADIANS(W17)))</f>
        <v>-0.22829389424389127</v>
      </c>
      <c r="V17" s="579">
        <f>IF(M17="","",Y17)</f>
        <v>-1.5541046871797366</v>
      </c>
      <c r="W17" s="528">
        <f t="shared" si="256"/>
        <v>357.66000033785417</v>
      </c>
      <c r="X17" s="572">
        <f>IF(M17="","",R17)</f>
        <v>5.5914168637132606</v>
      </c>
      <c r="Y17" s="573">
        <f t="shared" si="259"/>
        <v>-1.5541046871797366</v>
      </c>
      <c r="Z17" s="575">
        <f t="shared" si="10"/>
        <v>0.91938535125986942</v>
      </c>
      <c r="AA17" s="572">
        <f t="shared" si="11"/>
        <v>-0.34975869164905482</v>
      </c>
      <c r="AB17" s="572">
        <f t="shared" si="12"/>
        <v>-0.17999842639508837</v>
      </c>
      <c r="AC17" s="579">
        <f>IF(M17="","",SQRT(Z17^2+AA17^2+AB17^2))</f>
        <v>1</v>
      </c>
      <c r="AD17" s="580">
        <f>IF(M17="","",Z17*(1/SQRT(Z17^2+AA17^2+AB17^2)))</f>
        <v>0.91938535125986942</v>
      </c>
      <c r="AE17" s="572">
        <f>IF(M17="","",AA17*(1/SQRT(Z17^2+AA17^2+AB17^2)))</f>
        <v>-0.34975869164905482</v>
      </c>
      <c r="AF17" s="576">
        <f>IF(M17="","",AB17*(1/SQRT(Z17^2+AA17^2+AB17^2)))</f>
        <v>-0.17999842639508837</v>
      </c>
      <c r="AG17" s="545">
        <f>IF(M17="","",DEGREES(ATAN2(-AF17,AE17)))</f>
        <v>-62.768017173630255</v>
      </c>
      <c r="AH17" s="546">
        <f>IF(M17="","",DEGREES(ACOS(AD17)))</f>
        <v>23.163610739297937</v>
      </c>
      <c r="AI17" s="528">
        <f>IF(M17="","",DEGREES(-ACOS(-AF17)))</f>
        <v>-79.630331852515155</v>
      </c>
      <c r="AJ17" s="529">
        <f>IF(M17="","",DEGREES(ATAN2(-AE17,AD17)))</f>
        <v>69.171851131038565</v>
      </c>
      <c r="AK17" s="578">
        <f>IF(M17="","",(COS(RADIANS((90-$Q$8)-W17))*AD17)+(-SIN(RADIANS((90-$Q$8)-W17))*AE17))</f>
        <v>0.93295355396680724</v>
      </c>
      <c r="AL17" s="572">
        <f>IF(M17="","",(SIN(RADIANS((90-$Q$8)-W17))*AD17)+(COS(RADIANS((90-$Q$8)-W17))*AE17))</f>
        <v>-0.31176631093817003</v>
      </c>
      <c r="AM17" s="577">
        <f>IF(M17="","",AF17)</f>
        <v>-0.17999842639508837</v>
      </c>
      <c r="AN17" s="524">
        <f>IF(M17="","",DEGREES(ATAN2(-AM17,AL17)))</f>
        <v>-59.999991337073098</v>
      </c>
      <c r="AO17" s="525">
        <f t="shared" si="108"/>
        <v>21.099996953537374</v>
      </c>
      <c r="AP17" s="528">
        <f>IF(M17="","",DEGREES(ATAN2(AK17,AL17)))</f>
        <v>-18.478149208259431</v>
      </c>
      <c r="AQ17" s="529">
        <f t="shared" si="13"/>
        <v>0.25031888110347916</v>
      </c>
      <c r="AS17" s="900">
        <f t="shared" si="137"/>
        <v>-2.3399996621458286</v>
      </c>
      <c r="AT17" s="896">
        <f t="shared" si="14"/>
        <v>-1.5531027493399023</v>
      </c>
      <c r="AU17" s="418"/>
      <c r="AV17" s="164">
        <f t="shared" si="15"/>
        <v>1.141</v>
      </c>
      <c r="AW17" s="829">
        <f>IFERROR(INDEX(MassProp!C$9:C$150,MATCH($M17,MassProp!$B$9:$B$150,0)),"")</f>
        <v>5.8304</v>
      </c>
      <c r="AX17" s="830">
        <f>IFERROR(INDEX(MassProp!D$9:D$150,MATCH($M17,MassProp!$B$9:$B$150,0)),"")</f>
        <v>-1.294</v>
      </c>
      <c r="AY17" s="831">
        <f>IFERROR(INDEX(MassProp!E$9:E$150,MATCH($M17,MassProp!$B$9:$B$150,0)),"")</f>
        <v>1.18E-2</v>
      </c>
      <c r="AZ17" s="297">
        <f t="shared" si="138"/>
        <v>0.43227890087970944</v>
      </c>
      <c r="BA17" s="296">
        <f t="shared" si="16"/>
        <v>2.3948449237894652E-2</v>
      </c>
      <c r="BB17" s="190">
        <f t="shared" si="139"/>
        <v>0.10561437724687894</v>
      </c>
      <c r="BC17" s="9"/>
      <c r="BD17" s="5">
        <f t="shared" si="235"/>
        <v>5.8304</v>
      </c>
      <c r="BE17" s="6">
        <f t="shared" si="17"/>
        <v>-1.4484903099328577</v>
      </c>
      <c r="BF17" s="4">
        <f t="shared" si="18"/>
        <v>0.22926896320440876</v>
      </c>
      <c r="BG17" s="5">
        <f t="shared" si="19"/>
        <v>5.5867144446739188</v>
      </c>
      <c r="BH17" s="10">
        <f t="shared" si="20"/>
        <v>-1.5541046871797366</v>
      </c>
      <c r="BI17" s="9">
        <f t="shared" si="140"/>
        <v>0.22926896320440876</v>
      </c>
      <c r="BJ17" s="5">
        <f t="shared" si="21"/>
        <v>6.0443087777143232</v>
      </c>
      <c r="BK17" s="8">
        <f t="shared" si="22"/>
        <v>-2.4432657672823845</v>
      </c>
      <c r="BL17" s="173">
        <f t="shared" si="23"/>
        <v>0.62262703912095396</v>
      </c>
      <c r="BM17" s="5">
        <f t="shared" si="24"/>
        <v>6.4041961166306969</v>
      </c>
      <c r="BN17" s="6">
        <f t="shared" si="25"/>
        <v>-1.1333991605628586</v>
      </c>
      <c r="BO17" s="4">
        <f t="shared" si="141"/>
        <v>0.91938535125986987</v>
      </c>
      <c r="BP17" s="5">
        <f t="shared" si="142"/>
        <v>-0.3497586916490546</v>
      </c>
      <c r="BQ17" s="5">
        <f t="shared" si="143"/>
        <v>-0.17999842639508801</v>
      </c>
      <c r="BR17" s="6">
        <f t="shared" si="144"/>
        <v>1.4634790103717701</v>
      </c>
      <c r="BS17" s="4">
        <f t="shared" si="110"/>
        <v>0</v>
      </c>
      <c r="BT17" s="5">
        <f t="shared" si="110"/>
        <v>0</v>
      </c>
      <c r="BU17" s="10">
        <f t="shared" si="111"/>
        <v>-1.4484903099328577</v>
      </c>
      <c r="BV17" s="9">
        <f t="shared" si="112"/>
        <v>0</v>
      </c>
      <c r="BW17" s="5">
        <f t="shared" si="113"/>
        <v>1</v>
      </c>
      <c r="BX17" s="8">
        <f t="shared" si="114"/>
        <v>-1.4484903099328577</v>
      </c>
      <c r="BY17" s="173">
        <f t="shared" si="115"/>
        <v>1</v>
      </c>
      <c r="BZ17" s="5">
        <f t="shared" si="116"/>
        <v>0</v>
      </c>
      <c r="CA17" s="6">
        <f t="shared" si="117"/>
        <v>-1.4484903099328577</v>
      </c>
      <c r="CB17" s="4">
        <f t="shared" si="145"/>
        <v>0</v>
      </c>
      <c r="CC17" s="5">
        <f t="shared" si="146"/>
        <v>0</v>
      </c>
      <c r="CD17" s="5">
        <f t="shared" si="147"/>
        <v>-1</v>
      </c>
      <c r="CE17" s="6">
        <f t="shared" si="148"/>
        <v>-1.4484903099328577</v>
      </c>
      <c r="CF17" s="4">
        <f t="shared" si="149"/>
        <v>0.3497586916490546</v>
      </c>
      <c r="CG17" s="5">
        <f t="shared" si="150"/>
        <v>0.91938535125986987</v>
      </c>
      <c r="CH17" s="5">
        <f t="shared" si="151"/>
        <v>0</v>
      </c>
      <c r="CI17" s="4">
        <f t="shared" si="118"/>
        <v>0</v>
      </c>
      <c r="CJ17" s="5">
        <f t="shared" si="119"/>
        <v>4.9296987551013389</v>
      </c>
      <c r="CK17" s="8">
        <f t="shared" si="120"/>
        <v>-1.4484903099328577</v>
      </c>
      <c r="CL17" s="173">
        <f t="shared" si="121"/>
        <v>0.3497586916490546</v>
      </c>
      <c r="CM17" s="5">
        <f t="shared" si="122"/>
        <v>5.8490841063612091</v>
      </c>
      <c r="CN17" s="6">
        <f t="shared" si="123"/>
        <v>-1.4484903099328577</v>
      </c>
      <c r="CO17" s="167">
        <f t="shared" si="26"/>
        <v>0.3125</v>
      </c>
      <c r="CP17" s="4">
        <f t="shared" si="236"/>
        <v>0.96760056649529336</v>
      </c>
      <c r="CQ17" s="5">
        <f t="shared" si="237"/>
        <v>-1.3684788262940828</v>
      </c>
      <c r="CR17" s="5">
        <f t="shared" si="152"/>
        <v>0.39773202051460288</v>
      </c>
      <c r="CS17" s="8">
        <f t="shared" si="153"/>
        <v>0.33335138456224089</v>
      </c>
      <c r="CT17" s="9">
        <f t="shared" si="154"/>
        <v>1.0054999942501268</v>
      </c>
      <c r="CU17" s="6">
        <f t="shared" si="155"/>
        <v>0.40880139588939551</v>
      </c>
      <c r="CV17" s="4">
        <f t="shared" si="238"/>
        <v>0.35168236244205625</v>
      </c>
      <c r="CW17" s="5">
        <f t="shared" si="156"/>
        <v>5.8541407205067895</v>
      </c>
      <c r="CX17" s="8">
        <f t="shared" si="157"/>
        <v>-1.4484903099328577</v>
      </c>
      <c r="CY17" s="9">
        <f t="shared" si="158"/>
        <v>0.14298184137058217</v>
      </c>
      <c r="CZ17" s="5">
        <f t="shared" si="159"/>
        <v>5.3055447700566365</v>
      </c>
      <c r="DA17" s="6">
        <f t="shared" si="160"/>
        <v>-1.4484903099328577</v>
      </c>
      <c r="DB17" s="4">
        <f t="shared" si="161"/>
        <v>0</v>
      </c>
      <c r="DC17" s="5">
        <f t="shared" si="161"/>
        <v>0</v>
      </c>
      <c r="DD17" s="10">
        <f t="shared" si="162"/>
        <v>-10</v>
      </c>
      <c r="DE17" s="9">
        <f t="shared" si="163"/>
        <v>0</v>
      </c>
      <c r="DF17" s="5">
        <f t="shared" si="163"/>
        <v>0</v>
      </c>
      <c r="DG17" s="10">
        <f t="shared" si="164"/>
        <v>10</v>
      </c>
      <c r="DH17" s="70">
        <f t="shared" si="165"/>
        <v>5.8304</v>
      </c>
      <c r="DI17" s="4">
        <f t="shared" si="166"/>
        <v>0</v>
      </c>
      <c r="DJ17" s="5">
        <f t="shared" si="167"/>
        <v>0</v>
      </c>
      <c r="DK17" s="10">
        <f t="shared" si="168"/>
        <v>20</v>
      </c>
      <c r="DL17" s="9">
        <f t="shared" si="169"/>
        <v>0.35168236244205625</v>
      </c>
      <c r="DM17" s="173">
        <f t="shared" si="170"/>
        <v>5.8541407205067895</v>
      </c>
      <c r="DN17" s="178">
        <f t="shared" si="171"/>
        <v>8.5515096900671423</v>
      </c>
      <c r="DO17" s="9">
        <f t="shared" si="172"/>
        <v>-0.20870052107147408</v>
      </c>
      <c r="DP17" s="173">
        <f t="shared" si="173"/>
        <v>-0.54859595045015297</v>
      </c>
      <c r="DQ17" s="11">
        <f t="shared" si="174"/>
        <v>0</v>
      </c>
      <c r="DR17" s="173">
        <f t="shared" si="175"/>
        <v>171.03019380134285</v>
      </c>
      <c r="DS17" s="5">
        <f t="shared" si="176"/>
        <v>0</v>
      </c>
      <c r="DT17" s="5">
        <f t="shared" si="177"/>
        <v>400</v>
      </c>
      <c r="DU17" s="5">
        <f t="shared" si="178"/>
        <v>0.3445134243458115</v>
      </c>
      <c r="DV17" s="5">
        <f t="shared" si="179"/>
        <v>-3.2849541849286696</v>
      </c>
      <c r="DW17" s="5">
        <f t="shared" si="180"/>
        <v>107.52296203886081</v>
      </c>
      <c r="DX17" s="167">
        <f t="shared" si="181"/>
        <v>73.529397878860806</v>
      </c>
      <c r="DY17" s="9">
        <f t="shared" si="182"/>
        <v>137.8053697383246</v>
      </c>
      <c r="DZ17" s="5">
        <f t="shared" si="183"/>
        <v>-1313.9816739714679</v>
      </c>
      <c r="EA17" s="10">
        <f t="shared" si="184"/>
        <v>160.43195981943063</v>
      </c>
      <c r="EB17" s="6">
        <f t="shared" si="185"/>
        <v>1704439.4539921004</v>
      </c>
      <c r="EC17" s="173">
        <f t="shared" si="186"/>
        <v>19.008863753719645</v>
      </c>
      <c r="ED17" s="5">
        <f t="shared" si="187"/>
        <v>6.1244711089194541E-2</v>
      </c>
      <c r="EE17" s="4">
        <f t="shared" si="188"/>
        <v>-3.6154774079358902</v>
      </c>
      <c r="EF17" s="5">
        <f t="shared" si="189"/>
        <v>-4.5740449574425011</v>
      </c>
      <c r="EG17" s="10">
        <f t="shared" si="190"/>
        <v>-1.4484903099328577</v>
      </c>
      <c r="EH17" s="9">
        <f t="shared" si="191"/>
        <v>0.33890055932486945</v>
      </c>
      <c r="EI17" s="5">
        <f t="shared" si="192"/>
        <v>5.8205421200167677</v>
      </c>
      <c r="EJ17" s="6">
        <f t="shared" si="193"/>
        <v>-1.4484903099328577</v>
      </c>
      <c r="EK17" s="236" t="b">
        <f t="shared" si="194"/>
        <v>0</v>
      </c>
      <c r="EL17" s="238" t="b">
        <f t="shared" si="195"/>
        <v>1</v>
      </c>
      <c r="EM17" s="4">
        <f t="shared" si="196"/>
        <v>0.33890055932486945</v>
      </c>
      <c r="EN17" s="5">
        <f t="shared" si="197"/>
        <v>5.8205421200167677</v>
      </c>
      <c r="EO17" s="10">
        <f t="shared" si="198"/>
        <v>-1.4484903099328577</v>
      </c>
      <c r="EP17" s="9">
        <f t="shared" si="199"/>
        <v>86.667720448688726</v>
      </c>
      <c r="EQ17" s="5">
        <f t="shared" si="200"/>
        <v>5.8304</v>
      </c>
      <c r="ER17" s="7">
        <f t="shared" si="201"/>
        <v>-1.4484903099328577</v>
      </c>
      <c r="ES17" s="21">
        <f t="shared" si="124"/>
        <v>0.91938535125986942</v>
      </c>
      <c r="ET17" s="5">
        <f t="shared" si="35"/>
        <v>-0.34975869164905482</v>
      </c>
      <c r="EU17" s="10">
        <f t="shared" si="36"/>
        <v>-0.17999842639508837</v>
      </c>
      <c r="EV17" s="174">
        <f t="shared" si="252"/>
        <v>3.3322795513112737</v>
      </c>
      <c r="EW17" s="9">
        <f t="shared" si="125"/>
        <v>0.93816111720689499</v>
      </c>
      <c r="EX17" s="5">
        <f t="shared" si="37"/>
        <v>-0.29572670602501011</v>
      </c>
      <c r="EY17" s="6">
        <f t="shared" si="202"/>
        <v>-0.17999842639508837</v>
      </c>
      <c r="EZ17" s="51">
        <f t="shared" si="203"/>
        <v>0.24005864574726196</v>
      </c>
      <c r="FA17" s="266">
        <f t="shared" si="126"/>
        <v>0.99830046508361869</v>
      </c>
      <c r="FB17" s="267">
        <f t="shared" si="127"/>
        <v>-5.8125957860114437E-2</v>
      </c>
      <c r="FC17" s="269">
        <f t="shared" si="38"/>
        <v>-4.1898015078040279E-3</v>
      </c>
      <c r="FD17" s="4">
        <f t="shared" si="128"/>
        <v>0.99999122274314256</v>
      </c>
      <c r="FE17" s="5">
        <f t="shared" si="39"/>
        <v>4.8572257327350599E-17</v>
      </c>
      <c r="FF17" s="7">
        <f t="shared" si="204"/>
        <v>-4.1898015078040279E-3</v>
      </c>
      <c r="FG17" s="173">
        <f t="shared" si="205"/>
        <v>-6.183010553624757E-2</v>
      </c>
      <c r="FH17" s="5">
        <f t="shared" si="40"/>
        <v>-0.29572670602501017</v>
      </c>
      <c r="FI17" s="10">
        <f t="shared" si="41"/>
        <v>-0.17580862488728433</v>
      </c>
      <c r="FJ17" s="279">
        <f t="shared" si="206"/>
        <v>20.131189192363433</v>
      </c>
      <c r="FK17" s="4">
        <f t="shared" si="42"/>
        <v>0.98366689813945252</v>
      </c>
      <c r="FL17" s="5">
        <f t="shared" si="207"/>
        <v>0.99999122274314256</v>
      </c>
      <c r="FM17" s="8">
        <f t="shared" si="208"/>
        <v>0.30212124487865183</v>
      </c>
      <c r="FN17" s="9">
        <f t="shared" si="209"/>
        <v>17.495869317650182</v>
      </c>
      <c r="FO17" s="10">
        <f t="shared" si="43"/>
        <v>1</v>
      </c>
      <c r="FP17" s="277">
        <f t="shared" si="44"/>
        <v>17.495869317650182</v>
      </c>
      <c r="FQ17" s="173">
        <f t="shared" si="239"/>
        <v>0.30063704144600156</v>
      </c>
      <c r="FR17" s="10">
        <f t="shared" si="210"/>
        <v>0.95373862735583648</v>
      </c>
      <c r="FS17" s="9">
        <f t="shared" si="211"/>
        <v>0.23967065762138534</v>
      </c>
      <c r="FT17" s="6">
        <f t="shared" si="212"/>
        <v>0.76032934237861471</v>
      </c>
      <c r="FU17" s="4">
        <f t="shared" si="213"/>
        <v>0.9552725869319173</v>
      </c>
      <c r="FV17" s="5">
        <f t="shared" si="214"/>
        <v>1</v>
      </c>
      <c r="FW17" s="8">
        <f t="shared" si="240"/>
        <v>0.18636425230011619</v>
      </c>
      <c r="FX17" s="9">
        <f t="shared" si="241"/>
        <v>10.620897233481514</v>
      </c>
      <c r="FY17" s="10">
        <f t="shared" si="45"/>
        <v>1</v>
      </c>
      <c r="FZ17" s="277">
        <f t="shared" si="242"/>
        <v>10.620897233481514</v>
      </c>
      <c r="GA17" s="177">
        <f t="shared" si="215"/>
        <v>10.14538192950676</v>
      </c>
      <c r="GB17" s="4">
        <f t="shared" si="216"/>
        <v>-0.29548658538029415</v>
      </c>
      <c r="GC17" s="5">
        <f t="shared" si="217"/>
        <v>0.93739936032893356</v>
      </c>
      <c r="GD17" s="10">
        <f t="shared" si="218"/>
        <v>-0.1843098399847394</v>
      </c>
      <c r="GE17" s="311">
        <f t="shared" si="219"/>
        <v>1.4171957856939672</v>
      </c>
      <c r="GF17" s="341">
        <f t="shared" si="243"/>
        <v>0.70561880729155835</v>
      </c>
      <c r="GG17" s="285">
        <f t="shared" si="46"/>
        <v>0.20850089194669838</v>
      </c>
      <c r="GH17" s="286">
        <f t="shared" si="47"/>
        <v>0.66144661859117182</v>
      </c>
      <c r="GI17" s="281">
        <f t="shared" si="48"/>
        <v>0.13005248946212977</v>
      </c>
      <c r="GJ17" s="167">
        <f t="shared" si="220"/>
        <v>5.8304</v>
      </c>
      <c r="GK17" s="174">
        <f t="shared" si="49"/>
        <v>3.0528170966081176</v>
      </c>
      <c r="GL17" s="174">
        <f t="shared" si="221"/>
        <v>1.18E-2</v>
      </c>
      <c r="GM17" s="177">
        <f t="shared" si="244"/>
        <v>0.43227890087970944</v>
      </c>
      <c r="GN17" s="280">
        <f t="shared" si="222"/>
        <v>2.3948449237894652E-2</v>
      </c>
      <c r="GO17" s="4">
        <f t="shared" si="223"/>
        <v>17.495869317650182</v>
      </c>
      <c r="GP17" s="8">
        <f t="shared" si="245"/>
        <v>10.620897233481514</v>
      </c>
      <c r="GQ17" s="177">
        <f t="shared" si="224"/>
        <v>20.131189192363433</v>
      </c>
      <c r="GR17" s="371">
        <f t="shared" si="246"/>
        <v>1633.838955139074</v>
      </c>
      <c r="GS17" s="342">
        <f t="shared" si="51"/>
        <v>340.65687944375861</v>
      </c>
      <c r="GT17" s="343">
        <f t="shared" si="52"/>
        <v>111.58771346709602</v>
      </c>
      <c r="GU17" s="344">
        <f t="shared" si="53"/>
        <v>1080.6972521992736</v>
      </c>
      <c r="GV17" s="343">
        <f t="shared" si="253"/>
        <v>354</v>
      </c>
      <c r="GW17" s="345">
        <f t="shared" si="129"/>
        <v>30000</v>
      </c>
      <c r="GX17" s="346">
        <f t="shared" si="54"/>
        <v>171.99680000000001</v>
      </c>
      <c r="GY17" s="344">
        <f t="shared" si="55"/>
        <v>212.48482349604151</v>
      </c>
      <c r="GZ17" s="345">
        <f t="shared" si="56"/>
        <v>69.602867375227376</v>
      </c>
      <c r="HA17" s="342">
        <f t="shared" si="57"/>
        <v>340.65687944375861</v>
      </c>
      <c r="HB17" s="5">
        <f t="shared" si="225"/>
        <v>3.3322795513112737</v>
      </c>
      <c r="HC17" s="343">
        <f t="shared" si="226"/>
        <v>340.08090616010418</v>
      </c>
      <c r="HD17" s="345">
        <f t="shared" si="227"/>
        <v>19.801181219359659</v>
      </c>
      <c r="HE17" s="344">
        <f t="shared" si="58"/>
        <v>354</v>
      </c>
      <c r="HF17" s="5">
        <f t="shared" si="59"/>
        <v>93.332279551311274</v>
      </c>
      <c r="HG17" s="343">
        <f t="shared" si="228"/>
        <v>-20.576769690073412</v>
      </c>
      <c r="HH17" s="349">
        <f t="shared" si="229"/>
        <v>353.40146653504661</v>
      </c>
      <c r="HI17" s="317">
        <f t="shared" si="60"/>
        <v>1.141</v>
      </c>
      <c r="HJ17" s="336"/>
      <c r="HK17" s="310">
        <f t="shared" si="130"/>
        <v>9</v>
      </c>
      <c r="HL17" s="348">
        <f t="shared" si="61"/>
        <v>5.109</v>
      </c>
      <c r="HM17" s="935">
        <f>IF(ISNUMBER($HL17),INDEX(GO$9:GO$150,MATCH($HL17,$AV$9:$AV$150,0)),"")</f>
        <v>-3.8944034779450996</v>
      </c>
      <c r="HN17" s="936">
        <f t="shared" si="63"/>
        <v>14.99999783426823</v>
      </c>
      <c r="HO17" s="937"/>
      <c r="HP17" s="938"/>
      <c r="HQ17" s="936">
        <f t="shared" si="64"/>
        <v>14.711186139256245</v>
      </c>
      <c r="HR17" s="939">
        <f t="shared" si="65"/>
        <v>14.231760721702582</v>
      </c>
      <c r="HS17" s="940">
        <f t="shared" si="249"/>
        <v>2.1475</v>
      </c>
      <c r="HT17" s="941">
        <f t="shared" si="66"/>
        <v>2.4199999999999999E-2</v>
      </c>
      <c r="HU17" s="942">
        <f t="shared" si="67"/>
        <v>0.32655512443063883</v>
      </c>
      <c r="HV17" s="943">
        <f t="shared" si="68"/>
        <v>1.8091303565560185E-2</v>
      </c>
      <c r="HW17" s="944">
        <f t="shared" si="69"/>
        <v>30000</v>
      </c>
      <c r="HX17" s="947">
        <f t="shared" si="70"/>
        <v>129.92374999999998</v>
      </c>
      <c r="HY17" s="952">
        <f t="shared" si="71"/>
        <v>55.575624443192055</v>
      </c>
      <c r="HZ17" s="953">
        <f t="shared" si="72"/>
        <v>816.38781107659702</v>
      </c>
      <c r="IA17" s="954">
        <f t="shared" si="73"/>
        <v>207.53868959809148</v>
      </c>
      <c r="IB17" s="955">
        <f t="shared" si="74"/>
        <v>1079.5021251178805</v>
      </c>
      <c r="IC17" s="842">
        <f t="shared" si="75"/>
        <v>49.422471524347415</v>
      </c>
      <c r="ID17" s="351">
        <f t="shared" si="76"/>
        <v>726</v>
      </c>
      <c r="IE17" s="844">
        <f t="shared" si="77"/>
        <v>184.56067888803599</v>
      </c>
      <c r="IF17" s="845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0"/>
        <v>1.141</v>
      </c>
      <c r="IJ17" s="96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8"/>
        <v>1613</v>
      </c>
      <c r="IM17" s="482" t="str">
        <f t="shared" si="231"/>
        <v/>
      </c>
      <c r="IN17" s="670" t="str">
        <f t="shared" si="80"/>
        <v/>
      </c>
      <c r="IO17" s="702"/>
      <c r="IP17" s="5" t="str">
        <f t="shared" si="81"/>
        <v/>
      </c>
      <c r="IQ17" s="714"/>
      <c r="IR17" s="9" t="str">
        <f t="shared" si="131"/>
        <v/>
      </c>
      <c r="IS17" s="5" t="str">
        <f t="shared" si="82"/>
        <v/>
      </c>
      <c r="IT17" s="5" t="str">
        <f t="shared" si="83"/>
        <v/>
      </c>
      <c r="IU17" s="5" t="str">
        <f t="shared" si="84"/>
        <v/>
      </c>
      <c r="IV17" s="670" t="str">
        <f t="shared" si="85"/>
        <v/>
      </c>
      <c r="IW17" s="9" t="str">
        <f t="shared" si="86"/>
        <v/>
      </c>
      <c r="IX17" s="5" t="str">
        <f t="shared" si="87"/>
        <v/>
      </c>
      <c r="IY17" s="5" t="str">
        <f t="shared" si="88"/>
        <v/>
      </c>
      <c r="IZ17" s="5" t="str">
        <f t="shared" si="89"/>
        <v/>
      </c>
      <c r="JA17" s="705" t="str">
        <f t="shared" si="90"/>
        <v/>
      </c>
    </row>
    <row r="18" spans="1:271" ht="15" customHeight="1" x14ac:dyDescent="0.25">
      <c r="A18" s="75">
        <f t="shared" si="1"/>
        <v>0</v>
      </c>
      <c r="B18" s="578">
        <f t="shared" ref="B18:D18" si="262">IFERROR(O173+($A18*-E18),"")</f>
        <v>0.27181304624780606</v>
      </c>
      <c r="C18" s="572">
        <f t="shared" si="262"/>
        <v>5.8068593706032301</v>
      </c>
      <c r="D18" s="576">
        <f t="shared" si="262"/>
        <v>-2.2684068415150334</v>
      </c>
      <c r="E18" s="580">
        <f>R173</f>
        <v>-0.87717575145823634</v>
      </c>
      <c r="F18" s="572">
        <f t="shared" ref="F18:K18" si="263">S173</f>
        <v>0.46647350508793095</v>
      </c>
      <c r="G18" s="579">
        <f t="shared" si="263"/>
        <v>0.113864700871949</v>
      </c>
      <c r="H18" s="580">
        <f t="shared" si="263"/>
        <v>0.3125</v>
      </c>
      <c r="I18" s="572">
        <f t="shared" si="263"/>
        <v>0.52</v>
      </c>
      <c r="J18" s="483">
        <f t="shared" si="92"/>
        <v>1.147</v>
      </c>
      <c r="K18" s="806">
        <f t="shared" si="263"/>
        <v>1613</v>
      </c>
      <c r="L18" s="720" t="s">
        <v>322</v>
      </c>
      <c r="M18" s="164">
        <f t="shared" si="4"/>
        <v>1.147</v>
      </c>
      <c r="N18" s="575">
        <f t="shared" si="5"/>
        <v>0.27181304624780606</v>
      </c>
      <c r="O18" s="572">
        <f t="shared" si="6"/>
        <v>5.8068593706032301</v>
      </c>
      <c r="P18" s="576">
        <f t="shared" si="7"/>
        <v>-2.2684068415150334</v>
      </c>
      <c r="Q18" s="528">
        <f t="shared" si="134"/>
        <v>87.320000386944074</v>
      </c>
      <c r="R18" s="572">
        <f>IF(M18="","",SQRT(N18^2+O18^2))</f>
        <v>5.8132175326640807</v>
      </c>
      <c r="S18" s="577">
        <f>IF(M18="","",P18)</f>
        <v>-2.2684068415150334</v>
      </c>
      <c r="T18" s="578">
        <f>IF(M18="","",X18*COS(RADIANS(W18)))</f>
        <v>5.8069067224787085</v>
      </c>
      <c r="U18" s="572">
        <f>IF(M18="","",X18*SIN(RADIANS(W18)))</f>
        <v>-0.27079955410716217</v>
      </c>
      <c r="V18" s="579">
        <f>IF(M18="","",Y18)</f>
        <v>-2.2684068415150334</v>
      </c>
      <c r="W18" s="528">
        <f t="shared" si="256"/>
        <v>357.33000038550023</v>
      </c>
      <c r="X18" s="572">
        <f>IF(M18="","",R18)</f>
        <v>5.8132175326640807</v>
      </c>
      <c r="Y18" s="573">
        <f t="shared" si="259"/>
        <v>-2.2684068415150334</v>
      </c>
      <c r="Z18" s="575">
        <f t="shared" si="10"/>
        <v>0.87717575145823634</v>
      </c>
      <c r="AA18" s="572">
        <f t="shared" si="11"/>
        <v>-0.46647350508793095</v>
      </c>
      <c r="AB18" s="572">
        <f t="shared" si="12"/>
        <v>-0.113864700871949</v>
      </c>
      <c r="AC18" s="579">
        <f>IF(M18="","",SQRT(Z18^2+AA18^2+AB18^2))</f>
        <v>1</v>
      </c>
      <c r="AD18" s="580">
        <f>IF(M18="","",Z18*(1/SQRT(Z18^2+AA18^2+AB18^2)))</f>
        <v>0.87717575145823634</v>
      </c>
      <c r="AE18" s="572">
        <f>IF(M18="","",AA18*(1/SQRT(Z18^2+AA18^2+AB18^2)))</f>
        <v>-0.46647350508793095</v>
      </c>
      <c r="AF18" s="576">
        <f>IF(M18="","",AB18*(1/SQRT(Z18^2+AA18^2+AB18^2)))</f>
        <v>-0.113864700871949</v>
      </c>
      <c r="AG18" s="545">
        <f>IF(M18="","",DEGREES(ATAN2(-AF18,AE18)))</f>
        <v>-76.28252739840643</v>
      </c>
      <c r="AH18" s="546">
        <f>IF(M18="","",DEGREES(ACOS(AD18)))</f>
        <v>28.696469667222491</v>
      </c>
      <c r="AI18" s="528">
        <f>IF(M18="","",DEGREES(-ACOS(-AF18)))</f>
        <v>-83.461852925466616</v>
      </c>
      <c r="AJ18" s="529">
        <f>IF(M18="","",DEGREES(ATAN2(-AE18,AD18)))</f>
        <v>61.9963905210153</v>
      </c>
      <c r="AK18" s="578">
        <f>IF(M18="","",(COS(RADIANS((90-$Q$8)-W18))*AD18)+(-SIN(RADIANS((90-$Q$8)-W18))*AE18))</f>
        <v>0.89802760469564191</v>
      </c>
      <c r="AL18" s="572">
        <f>IF(M18="","",(SIN(RADIANS((90-$Q$8)-W18))*AD18)+(COS(RADIANS((90-$Q$8)-W18))*AE18))</f>
        <v>-0.42494852758887114</v>
      </c>
      <c r="AM18" s="577">
        <f>IF(M18="","",AF18)</f>
        <v>-0.113864700871949</v>
      </c>
      <c r="AN18" s="524">
        <f>IF(M18="","",DEGREES(ATAN2(-AM18,AL18)))</f>
        <v>-74.999989171341326</v>
      </c>
      <c r="AO18" s="525">
        <f t="shared" si="108"/>
        <v>26.099996231626758</v>
      </c>
      <c r="AP18" s="528">
        <f>IF(M18="","",DEGREES(ATAN2(AK18,AL18)))</f>
        <v>-25.323609865928741</v>
      </c>
      <c r="AQ18" s="529">
        <f t="shared" si="13"/>
        <v>0.24076819279747619</v>
      </c>
      <c r="AS18" s="900">
        <f t="shared" si="137"/>
        <v>-2.6699996144997726</v>
      </c>
      <c r="AT18" s="896">
        <f t="shared" si="14"/>
        <v>-2.2672642060210948</v>
      </c>
      <c r="AU18" s="418"/>
      <c r="AV18" s="164">
        <f t="shared" si="15"/>
        <v>1.147</v>
      </c>
      <c r="AW18" s="829">
        <f>IFERROR(INDEX(MassProp!C$9:C$150,MATCH($M18,MassProp!$B$9:$B$150,0)),"")</f>
        <v>6.0758000000000001</v>
      </c>
      <c r="AX18" s="830">
        <f>IFERROR(INDEX(MassProp!D$9:D$150,MATCH($M18,MassProp!$B$9:$B$150,0)),"")</f>
        <v>-2.0760883720930234</v>
      </c>
      <c r="AY18" s="831">
        <f>IFERROR(INDEX(MassProp!E$9:E$150,MATCH($M18,MassProp!$B$9:$B$150,0)),"")</f>
        <v>4.4999999999999997E-3</v>
      </c>
      <c r="AZ18" s="297">
        <f t="shared" si="138"/>
        <v>0.17179058631012364</v>
      </c>
      <c r="BA18" s="296">
        <f t="shared" si="16"/>
        <v>9.5172772194611344E-3</v>
      </c>
      <c r="BB18" s="190">
        <f t="shared" si="139"/>
        <v>3.7687461835048008E-2</v>
      </c>
      <c r="BC18" s="9"/>
      <c r="BD18" s="5">
        <f t="shared" si="235"/>
        <v>6.0758000000000001</v>
      </c>
      <c r="BE18" s="6">
        <f t="shared" si="17"/>
        <v>-2.2307193796799853</v>
      </c>
      <c r="BF18" s="4">
        <f t="shared" si="18"/>
        <v>0.27181304624780606</v>
      </c>
      <c r="BG18" s="5">
        <f t="shared" si="19"/>
        <v>5.8068593706032301</v>
      </c>
      <c r="BH18" s="10">
        <f t="shared" si="20"/>
        <v>-2.2684068415150334</v>
      </c>
      <c r="BI18" s="9">
        <f t="shared" si="140"/>
        <v>0.27181304624780606</v>
      </c>
      <c r="BJ18" s="5">
        <f t="shared" si="21"/>
        <v>6.0439937838565108</v>
      </c>
      <c r="BK18" s="8">
        <f t="shared" si="22"/>
        <v>-3.239883691497071</v>
      </c>
      <c r="BL18" s="173">
        <f t="shared" si="23"/>
        <v>0.75198249660223904</v>
      </c>
      <c r="BM18" s="5">
        <f t="shared" si="24"/>
        <v>6.6590153065105042</v>
      </c>
      <c r="BN18" s="6">
        <f t="shared" si="25"/>
        <v>-2.0603982843729787</v>
      </c>
      <c r="BO18" s="4">
        <f t="shared" si="141"/>
        <v>0.87717575145823501</v>
      </c>
      <c r="BP18" s="5">
        <f t="shared" si="142"/>
        <v>-0.46647350508793095</v>
      </c>
      <c r="BQ18" s="5">
        <f t="shared" si="143"/>
        <v>-0.11386470087194889</v>
      </c>
      <c r="BR18" s="6">
        <f t="shared" si="144"/>
        <v>2.212026764594424</v>
      </c>
      <c r="BS18" s="4">
        <f t="shared" si="110"/>
        <v>0</v>
      </c>
      <c r="BT18" s="5">
        <f t="shared" si="110"/>
        <v>0</v>
      </c>
      <c r="BU18" s="10">
        <f t="shared" si="111"/>
        <v>-2.2307193796799853</v>
      </c>
      <c r="BV18" s="9">
        <f t="shared" si="112"/>
        <v>0</v>
      </c>
      <c r="BW18" s="5">
        <f t="shared" si="113"/>
        <v>1</v>
      </c>
      <c r="BX18" s="8">
        <f t="shared" si="114"/>
        <v>-2.2307193796799853</v>
      </c>
      <c r="BY18" s="173">
        <f t="shared" si="115"/>
        <v>1</v>
      </c>
      <c r="BZ18" s="5">
        <f t="shared" si="116"/>
        <v>0</v>
      </c>
      <c r="CA18" s="6">
        <f t="shared" si="117"/>
        <v>-2.2307193796799853</v>
      </c>
      <c r="CB18" s="4">
        <f t="shared" si="145"/>
        <v>0</v>
      </c>
      <c r="CC18" s="5">
        <f t="shared" si="146"/>
        <v>0</v>
      </c>
      <c r="CD18" s="5">
        <f t="shared" si="147"/>
        <v>-1</v>
      </c>
      <c r="CE18" s="6">
        <f t="shared" si="148"/>
        <v>-2.2307193796799853</v>
      </c>
      <c r="CF18" s="4">
        <f t="shared" si="149"/>
        <v>0.46647350508793095</v>
      </c>
      <c r="CG18" s="5">
        <f t="shared" si="150"/>
        <v>0.87717575145823501</v>
      </c>
      <c r="CH18" s="5">
        <f t="shared" si="151"/>
        <v>0</v>
      </c>
      <c r="CI18" s="4">
        <f t="shared" si="118"/>
        <v>0</v>
      </c>
      <c r="CJ18" s="5">
        <f t="shared" si="119"/>
        <v>5.286531673489355</v>
      </c>
      <c r="CK18" s="8">
        <f t="shared" si="120"/>
        <v>-2.2307193796799853</v>
      </c>
      <c r="CL18" s="173">
        <f t="shared" si="121"/>
        <v>0.46647350508793095</v>
      </c>
      <c r="CM18" s="5">
        <f t="shared" si="122"/>
        <v>6.1637074249475905</v>
      </c>
      <c r="CN18" s="6">
        <f t="shared" si="123"/>
        <v>-2.2307193796799853</v>
      </c>
      <c r="CO18" s="167">
        <f t="shared" si="26"/>
        <v>0.3125</v>
      </c>
      <c r="CP18" s="4">
        <f t="shared" si="236"/>
        <v>0.98703482989533997</v>
      </c>
      <c r="CQ18" s="5">
        <f t="shared" si="237"/>
        <v>-1.1664248462644768</v>
      </c>
      <c r="CR18" s="5">
        <f t="shared" si="152"/>
        <v>0.24838733927391843</v>
      </c>
      <c r="CS18" s="8">
        <f t="shared" si="153"/>
        <v>0.3798791013095556</v>
      </c>
      <c r="CT18" s="9">
        <f>IF(ISNUMBER($AV18),(-CQ18+SQRT(CS18))/(CP18*2),"")</f>
        <v>0.90309284078789132</v>
      </c>
      <c r="CU18" s="6">
        <f t="shared" si="155"/>
        <v>0.27865354843340739</v>
      </c>
      <c r="CV18" s="4">
        <f>IF(ISNUMBER($AV18),CI18+($CT18*(CL18-CI18)),"")</f>
        <v>0.42126888286214442</v>
      </c>
      <c r="CW18" s="5">
        <f t="shared" si="156"/>
        <v>6.0787028147440259</v>
      </c>
      <c r="CX18" s="8">
        <f t="shared" si="157"/>
        <v>-2.2307193796799853</v>
      </c>
      <c r="CY18" s="9">
        <f t="shared" si="158"/>
        <v>0.12998449744292107</v>
      </c>
      <c r="CZ18" s="5">
        <f t="shared" si="159"/>
        <v>5.5309598092329333</v>
      </c>
      <c r="DA18" s="6">
        <f t="shared" si="160"/>
        <v>-2.2307193796799853</v>
      </c>
      <c r="DB18" s="4">
        <f t="shared" si="161"/>
        <v>0</v>
      </c>
      <c r="DC18" s="5">
        <f t="shared" si="161"/>
        <v>0</v>
      </c>
      <c r="DD18" s="10">
        <f t="shared" si="162"/>
        <v>-10</v>
      </c>
      <c r="DE18" s="9">
        <f t="shared" si="163"/>
        <v>0</v>
      </c>
      <c r="DF18" s="5">
        <f t="shared" si="163"/>
        <v>0</v>
      </c>
      <c r="DG18" s="10">
        <f t="shared" si="164"/>
        <v>10</v>
      </c>
      <c r="DH18" s="70">
        <f t="shared" si="165"/>
        <v>6.0758000000000001</v>
      </c>
      <c r="DI18" s="4">
        <f t="shared" si="166"/>
        <v>0</v>
      </c>
      <c r="DJ18" s="5">
        <f t="shared" si="167"/>
        <v>0</v>
      </c>
      <c r="DK18" s="10">
        <f t="shared" si="168"/>
        <v>20</v>
      </c>
      <c r="DL18" s="9">
        <f>IF(ISNUMBER($AV18),CV18-DB18,"")</f>
        <v>0.42126888286214442</v>
      </c>
      <c r="DM18" s="173">
        <f t="shared" si="170"/>
        <v>6.0787028147440259</v>
      </c>
      <c r="DN18" s="178">
        <f t="shared" si="171"/>
        <v>7.7692806203200142</v>
      </c>
      <c r="DO18" s="9">
        <f t="shared" si="172"/>
        <v>-0.29128438541922336</v>
      </c>
      <c r="DP18" s="173">
        <f t="shared" si="173"/>
        <v>-0.54774300551109256</v>
      </c>
      <c r="DQ18" s="11">
        <f t="shared" si="174"/>
        <v>0</v>
      </c>
      <c r="DR18" s="173">
        <f t="shared" si="175"/>
        <v>155.3856124064003</v>
      </c>
      <c r="DS18" s="5">
        <f t="shared" si="176"/>
        <v>0</v>
      </c>
      <c r="DT18" s="5">
        <f t="shared" si="177"/>
        <v>400</v>
      </c>
      <c r="DU18" s="5">
        <f t="shared" si="178"/>
        <v>0.38486899327537949</v>
      </c>
      <c r="DV18" s="5">
        <f t="shared" si="179"/>
        <v>-3.4522759969973733</v>
      </c>
      <c r="DW18" s="5">
        <f t="shared" si="180"/>
        <v>97.489816738925015</v>
      </c>
      <c r="DX18" s="167">
        <f t="shared" si="181"/>
        <v>60.574471098925017</v>
      </c>
      <c r="DY18" s="9">
        <f t="shared" si="182"/>
        <v>153.94759731015179</v>
      </c>
      <c r="DZ18" s="5">
        <f t="shared" si="183"/>
        <v>-1380.9103987989492</v>
      </c>
      <c r="EA18" s="10">
        <f t="shared" si="184"/>
        <v>85.099896657942736</v>
      </c>
      <c r="EB18" s="6">
        <f t="shared" si="185"/>
        <v>1893812.6048892406</v>
      </c>
      <c r="EC18" s="173">
        <f t="shared" si="186"/>
        <v>17.90913978431157</v>
      </c>
      <c r="ED18" s="5">
        <f t="shared" si="187"/>
        <v>3.0866073875183676E-2</v>
      </c>
      <c r="EE18" s="4">
        <f t="shared" si="188"/>
        <v>-4.7953838925980135</v>
      </c>
      <c r="EF18" s="5">
        <f t="shared" si="189"/>
        <v>-3.7309032368330728</v>
      </c>
      <c r="EG18" s="10">
        <f t="shared" si="190"/>
        <v>-2.2307193796799853</v>
      </c>
      <c r="EH18" s="9">
        <f t="shared" si="191"/>
        <v>0.41227807750310719</v>
      </c>
      <c r="EI18" s="5">
        <f t="shared" si="192"/>
        <v>6.0617961386713057</v>
      </c>
      <c r="EJ18" s="6">
        <f t="shared" si="193"/>
        <v>-2.2307193796799853</v>
      </c>
      <c r="EK18" s="236" t="b">
        <f t="shared" si="194"/>
        <v>0</v>
      </c>
      <c r="EL18" s="238" t="b">
        <f t="shared" si="195"/>
        <v>1</v>
      </c>
      <c r="EM18" s="4">
        <f t="shared" si="196"/>
        <v>0.41227807750310719</v>
      </c>
      <c r="EN18" s="5">
        <f t="shared" si="197"/>
        <v>6.0617961386713057</v>
      </c>
      <c r="EO18" s="10">
        <f t="shared" si="198"/>
        <v>-2.2307193796799853</v>
      </c>
      <c r="EP18" s="9">
        <f t="shared" si="199"/>
        <v>86.109161118693962</v>
      </c>
      <c r="EQ18" s="5">
        <f t="shared" si="200"/>
        <v>6.0758000000000001</v>
      </c>
      <c r="ER18" s="7">
        <f t="shared" si="201"/>
        <v>-2.2307193796799853</v>
      </c>
      <c r="ES18" s="21">
        <f t="shared" si="124"/>
        <v>0.87717575145823634</v>
      </c>
      <c r="ET18" s="5">
        <f t="shared" si="35"/>
        <v>-0.46647350508793095</v>
      </c>
      <c r="EU18" s="10">
        <f t="shared" si="36"/>
        <v>-0.113864700871949</v>
      </c>
      <c r="EV18" s="174">
        <f t="shared" si="252"/>
        <v>3.8908388813060384</v>
      </c>
      <c r="EW18" s="9">
        <f t="shared" si="125"/>
        <v>0.90680690329000724</v>
      </c>
      <c r="EX18" s="5">
        <f t="shared" si="37"/>
        <v>-0.40587691489037558</v>
      </c>
      <c r="EY18" s="6">
        <f t="shared" si="202"/>
        <v>-0.113864700871949</v>
      </c>
      <c r="EZ18" s="51">
        <f t="shared" si="203"/>
        <v>0.23036284545022276</v>
      </c>
      <c r="FA18" s="266">
        <f t="shared" si="126"/>
        <v>0.99768707722943795</v>
      </c>
      <c r="FB18" s="267">
        <f t="shared" si="127"/>
        <v>-6.7855219928264682E-2</v>
      </c>
      <c r="FC18" s="269">
        <f t="shared" si="38"/>
        <v>-4.0205792951409341E-3</v>
      </c>
      <c r="FD18" s="4">
        <f t="shared" si="128"/>
        <v>0.99999191743840188</v>
      </c>
      <c r="FE18" s="5">
        <f t="shared" si="39"/>
        <v>0</v>
      </c>
      <c r="FF18" s="7">
        <f t="shared" si="204"/>
        <v>-4.0205792951409341E-3</v>
      </c>
      <c r="FG18" s="173">
        <f t="shared" si="205"/>
        <v>-9.318501414839464E-2</v>
      </c>
      <c r="FH18" s="5">
        <f t="shared" si="40"/>
        <v>-0.40587691489037558</v>
      </c>
      <c r="FI18" s="10">
        <f t="shared" si="41"/>
        <v>-0.10984412157680806</v>
      </c>
      <c r="FJ18" s="279">
        <f t="shared" si="206"/>
        <v>24.870949246458821</v>
      </c>
      <c r="FK18" s="4">
        <f t="shared" si="42"/>
        <v>0.99349626566753713</v>
      </c>
      <c r="FL18" s="5">
        <f t="shared" si="207"/>
        <v>0.99999191743840188</v>
      </c>
      <c r="FM18" s="8">
        <f t="shared" si="208"/>
        <v>0.4164366901496141</v>
      </c>
      <c r="FN18" s="9">
        <f t="shared" si="209"/>
        <v>24.112770597678665</v>
      </c>
      <c r="FO18" s="10">
        <f t="shared" si="43"/>
        <v>1</v>
      </c>
      <c r="FP18" s="277">
        <f t="shared" si="44"/>
        <v>24.112770597678665</v>
      </c>
      <c r="FQ18" s="173">
        <f t="shared" si="239"/>
        <v>0.40853391091275415</v>
      </c>
      <c r="FR18" s="10">
        <f t="shared" si="210"/>
        <v>0.91274314220065755</v>
      </c>
      <c r="FS18" s="9">
        <f t="shared" si="211"/>
        <v>0.30919625066529305</v>
      </c>
      <c r="FT18" s="6">
        <f t="shared" si="212"/>
        <v>0.69080374933470701</v>
      </c>
      <c r="FU18" s="4">
        <f t="shared" si="213"/>
        <v>0.91392774876303595</v>
      </c>
      <c r="FV18" s="5">
        <f t="shared" si="214"/>
        <v>1</v>
      </c>
      <c r="FW18" s="8">
        <f t="shared" si="240"/>
        <v>0.14404574935351999</v>
      </c>
      <c r="FX18" s="9">
        <f t="shared" si="241"/>
        <v>6.9266181778828386</v>
      </c>
      <c r="FY18" s="10">
        <f t="shared" si="45"/>
        <v>1</v>
      </c>
      <c r="FZ18" s="277">
        <f t="shared" si="242"/>
        <v>6.9266181778828386</v>
      </c>
      <c r="GA18" s="177">
        <f t="shared" si="215"/>
        <v>6.3301601131752259</v>
      </c>
      <c r="GB18" s="4">
        <f t="shared" si="216"/>
        <v>-0.40555219439835394</v>
      </c>
      <c r="GC18" s="5">
        <f t="shared" si="217"/>
        <v>0.90608141540685327</v>
      </c>
      <c r="GD18" s="10">
        <f t="shared" si="218"/>
        <v>-0.12059803594168972</v>
      </c>
      <c r="GE18" s="311">
        <f t="shared" si="219"/>
        <v>1.4322316457468971</v>
      </c>
      <c r="GF18" s="341">
        <f t="shared" si="243"/>
        <v>0.69821107707650754</v>
      </c>
      <c r="GG18" s="285">
        <f t="shared" si="46"/>
        <v>0.28316103446161589</v>
      </c>
      <c r="GH18" s="286">
        <f t="shared" si="47"/>
        <v>0.6326360809702255</v>
      </c>
      <c r="GI18" s="281">
        <f t="shared" si="48"/>
        <v>8.420288456815854E-2</v>
      </c>
      <c r="GJ18" s="167">
        <f t="shared" si="220"/>
        <v>6.0758000000000001</v>
      </c>
      <c r="GK18" s="174">
        <f t="shared" si="49"/>
        <v>3.1813071538911788</v>
      </c>
      <c r="GL18" s="174">
        <f t="shared" si="221"/>
        <v>4.4999999999999997E-3</v>
      </c>
      <c r="GM18" s="177">
        <f t="shared" si="244"/>
        <v>0.17179058631012364</v>
      </c>
      <c r="GN18" s="280">
        <f t="shared" si="222"/>
        <v>9.5172772194611344E-3</v>
      </c>
      <c r="GO18" s="4">
        <f t="shared" si="223"/>
        <v>24.112770597678665</v>
      </c>
      <c r="GP18" s="8">
        <f t="shared" si="245"/>
        <v>6.9266181778828386</v>
      </c>
      <c r="GQ18" s="177">
        <f t="shared" si="224"/>
        <v>24.870949246458821</v>
      </c>
      <c r="GR18" s="371">
        <f t="shared" si="246"/>
        <v>678.86811817096157</v>
      </c>
      <c r="GS18" s="342">
        <f t="shared" si="51"/>
        <v>192.22899860430002</v>
      </c>
      <c r="GT18" s="343">
        <f t="shared" si="52"/>
        <v>60.424532843104245</v>
      </c>
      <c r="GU18" s="344">
        <f t="shared" si="53"/>
        <v>429.47646577530912</v>
      </c>
      <c r="GV18" s="343">
        <f t="shared" si="253"/>
        <v>135</v>
      </c>
      <c r="GW18" s="345">
        <f t="shared" si="129"/>
        <v>30000</v>
      </c>
      <c r="GX18" s="346">
        <f t="shared" si="54"/>
        <v>68.35275</v>
      </c>
      <c r="GY18" s="344">
        <f t="shared" si="55"/>
        <v>57.162653791352497</v>
      </c>
      <c r="GZ18" s="345">
        <f t="shared" si="56"/>
        <v>17.968291342580567</v>
      </c>
      <c r="HA18" s="342">
        <f t="shared" si="57"/>
        <v>192.22899860430002</v>
      </c>
      <c r="HB18" s="5">
        <f t="shared" si="225"/>
        <v>3.8908388813060384</v>
      </c>
      <c r="HC18" s="343">
        <f t="shared" si="226"/>
        <v>191.78593789792251</v>
      </c>
      <c r="HD18" s="345">
        <f t="shared" si="227"/>
        <v>13.043846404576902</v>
      </c>
      <c r="HE18" s="344">
        <f t="shared" si="58"/>
        <v>135</v>
      </c>
      <c r="HF18" s="5">
        <f t="shared" si="59"/>
        <v>93.890838881306038</v>
      </c>
      <c r="HG18" s="343">
        <f t="shared" si="228"/>
        <v>-9.1605287308534535</v>
      </c>
      <c r="HH18" s="349">
        <f t="shared" si="229"/>
        <v>134.68884405685279</v>
      </c>
      <c r="HI18" s="317">
        <f t="shared" si="60"/>
        <v>1.147</v>
      </c>
      <c r="HJ18" s="336"/>
      <c r="HK18" s="310">
        <f t="shared" si="130"/>
        <v>10</v>
      </c>
      <c r="HL18" s="348">
        <f t="shared" si="61"/>
        <v>2.11</v>
      </c>
      <c r="HM18" s="935">
        <f t="shared" si="62"/>
        <v>-3.5815665709104585</v>
      </c>
      <c r="HN18" s="936">
        <f t="shared" si="63"/>
        <v>14.999999999999982</v>
      </c>
      <c r="HO18" s="937"/>
      <c r="HP18" s="938"/>
      <c r="HQ18" s="936">
        <f t="shared" si="64"/>
        <v>14.687404408591743</v>
      </c>
      <c r="HR18" s="939">
        <f t="shared" si="65"/>
        <v>14.282472508722513</v>
      </c>
      <c r="HS18" s="940">
        <f t="shared" si="249"/>
        <v>2.2181999999999999</v>
      </c>
      <c r="HT18" s="941">
        <f t="shared" si="66"/>
        <v>1.4E-2</v>
      </c>
      <c r="HU18" s="942">
        <f t="shared" si="67"/>
        <v>0.19513489499845829</v>
      </c>
      <c r="HV18" s="943">
        <f t="shared" si="68"/>
        <v>1.0810562620341468E-2</v>
      </c>
      <c r="HW18" s="944">
        <f t="shared" si="69"/>
        <v>30000</v>
      </c>
      <c r="HX18" s="947">
        <f t="shared" si="70"/>
        <v>77.637</v>
      </c>
      <c r="HY18" s="952">
        <f t="shared" si="71"/>
        <v>30.534550448789513</v>
      </c>
      <c r="HZ18" s="953">
        <f t="shared" si="72"/>
        <v>487.83723749614575</v>
      </c>
      <c r="IA18" s="954">
        <f t="shared" si="73"/>
        <v>124.43226471094358</v>
      </c>
      <c r="IB18" s="955">
        <f t="shared" si="74"/>
        <v>642.80405265587888</v>
      </c>
      <c r="IC18" s="842">
        <f t="shared" si="75"/>
        <v>26.28850403940908</v>
      </c>
      <c r="ID18" s="351">
        <f t="shared" si="76"/>
        <v>420</v>
      </c>
      <c r="IE18" s="844">
        <f t="shared" si="77"/>
        <v>107.12907330902391</v>
      </c>
      <c r="IF18" s="845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0"/>
        <v>1.147</v>
      </c>
      <c r="IJ18" s="96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8"/>
        <v>1613</v>
      </c>
      <c r="IM18" s="482" t="str">
        <f t="shared" si="231"/>
        <v/>
      </c>
      <c r="IN18" s="670" t="str">
        <f t="shared" si="80"/>
        <v/>
      </c>
      <c r="IO18" s="702"/>
      <c r="IP18" s="5" t="str">
        <f t="shared" si="81"/>
        <v/>
      </c>
      <c r="IQ18" s="714"/>
      <c r="IR18" s="9" t="str">
        <f t="shared" si="131"/>
        <v/>
      </c>
      <c r="IS18" s="5" t="str">
        <f t="shared" si="82"/>
        <v/>
      </c>
      <c r="IT18" s="5" t="str">
        <f t="shared" si="83"/>
        <v/>
      </c>
      <c r="IU18" s="5" t="str">
        <f t="shared" si="84"/>
        <v/>
      </c>
      <c r="IV18" s="670" t="str">
        <f t="shared" si="85"/>
        <v/>
      </c>
      <c r="IW18" s="9" t="str">
        <f t="shared" si="86"/>
        <v/>
      </c>
      <c r="IX18" s="5" t="str">
        <f t="shared" si="87"/>
        <v/>
      </c>
      <c r="IY18" s="5" t="str">
        <f t="shared" si="88"/>
        <v/>
      </c>
      <c r="IZ18" s="5" t="str">
        <f t="shared" si="89"/>
        <v/>
      </c>
      <c r="JA18" s="705" t="str">
        <f t="shared" si="90"/>
        <v/>
      </c>
    </row>
    <row r="19" spans="1:271" ht="15" customHeight="1" thickBot="1" x14ac:dyDescent="0.3">
      <c r="A19" s="75">
        <f t="shared" si="1"/>
        <v>0</v>
      </c>
      <c r="B19" s="578">
        <f t="shared" ref="B19:D19" si="264">IFERROR(O174+($A19*-E19),"")</f>
        <v>0.28513888987639152</v>
      </c>
      <c r="C19" s="572">
        <f t="shared" si="264"/>
        <v>5.8720988833869061</v>
      </c>
      <c r="D19" s="576">
        <f t="shared" si="264"/>
        <v>-3.0292091360947548</v>
      </c>
      <c r="E19" s="580">
        <f t="shared" ref="E19:K19" si="265">R174</f>
        <v>-0.84084796996678579</v>
      </c>
      <c r="F19" s="572">
        <f t="shared" si="265"/>
        <v>0.53951427388709605</v>
      </c>
      <c r="G19" s="579">
        <f t="shared" si="265"/>
        <v>4.3577972357774969E-2</v>
      </c>
      <c r="H19" s="580">
        <f t="shared" si="265"/>
        <v>0.3125</v>
      </c>
      <c r="I19" s="572">
        <f t="shared" si="265"/>
        <v>0.52</v>
      </c>
      <c r="J19" s="483">
        <f t="shared" si="92"/>
        <v>1.153</v>
      </c>
      <c r="K19" s="806">
        <f t="shared" si="265"/>
        <v>1613</v>
      </c>
      <c r="L19" s="718" t="s">
        <v>357</v>
      </c>
      <c r="M19" s="164">
        <f t="shared" si="4"/>
        <v>1.153</v>
      </c>
      <c r="N19" s="575">
        <f t="shared" si="5"/>
        <v>0.28513888987639152</v>
      </c>
      <c r="O19" s="572">
        <f t="shared" si="6"/>
        <v>5.8720988833869061</v>
      </c>
      <c r="P19" s="576">
        <f t="shared" si="7"/>
        <v>-3.0292091360947548</v>
      </c>
      <c r="Q19" s="528">
        <f t="shared" si="134"/>
        <v>87.220000401382279</v>
      </c>
      <c r="R19" s="572">
        <f>IF(M19="","",SQRT(N19^2+O19^2))</f>
        <v>5.8790177311174778</v>
      </c>
      <c r="S19" s="577">
        <f>IF(M19="","",P19)</f>
        <v>-3.0292091360947548</v>
      </c>
      <c r="T19" s="578">
        <f>IF(M19="","",X19*COS(RADIANS(W19)))</f>
        <v>5.8721485600668526</v>
      </c>
      <c r="U19" s="572">
        <f>IF(M19="","",X19*SIN(RADIANS(W19)))</f>
        <v>-0.2841140110914821</v>
      </c>
      <c r="V19" s="579">
        <f>IF(M19="","",Y19)</f>
        <v>-3.0292091360947548</v>
      </c>
      <c r="W19" s="528">
        <f t="shared" si="256"/>
        <v>357.23000039993843</v>
      </c>
      <c r="X19" s="572">
        <f>IF(M19="","",R19)</f>
        <v>5.8790177311174778</v>
      </c>
      <c r="Y19" s="573">
        <f t="shared" si="259"/>
        <v>-3.0292091360947548</v>
      </c>
      <c r="Z19" s="575">
        <f t="shared" si="10"/>
        <v>0.84084796996678579</v>
      </c>
      <c r="AA19" s="572">
        <f t="shared" si="11"/>
        <v>-0.53951427388709605</v>
      </c>
      <c r="AB19" s="572">
        <f t="shared" si="12"/>
        <v>-4.3577972357774969E-2</v>
      </c>
      <c r="AC19" s="579">
        <f>IF(M19="","",SQRT(Z19^2+AA19^2+AB19^2))</f>
        <v>1</v>
      </c>
      <c r="AD19" s="580">
        <f>IF(M19="","",Z19*(1/SQRT(Z19^2+AA19^2+AB19^2)))</f>
        <v>0.84084796996678579</v>
      </c>
      <c r="AE19" s="572">
        <f>IF(M19="","",AA19*(1/SQRT(Z19^2+AA19^2+AB19^2)))</f>
        <v>-0.53951427388709605</v>
      </c>
      <c r="AF19" s="576">
        <f>IF(M19="","",AB19*(1/SQRT(Z19^2+AA19^2+AB19^2)))</f>
        <v>-4.3577972357774969E-2</v>
      </c>
      <c r="AG19" s="545">
        <f>IF(M19="","",DEGREES(ATAN2(-AF19,AE19)))</f>
        <v>-85.382096054687366</v>
      </c>
      <c r="AH19" s="546">
        <f>IF(M19="","",DEGREES(ACOS(AD19)))</f>
        <v>32.770228227227257</v>
      </c>
      <c r="AI19" s="528">
        <f>IF(M19="","",DEGREES(-ACOS(-AF19)))</f>
        <v>-87.502375163624507</v>
      </c>
      <c r="AJ19" s="529">
        <f>IF(M19="","",DEGREES(ATAN2(-AE19,AD19)))</f>
        <v>57.314503782329986</v>
      </c>
      <c r="AK19" s="578">
        <f>IF(M19="","",(COS(RADIANS((90-$Q$8)-W19))*AD19)+(-SIN(RADIANS((90-$Q$8)-W19))*AE19))</f>
        <v>0.86602544158358608</v>
      </c>
      <c r="AL19" s="572">
        <f>IF(M19="","",(SIN(RADIANS((90-$Q$8)-W19))*AD19)+(COS(RADIANS((90-$Q$8)-W19))*AE19))</f>
        <v>-0.49809727449077645</v>
      </c>
      <c r="AM19" s="577">
        <f>IF(M19="","",AF19)</f>
        <v>-4.3577972357774969E-2</v>
      </c>
      <c r="AN19" s="524">
        <f>IF(M19="","",DEGREES(ATAN2(-AM19,AL19)))</f>
        <v>-84.999987727520164</v>
      </c>
      <c r="AO19" s="525">
        <f t="shared" si="108"/>
        <v>29.999995668536485</v>
      </c>
      <c r="AP19" s="528">
        <f>IF(M19="","",DEGREES(ATAN2(AK19,AL19)))</f>
        <v>-29.905496619052265</v>
      </c>
      <c r="AQ19" s="529">
        <f t="shared" si="13"/>
        <v>0.23807345496744717</v>
      </c>
      <c r="AS19" s="900">
        <f t="shared" si="137"/>
        <v>-2.769999600061567</v>
      </c>
      <c r="AT19" s="896">
        <f t="shared" si="14"/>
        <v>-3.0280238649480573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38"/>
        <v/>
      </c>
      <c r="BA19" s="296" t="str">
        <f t="shared" si="16"/>
        <v/>
      </c>
      <c r="BB19" s="190" t="str">
        <f t="shared" si="139"/>
        <v/>
      </c>
      <c r="BC19" s="9"/>
      <c r="BD19" s="5" t="str">
        <f t="shared" si="235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40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41"/>
        <v/>
      </c>
      <c r="BP19" s="5" t="str">
        <f t="shared" si="142"/>
        <v/>
      </c>
      <c r="BQ19" s="5" t="str">
        <f t="shared" si="143"/>
        <v/>
      </c>
      <c r="BR19" s="6" t="str">
        <f t="shared" si="144"/>
        <v/>
      </c>
      <c r="BS19" s="4" t="str">
        <f t="shared" si="110"/>
        <v/>
      </c>
      <c r="BT19" s="5" t="str">
        <f t="shared" si="110"/>
        <v/>
      </c>
      <c r="BU19" s="10" t="str">
        <f t="shared" si="111"/>
        <v/>
      </c>
      <c r="BV19" s="9" t="str">
        <f t="shared" si="112"/>
        <v/>
      </c>
      <c r="BW19" s="5" t="str">
        <f t="shared" si="113"/>
        <v/>
      </c>
      <c r="BX19" s="8" t="str">
        <f t="shared" si="114"/>
        <v/>
      </c>
      <c r="BY19" s="173" t="str">
        <f t="shared" si="115"/>
        <v/>
      </c>
      <c r="BZ19" s="5" t="str">
        <f t="shared" si="116"/>
        <v/>
      </c>
      <c r="CA19" s="6" t="str">
        <f t="shared" si="117"/>
        <v/>
      </c>
      <c r="CB19" s="4" t="str">
        <f t="shared" si="145"/>
        <v/>
      </c>
      <c r="CC19" s="5" t="str">
        <f t="shared" si="146"/>
        <v/>
      </c>
      <c r="CD19" s="5" t="str">
        <f t="shared" si="147"/>
        <v/>
      </c>
      <c r="CE19" s="6" t="str">
        <f t="shared" si="148"/>
        <v/>
      </c>
      <c r="CF19" s="4" t="str">
        <f t="shared" si="149"/>
        <v/>
      </c>
      <c r="CG19" s="5" t="str">
        <f t="shared" si="150"/>
        <v/>
      </c>
      <c r="CH19" s="5" t="str">
        <f t="shared" si="151"/>
        <v/>
      </c>
      <c r="CI19" s="4" t="str">
        <f t="shared" si="118"/>
        <v/>
      </c>
      <c r="CJ19" s="5" t="str">
        <f t="shared" si="119"/>
        <v/>
      </c>
      <c r="CK19" s="8" t="str">
        <f t="shared" si="120"/>
        <v/>
      </c>
      <c r="CL19" s="173" t="str">
        <f t="shared" si="121"/>
        <v/>
      </c>
      <c r="CM19" s="5" t="str">
        <f t="shared" si="122"/>
        <v/>
      </c>
      <c r="CN19" s="6" t="str">
        <f t="shared" si="123"/>
        <v/>
      </c>
      <c r="CO19" s="167" t="str">
        <f t="shared" si="26"/>
        <v/>
      </c>
      <c r="CP19" s="4" t="str">
        <f t="shared" si="236"/>
        <v/>
      </c>
      <c r="CQ19" s="5" t="str">
        <f t="shared" si="237"/>
        <v/>
      </c>
      <c r="CR19" s="5" t="str">
        <f t="shared" si="152"/>
        <v/>
      </c>
      <c r="CS19" s="8" t="str">
        <f t="shared" si="153"/>
        <v/>
      </c>
      <c r="CT19" s="9" t="str">
        <f t="shared" si="154"/>
        <v/>
      </c>
      <c r="CU19" s="6" t="str">
        <f t="shared" si="155"/>
        <v/>
      </c>
      <c r="CV19" s="4" t="str">
        <f t="shared" si="238"/>
        <v/>
      </c>
      <c r="CW19" s="5" t="str">
        <f t="shared" si="156"/>
        <v/>
      </c>
      <c r="CX19" s="8" t="str">
        <f t="shared" si="157"/>
        <v/>
      </c>
      <c r="CY19" s="9" t="str">
        <f t="shared" si="158"/>
        <v/>
      </c>
      <c r="CZ19" s="5" t="str">
        <f t="shared" si="159"/>
        <v/>
      </c>
      <c r="DA19" s="6" t="str">
        <f t="shared" si="160"/>
        <v/>
      </c>
      <c r="DB19" s="4" t="str">
        <f t="shared" si="161"/>
        <v/>
      </c>
      <c r="DC19" s="5" t="str">
        <f t="shared" si="161"/>
        <v/>
      </c>
      <c r="DD19" s="10" t="str">
        <f t="shared" si="162"/>
        <v/>
      </c>
      <c r="DE19" s="9" t="str">
        <f t="shared" si="163"/>
        <v/>
      </c>
      <c r="DF19" s="5" t="str">
        <f t="shared" si="163"/>
        <v/>
      </c>
      <c r="DG19" s="10" t="str">
        <f t="shared" si="164"/>
        <v/>
      </c>
      <c r="DH19" s="70" t="str">
        <f t="shared" si="165"/>
        <v/>
      </c>
      <c r="DI19" s="4" t="str">
        <f t="shared" si="166"/>
        <v/>
      </c>
      <c r="DJ19" s="5" t="str">
        <f t="shared" si="167"/>
        <v/>
      </c>
      <c r="DK19" s="10" t="str">
        <f t="shared" si="168"/>
        <v/>
      </c>
      <c r="DL19" s="9" t="str">
        <f t="shared" si="169"/>
        <v/>
      </c>
      <c r="DM19" s="173" t="str">
        <f t="shared" si="170"/>
        <v/>
      </c>
      <c r="DN19" s="178" t="str">
        <f t="shared" si="171"/>
        <v/>
      </c>
      <c r="DO19" s="9" t="str">
        <f t="shared" si="172"/>
        <v/>
      </c>
      <c r="DP19" s="173" t="str">
        <f t="shared" si="173"/>
        <v/>
      </c>
      <c r="DQ19" s="11" t="str">
        <f t="shared" si="174"/>
        <v/>
      </c>
      <c r="DR19" s="173" t="str">
        <f t="shared" si="175"/>
        <v/>
      </c>
      <c r="DS19" s="5" t="str">
        <f t="shared" si="176"/>
        <v/>
      </c>
      <c r="DT19" s="5" t="str">
        <f t="shared" si="177"/>
        <v/>
      </c>
      <c r="DU19" s="5" t="str">
        <f t="shared" si="178"/>
        <v/>
      </c>
      <c r="DV19" s="5" t="str">
        <f t="shared" si="179"/>
        <v/>
      </c>
      <c r="DW19" s="5" t="str">
        <f t="shared" si="180"/>
        <v/>
      </c>
      <c r="DX19" s="167" t="str">
        <f t="shared" si="181"/>
        <v/>
      </c>
      <c r="DY19" s="9" t="str">
        <f t="shared" si="182"/>
        <v/>
      </c>
      <c r="DZ19" s="5" t="str">
        <f t="shared" si="183"/>
        <v/>
      </c>
      <c r="EA19" s="10" t="str">
        <f t="shared" si="184"/>
        <v/>
      </c>
      <c r="EB19" s="6" t="str">
        <f t="shared" si="185"/>
        <v/>
      </c>
      <c r="EC19" s="173" t="str">
        <f t="shared" si="186"/>
        <v/>
      </c>
      <c r="ED19" s="5" t="str">
        <f t="shared" si="187"/>
        <v/>
      </c>
      <c r="EE19" s="4" t="str">
        <f t="shared" si="188"/>
        <v/>
      </c>
      <c r="EF19" s="5" t="str">
        <f t="shared" si="189"/>
        <v/>
      </c>
      <c r="EG19" s="10" t="str">
        <f t="shared" si="190"/>
        <v/>
      </c>
      <c r="EH19" s="9" t="str">
        <f t="shared" si="191"/>
        <v/>
      </c>
      <c r="EI19" s="5" t="str">
        <f t="shared" si="192"/>
        <v/>
      </c>
      <c r="EJ19" s="6" t="str">
        <f t="shared" si="193"/>
        <v/>
      </c>
      <c r="EK19" s="236" t="str">
        <f t="shared" si="194"/>
        <v/>
      </c>
      <c r="EL19" s="238" t="str">
        <f t="shared" si="195"/>
        <v/>
      </c>
      <c r="EM19" s="4" t="str">
        <f t="shared" si="196"/>
        <v/>
      </c>
      <c r="EN19" s="5" t="str">
        <f t="shared" si="197"/>
        <v/>
      </c>
      <c r="EO19" s="10" t="str">
        <f t="shared" si="198"/>
        <v/>
      </c>
      <c r="EP19" s="9" t="str">
        <f t="shared" si="199"/>
        <v/>
      </c>
      <c r="EQ19" s="5" t="str">
        <f t="shared" si="200"/>
        <v/>
      </c>
      <c r="ER19" s="7" t="str">
        <f t="shared" si="201"/>
        <v/>
      </c>
      <c r="ES19" s="21" t="str">
        <f t="shared" si="124"/>
        <v/>
      </c>
      <c r="ET19" s="5" t="str">
        <f t="shared" si="35"/>
        <v/>
      </c>
      <c r="EU19" s="10" t="str">
        <f t="shared" si="36"/>
        <v/>
      </c>
      <c r="EV19" s="174" t="str">
        <f t="shared" si="252"/>
        <v/>
      </c>
      <c r="EW19" s="9" t="str">
        <f t="shared" si="125"/>
        <v/>
      </c>
      <c r="EX19" s="5" t="str">
        <f t="shared" si="37"/>
        <v/>
      </c>
      <c r="EY19" s="6" t="str">
        <f t="shared" si="202"/>
        <v/>
      </c>
      <c r="EZ19" s="51" t="str">
        <f t="shared" si="203"/>
        <v/>
      </c>
      <c r="FA19" s="266" t="str">
        <f t="shared" si="126"/>
        <v/>
      </c>
      <c r="FB19" s="267" t="str">
        <f t="shared" si="127"/>
        <v/>
      </c>
      <c r="FC19" s="269" t="str">
        <f t="shared" si="38"/>
        <v/>
      </c>
      <c r="FD19" s="4" t="str">
        <f t="shared" si="128"/>
        <v/>
      </c>
      <c r="FE19" s="5" t="str">
        <f t="shared" si="39"/>
        <v/>
      </c>
      <c r="FF19" s="7" t="str">
        <f t="shared" si="204"/>
        <v/>
      </c>
      <c r="FG19" s="173" t="str">
        <f t="shared" si="205"/>
        <v/>
      </c>
      <c r="FH19" s="5" t="str">
        <f t="shared" si="40"/>
        <v/>
      </c>
      <c r="FI19" s="10" t="str">
        <f t="shared" si="41"/>
        <v/>
      </c>
      <c r="FJ19" s="279" t="str">
        <f t="shared" si="206"/>
        <v/>
      </c>
      <c r="FK19" s="4" t="str">
        <f t="shared" si="42"/>
        <v/>
      </c>
      <c r="FL19" s="5" t="str">
        <f t="shared" si="207"/>
        <v/>
      </c>
      <c r="FM19" s="8" t="str">
        <f t="shared" si="208"/>
        <v/>
      </c>
      <c r="FN19" s="9" t="str">
        <f t="shared" si="209"/>
        <v/>
      </c>
      <c r="FO19" s="10" t="str">
        <f t="shared" si="43"/>
        <v/>
      </c>
      <c r="FP19" s="277" t="str">
        <f t="shared" si="44"/>
        <v/>
      </c>
      <c r="FQ19" s="173" t="str">
        <f t="shared" si="239"/>
        <v/>
      </c>
      <c r="FR19" s="10" t="str">
        <f t="shared" si="210"/>
        <v/>
      </c>
      <c r="FS19" s="9" t="str">
        <f t="shared" si="211"/>
        <v/>
      </c>
      <c r="FT19" s="6" t="str">
        <f t="shared" si="212"/>
        <v/>
      </c>
      <c r="FU19" s="4" t="str">
        <f t="shared" si="213"/>
        <v/>
      </c>
      <c r="FV19" s="5" t="str">
        <f t="shared" si="214"/>
        <v/>
      </c>
      <c r="FW19" s="8" t="str">
        <f t="shared" si="240"/>
        <v/>
      </c>
      <c r="FX19" s="9" t="str">
        <f t="shared" si="241"/>
        <v/>
      </c>
      <c r="FY19" s="10" t="str">
        <f t="shared" si="45"/>
        <v/>
      </c>
      <c r="FZ19" s="277" t="str">
        <f t="shared" si="242"/>
        <v/>
      </c>
      <c r="GA19" s="177" t="str">
        <f t="shared" si="215"/>
        <v/>
      </c>
      <c r="GB19" s="4" t="str">
        <f t="shared" si="216"/>
        <v/>
      </c>
      <c r="GC19" s="5" t="str">
        <f t="shared" si="217"/>
        <v/>
      </c>
      <c r="GD19" s="10" t="str">
        <f t="shared" si="218"/>
        <v/>
      </c>
      <c r="GE19" s="311" t="str">
        <f t="shared" si="219"/>
        <v/>
      </c>
      <c r="GF19" s="341" t="str">
        <f t="shared" si="243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20"/>
        <v/>
      </c>
      <c r="GK19" s="174" t="str">
        <f t="shared" si="49"/>
        <v/>
      </c>
      <c r="GL19" s="174" t="str">
        <f t="shared" si="221"/>
        <v/>
      </c>
      <c r="GM19" s="177" t="str">
        <f t="shared" si="244"/>
        <v/>
      </c>
      <c r="GN19" s="280" t="str">
        <f t="shared" si="222"/>
        <v/>
      </c>
      <c r="GO19" s="4" t="str">
        <f t="shared" si="223"/>
        <v/>
      </c>
      <c r="GP19" s="8" t="str">
        <f t="shared" si="245"/>
        <v/>
      </c>
      <c r="GQ19" s="177" t="str">
        <f t="shared" si="224"/>
        <v/>
      </c>
      <c r="GR19" s="371" t="str">
        <f t="shared" si="246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53"/>
        <v/>
      </c>
      <c r="GW19" s="345" t="str">
        <f t="shared" si="129"/>
        <v/>
      </c>
      <c r="GX19" s="346" t="str">
        <f t="shared" si="54"/>
        <v/>
      </c>
      <c r="GY19" s="344" t="str">
        <f t="shared" si="55"/>
        <v/>
      </c>
      <c r="GZ19" s="345" t="str">
        <f t="shared" si="56"/>
        <v/>
      </c>
      <c r="HA19" s="342" t="str">
        <f t="shared" si="57"/>
        <v/>
      </c>
      <c r="HB19" s="5" t="str">
        <f t="shared" si="225"/>
        <v/>
      </c>
      <c r="HC19" s="343" t="str">
        <f t="shared" si="226"/>
        <v/>
      </c>
      <c r="HD19" s="345" t="str">
        <f t="shared" si="227"/>
        <v/>
      </c>
      <c r="HE19" s="344" t="str">
        <f t="shared" si="58"/>
        <v/>
      </c>
      <c r="HF19" s="5" t="str">
        <f t="shared" si="59"/>
        <v/>
      </c>
      <c r="HG19" s="343" t="str">
        <f t="shared" si="228"/>
        <v/>
      </c>
      <c r="HH19" s="349" t="str">
        <f t="shared" si="229"/>
        <v/>
      </c>
      <c r="HI19" s="317" t="str">
        <f t="shared" si="60"/>
        <v/>
      </c>
      <c r="HJ19" s="336"/>
      <c r="HK19" s="310">
        <f t="shared" si="130"/>
        <v>11</v>
      </c>
      <c r="HL19" s="348">
        <f t="shared" si="61"/>
        <v>1.111</v>
      </c>
      <c r="HM19" s="935">
        <f t="shared" si="62"/>
        <v>-3.1702629157595648</v>
      </c>
      <c r="HN19" s="936">
        <f t="shared" si="63"/>
        <v>14.999997834268255</v>
      </c>
      <c r="HO19" s="937"/>
      <c r="HP19" s="938"/>
      <c r="HQ19" s="936">
        <f t="shared" si="64"/>
        <v>14.670571633139811</v>
      </c>
      <c r="HR19" s="939">
        <f t="shared" si="65"/>
        <v>14.354052771522406</v>
      </c>
      <c r="HS19" s="940">
        <f t="shared" si="249"/>
        <v>2.3978000000000002</v>
      </c>
      <c r="HT19" s="941">
        <f t="shared" si="66"/>
        <v>2.58E-2</v>
      </c>
      <c r="HU19" s="942">
        <f t="shared" si="67"/>
        <v>0.3887183720474095</v>
      </c>
      <c r="HV19" s="943">
        <f t="shared" si="68"/>
        <v>2.1535175975208914E-2</v>
      </c>
      <c r="HW19" s="944">
        <f t="shared" si="69"/>
        <v>30000</v>
      </c>
      <c r="HX19" s="947">
        <f t="shared" si="70"/>
        <v>154.65809999999999</v>
      </c>
      <c r="HY19" s="952">
        <f t="shared" si="71"/>
        <v>53.825893741854891</v>
      </c>
      <c r="HZ19" s="953">
        <f t="shared" si="72"/>
        <v>971.79593011852376</v>
      </c>
      <c r="IA19" s="954">
        <f t="shared" si="73"/>
        <v>249.065438209603</v>
      </c>
      <c r="IB19" s="955">
        <f t="shared" si="74"/>
        <v>1274.6872620699817</v>
      </c>
      <c r="IC19" s="842">
        <f t="shared" si="75"/>
        <v>42.870360396667365</v>
      </c>
      <c r="ID19" s="351">
        <f t="shared" si="76"/>
        <v>774</v>
      </c>
      <c r="IE19" s="844">
        <f t="shared" si="77"/>
        <v>198.37153377532769</v>
      </c>
      <c r="IF19" s="845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0"/>
        <v>1.153</v>
      </c>
      <c r="IJ19" s="96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8"/>
        <v>1613</v>
      </c>
      <c r="IM19" s="482" t="str">
        <f t="shared" si="231"/>
        <v/>
      </c>
      <c r="IN19" s="670" t="str">
        <f t="shared" si="80"/>
        <v/>
      </c>
      <c r="IO19" s="702"/>
      <c r="IP19" s="5" t="str">
        <f t="shared" si="81"/>
        <v/>
      </c>
      <c r="IQ19" s="714"/>
      <c r="IR19" s="9" t="str">
        <f t="shared" si="131"/>
        <v/>
      </c>
      <c r="IS19" s="5" t="str">
        <f t="shared" si="82"/>
        <v/>
      </c>
      <c r="IT19" s="5" t="str">
        <f t="shared" si="83"/>
        <v/>
      </c>
      <c r="IU19" s="5" t="str">
        <f t="shared" si="84"/>
        <v/>
      </c>
      <c r="IV19" s="670" t="str">
        <f t="shared" si="85"/>
        <v/>
      </c>
      <c r="IW19" s="9" t="str">
        <f t="shared" si="86"/>
        <v/>
      </c>
      <c r="IX19" s="5" t="str">
        <f t="shared" si="87"/>
        <v/>
      </c>
      <c r="IY19" s="5" t="str">
        <f t="shared" si="88"/>
        <v/>
      </c>
      <c r="IZ19" s="5" t="str">
        <f t="shared" si="89"/>
        <v/>
      </c>
      <c r="JA19" s="705" t="str">
        <f t="shared" si="90"/>
        <v/>
      </c>
      <c r="JD19" s="1345" t="s">
        <v>356</v>
      </c>
      <c r="JE19" s="1346"/>
      <c r="JF19" s="1346"/>
      <c r="JG19" s="1346"/>
      <c r="JH19" s="1346"/>
      <c r="JI19" s="1346"/>
      <c r="JJ19" s="1346"/>
      <c r="JK19" s="1347"/>
    </row>
    <row r="20" spans="1:271" ht="15" customHeight="1" x14ac:dyDescent="0.25">
      <c r="A20" s="75">
        <f t="shared" si="1"/>
        <v>0</v>
      </c>
      <c r="B20" s="578">
        <f t="shared" ref="B20:D20" si="266">IFERROR(O175+($A20*-E20),"")</f>
        <v>2.1325422228972375</v>
      </c>
      <c r="C20" s="572">
        <f t="shared" si="266"/>
        <v>0.99442076987586636</v>
      </c>
      <c r="D20" s="576">
        <f t="shared" si="266"/>
        <v>-0.13840000000000002</v>
      </c>
      <c r="E20" s="580">
        <f t="shared" ref="E20:K20" si="267">R175</f>
        <v>-0.43680475094958188</v>
      </c>
      <c r="F20" s="572">
        <f t="shared" si="267"/>
        <v>0.86209582759668058</v>
      </c>
      <c r="G20" s="579">
        <f t="shared" si="267"/>
        <v>0.25688984718798874</v>
      </c>
      <c r="H20" s="580">
        <f t="shared" si="267"/>
        <v>0.3125</v>
      </c>
      <c r="I20" s="572">
        <f t="shared" si="267"/>
        <v>0.52</v>
      </c>
      <c r="J20" s="483">
        <f t="shared" si="92"/>
        <v>2.11</v>
      </c>
      <c r="K20" s="806">
        <f t="shared" si="267"/>
        <v>1613</v>
      </c>
      <c r="L20" s="717" t="str">
        <f>IF($L19=$JJ$22,$JJ$30,IF($L19=$JK$22,$JK$30,""))</f>
        <v/>
      </c>
      <c r="M20" s="164">
        <f t="shared" si="4"/>
        <v>2.11</v>
      </c>
      <c r="N20" s="575">
        <f t="shared" si="5"/>
        <v>2.1325422228972375</v>
      </c>
      <c r="O20" s="572">
        <f t="shared" si="6"/>
        <v>0.99442076987586636</v>
      </c>
      <c r="P20" s="576">
        <f t="shared" si="7"/>
        <v>-0.13840000000000002</v>
      </c>
      <c r="Q20" s="528">
        <f t="shared" si="134"/>
        <v>25.000000000000014</v>
      </c>
      <c r="R20" s="572">
        <f>IF(M20="","",SQRT(N20^2+O20^2))</f>
        <v>2.3530000000000002</v>
      </c>
      <c r="S20" s="577">
        <f>IF(M20="","",P20)</f>
        <v>-0.13840000000000002</v>
      </c>
      <c r="T20" s="578">
        <f>IF(M20="","",X20*COS(RADIANS(W20)))</f>
        <v>0.99479295350661945</v>
      </c>
      <c r="U20" s="572">
        <f>IF(M20="","",X20*SIN(RADIANS(W20)))</f>
        <v>-2.1323686312768668</v>
      </c>
      <c r="V20" s="579">
        <f>IF(M20="","",Y20)</f>
        <v>-0.13840000000000002</v>
      </c>
      <c r="W20" s="528">
        <f t="shared" si="256"/>
        <v>295.00999999855617</v>
      </c>
      <c r="X20" s="572">
        <f>IF(M20="","",R20)</f>
        <v>2.3530000000000002</v>
      </c>
      <c r="Y20" s="573">
        <f t="shared" si="259"/>
        <v>-0.13840000000000002</v>
      </c>
      <c r="Z20" s="575">
        <f t="shared" si="10"/>
        <v>0.43680475094958188</v>
      </c>
      <c r="AA20" s="572">
        <f t="shared" si="11"/>
        <v>-0.86209582759668058</v>
      </c>
      <c r="AB20" s="572">
        <f t="shared" si="12"/>
        <v>-0.25688984718798874</v>
      </c>
      <c r="AC20" s="579">
        <f>IF(M20="","",SQRT(Z20^2+AA20^2+AB20^2))</f>
        <v>1</v>
      </c>
      <c r="AD20" s="580">
        <f>IF(M20="","",Z20*(1/SQRT(Z20^2+AA20^2+AB20^2)))</f>
        <v>0.43680475094958188</v>
      </c>
      <c r="AE20" s="572">
        <f>IF(M20="","",AA20*(1/SQRT(Z20^2+AA20^2+AB20^2)))</f>
        <v>-0.86209582759668058</v>
      </c>
      <c r="AF20" s="576">
        <f>IF(M20="","",AB20*(1/SQRT(Z20^2+AA20^2+AB20^2)))</f>
        <v>-0.25688984718798874</v>
      </c>
      <c r="AG20" s="545">
        <f>IF(M20="","",DEGREES(ATAN2(-AF20,AE20)))</f>
        <v>-73.406841294084046</v>
      </c>
      <c r="AH20" s="546">
        <f>IF(M20="","",DEGREES(ACOS(AD20)))</f>
        <v>64.099811303311625</v>
      </c>
      <c r="AI20" s="528">
        <f>IF(M20="","",DEGREES(-ACOS(-AF20)))</f>
        <v>-75.114403619311418</v>
      </c>
      <c r="AJ20" s="529">
        <f>IF(M20="","",DEGREES(ATAN2(-AE20,AD20)))</f>
        <v>26.870317164697664</v>
      </c>
      <c r="AK20" s="578">
        <f>IF(M20="","",(COS(RADIANS((90-$Q$8)-W20))*AD20)+(-SIN(RADIANS((90-$Q$8)-W20))*AE20))</f>
        <v>0.96592582628906831</v>
      </c>
      <c r="AL20" s="572">
        <f>IF(M20="","",(SIN(RADIANS((90-$Q$8)-W20))*AD20)+(COS(RADIANS((90-$Q$8)-W20))*AE20))</f>
        <v>3.154210708739158E-2</v>
      </c>
      <c r="AM20" s="577">
        <f>IF(M20="","",AF20)</f>
        <v>-0.25688984718798874</v>
      </c>
      <c r="AN20" s="524">
        <f>IF(M20="","",DEGREES(ATAN2(-AM20,AL20)))</f>
        <v>7.0000000000000275</v>
      </c>
      <c r="AO20" s="525">
        <f t="shared" si="108"/>
        <v>14.999999999999982</v>
      </c>
      <c r="AP20" s="528">
        <f>IF(M20="","",DEGREES(ATAN2(AK20,AL20)))</f>
        <v>1.8703171646976513</v>
      </c>
      <c r="AQ20" s="529">
        <f t="shared" si="13"/>
        <v>0.59481335987683326</v>
      </c>
      <c r="AS20" s="900">
        <f t="shared" si="137"/>
        <v>-64.990000001443832</v>
      </c>
      <c r="AT20" s="896">
        <f t="shared" si="14"/>
        <v>-0.11068682170542637</v>
      </c>
      <c r="AU20" s="418"/>
      <c r="AV20" s="164">
        <f t="shared" si="15"/>
        <v>2.11</v>
      </c>
      <c r="AW20" s="829">
        <f>IFERROR(INDEX(MassProp!C$9:C$150,MATCH($M20,MassProp!$B$9:$B$150,0)),"")</f>
        <v>2.2181999999999999</v>
      </c>
      <c r="AX20" s="830">
        <f>IFERROR(INDEX(MassProp!D$9:D$150,MATCH($M20,MassProp!$B$9:$B$150,0)),"")</f>
        <v>0.2752</v>
      </c>
      <c r="AY20" s="831">
        <f>IFERROR(INDEX(MassProp!E$9:E$150,MATCH($M20,MassProp!$B$9:$B$150,0)),"")</f>
        <v>1.4E-2</v>
      </c>
      <c r="AZ20" s="297">
        <f t="shared" si="138"/>
        <v>0.19513489499845829</v>
      </c>
      <c r="BA20" s="296">
        <f t="shared" si="16"/>
        <v>1.0810562620341468E-2</v>
      </c>
      <c r="BB20" s="190">
        <f t="shared" si="139"/>
        <v>0.23239844961240311</v>
      </c>
      <c r="BC20" s="9"/>
      <c r="BD20" s="5">
        <f t="shared" si="235"/>
        <v>2.2181999999999999</v>
      </c>
      <c r="BE20" s="6">
        <f t="shared" si="17"/>
        <v>9.3998449612403084E-2</v>
      </c>
      <c r="BF20" s="4">
        <f t="shared" si="18"/>
        <v>2.1325422228972375</v>
      </c>
      <c r="BG20" s="5">
        <f t="shared" si="19"/>
        <v>0.99442076987586636</v>
      </c>
      <c r="BH20" s="10">
        <f t="shared" si="20"/>
        <v>-0.13840000000000002</v>
      </c>
      <c r="BI20" s="9">
        <f t="shared" si="140"/>
        <v>2.1325422228972375</v>
      </c>
      <c r="BJ20" s="5">
        <f t="shared" si="21"/>
        <v>1.2799947085517989</v>
      </c>
      <c r="BK20" s="8">
        <f t="shared" si="22"/>
        <v>-1.0967566797122639</v>
      </c>
      <c r="BL20" s="173">
        <f t="shared" si="23"/>
        <v>3.0320985632939208</v>
      </c>
      <c r="BM20" s="5">
        <f t="shared" si="24"/>
        <v>1.41303552067845</v>
      </c>
      <c r="BN20" s="6">
        <f t="shared" si="25"/>
        <v>-1.3659946838968165E-2</v>
      </c>
      <c r="BO20" s="4">
        <f t="shared" si="141"/>
        <v>0.4368047509495821</v>
      </c>
      <c r="BP20" s="5">
        <f t="shared" si="142"/>
        <v>-0.86209582759668035</v>
      </c>
      <c r="BQ20" s="5">
        <f t="shared" si="143"/>
        <v>-0.25688984718798857</v>
      </c>
      <c r="BR20" s="6">
        <f t="shared" si="144"/>
        <v>-0.10977213282745017</v>
      </c>
      <c r="BS20" s="4">
        <f t="shared" si="110"/>
        <v>0</v>
      </c>
      <c r="BT20" s="5">
        <f t="shared" si="110"/>
        <v>0</v>
      </c>
      <c r="BU20" s="10">
        <f t="shared" si="111"/>
        <v>9.3998449612403084E-2</v>
      </c>
      <c r="BV20" s="9">
        <f t="shared" si="112"/>
        <v>0</v>
      </c>
      <c r="BW20" s="5">
        <f t="shared" si="113"/>
        <v>1</v>
      </c>
      <c r="BX20" s="8">
        <f t="shared" si="114"/>
        <v>9.3998449612403084E-2</v>
      </c>
      <c r="BY20" s="173">
        <f t="shared" si="115"/>
        <v>1</v>
      </c>
      <c r="BZ20" s="5">
        <f t="shared" si="116"/>
        <v>0</v>
      </c>
      <c r="CA20" s="6">
        <f t="shared" si="117"/>
        <v>9.3998449612403084E-2</v>
      </c>
      <c r="CB20" s="4">
        <f t="shared" si="145"/>
        <v>0</v>
      </c>
      <c r="CC20" s="5">
        <f t="shared" si="146"/>
        <v>0</v>
      </c>
      <c r="CD20" s="5">
        <f t="shared" si="147"/>
        <v>-1</v>
      </c>
      <c r="CE20" s="6">
        <f t="shared" si="148"/>
        <v>9.3998449612403084E-2</v>
      </c>
      <c r="CF20" s="4">
        <f t="shared" si="149"/>
        <v>0.86209582759668035</v>
      </c>
      <c r="CG20" s="5">
        <f t="shared" si="150"/>
        <v>0.4368047509495821</v>
      </c>
      <c r="CH20" s="5">
        <f t="shared" si="151"/>
        <v>0</v>
      </c>
      <c r="CI20" s="4">
        <f t="shared" si="118"/>
        <v>0</v>
      </c>
      <c r="CJ20" s="5">
        <f t="shared" si="119"/>
        <v>-0.15534164056636704</v>
      </c>
      <c r="CK20" s="8">
        <f t="shared" si="120"/>
        <v>9.3998449612403084E-2</v>
      </c>
      <c r="CL20" s="173">
        <f t="shared" si="121"/>
        <v>0.86209582759668035</v>
      </c>
      <c r="CM20" s="5">
        <f t="shared" si="122"/>
        <v>0.28146311038321503</v>
      </c>
      <c r="CN20" s="6">
        <f t="shared" si="123"/>
        <v>9.3998449612403084E-2</v>
      </c>
      <c r="CO20" s="167">
        <f t="shared" si="26"/>
        <v>0.3125</v>
      </c>
      <c r="CP20" s="4">
        <f t="shared" si="236"/>
        <v>0.93400760641173164</v>
      </c>
      <c r="CQ20" s="5">
        <f t="shared" si="237"/>
        <v>-4.6813548717557385</v>
      </c>
      <c r="CR20" s="5">
        <f t="shared" si="152"/>
        <v>5.8260427222876734</v>
      </c>
      <c r="CS20" s="8">
        <f t="shared" si="153"/>
        <v>0.14881056372558987</v>
      </c>
      <c r="CT20" s="9">
        <f t="shared" si="154"/>
        <v>2.7125660218179153</v>
      </c>
      <c r="CU20" s="6">
        <f t="shared" si="155"/>
        <v>2.2995504102318809</v>
      </c>
      <c r="CV20" s="4">
        <f t="shared" si="238"/>
        <v>2.3384918494897504</v>
      </c>
      <c r="CW20" s="5">
        <f t="shared" si="156"/>
        <v>1.0295200850281061</v>
      </c>
      <c r="CX20" s="8">
        <f t="shared" si="157"/>
        <v>9.3998449612403084E-2</v>
      </c>
      <c r="CY20" s="9">
        <f t="shared" si="158"/>
        <v>1.9824328140091392</v>
      </c>
      <c r="CZ20" s="5">
        <f t="shared" si="159"/>
        <v>0.84911290367097902</v>
      </c>
      <c r="DA20" s="6">
        <f t="shared" si="160"/>
        <v>9.3998449612403084E-2</v>
      </c>
      <c r="DB20" s="4">
        <f t="shared" si="161"/>
        <v>0</v>
      </c>
      <c r="DC20" s="5">
        <f t="shared" si="161"/>
        <v>0</v>
      </c>
      <c r="DD20" s="10">
        <f t="shared" si="162"/>
        <v>-10</v>
      </c>
      <c r="DE20" s="9">
        <f t="shared" si="163"/>
        <v>0</v>
      </c>
      <c r="DF20" s="5">
        <f t="shared" si="163"/>
        <v>0</v>
      </c>
      <c r="DG20" s="10">
        <f t="shared" si="164"/>
        <v>10</v>
      </c>
      <c r="DH20" s="70">
        <f t="shared" si="165"/>
        <v>2.2181999999999999</v>
      </c>
      <c r="DI20" s="4">
        <f t="shared" si="166"/>
        <v>0</v>
      </c>
      <c r="DJ20" s="5">
        <f t="shared" si="167"/>
        <v>0</v>
      </c>
      <c r="DK20" s="10">
        <f t="shared" si="168"/>
        <v>20</v>
      </c>
      <c r="DL20" s="9">
        <f t="shared" si="169"/>
        <v>2.3384918494897504</v>
      </c>
      <c r="DM20" s="173">
        <f t="shared" si="170"/>
        <v>1.0295200850281061</v>
      </c>
      <c r="DN20" s="178">
        <f t="shared" si="171"/>
        <v>10.093998449612403</v>
      </c>
      <c r="DO20" s="9">
        <f t="shared" si="172"/>
        <v>-0.35605903548061124</v>
      </c>
      <c r="DP20" s="173">
        <f t="shared" si="173"/>
        <v>-0.18040718135712708</v>
      </c>
      <c r="DQ20" s="11">
        <f t="shared" si="174"/>
        <v>0</v>
      </c>
      <c r="DR20" s="173">
        <f t="shared" si="175"/>
        <v>201.87996899224805</v>
      </c>
      <c r="DS20" s="5">
        <f t="shared" si="176"/>
        <v>0</v>
      </c>
      <c r="DT20" s="5">
        <f t="shared" si="177"/>
        <v>400</v>
      </c>
      <c r="DU20" s="5">
        <f t="shared" si="178"/>
        <v>0.15932478783260651</v>
      </c>
      <c r="DV20" s="5">
        <f t="shared" si="179"/>
        <v>-1.0183739690990616</v>
      </c>
      <c r="DW20" s="5">
        <f t="shared" si="180"/>
        <v>108.41726043638387</v>
      </c>
      <c r="DX20" s="167">
        <f t="shared" si="181"/>
        <v>103.49684919638386</v>
      </c>
      <c r="DY20" s="9">
        <f t="shared" si="182"/>
        <v>63.729915133042603</v>
      </c>
      <c r="DZ20" s="5">
        <f t="shared" si="183"/>
        <v>-407.34958763962464</v>
      </c>
      <c r="EA20" s="10">
        <f t="shared" si="184"/>
        <v>643.2177982425128</v>
      </c>
      <c r="EB20" s="6">
        <f t="shared" si="185"/>
        <v>124941.47085611439</v>
      </c>
      <c r="EC20" s="173">
        <f t="shared" si="186"/>
        <v>11.938195653391849</v>
      </c>
      <c r="ED20" s="5">
        <f t="shared" si="187"/>
        <v>0.84542681932732666</v>
      </c>
      <c r="EE20" s="4">
        <f t="shared" si="188"/>
        <v>-1.9122105802357772</v>
      </c>
      <c r="EF20" s="5">
        <f t="shared" si="189"/>
        <v>-1.1242161432902233</v>
      </c>
      <c r="EG20" s="10">
        <f t="shared" si="190"/>
        <v>9.3998449612403084E-2</v>
      </c>
      <c r="EH20" s="9">
        <f t="shared" si="191"/>
        <v>2.0374699916306214</v>
      </c>
      <c r="EI20" s="5">
        <f t="shared" si="192"/>
        <v>0.87699901550954196</v>
      </c>
      <c r="EJ20" s="6">
        <f t="shared" si="193"/>
        <v>9.3998449612403084E-2</v>
      </c>
      <c r="EK20" s="236" t="b">
        <f t="shared" si="194"/>
        <v>0</v>
      </c>
      <c r="EL20" s="238" t="b">
        <f t="shared" si="195"/>
        <v>1</v>
      </c>
      <c r="EM20" s="4">
        <f t="shared" si="196"/>
        <v>2.0374699916306214</v>
      </c>
      <c r="EN20" s="5">
        <f t="shared" si="197"/>
        <v>0.87699901550954196</v>
      </c>
      <c r="EO20" s="10">
        <f t="shared" si="198"/>
        <v>9.3998449612403084E-2</v>
      </c>
      <c r="EP20" s="9">
        <f t="shared" si="199"/>
        <v>23.288750593787213</v>
      </c>
      <c r="EQ20" s="5">
        <f>IF(ISNUMBER($AV20),SQRT(EM20^2+EN20^2),"")</f>
        <v>2.2181999999999977</v>
      </c>
      <c r="ER20" s="7">
        <f t="shared" si="201"/>
        <v>9.3998449612403084E-2</v>
      </c>
      <c r="ES20" s="21">
        <f t="shared" si="124"/>
        <v>0.43680475094958188</v>
      </c>
      <c r="ET20" s="5">
        <f t="shared" si="35"/>
        <v>-0.86209582759668058</v>
      </c>
      <c r="EU20" s="10">
        <f t="shared" si="36"/>
        <v>-0.25688984718798874</v>
      </c>
      <c r="EV20" s="174">
        <f>IF(ISNUMBER($AV20),IF(($EV$1-EP20)&lt;0,(360+($EV$1-EP20)),($EV$1-EP20)),"")</f>
        <v>66.711249406212787</v>
      </c>
      <c r="EW20" s="9">
        <f t="shared" si="125"/>
        <v>0.96455311297037172</v>
      </c>
      <c r="EX20" s="5">
        <f t="shared" si="37"/>
        <v>6.0372996206062346E-2</v>
      </c>
      <c r="EY20" s="6">
        <f t="shared" si="202"/>
        <v>-0.25688984718798874</v>
      </c>
      <c r="EZ20" s="51">
        <f t="shared" si="203"/>
        <v>0.63095732541231919</v>
      </c>
      <c r="FA20" s="266">
        <f t="shared" si="126"/>
        <v>0.3953411951350721</v>
      </c>
      <c r="FB20" s="267">
        <f t="shared" si="127"/>
        <v>-0.9184683304063882</v>
      </c>
      <c r="FC20" s="269">
        <f t="shared" si="38"/>
        <v>-1.1012060192100983E-2</v>
      </c>
      <c r="FD20" s="4">
        <f t="shared" si="128"/>
        <v>0.99993936542688699</v>
      </c>
      <c r="FE20" s="5">
        <f t="shared" si="39"/>
        <v>-5.5511151231257827E-17</v>
      </c>
      <c r="FF20" s="7">
        <f t="shared" si="204"/>
        <v>-1.1012060192100983E-2</v>
      </c>
      <c r="FG20" s="173">
        <f t="shared" si="205"/>
        <v>-3.5386252456515277E-2</v>
      </c>
      <c r="FH20" s="5">
        <f t="shared" si="40"/>
        <v>6.0372996206062401E-2</v>
      </c>
      <c r="FI20" s="10">
        <f t="shared" si="41"/>
        <v>-0.24587778699588775</v>
      </c>
      <c r="FJ20" s="279">
        <f t="shared" si="206"/>
        <v>14.687404408591743</v>
      </c>
      <c r="FK20" s="4">
        <f t="shared" si="42"/>
        <v>0.9664406895468195</v>
      </c>
      <c r="FL20" s="5">
        <f t="shared" si="207"/>
        <v>0.99993936542688699</v>
      </c>
      <c r="FM20" s="8">
        <f t="shared" si="208"/>
        <v>6.9979179287938634E-2</v>
      </c>
      <c r="FN20" s="9">
        <f t="shared" si="209"/>
        <v>3.5815665709104585</v>
      </c>
      <c r="FO20" s="10">
        <f t="shared" si="43"/>
        <v>-1</v>
      </c>
      <c r="FP20" s="277">
        <f t="shared" si="44"/>
        <v>-3.5815665709104585</v>
      </c>
      <c r="FQ20" s="173">
        <f t="shared" si="239"/>
        <v>6.2469427104080766E-2</v>
      </c>
      <c r="FR20" s="10">
        <f t="shared" si="210"/>
        <v>0.99804687799586245</v>
      </c>
      <c r="FS20" s="9">
        <f t="shared" si="211"/>
        <v>5.890473046352044E-2</v>
      </c>
      <c r="FT20" s="6">
        <f t="shared" si="212"/>
        <v>0.94109526953647948</v>
      </c>
      <c r="FU20" s="4">
        <f t="shared" si="213"/>
        <v>0.99817588697037907</v>
      </c>
      <c r="FV20" s="5">
        <f t="shared" si="214"/>
        <v>1</v>
      </c>
      <c r="FW20" s="8">
        <f t="shared" si="240"/>
        <v>0.24841109677490533</v>
      </c>
      <c r="FX20" s="9">
        <f t="shared" si="241"/>
        <v>14.282472508722513</v>
      </c>
      <c r="FY20" s="10">
        <f t="shared" si="45"/>
        <v>1</v>
      </c>
      <c r="FZ20" s="277">
        <f t="shared" si="242"/>
        <v>14.282472508722513</v>
      </c>
      <c r="GA20" s="177">
        <f t="shared" si="215"/>
        <v>14.255698521321818</v>
      </c>
      <c r="GB20" s="4">
        <f t="shared" si="216"/>
        <v>6.0538574957511741E-2</v>
      </c>
      <c r="GC20" s="5">
        <f t="shared" si="217"/>
        <v>0.96719849269621905</v>
      </c>
      <c r="GD20" s="10">
        <f t="shared" si="218"/>
        <v>-0.24670256721054923</v>
      </c>
      <c r="GE20" s="311">
        <f t="shared" si="219"/>
        <v>1.2744396348642799</v>
      </c>
      <c r="GF20" s="341">
        <f t="shared" si="243"/>
        <v>0.78465858456018123</v>
      </c>
      <c r="GG20" s="285">
        <f t="shared" si="46"/>
        <v>4.7502112537451596E-2</v>
      </c>
      <c r="GH20" s="286">
        <f t="shared" si="47"/>
        <v>0.75892060026775598</v>
      </c>
      <c r="GI20" s="281">
        <f t="shared" si="48"/>
        <v>0.19357728719479253</v>
      </c>
      <c r="GJ20" s="167">
        <f t="shared" si="220"/>
        <v>2.2181999999999999</v>
      </c>
      <c r="GK20" s="174">
        <f t="shared" si="49"/>
        <v>1.1615172321336804</v>
      </c>
      <c r="GL20" s="174">
        <f t="shared" si="221"/>
        <v>1.4E-2</v>
      </c>
      <c r="GM20" s="177">
        <f t="shared" si="244"/>
        <v>0.19513489499845829</v>
      </c>
      <c r="GN20" s="280">
        <f t="shared" si="222"/>
        <v>1.0810562620341468E-2</v>
      </c>
      <c r="GO20" s="4">
        <f t="shared" si="223"/>
        <v>-3.5815665709104585</v>
      </c>
      <c r="GP20" s="8">
        <f t="shared" si="245"/>
        <v>14.282472508722513</v>
      </c>
      <c r="GQ20" s="177">
        <f t="shared" si="224"/>
        <v>14.687404408591743</v>
      </c>
      <c r="GR20" s="371">
        <f t="shared" si="246"/>
        <v>642.80405265587888</v>
      </c>
      <c r="GS20" s="342">
        <f t="shared" si="51"/>
        <v>30.534550448789513</v>
      </c>
      <c r="GT20" s="343">
        <f t="shared" si="52"/>
        <v>26.28850403940908</v>
      </c>
      <c r="GU20" s="344">
        <f t="shared" si="53"/>
        <v>487.83723749614575</v>
      </c>
      <c r="GV20" s="343">
        <f t="shared" si="253"/>
        <v>420</v>
      </c>
      <c r="GW20" s="345">
        <f t="shared" si="129"/>
        <v>30000</v>
      </c>
      <c r="GX20" s="346">
        <f t="shared" si="54"/>
        <v>77.637</v>
      </c>
      <c r="GY20" s="344">
        <f t="shared" si="55"/>
        <v>124.43226471094358</v>
      </c>
      <c r="GZ20" s="345">
        <f t="shared" si="56"/>
        <v>107.12907330902391</v>
      </c>
      <c r="HA20" s="342">
        <f t="shared" si="57"/>
        <v>-30.534550448789513</v>
      </c>
      <c r="HB20" s="5">
        <f t="shared" si="225"/>
        <v>66.711249406212787</v>
      </c>
      <c r="HC20" s="343">
        <f t="shared" si="226"/>
        <v>-12.072297665952069</v>
      </c>
      <c r="HD20" s="345">
        <f t="shared" si="227"/>
        <v>-28.046718171192865</v>
      </c>
      <c r="HE20" s="344">
        <f t="shared" si="58"/>
        <v>420</v>
      </c>
      <c r="HF20" s="5">
        <f t="shared" si="59"/>
        <v>156.7112494062128</v>
      </c>
      <c r="HG20" s="343">
        <f t="shared" si="228"/>
        <v>-385.78009038177885</v>
      </c>
      <c r="HH20" s="349">
        <f t="shared" si="229"/>
        <v>166.05337053196635</v>
      </c>
      <c r="HI20" s="317">
        <f t="shared" si="60"/>
        <v>2.11</v>
      </c>
      <c r="HJ20" s="336"/>
      <c r="HK20" s="310">
        <f t="shared" si="130"/>
        <v>12</v>
      </c>
      <c r="HL20" s="348">
        <f t="shared" si="61"/>
        <v>4.1120000000000001</v>
      </c>
      <c r="HM20" s="935">
        <f t="shared" si="62"/>
        <v>-2.8950430987232494</v>
      </c>
      <c r="HN20" s="936">
        <f t="shared" si="63"/>
        <v>14.99999999999997</v>
      </c>
      <c r="HO20" s="937"/>
      <c r="HP20" s="938"/>
      <c r="HQ20" s="936">
        <f t="shared" si="64"/>
        <v>14.659434141353779</v>
      </c>
      <c r="HR20" s="939">
        <f t="shared" si="65"/>
        <v>14.395857338548444</v>
      </c>
      <c r="HS20" s="940">
        <f t="shared" si="249"/>
        <v>2.4817</v>
      </c>
      <c r="HT20" s="941">
        <f t="shared" si="66"/>
        <v>1.43E-2</v>
      </c>
      <c r="HU20" s="942">
        <f t="shared" si="67"/>
        <v>0.2229904302959636</v>
      </c>
      <c r="HV20" s="943">
        <f t="shared" si="68"/>
        <v>1.2353772043029258E-2</v>
      </c>
      <c r="HW20" s="944">
        <f t="shared" si="69"/>
        <v>30000</v>
      </c>
      <c r="HX20" s="947">
        <f t="shared" si="70"/>
        <v>88.720775000000003</v>
      </c>
      <c r="HY20" s="952">
        <f t="shared" si="71"/>
        <v>28.192166533587834</v>
      </c>
      <c r="HZ20" s="953">
        <f t="shared" si="72"/>
        <v>557.47607573990899</v>
      </c>
      <c r="IA20" s="954">
        <f t="shared" si="73"/>
        <v>143.2754226087761</v>
      </c>
      <c r="IB20" s="955">
        <f t="shared" si="74"/>
        <v>728.94366488227297</v>
      </c>
      <c r="IC20" s="842">
        <f t="shared" si="75"/>
        <v>21.694992788447216</v>
      </c>
      <c r="ID20" s="351">
        <f t="shared" si="76"/>
        <v>429</v>
      </c>
      <c r="IE20" s="844">
        <f t="shared" si="77"/>
        <v>110.25613290684348</v>
      </c>
      <c r="IF20" s="845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0"/>
        <v>2.11</v>
      </c>
      <c r="IJ20" s="96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8"/>
        <v>1613</v>
      </c>
      <c r="IM20" s="482" t="str">
        <f t="shared" si="231"/>
        <v/>
      </c>
      <c r="IN20" s="670" t="str">
        <f t="shared" si="80"/>
        <v/>
      </c>
      <c r="IO20" s="702"/>
      <c r="IP20" s="5" t="str">
        <f t="shared" si="81"/>
        <v/>
      </c>
      <c r="IQ20" s="714"/>
      <c r="IR20" s="9" t="str">
        <f t="shared" si="131"/>
        <v/>
      </c>
      <c r="IS20" s="5" t="str">
        <f t="shared" si="82"/>
        <v/>
      </c>
      <c r="IT20" s="5" t="str">
        <f t="shared" si="83"/>
        <v/>
      </c>
      <c r="IU20" s="5" t="str">
        <f t="shared" si="84"/>
        <v/>
      </c>
      <c r="IV20" s="670" t="str">
        <f t="shared" si="85"/>
        <v/>
      </c>
      <c r="IW20" s="9" t="str">
        <f t="shared" si="86"/>
        <v/>
      </c>
      <c r="IX20" s="5" t="str">
        <f t="shared" si="87"/>
        <v/>
      </c>
      <c r="IY20" s="5" t="str">
        <f t="shared" si="88"/>
        <v/>
      </c>
      <c r="IZ20" s="5" t="str">
        <f t="shared" si="89"/>
        <v/>
      </c>
      <c r="JA20" s="705" t="str">
        <f t="shared" si="90"/>
        <v/>
      </c>
      <c r="JC20" s="31"/>
      <c r="JD20" s="1348" t="s">
        <v>360</v>
      </c>
      <c r="JE20" s="1349"/>
      <c r="JF20" s="1349"/>
      <c r="JG20" s="1349"/>
      <c r="JH20" s="1141" t="s">
        <v>361</v>
      </c>
      <c r="JI20" s="1142"/>
      <c r="JJ20" s="1142"/>
      <c r="JK20" s="1143"/>
    </row>
    <row r="21" spans="1:271" ht="15" customHeight="1" x14ac:dyDescent="0.25">
      <c r="A21" s="75">
        <f t="shared" si="1"/>
        <v>0</v>
      </c>
      <c r="B21" s="578">
        <f t="shared" ref="B21:D21" si="268">IFERROR(O176+($A21*-E21),"")</f>
        <v>2.7992306735211079</v>
      </c>
      <c r="C21" s="572">
        <f t="shared" si="268"/>
        <v>1.3053027000052679</v>
      </c>
      <c r="D21" s="576">
        <f t="shared" si="268"/>
        <v>-2.900008746426379E-3</v>
      </c>
      <c r="E21" s="580">
        <f t="shared" ref="E21:K21" si="269">R176</f>
        <v>-0.41231170266443079</v>
      </c>
      <c r="F21" s="572">
        <f t="shared" si="269"/>
        <v>0.87351713437810641</v>
      </c>
      <c r="G21" s="579">
        <f t="shared" si="269"/>
        <v>0.2587795892141021</v>
      </c>
      <c r="H21" s="580">
        <f t="shared" si="269"/>
        <v>0.3125</v>
      </c>
      <c r="I21" s="572">
        <f t="shared" si="269"/>
        <v>0.52</v>
      </c>
      <c r="J21" s="483">
        <f t="shared" si="92"/>
        <v>2.1160000000000001</v>
      </c>
      <c r="K21" s="806">
        <f t="shared" si="269"/>
        <v>1613</v>
      </c>
      <c r="L21" s="719" t="s">
        <v>358</v>
      </c>
      <c r="M21" s="164">
        <f t="shared" si="4"/>
        <v>2.1160000000000001</v>
      </c>
      <c r="N21" s="575">
        <f t="shared" si="5"/>
        <v>2.7992306735211079</v>
      </c>
      <c r="O21" s="572">
        <f t="shared" si="6"/>
        <v>1.3053027000052679</v>
      </c>
      <c r="P21" s="576">
        <f t="shared" si="7"/>
        <v>-2.900008746426379E-3</v>
      </c>
      <c r="Q21" s="528">
        <f t="shared" si="134"/>
        <v>25.000000000000014</v>
      </c>
      <c r="R21" s="572">
        <f>IF(M21="","",SQRT(N21^2+O21^2))</f>
        <v>3.0886093152456944</v>
      </c>
      <c r="S21" s="577">
        <f>IF(M21="","",P21)</f>
        <v>-2.900008746426379E-3</v>
      </c>
      <c r="T21" s="578">
        <f>IF(M21="","",X21*COS(RADIANS(W21)))</f>
        <v>1.3057912379691123</v>
      </c>
      <c r="U21" s="572">
        <f>IF(M21="","",X21*SIN(RADIANS(W21)))</f>
        <v>-2.7990028126219473</v>
      </c>
      <c r="V21" s="579">
        <f>IF(M21="","",Y21)</f>
        <v>-2.900008746426379E-3</v>
      </c>
      <c r="W21" s="528">
        <f t="shared" si="256"/>
        <v>295.00999999855617</v>
      </c>
      <c r="X21" s="572">
        <f>IF(M21="","",R21)</f>
        <v>3.0886093152456944</v>
      </c>
      <c r="Y21" s="573">
        <f t="shared" si="259"/>
        <v>-2.900008746426379E-3</v>
      </c>
      <c r="Z21" s="575">
        <f t="shared" si="10"/>
        <v>0.41231170266443079</v>
      </c>
      <c r="AA21" s="572">
        <f t="shared" si="11"/>
        <v>-0.87351713437810641</v>
      </c>
      <c r="AB21" s="572">
        <f t="shared" si="12"/>
        <v>-0.2587795892141021</v>
      </c>
      <c r="AC21" s="579">
        <f>IF(M21="","",SQRT(Z21^2+AA21^2+AB21^2))</f>
        <v>1</v>
      </c>
      <c r="AD21" s="580">
        <f>IF(M21="","",Z21*(1/SQRT(Z21^2+AA21^2+AB21^2)))</f>
        <v>0.41231170266443079</v>
      </c>
      <c r="AE21" s="572">
        <f>IF(M21="","",AA21*(1/SQRT(Z21^2+AA21^2+AB21^2)))</f>
        <v>-0.87351713437810641</v>
      </c>
      <c r="AF21" s="576">
        <f>IF(M21="","",AB21*(1/SQRT(Z21^2+AA21^2+AB21^2)))</f>
        <v>-0.2587795892141021</v>
      </c>
      <c r="AG21" s="545">
        <f>IF(M21="","",DEGREES(ATAN2(-AF21,AE21)))</f>
        <v>-73.498068820884484</v>
      </c>
      <c r="AH21" s="546">
        <f>IF(M21="","",DEGREES(ACOS(AD21)))</f>
        <v>65.64986469444726</v>
      </c>
      <c r="AI21" s="528">
        <f>IF(M21="","",DEGREES(-ACOS(-AF21)))</f>
        <v>-75.002340390380908</v>
      </c>
      <c r="AJ21" s="529">
        <f>IF(M21="","",DEGREES(ATAN2(-AE21,AD21)))</f>
        <v>25.267933556707344</v>
      </c>
      <c r="AK21" s="578">
        <f>IF(M21="","",(COS(RADIANS((90-$Q$8)-W21))*AD21)+(-SIN(RADIANS((90-$Q$8)-W21))*AE21))</f>
        <v>0.9659258360722075</v>
      </c>
      <c r="AL21" s="572">
        <f>IF(M21="","",(SIN(RADIANS((90-$Q$8)-W21))*AD21)+(COS(RADIANS((90-$Q$8)-W21))*AE21))</f>
        <v>4.5170138795210257E-3</v>
      </c>
      <c r="AM21" s="577">
        <f>IF(M21="","",AF21)</f>
        <v>-0.2587795892141021</v>
      </c>
      <c r="AN21" s="524">
        <f>IF(M21="","",DEGREES(ATAN2(-AM21,AL21)))</f>
        <v>0.99999985561787885</v>
      </c>
      <c r="AO21" s="525">
        <f>IF(ROUND(IF(M21="",0,DEGREES(ACOS(AK21))),4)=90,0,IF(M21="","",DEGREES(ACOS(AK21))))</f>
        <v>14.99999783426823</v>
      </c>
      <c r="AP21" s="528">
        <f>IF(M21="","",DEGREES(ATAN2(AK21,AL21)))</f>
        <v>0.2679335567073331</v>
      </c>
      <c r="AQ21" s="529">
        <f t="shared" si="13"/>
        <v>0.45315441070409074</v>
      </c>
      <c r="AS21" s="900">
        <f t="shared" si="137"/>
        <v>-64.990000001443832</v>
      </c>
      <c r="AT21" s="896">
        <f t="shared" si="14"/>
        <v>2.4813169548147274E-2</v>
      </c>
      <c r="AU21" s="418"/>
      <c r="AV21" s="164">
        <f t="shared" si="15"/>
        <v>2.1160000000000001</v>
      </c>
      <c r="AW21" s="829">
        <f>IFERROR(INDEX(MassProp!C$9:C$150,MATCH($M21,MassProp!$B$9:$B$150,0)),"")</f>
        <v>3.0289000000000001</v>
      </c>
      <c r="AX21" s="830">
        <f>IFERROR(INDEX(MassProp!D$9:D$150,MATCH($M21,MassProp!$B$9:$B$150,0)),"")</f>
        <v>0.438</v>
      </c>
      <c r="AY21" s="831">
        <f>IFERROR(INDEX(MassProp!E$9:E$150,MATCH($M21,MassProp!$B$9:$B$150,0)),"")</f>
        <v>1.4500000000000001E-2</v>
      </c>
      <c r="AZ21" s="297">
        <f t="shared" si="138"/>
        <v>0.27596050430660973</v>
      </c>
      <c r="BA21" s="296">
        <f t="shared" si="16"/>
        <v>1.5288338421332514E-2</v>
      </c>
      <c r="BB21" s="190">
        <f t="shared" si="139"/>
        <v>0.25969845835882943</v>
      </c>
      <c r="BC21" s="9"/>
      <c r="BD21" s="5">
        <f t="shared" si="235"/>
        <v>3.0289000000000001</v>
      </c>
      <c r="BE21" s="6">
        <f t="shared" si="17"/>
        <v>0.25679844961240306</v>
      </c>
      <c r="BF21" s="4">
        <f t="shared" si="18"/>
        <v>2.7992306735211079</v>
      </c>
      <c r="BG21" s="5">
        <f t="shared" si="19"/>
        <v>1.3053027000052679</v>
      </c>
      <c r="BH21" s="10">
        <f t="shared" si="20"/>
        <v>-2.900008746426379E-3</v>
      </c>
      <c r="BI21" s="9">
        <f t="shared" si="140"/>
        <v>2.7992306735211079</v>
      </c>
      <c r="BJ21" s="5">
        <f t="shared" si="21"/>
        <v>1.5893503619831582</v>
      </c>
      <c r="BK21" s="8">
        <f t="shared" si="22"/>
        <v>-0.96171017020952543</v>
      </c>
      <c r="BL21" s="173">
        <f t="shared" si="23"/>
        <v>3.7102735154588284</v>
      </c>
      <c r="BM21" s="5">
        <f t="shared" si="24"/>
        <v>1.7006313502100761</v>
      </c>
      <c r="BN21" s="6">
        <f t="shared" si="25"/>
        <v>0.11421616640152829</v>
      </c>
      <c r="BO21" s="4">
        <f t="shared" si="141"/>
        <v>0.41231170266443068</v>
      </c>
      <c r="BP21" s="5">
        <f t="shared" si="142"/>
        <v>-0.8735171343781063</v>
      </c>
      <c r="BQ21" s="5">
        <f t="shared" si="143"/>
        <v>-0.25877958921410149</v>
      </c>
      <c r="BR21" s="6">
        <f t="shared" si="144"/>
        <v>-1.4701754217500258E-2</v>
      </c>
      <c r="BS21" s="4">
        <f t="shared" si="110"/>
        <v>0</v>
      </c>
      <c r="BT21" s="5">
        <f t="shared" si="110"/>
        <v>0</v>
      </c>
      <c r="BU21" s="10">
        <f t="shared" si="111"/>
        <v>0.25679844961240306</v>
      </c>
      <c r="BV21" s="9">
        <f t="shared" si="112"/>
        <v>0</v>
      </c>
      <c r="BW21" s="5">
        <f t="shared" si="113"/>
        <v>1</v>
      </c>
      <c r="BX21" s="8">
        <f t="shared" si="114"/>
        <v>0.25679844961240306</v>
      </c>
      <c r="BY21" s="173">
        <f t="shared" si="115"/>
        <v>1</v>
      </c>
      <c r="BZ21" s="5">
        <f t="shared" si="116"/>
        <v>0</v>
      </c>
      <c r="CA21" s="6">
        <f t="shared" si="117"/>
        <v>0.25679844961240306</v>
      </c>
      <c r="CB21" s="4">
        <f t="shared" si="145"/>
        <v>0</v>
      </c>
      <c r="CC21" s="5">
        <f t="shared" si="146"/>
        <v>0</v>
      </c>
      <c r="CD21" s="5">
        <f t="shared" si="147"/>
        <v>-1</v>
      </c>
      <c r="CE21" s="6">
        <f t="shared" si="148"/>
        <v>0.25679844961240306</v>
      </c>
      <c r="CF21" s="4">
        <f t="shared" si="149"/>
        <v>0.8735171343781063</v>
      </c>
      <c r="CG21" s="5">
        <f t="shared" si="150"/>
        <v>0.41231170266443068</v>
      </c>
      <c r="CH21" s="5">
        <f t="shared" si="151"/>
        <v>0</v>
      </c>
      <c r="CI21" s="4">
        <f t="shared" si="118"/>
        <v>0</v>
      </c>
      <c r="CJ21" s="5">
        <f>IF(ISNUMBER($AV21),(CD21*BR21-BQ21*CE21)/(BQ21*CC21-CD21*BP21),"")</f>
        <v>-9.29071088877889E-2</v>
      </c>
      <c r="CK21" s="8">
        <f t="shared" si="120"/>
        <v>0.25679844961240306</v>
      </c>
      <c r="CL21" s="173">
        <f t="shared" si="121"/>
        <v>0.8735171343781063</v>
      </c>
      <c r="CM21" s="5">
        <f t="shared" si="122"/>
        <v>0.31940459377664177</v>
      </c>
      <c r="CN21" s="6">
        <f t="shared" si="123"/>
        <v>0.25679844961240306</v>
      </c>
      <c r="CO21" s="167">
        <f t="shared" si="26"/>
        <v>0.3125</v>
      </c>
      <c r="CP21" s="4">
        <f t="shared" si="236"/>
        <v>0.93303312420618045</v>
      </c>
      <c r="CQ21" s="5">
        <f t="shared" si="237"/>
        <v>-6.0433484467685181</v>
      </c>
      <c r="CR21" s="5">
        <f t="shared" si="152"/>
        <v>9.7604700725401461</v>
      </c>
      <c r="CS21" s="8">
        <f t="shared" si="153"/>
        <v>9.4692907047232211E-2</v>
      </c>
      <c r="CT21" s="9">
        <f>IF(ISNUMBER($AV21),(-CQ21+SQRT(CS21))/(CP21*2),"")</f>
        <v>3.4034539655411526</v>
      </c>
      <c r="CU21" s="6">
        <f t="shared" si="155"/>
        <v>3.0736456035766819</v>
      </c>
      <c r="CV21" s="4">
        <f t="shared" si="238"/>
        <v>2.9729753549673097</v>
      </c>
      <c r="CW21" s="5">
        <f t="shared" si="156"/>
        <v>1.3103767905844923</v>
      </c>
      <c r="CX21" s="8">
        <f t="shared" si="157"/>
        <v>0.25679844961240306</v>
      </c>
      <c r="CY21" s="9">
        <f t="shared" si="158"/>
        <v>2.6848820997301681</v>
      </c>
      <c r="CZ21" s="5">
        <f t="shared" si="159"/>
        <v>1.1743929433099547</v>
      </c>
      <c r="DA21" s="6">
        <f t="shared" si="160"/>
        <v>0.25679844961240306</v>
      </c>
      <c r="DB21" s="4">
        <f t="shared" si="161"/>
        <v>0</v>
      </c>
      <c r="DC21" s="5">
        <f t="shared" si="161"/>
        <v>0</v>
      </c>
      <c r="DD21" s="10">
        <f t="shared" si="162"/>
        <v>-10</v>
      </c>
      <c r="DE21" s="9">
        <f t="shared" si="163"/>
        <v>0</v>
      </c>
      <c r="DF21" s="5">
        <f t="shared" si="163"/>
        <v>0</v>
      </c>
      <c r="DG21" s="10">
        <f t="shared" si="164"/>
        <v>10</v>
      </c>
      <c r="DH21" s="70">
        <f t="shared" si="165"/>
        <v>3.0289000000000001</v>
      </c>
      <c r="DI21" s="4">
        <f t="shared" si="166"/>
        <v>0</v>
      </c>
      <c r="DJ21" s="5">
        <f t="shared" si="167"/>
        <v>0</v>
      </c>
      <c r="DK21" s="10">
        <f t="shared" si="168"/>
        <v>20</v>
      </c>
      <c r="DL21" s="9">
        <f t="shared" si="169"/>
        <v>2.9729753549673097</v>
      </c>
      <c r="DM21" s="173">
        <f t="shared" si="170"/>
        <v>1.3103767905844923</v>
      </c>
      <c r="DN21" s="178">
        <f t="shared" si="171"/>
        <v>10.256798449612402</v>
      </c>
      <c r="DO21" s="9">
        <f t="shared" si="172"/>
        <v>-0.28809325523714158</v>
      </c>
      <c r="DP21" s="173">
        <f t="shared" si="173"/>
        <v>-0.13598384727453761</v>
      </c>
      <c r="DQ21" s="11">
        <f t="shared" si="174"/>
        <v>0</v>
      </c>
      <c r="DR21" s="173">
        <f t="shared" si="175"/>
        <v>205.13596899224805</v>
      </c>
      <c r="DS21" s="5">
        <f t="shared" si="176"/>
        <v>0</v>
      </c>
      <c r="DT21" s="5">
        <f t="shared" si="177"/>
        <v>400</v>
      </c>
      <c r="DU21" s="5">
        <f t="shared" si="178"/>
        <v>0.10148933043271757</v>
      </c>
      <c r="DV21" s="5">
        <f t="shared" si="179"/>
        <v>-1.034684225115269</v>
      </c>
      <c r="DW21" s="5">
        <f t="shared" si="180"/>
        <v>115.7575842305169</v>
      </c>
      <c r="DX21" s="167">
        <f t="shared" si="181"/>
        <v>106.58334902051689</v>
      </c>
      <c r="DY21" s="9">
        <f t="shared" si="182"/>
        <v>40.595732173087029</v>
      </c>
      <c r="DZ21" s="5">
        <f t="shared" si="183"/>
        <v>-413.87369004610764</v>
      </c>
      <c r="EA21" s="10">
        <f t="shared" si="184"/>
        <v>552.57383381819818</v>
      </c>
      <c r="EB21" s="6">
        <f t="shared" si="185"/>
        <v>148859.29194884212</v>
      </c>
      <c r="EC21" s="173">
        <f t="shared" si="186"/>
        <v>19.699030504742087</v>
      </c>
      <c r="ED21" s="5">
        <f t="shared" si="187"/>
        <v>0.6909793751873885</v>
      </c>
      <c r="EE21" s="4">
        <f t="shared" si="188"/>
        <v>-2.7021824681595898</v>
      </c>
      <c r="EF21" s="5">
        <f t="shared" si="189"/>
        <v>-1.3683731650288129</v>
      </c>
      <c r="EG21" s="10">
        <f t="shared" si="190"/>
        <v>0.25679844961240306</v>
      </c>
      <c r="EH21" s="9">
        <f t="shared" si="191"/>
        <v>2.7739088574678488</v>
      </c>
      <c r="EI21" s="5">
        <f t="shared" si="192"/>
        <v>1.216414756759155</v>
      </c>
      <c r="EJ21" s="6">
        <f t="shared" si="193"/>
        <v>0.25679844961240306</v>
      </c>
      <c r="EK21" s="236" t="b">
        <f t="shared" si="194"/>
        <v>0</v>
      </c>
      <c r="EL21" s="238" t="b">
        <f t="shared" si="195"/>
        <v>1</v>
      </c>
      <c r="EM21" s="4">
        <f t="shared" si="196"/>
        <v>2.7739088574678488</v>
      </c>
      <c r="EN21" s="5">
        <f t="shared" si="197"/>
        <v>1.216414756759155</v>
      </c>
      <c r="EO21" s="10">
        <f t="shared" si="198"/>
        <v>0.25679844961240306</v>
      </c>
      <c r="EP21" s="9">
        <f t="shared" si="199"/>
        <v>23.678416291090858</v>
      </c>
      <c r="EQ21" s="5">
        <f t="shared" si="200"/>
        <v>3.0289000000000033</v>
      </c>
      <c r="ER21" s="7">
        <f t="shared" si="201"/>
        <v>0.25679844961240306</v>
      </c>
      <c r="ES21" s="21">
        <f t="shared" si="124"/>
        <v>0.41231170266443079</v>
      </c>
      <c r="ET21" s="5">
        <f t="shared" si="35"/>
        <v>-0.87351713437810641</v>
      </c>
      <c r="EU21" s="10">
        <f t="shared" si="36"/>
        <v>-0.2587795892141021</v>
      </c>
      <c r="EV21" s="174">
        <f t="shared" si="252"/>
        <v>66.321583708909145</v>
      </c>
      <c r="EW21" s="9">
        <f t="shared" si="125"/>
        <v>0.96556471184484982</v>
      </c>
      <c r="EX21" s="5">
        <f t="shared" si="37"/>
        <v>2.6793869562882988E-2</v>
      </c>
      <c r="EY21" s="6">
        <f t="shared" si="202"/>
        <v>-0.2587795892141021</v>
      </c>
      <c r="EZ21" s="51">
        <f t="shared" si="203"/>
        <v>0.46208715118567284</v>
      </c>
      <c r="FA21" s="266">
        <f t="shared" si="126"/>
        <v>0.40158975111851186</v>
      </c>
      <c r="FB21" s="267">
        <f t="shared" si="127"/>
        <v>-0.91578416120490302</v>
      </c>
      <c r="FC21" s="269">
        <f t="shared" si="38"/>
        <v>-8.0648547912351726E-3</v>
      </c>
      <c r="FD21" s="4">
        <f t="shared" si="128"/>
        <v>0.99996747852977508</v>
      </c>
      <c r="FE21" s="5">
        <f t="shared" si="39"/>
        <v>1.1102230246251565E-16</v>
      </c>
      <c r="FF21" s="7">
        <f t="shared" si="204"/>
        <v>-8.0648547912351726E-3</v>
      </c>
      <c r="FG21" s="173">
        <f t="shared" si="205"/>
        <v>-3.4402766684925257E-2</v>
      </c>
      <c r="FH21" s="5">
        <f t="shared" si="40"/>
        <v>2.6793869562882877E-2</v>
      </c>
      <c r="FI21" s="10">
        <f t="shared" si="41"/>
        <v>-0.2507147344228669</v>
      </c>
      <c r="FJ21" s="279">
        <f t="shared" si="206"/>
        <v>14.620179928881811</v>
      </c>
      <c r="FK21" s="4">
        <f t="shared" si="42"/>
        <v>0.96593639759881744</v>
      </c>
      <c r="FL21" s="5">
        <f t="shared" si="207"/>
        <v>0.99996747852977508</v>
      </c>
      <c r="FM21" s="8">
        <f t="shared" si="208"/>
        <v>4.3605754227282717E-2</v>
      </c>
      <c r="FN21" s="9">
        <f t="shared" si="209"/>
        <v>1.5895172656165577</v>
      </c>
      <c r="FO21" s="10">
        <f t="shared" si="43"/>
        <v>-1</v>
      </c>
      <c r="FP21" s="277">
        <f t="shared" si="44"/>
        <v>-1.5895172656165577</v>
      </c>
      <c r="FQ21" s="173">
        <f t="shared" si="239"/>
        <v>2.7738751360327607E-2</v>
      </c>
      <c r="FR21" s="10">
        <f t="shared" si="210"/>
        <v>0.99961520680358296</v>
      </c>
      <c r="FS21" s="9">
        <f t="shared" si="211"/>
        <v>2.7000189311483618E-2</v>
      </c>
      <c r="FT21" s="6">
        <f t="shared" si="212"/>
        <v>0.97299981068851638</v>
      </c>
      <c r="FU21" s="4">
        <f t="shared" si="213"/>
        <v>0.9996409798291821</v>
      </c>
      <c r="FV21" s="5">
        <f t="shared" si="214"/>
        <v>1</v>
      </c>
      <c r="FW21" s="8">
        <f t="shared" si="240"/>
        <v>0.25306407965633149</v>
      </c>
      <c r="FX21" s="9">
        <f t="shared" si="241"/>
        <v>14.541085414307592</v>
      </c>
      <c r="FY21" s="10">
        <f t="shared" si="45"/>
        <v>1</v>
      </c>
      <c r="FZ21" s="277">
        <f t="shared" si="242"/>
        <v>14.541085414307592</v>
      </c>
      <c r="GA21" s="177">
        <f t="shared" si="215"/>
        <v>14.535127432757557</v>
      </c>
      <c r="GB21" s="4">
        <f t="shared" si="216"/>
        <v>2.6850219517428942E-2</v>
      </c>
      <c r="GC21" s="5">
        <f t="shared" si="217"/>
        <v>0.96759538261059208</v>
      </c>
      <c r="GD21" s="10">
        <f t="shared" si="218"/>
        <v>-0.25107417482195932</v>
      </c>
      <c r="GE21" s="311">
        <f t="shared" si="219"/>
        <v>1.2455197769499804</v>
      </c>
      <c r="GF21" s="341">
        <f t="shared" si="243"/>
        <v>0.80287765678742784</v>
      </c>
      <c r="GG21" s="285">
        <f t="shared" si="46"/>
        <v>2.155744133038141E-2</v>
      </c>
      <c r="GH21" s="286">
        <f t="shared" si="47"/>
        <v>0.77686071350872687</v>
      </c>
      <c r="GI21" s="281">
        <f t="shared" si="48"/>
        <v>0.2015818451608917</v>
      </c>
      <c r="GJ21" s="167">
        <f t="shared" si="220"/>
        <v>3.0289000000000001</v>
      </c>
      <c r="GK21" s="174">
        <f t="shared" si="49"/>
        <v>1.5859799098081018</v>
      </c>
      <c r="GL21" s="174">
        <f t="shared" si="221"/>
        <v>1.4500000000000001E-2</v>
      </c>
      <c r="GM21" s="177">
        <f t="shared" si="244"/>
        <v>0.27596050430660973</v>
      </c>
      <c r="GN21" s="280">
        <f t="shared" si="222"/>
        <v>1.5288338421332514E-2</v>
      </c>
      <c r="GO21" s="4">
        <f t="shared" si="223"/>
        <v>-1.5895172656165577</v>
      </c>
      <c r="GP21" s="8">
        <f t="shared" si="245"/>
        <v>14.541085414307592</v>
      </c>
      <c r="GQ21" s="177">
        <f t="shared" si="224"/>
        <v>14.620179928881811</v>
      </c>
      <c r="GR21" s="371">
        <f t="shared" si="246"/>
        <v>888.06300636642277</v>
      </c>
      <c r="GS21" s="342">
        <f t="shared" si="51"/>
        <v>19.14436615742629</v>
      </c>
      <c r="GT21" s="343">
        <f t="shared" si="52"/>
        <v>12.071001681063347</v>
      </c>
      <c r="GU21" s="344">
        <f t="shared" si="53"/>
        <v>689.90126076652427</v>
      </c>
      <c r="GV21" s="343">
        <f t="shared" si="253"/>
        <v>435</v>
      </c>
      <c r="GW21" s="345">
        <f t="shared" si="129"/>
        <v>30000</v>
      </c>
      <c r="GX21" s="346">
        <f t="shared" si="54"/>
        <v>109.79762500000001</v>
      </c>
      <c r="GY21" s="344">
        <f t="shared" si="55"/>
        <v>179.01737944247222</v>
      </c>
      <c r="GZ21" s="345">
        <f t="shared" si="56"/>
        <v>112.87493513340451</v>
      </c>
      <c r="HA21" s="342">
        <f t="shared" si="57"/>
        <v>-19.14436615742629</v>
      </c>
      <c r="HB21" s="5">
        <f t="shared" si="225"/>
        <v>66.321583708909145</v>
      </c>
      <c r="HC21" s="343">
        <f t="shared" si="226"/>
        <v>-7.6884312795714189</v>
      </c>
      <c r="HD21" s="345">
        <f t="shared" si="227"/>
        <v>-17.532677491727178</v>
      </c>
      <c r="HE21" s="344">
        <f t="shared" si="58"/>
        <v>435</v>
      </c>
      <c r="HF21" s="5">
        <f t="shared" si="59"/>
        <v>156.32158370890915</v>
      </c>
      <c r="HG21" s="343">
        <f t="shared" si="228"/>
        <v>-398.37906599706588</v>
      </c>
      <c r="HH21" s="349">
        <f t="shared" si="229"/>
        <v>174.69722314709361</v>
      </c>
      <c r="HI21" s="317">
        <f t="shared" si="60"/>
        <v>2.1160000000000001</v>
      </c>
      <c r="HJ21" s="336"/>
      <c r="HK21" s="310">
        <f t="shared" si="130"/>
        <v>13</v>
      </c>
      <c r="HL21" s="348">
        <f t="shared" si="61"/>
        <v>3.113</v>
      </c>
      <c r="HM21" s="935">
        <f t="shared" si="62"/>
        <v>-2.4765648684024546</v>
      </c>
      <c r="HN21" s="936">
        <f t="shared" si="63"/>
        <v>14.999997834268255</v>
      </c>
      <c r="HO21" s="937"/>
      <c r="HP21" s="938"/>
      <c r="HQ21" s="936">
        <f t="shared" si="64"/>
        <v>14.643420795303198</v>
      </c>
      <c r="HR21" s="939">
        <f t="shared" si="65"/>
        <v>14.450861770912079</v>
      </c>
      <c r="HS21" s="940">
        <f t="shared" si="249"/>
        <v>2.6654</v>
      </c>
      <c r="HT21" s="941">
        <f t="shared" si="66"/>
        <v>2.8000000000000001E-2</v>
      </c>
      <c r="HU21" s="942">
        <f t="shared" si="67"/>
        <v>0.46894135301061901</v>
      </c>
      <c r="HV21" s="943">
        <f t="shared" si="68"/>
        <v>2.5979565889683667E-2</v>
      </c>
      <c r="HW21" s="944">
        <f t="shared" si="69"/>
        <v>30000</v>
      </c>
      <c r="HX21" s="947">
        <f t="shared" si="70"/>
        <v>186.578</v>
      </c>
      <c r="HY21" s="952">
        <f t="shared" si="71"/>
        <v>50.70563234136074</v>
      </c>
      <c r="HZ21" s="953">
        <f t="shared" si="72"/>
        <v>1172.3533825265474</v>
      </c>
      <c r="IA21" s="954">
        <f t="shared" si="73"/>
        <v>302.40120136125171</v>
      </c>
      <c r="IB21" s="955">
        <f t="shared" si="74"/>
        <v>1525.4602162291599</v>
      </c>
      <c r="IC21" s="842">
        <f t="shared" si="75"/>
        <v>36.330966244112425</v>
      </c>
      <c r="ID21" s="351">
        <f t="shared" si="76"/>
        <v>840</v>
      </c>
      <c r="IE21" s="844">
        <f t="shared" si="77"/>
        <v>216.67273104634839</v>
      </c>
      <c r="IF21" s="845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0"/>
        <v>2.1160000000000001</v>
      </c>
      <c r="IJ21" s="96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8"/>
        <v>1613</v>
      </c>
      <c r="IM21" s="482" t="str">
        <f t="shared" si="231"/>
        <v/>
      </c>
      <c r="IN21" s="670" t="str">
        <f t="shared" si="80"/>
        <v/>
      </c>
      <c r="IO21" s="702"/>
      <c r="IP21" s="5" t="str">
        <f t="shared" si="81"/>
        <v/>
      </c>
      <c r="IQ21" s="714"/>
      <c r="IR21" s="9" t="str">
        <f t="shared" si="131"/>
        <v/>
      </c>
      <c r="IS21" s="5" t="str">
        <f t="shared" si="82"/>
        <v/>
      </c>
      <c r="IT21" s="5" t="str">
        <f t="shared" si="83"/>
        <v/>
      </c>
      <c r="IU21" s="5" t="str">
        <f t="shared" si="84"/>
        <v/>
      </c>
      <c r="IV21" s="670" t="str">
        <f t="shared" si="85"/>
        <v/>
      </c>
      <c r="IW21" s="9" t="str">
        <f t="shared" si="86"/>
        <v/>
      </c>
      <c r="IX21" s="5" t="str">
        <f t="shared" si="87"/>
        <v/>
      </c>
      <c r="IY21" s="5" t="str">
        <f t="shared" si="88"/>
        <v/>
      </c>
      <c r="IZ21" s="5" t="str">
        <f t="shared" si="89"/>
        <v/>
      </c>
      <c r="JA21" s="705" t="str">
        <f t="shared" si="90"/>
        <v/>
      </c>
      <c r="JC21" s="708"/>
      <c r="JD21" s="1211"/>
      <c r="JE21" s="1212"/>
      <c r="JF21" s="1212"/>
      <c r="JG21" s="1212"/>
      <c r="JH21" s="1144" t="s">
        <v>349</v>
      </c>
      <c r="JI21" s="1145"/>
      <c r="JJ21" s="1350" t="s">
        <v>362</v>
      </c>
      <c r="JK21" s="1351"/>
    </row>
    <row r="22" spans="1:271" ht="15" customHeight="1" thickBot="1" x14ac:dyDescent="0.3">
      <c r="A22" s="75">
        <f t="shared" si="1"/>
        <v>0</v>
      </c>
      <c r="B22" s="578">
        <f t="shared" ref="B22:D22" si="270">IFERROR(O177+($A22*-E22),"")</f>
        <v>3.4823360346978434</v>
      </c>
      <c r="C22" s="572">
        <f t="shared" si="270"/>
        <v>1.6002231393082447</v>
      </c>
      <c r="D22" s="576">
        <f t="shared" si="270"/>
        <v>-7.6400230423094961E-2</v>
      </c>
      <c r="E22" s="580">
        <f t="shared" ref="E22:K22" si="271">R177</f>
        <v>-0.34928035570798788</v>
      </c>
      <c r="F22" s="572">
        <f t="shared" si="271"/>
        <v>0.89948495945127915</v>
      </c>
      <c r="G22" s="579">
        <f t="shared" si="271"/>
        <v>0.26254531197001474</v>
      </c>
      <c r="H22" s="580">
        <f t="shared" si="271"/>
        <v>0.3125</v>
      </c>
      <c r="I22" s="572">
        <f t="shared" si="271"/>
        <v>0.52</v>
      </c>
      <c r="J22" s="483">
        <f t="shared" si="92"/>
        <v>2.1219999999999999</v>
      </c>
      <c r="K22" s="806">
        <f t="shared" si="271"/>
        <v>1613</v>
      </c>
      <c r="L22" s="814" t="str">
        <f>IF($L21=$JJ$22,$JJ$30,IF($L21=$JK$22,$JK$30,""))</f>
        <v/>
      </c>
      <c r="M22" s="164">
        <f t="shared" si="4"/>
        <v>2.1219999999999999</v>
      </c>
      <c r="N22" s="575">
        <f t="shared" si="5"/>
        <v>3.4823360346978434</v>
      </c>
      <c r="O22" s="572">
        <f t="shared" si="6"/>
        <v>1.6002231393082447</v>
      </c>
      <c r="P22" s="576">
        <f t="shared" si="7"/>
        <v>-7.6400230423094961E-2</v>
      </c>
      <c r="Q22" s="528">
        <f t="shared" si="134"/>
        <v>24.680000046202291</v>
      </c>
      <c r="R22" s="572">
        <f t="shared" si="93"/>
        <v>3.8324115585532605</v>
      </c>
      <c r="S22" s="577">
        <f t="shared" si="94"/>
        <v>-7.6400230423094961E-2</v>
      </c>
      <c r="T22" s="578">
        <f t="shared" si="95"/>
        <v>1.6008308971392813</v>
      </c>
      <c r="U22" s="572">
        <f t="shared" si="96"/>
        <v>-3.4820566900751162</v>
      </c>
      <c r="V22" s="579">
        <f t="shared" si="135"/>
        <v>-7.6400230423094961E-2</v>
      </c>
      <c r="W22" s="528">
        <f t="shared" si="256"/>
        <v>294.69000004475845</v>
      </c>
      <c r="X22" s="572">
        <f t="shared" si="97"/>
        <v>3.8324115585532605</v>
      </c>
      <c r="Y22" s="573">
        <f t="shared" si="259"/>
        <v>-7.6400230423094961E-2</v>
      </c>
      <c r="Z22" s="575">
        <f t="shared" si="10"/>
        <v>0.34928035570798788</v>
      </c>
      <c r="AA22" s="572">
        <f t="shared" si="11"/>
        <v>-0.89948495945127915</v>
      </c>
      <c r="AB22" s="572">
        <f t="shared" si="12"/>
        <v>-0.26254531197001474</v>
      </c>
      <c r="AC22" s="579">
        <f t="shared" si="98"/>
        <v>1</v>
      </c>
      <c r="AD22" s="580">
        <f t="shared" si="136"/>
        <v>0.34928035570798788</v>
      </c>
      <c r="AE22" s="572">
        <f t="shared" si="99"/>
        <v>-0.89948495945127915</v>
      </c>
      <c r="AF22" s="576">
        <f t="shared" si="100"/>
        <v>-0.26254531197001474</v>
      </c>
      <c r="AG22" s="545">
        <f t="shared" si="101"/>
        <v>-73.728317351900543</v>
      </c>
      <c r="AH22" s="546">
        <f t="shared" si="102"/>
        <v>69.556695221009534</v>
      </c>
      <c r="AI22" s="528">
        <f t="shared" si="103"/>
        <v>-74.778854288649342</v>
      </c>
      <c r="AJ22" s="529">
        <f t="shared" si="104"/>
        <v>21.221763946786389</v>
      </c>
      <c r="AK22" s="578">
        <f t="shared" si="234"/>
        <v>0.96316257736919564</v>
      </c>
      <c r="AL22" s="572">
        <f t="shared" si="105"/>
        <v>-5.8204885689227992E-2</v>
      </c>
      <c r="AM22" s="577">
        <f t="shared" si="106"/>
        <v>-0.26254531197001474</v>
      </c>
      <c r="AN22" s="524">
        <f t="shared" si="107"/>
        <v>-12.499998195223389</v>
      </c>
      <c r="AO22" s="525">
        <f t="shared" si="108"/>
        <v>15.599997747638966</v>
      </c>
      <c r="AP22" s="528">
        <f t="shared" si="109"/>
        <v>-3.4582360994159078</v>
      </c>
      <c r="AQ22" s="529">
        <f t="shared" si="13"/>
        <v>0.36520794842123572</v>
      </c>
      <c r="AS22" s="900">
        <f t="shared" si="137"/>
        <v>-65.309999955241551</v>
      </c>
      <c r="AT22" s="896">
        <f t="shared" si="14"/>
        <v>-4.8550618039692822E-2</v>
      </c>
      <c r="AU22" s="418"/>
      <c r="AV22" s="164">
        <f t="shared" si="15"/>
        <v>2.1219999999999999</v>
      </c>
      <c r="AW22" s="829">
        <f>IFERROR(INDEX(MassProp!C$9:C$150,MATCH($M22,MassProp!$B$9:$B$150,0)),"")</f>
        <v>3.855</v>
      </c>
      <c r="AX22" s="830">
        <f>IFERROR(INDEX(MassProp!D$9:D$150,MATCH($M22,MassProp!$B$9:$B$150,0)),"")</f>
        <v>0.36980000000000002</v>
      </c>
      <c r="AY22" s="831">
        <f>IFERROR(INDEX(MassProp!E$9:E$150,MATCH($M22,MassProp!$B$9:$B$150,0)),"")</f>
        <v>1.4200000000000001E-2</v>
      </c>
      <c r="AZ22" s="297">
        <f t="shared" si="138"/>
        <v>0.3439547524888612</v>
      </c>
      <c r="BA22" s="296">
        <f t="shared" si="16"/>
        <v>1.9055250934868734E-2</v>
      </c>
      <c r="BB22" s="190">
        <f t="shared" si="139"/>
        <v>0.26486224594666957</v>
      </c>
      <c r="BC22" s="9"/>
      <c r="BD22" s="5">
        <f t="shared" si="235"/>
        <v>3.855</v>
      </c>
      <c r="BE22" s="6">
        <f t="shared" si="17"/>
        <v>0.18846201552357461</v>
      </c>
      <c r="BF22" s="4">
        <f t="shared" si="18"/>
        <v>3.4823360346978434</v>
      </c>
      <c r="BG22" s="5">
        <f t="shared" si="19"/>
        <v>1.6002231393082447</v>
      </c>
      <c r="BH22" s="10">
        <f t="shared" si="20"/>
        <v>-7.6400230423094961E-2</v>
      </c>
      <c r="BI22" s="9">
        <f t="shared" si="140"/>
        <v>3.4823360346978434</v>
      </c>
      <c r="BJ22" s="5">
        <f t="shared" si="21"/>
        <v>1.8804154484155964</v>
      </c>
      <c r="BK22" s="8">
        <f t="shared" si="22"/>
        <v>-1.0363441193650949</v>
      </c>
      <c r="BL22" s="173">
        <f t="shared" si="23"/>
        <v>4.41935430192453</v>
      </c>
      <c r="BM22" s="5">
        <f t="shared" si="24"/>
        <v>1.9355126822976154</v>
      </c>
      <c r="BN22" s="6">
        <f t="shared" si="25"/>
        <v>2.1465438968563247E-2</v>
      </c>
      <c r="BO22" s="4">
        <f t="shared" si="141"/>
        <v>0.34928035570798716</v>
      </c>
      <c r="BP22" s="5">
        <f t="shared" si="142"/>
        <v>-0.89948495945127904</v>
      </c>
      <c r="BQ22" s="5">
        <f t="shared" si="143"/>
        <v>-0.2625453119700154</v>
      </c>
      <c r="BR22" s="6">
        <f t="shared" si="144"/>
        <v>0.20300655434865789</v>
      </c>
      <c r="BS22" s="4">
        <f t="shared" si="110"/>
        <v>0</v>
      </c>
      <c r="BT22" s="5">
        <f t="shared" si="110"/>
        <v>0</v>
      </c>
      <c r="BU22" s="10">
        <f t="shared" si="111"/>
        <v>0.18846201552357461</v>
      </c>
      <c r="BV22" s="9">
        <f t="shared" si="112"/>
        <v>0</v>
      </c>
      <c r="BW22" s="5">
        <f t="shared" si="113"/>
        <v>1</v>
      </c>
      <c r="BX22" s="8">
        <f t="shared" si="114"/>
        <v>0.18846201552357461</v>
      </c>
      <c r="BY22" s="173">
        <f t="shared" si="115"/>
        <v>1</v>
      </c>
      <c r="BZ22" s="5">
        <f t="shared" si="116"/>
        <v>0</v>
      </c>
      <c r="CA22" s="6">
        <f t="shared" si="117"/>
        <v>0.18846201552357461</v>
      </c>
      <c r="CB22" s="4">
        <f t="shared" si="145"/>
        <v>0</v>
      </c>
      <c r="CC22" s="5">
        <f t="shared" si="146"/>
        <v>0</v>
      </c>
      <c r="CD22" s="5">
        <f t="shared" si="147"/>
        <v>-1</v>
      </c>
      <c r="CE22" s="6">
        <f t="shared" si="148"/>
        <v>0.18846201552357461</v>
      </c>
      <c r="CF22" s="4">
        <f t="shared" si="149"/>
        <v>0.89948495945127904</v>
      </c>
      <c r="CG22" s="5">
        <f t="shared" si="150"/>
        <v>0.34928035570798716</v>
      </c>
      <c r="CH22" s="5">
        <f t="shared" si="151"/>
        <v>0</v>
      </c>
      <c r="CI22" s="4">
        <f t="shared" si="118"/>
        <v>0</v>
      </c>
      <c r="CJ22" s="5">
        <f t="shared" si="119"/>
        <v>0.17068293813626456</v>
      </c>
      <c r="CK22" s="8">
        <f t="shared" si="120"/>
        <v>0.18846201552357461</v>
      </c>
      <c r="CL22" s="173">
        <f t="shared" si="121"/>
        <v>0.89948495945127904</v>
      </c>
      <c r="CM22" s="5">
        <f t="shared" si="122"/>
        <v>0.51996329384425177</v>
      </c>
      <c r="CN22" s="6">
        <f t="shared" si="123"/>
        <v>0.18846201552357461</v>
      </c>
      <c r="CO22" s="167">
        <f t="shared" si="26"/>
        <v>0.3125</v>
      </c>
      <c r="CP22" s="4">
        <f t="shared" si="236"/>
        <v>0.93106995916256718</v>
      </c>
      <c r="CQ22" s="5">
        <f t="shared" si="237"/>
        <v>-7.2632383938602691</v>
      </c>
      <c r="CR22" s="5">
        <f t="shared" si="152"/>
        <v>14.142745204649838</v>
      </c>
      <c r="CS22" s="8">
        <f t="shared" si="153"/>
        <v>8.3091165486230523E-2</v>
      </c>
      <c r="CT22" s="9">
        <f t="shared" si="154"/>
        <v>4.0552773193641984</v>
      </c>
      <c r="CU22" s="6">
        <f t="shared" si="155"/>
        <v>3.745681483337425</v>
      </c>
      <c r="CV22" s="4">
        <f t="shared" si="238"/>
        <v>3.6476609551719976</v>
      </c>
      <c r="CW22" s="5">
        <f t="shared" si="156"/>
        <v>1.5871116427383245</v>
      </c>
      <c r="CX22" s="8">
        <f t="shared" si="157"/>
        <v>0.18846201552357461</v>
      </c>
      <c r="CY22" s="9">
        <f t="shared" si="158"/>
        <v>3.3691841571571706</v>
      </c>
      <c r="CZ22" s="5">
        <f t="shared" si="159"/>
        <v>1.4789758990051816</v>
      </c>
      <c r="DA22" s="6">
        <f t="shared" si="160"/>
        <v>0.18846201552357461</v>
      </c>
      <c r="DB22" s="4">
        <f t="shared" si="161"/>
        <v>0</v>
      </c>
      <c r="DC22" s="5">
        <f t="shared" si="161"/>
        <v>0</v>
      </c>
      <c r="DD22" s="10">
        <f t="shared" si="162"/>
        <v>-10</v>
      </c>
      <c r="DE22" s="9">
        <f t="shared" si="163"/>
        <v>0</v>
      </c>
      <c r="DF22" s="5">
        <f t="shared" si="163"/>
        <v>0</v>
      </c>
      <c r="DG22" s="10">
        <f t="shared" si="164"/>
        <v>10</v>
      </c>
      <c r="DH22" s="70">
        <f t="shared" si="165"/>
        <v>3.855</v>
      </c>
      <c r="DI22" s="4">
        <f t="shared" si="166"/>
        <v>0</v>
      </c>
      <c r="DJ22" s="5">
        <f t="shared" si="167"/>
        <v>0</v>
      </c>
      <c r="DK22" s="10">
        <f t="shared" si="168"/>
        <v>20</v>
      </c>
      <c r="DL22" s="9">
        <f t="shared" si="169"/>
        <v>3.6476609551719976</v>
      </c>
      <c r="DM22" s="173">
        <f t="shared" si="170"/>
        <v>1.5871116427383245</v>
      </c>
      <c r="DN22" s="178">
        <f t="shared" si="171"/>
        <v>10.188462015523575</v>
      </c>
      <c r="DO22" s="9">
        <f t="shared" si="172"/>
        <v>-0.27847679801482705</v>
      </c>
      <c r="DP22" s="173">
        <f t="shared" si="173"/>
        <v>-0.10813574373314294</v>
      </c>
      <c r="DQ22" s="11">
        <f t="shared" si="174"/>
        <v>0</v>
      </c>
      <c r="DR22" s="173">
        <f t="shared" si="175"/>
        <v>203.7692403104715</v>
      </c>
      <c r="DS22" s="5">
        <f t="shared" si="176"/>
        <v>0</v>
      </c>
      <c r="DT22" s="5">
        <f t="shared" si="177"/>
        <v>400</v>
      </c>
      <c r="DU22" s="5">
        <f t="shared" si="178"/>
        <v>8.9242666105310745E-2</v>
      </c>
      <c r="DV22" s="5">
        <f t="shared" si="179"/>
        <v>-1.1874124409150426</v>
      </c>
      <c r="DW22" s="5">
        <f t="shared" si="180"/>
        <v>119.62911205216854</v>
      </c>
      <c r="DX22" s="167">
        <f t="shared" si="181"/>
        <v>104.76808705216854</v>
      </c>
      <c r="DY22" s="9">
        <f t="shared" si="182"/>
        <v>35.697066442124296</v>
      </c>
      <c r="DZ22" s="5">
        <f t="shared" si="183"/>
        <v>-474.96497636601703</v>
      </c>
      <c r="EA22" s="10">
        <f t="shared" si="184"/>
        <v>385.33152416073426</v>
      </c>
      <c r="EB22" s="6">
        <f t="shared" si="185"/>
        <v>211836.52375416036</v>
      </c>
      <c r="EC22" s="173">
        <f t="shared" si="186"/>
        <v>26.198847379133714</v>
      </c>
      <c r="ED22" s="5">
        <f t="shared" si="187"/>
        <v>0.41202145156297076</v>
      </c>
      <c r="EE22" s="4">
        <f t="shared" si="188"/>
        <v>-3.6481101746483029</v>
      </c>
      <c r="EF22" s="5">
        <f t="shared" si="189"/>
        <v>-1.2459202035554022</v>
      </c>
      <c r="EG22" s="10">
        <f t="shared" si="190"/>
        <v>0.18846201552357461</v>
      </c>
      <c r="EH22" s="9">
        <f t="shared" si="191"/>
        <v>3.5329225406273204</v>
      </c>
      <c r="EI22" s="5">
        <f t="shared" si="192"/>
        <v>1.5425573966395536</v>
      </c>
      <c r="EJ22" s="6">
        <f t="shared" si="193"/>
        <v>0.18846201552357461</v>
      </c>
      <c r="EK22" s="236" t="b">
        <f t="shared" si="194"/>
        <v>0</v>
      </c>
      <c r="EL22" s="238" t="b">
        <f t="shared" si="195"/>
        <v>1</v>
      </c>
      <c r="EM22" s="4">
        <f t="shared" si="196"/>
        <v>3.5329225406273204</v>
      </c>
      <c r="EN22" s="5">
        <f t="shared" si="197"/>
        <v>1.5425573966395536</v>
      </c>
      <c r="EO22" s="10">
        <f t="shared" si="198"/>
        <v>0.18846201552357461</v>
      </c>
      <c r="EP22" s="9">
        <f t="shared" si="199"/>
        <v>23.587217842863183</v>
      </c>
      <c r="EQ22" s="5">
        <f t="shared" si="200"/>
        <v>3.8549999999999995</v>
      </c>
      <c r="ER22" s="7">
        <f t="shared" si="201"/>
        <v>0.18846201552357461</v>
      </c>
      <c r="ES22" s="21">
        <f t="shared" si="124"/>
        <v>0.34928035570798788</v>
      </c>
      <c r="ET22" s="5">
        <f t="shared" si="35"/>
        <v>-0.89948495945127915</v>
      </c>
      <c r="EU22" s="10">
        <f t="shared" si="36"/>
        <v>-0.26254531197001474</v>
      </c>
      <c r="EV22" s="174">
        <f t="shared" si="252"/>
        <v>66.412782157136817</v>
      </c>
      <c r="EW22" s="9">
        <f t="shared" si="125"/>
        <v>0.96409745379998102</v>
      </c>
      <c r="EX22" s="5">
        <f t="shared" si="37"/>
        <v>-3.982535296719103E-2</v>
      </c>
      <c r="EY22" s="6">
        <f t="shared" si="202"/>
        <v>-0.26254531197001474</v>
      </c>
      <c r="EZ22" s="51">
        <f t="shared" si="203"/>
        <v>0.3630680633691637</v>
      </c>
      <c r="FA22" s="266">
        <f t="shared" si="126"/>
        <v>0.40013655685458849</v>
      </c>
      <c r="FB22" s="267">
        <f t="shared" si="127"/>
        <v>-0.91643362128385419</v>
      </c>
      <c r="FC22" s="269">
        <f t="shared" si="38"/>
        <v>-6.3366907069891815E-3</v>
      </c>
      <c r="FD22" s="4">
        <f t="shared" si="128"/>
        <v>0.99997992297389859</v>
      </c>
      <c r="FE22" s="5">
        <f t="shared" si="39"/>
        <v>0</v>
      </c>
      <c r="FF22" s="7">
        <f t="shared" si="204"/>
        <v>-6.3366907069891815E-3</v>
      </c>
      <c r="FG22" s="173">
        <f t="shared" si="205"/>
        <v>-3.5882469173917575E-2</v>
      </c>
      <c r="FH22" s="5">
        <f t="shared" si="40"/>
        <v>-3.982535296719103E-2</v>
      </c>
      <c r="FI22" s="10">
        <f t="shared" si="41"/>
        <v>-0.25620862126302557</v>
      </c>
      <c r="FJ22" s="279">
        <f t="shared" si="206"/>
        <v>15.040692211338591</v>
      </c>
      <c r="FK22" s="4">
        <f t="shared" si="42"/>
        <v>0.96491966461595535</v>
      </c>
      <c r="FL22" s="5">
        <f t="shared" si="207"/>
        <v>0.99997992297389848</v>
      </c>
      <c r="FM22" s="8">
        <f t="shared" si="208"/>
        <v>5.3606066195706771E-2</v>
      </c>
      <c r="FN22" s="9">
        <f t="shared" si="209"/>
        <v>2.3654538960768203</v>
      </c>
      <c r="FO22" s="10">
        <f t="shared" si="43"/>
        <v>1</v>
      </c>
      <c r="FP22" s="277">
        <f t="shared" si="44"/>
        <v>2.3654538960768203</v>
      </c>
      <c r="FQ22" s="173">
        <f t="shared" si="239"/>
        <v>4.1273231780432351E-2</v>
      </c>
      <c r="FR22" s="10">
        <f t="shared" si="210"/>
        <v>0.99914789712954843</v>
      </c>
      <c r="FS22" s="9">
        <f t="shared" si="211"/>
        <v>3.9669736257349104E-2</v>
      </c>
      <c r="FT22" s="6">
        <f t="shared" si="212"/>
        <v>0.96033026374265096</v>
      </c>
      <c r="FU22" s="4">
        <f t="shared" si="213"/>
        <v>0.9992066559331152</v>
      </c>
      <c r="FV22" s="5">
        <f t="shared" si="214"/>
        <v>1</v>
      </c>
      <c r="FW22" s="8">
        <f t="shared" si="240"/>
        <v>0.25870912083557784</v>
      </c>
      <c r="FX22" s="9">
        <f t="shared" si="241"/>
        <v>14.870455770325353</v>
      </c>
      <c r="FY22" s="10">
        <f t="shared" si="45"/>
        <v>1</v>
      </c>
      <c r="FZ22" s="277">
        <f t="shared" si="242"/>
        <v>14.870455770325353</v>
      </c>
      <c r="GA22" s="177">
        <f t="shared" si="215"/>
        <v>14.857905222696418</v>
      </c>
      <c r="GB22" s="4">
        <f t="shared" si="216"/>
        <v>-3.9890930982766734E-2</v>
      </c>
      <c r="GC22" s="5">
        <f t="shared" si="217"/>
        <v>0.9656849751433223</v>
      </c>
      <c r="GD22" s="10">
        <f t="shared" si="218"/>
        <v>-0.25663445288536191</v>
      </c>
      <c r="GE22" s="311">
        <f t="shared" si="219"/>
        <v>1.2622103590114508</v>
      </c>
      <c r="GF22" s="341">
        <f t="shared" si="243"/>
        <v>0.79226096732654683</v>
      </c>
      <c r="GG22" s="285">
        <f t="shared" si="46"/>
        <v>3.1604027567963287E-2</v>
      </c>
      <c r="GH22" s="286">
        <f t="shared" si="47"/>
        <v>0.76507451253976089</v>
      </c>
      <c r="GI22" s="281">
        <f t="shared" si="48"/>
        <v>0.20332145989227593</v>
      </c>
      <c r="GJ22" s="167">
        <f t="shared" si="220"/>
        <v>3.855</v>
      </c>
      <c r="GK22" s="174">
        <f t="shared" si="49"/>
        <v>2.0185138056858052</v>
      </c>
      <c r="GL22" s="174">
        <f t="shared" si="221"/>
        <v>1.4200000000000001E-2</v>
      </c>
      <c r="GM22" s="177">
        <f>IF(ISNUMBER($AV22),AZ22,"")</f>
        <v>0.3439547524888612</v>
      </c>
      <c r="GN22" s="280">
        <f t="shared" si="222"/>
        <v>1.9055250934868734E-2</v>
      </c>
      <c r="GO22" s="4">
        <f t="shared" si="223"/>
        <v>2.3654538960768203</v>
      </c>
      <c r="GP22" s="8">
        <f t="shared" si="245"/>
        <v>14.870455770325353</v>
      </c>
      <c r="GQ22" s="177">
        <f t="shared" si="224"/>
        <v>15.040692211338591</v>
      </c>
      <c r="GR22" s="371">
        <f t="shared" si="246"/>
        <v>1123.9256662304049</v>
      </c>
      <c r="GS22" s="342">
        <f t="shared" si="51"/>
        <v>35.520577739887223</v>
      </c>
      <c r="GT22" s="343">
        <f t="shared" si="52"/>
        <v>17.597391526296171</v>
      </c>
      <c r="GU22" s="344">
        <f t="shared" si="53"/>
        <v>859.88688122215297</v>
      </c>
      <c r="GV22" s="343">
        <f t="shared" si="253"/>
        <v>426</v>
      </c>
      <c r="GW22" s="345">
        <f t="shared" si="129"/>
        <v>30000</v>
      </c>
      <c r="GX22" s="346">
        <f t="shared" si="54"/>
        <v>136.85249999999999</v>
      </c>
      <c r="GY22" s="344">
        <f t="shared" si="55"/>
        <v>228.51820726836476</v>
      </c>
      <c r="GZ22" s="345">
        <f t="shared" si="56"/>
        <v>113.21111930206689</v>
      </c>
      <c r="HA22" s="342">
        <f t="shared" si="57"/>
        <v>35.520577739887223</v>
      </c>
      <c r="HB22" s="5">
        <f t="shared" si="225"/>
        <v>66.412782157136817</v>
      </c>
      <c r="HC22" s="343">
        <f t="shared" si="226"/>
        <v>14.213367036465197</v>
      </c>
      <c r="HD22" s="345">
        <f t="shared" si="227"/>
        <v>32.552905253787969</v>
      </c>
      <c r="HE22" s="344">
        <f t="shared" si="58"/>
        <v>426</v>
      </c>
      <c r="HF22" s="5">
        <f t="shared" si="59"/>
        <v>156.4127821571368</v>
      </c>
      <c r="HG22" s="343">
        <f t="shared" si="228"/>
        <v>-390.40856090978946</v>
      </c>
      <c r="HH22" s="349">
        <f t="shared" si="229"/>
        <v>170.46159558195862</v>
      </c>
      <c r="HI22" s="317">
        <f t="shared" si="60"/>
        <v>2.1219999999999999</v>
      </c>
      <c r="HJ22" s="336"/>
      <c r="HK22" s="310">
        <f t="shared" si="130"/>
        <v>14</v>
      </c>
      <c r="HL22" s="348">
        <f t="shared" si="61"/>
        <v>6.1139999999999999</v>
      </c>
      <c r="HM22" s="935">
        <f t="shared" si="62"/>
        <v>-2.238730231373335</v>
      </c>
      <c r="HN22" s="936">
        <f t="shared" si="63"/>
        <v>14.99999783426823</v>
      </c>
      <c r="HO22" s="937"/>
      <c r="HP22" s="938"/>
      <c r="HQ22" s="936">
        <f t="shared" si="64"/>
        <v>14.638610065588958</v>
      </c>
      <c r="HR22" s="939">
        <f t="shared" si="65"/>
        <v>14.48143612442996</v>
      </c>
      <c r="HS22" s="940">
        <f t="shared" si="249"/>
        <v>2.7526999999999999</v>
      </c>
      <c r="HT22" s="941">
        <f t="shared" si="66"/>
        <v>1.3899999999999999E-2</v>
      </c>
      <c r="HU22" s="942">
        <f t="shared" si="67"/>
        <v>0.24042003279023716</v>
      </c>
      <c r="HV22" s="943">
        <f t="shared" si="68"/>
        <v>1.3319380009833416E-2</v>
      </c>
      <c r="HW22" s="944">
        <f t="shared" si="69"/>
        <v>30000</v>
      </c>
      <c r="HX22" s="947">
        <f t="shared" si="70"/>
        <v>95.656324999999995</v>
      </c>
      <c r="HY22" s="952">
        <f t="shared" si="71"/>
        <v>23.496917162042223</v>
      </c>
      <c r="HZ22" s="953">
        <f t="shared" si="72"/>
        <v>601.05008197559289</v>
      </c>
      <c r="IA22" s="954">
        <f t="shared" si="73"/>
        <v>155.35294697823684</v>
      </c>
      <c r="IB22" s="955">
        <f t="shared" si="74"/>
        <v>779.8999461158719</v>
      </c>
      <c r="IC22" s="842">
        <f t="shared" si="75"/>
        <v>16.301827003110677</v>
      </c>
      <c r="ID22" s="351">
        <f t="shared" si="76"/>
        <v>417</v>
      </c>
      <c r="IE22" s="844">
        <f t="shared" si="77"/>
        <v>107.78166550945649</v>
      </c>
      <c r="IF22" s="845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0"/>
        <v>2.1219999999999999</v>
      </c>
      <c r="IJ22" s="96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8"/>
        <v>1613</v>
      </c>
      <c r="IM22" s="482" t="str">
        <f t="shared" si="231"/>
        <v/>
      </c>
      <c r="IN22" s="670" t="str">
        <f t="shared" si="80"/>
        <v/>
      </c>
      <c r="IO22" s="702"/>
      <c r="IP22" s="5" t="str">
        <f t="shared" si="81"/>
        <v/>
      </c>
      <c r="IQ22" s="714"/>
      <c r="IR22" s="9" t="str">
        <f t="shared" si="131"/>
        <v/>
      </c>
      <c r="IS22" s="5" t="str">
        <f t="shared" si="82"/>
        <v/>
      </c>
      <c r="IT22" s="5" t="str">
        <f t="shared" si="83"/>
        <v/>
      </c>
      <c r="IU22" s="5" t="str">
        <f t="shared" si="84"/>
        <v/>
      </c>
      <c r="IV22" s="670" t="str">
        <f t="shared" si="85"/>
        <v/>
      </c>
      <c r="IW22" s="9" t="str">
        <f t="shared" si="86"/>
        <v/>
      </c>
      <c r="IX22" s="5" t="str">
        <f t="shared" si="87"/>
        <v/>
      </c>
      <c r="IY22" s="5" t="str">
        <f t="shared" si="88"/>
        <v/>
      </c>
      <c r="IZ22" s="5" t="str">
        <f t="shared" si="89"/>
        <v/>
      </c>
      <c r="JA22" s="705" t="str">
        <f t="shared" si="90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</row>
    <row r="23" spans="1:271" ht="15" customHeight="1" thickTop="1" x14ac:dyDescent="0.25">
      <c r="A23" s="75">
        <f t="shared" si="1"/>
        <v>0</v>
      </c>
      <c r="B23" s="578">
        <f t="shared" ref="B23:D23" si="272">IFERROR(O178+($A23*-E23),"")</f>
        <v>4.1311974113488024</v>
      </c>
      <c r="C23" s="572">
        <f t="shared" si="272"/>
        <v>1.8419200850611128</v>
      </c>
      <c r="D23" s="576">
        <f t="shared" si="272"/>
        <v>-0.36180109119209103</v>
      </c>
      <c r="E23" s="580">
        <f t="shared" ref="E23:K23" si="273">R178</f>
        <v>-0.26794145560411015</v>
      </c>
      <c r="F23" s="572">
        <f t="shared" si="273"/>
        <v>0.92869779282659082</v>
      </c>
      <c r="G23" s="579">
        <f t="shared" si="273"/>
        <v>0.25637430832236169</v>
      </c>
      <c r="H23" s="580">
        <f t="shared" si="273"/>
        <v>0.3125</v>
      </c>
      <c r="I23" s="572">
        <f t="shared" si="273"/>
        <v>0.52</v>
      </c>
      <c r="J23" s="483">
        <f t="shared" si="92"/>
        <v>2.1280000000000001</v>
      </c>
      <c r="K23" s="806">
        <f t="shared" si="273"/>
        <v>1613</v>
      </c>
      <c r="M23" s="164">
        <f t="shared" si="4"/>
        <v>2.1280000000000001</v>
      </c>
      <c r="N23" s="575">
        <f t="shared" si="5"/>
        <v>4.1311974113488024</v>
      </c>
      <c r="O23" s="572">
        <f t="shared" si="6"/>
        <v>1.8419200850611128</v>
      </c>
      <c r="P23" s="576">
        <f t="shared" si="7"/>
        <v>-0.36180109119209103</v>
      </c>
      <c r="Q23" s="528">
        <f t="shared" si="134"/>
        <v>24.030000140050664</v>
      </c>
      <c r="R23" s="572">
        <f t="shared" si="93"/>
        <v>4.5232136420123448</v>
      </c>
      <c r="S23" s="577">
        <f t="shared" si="94"/>
        <v>-0.36180109119209103</v>
      </c>
      <c r="T23" s="578">
        <f t="shared" si="95"/>
        <v>1.8426410868680898</v>
      </c>
      <c r="U23" s="572">
        <f t="shared" si="96"/>
        <v>-4.1308758727747028</v>
      </c>
      <c r="V23" s="579">
        <f t="shared" si="135"/>
        <v>-0.36180109119209103</v>
      </c>
      <c r="W23" s="528">
        <f t="shared" si="256"/>
        <v>294.04000013860684</v>
      </c>
      <c r="X23" s="572">
        <f t="shared" si="97"/>
        <v>4.5232136420123448</v>
      </c>
      <c r="Y23" s="573">
        <f t="shared" si="259"/>
        <v>-0.36180109119209103</v>
      </c>
      <c r="Z23" s="575">
        <f t="shared" si="10"/>
        <v>0.26794145560411015</v>
      </c>
      <c r="AA23" s="572">
        <f t="shared" si="11"/>
        <v>-0.92869779282659082</v>
      </c>
      <c r="AB23" s="572">
        <f t="shared" si="12"/>
        <v>-0.25637430832236169</v>
      </c>
      <c r="AC23" s="579">
        <f t="shared" si="98"/>
        <v>1</v>
      </c>
      <c r="AD23" s="580">
        <f t="shared" si="136"/>
        <v>0.26794145560411015</v>
      </c>
      <c r="AE23" s="572">
        <f t="shared" si="99"/>
        <v>-0.92869779282659082</v>
      </c>
      <c r="AF23" s="576">
        <f t="shared" si="100"/>
        <v>-0.25637430832236169</v>
      </c>
      <c r="AG23" s="545">
        <f t="shared" si="101"/>
        <v>-74.567415493558897</v>
      </c>
      <c r="AH23" s="546">
        <f t="shared" si="102"/>
        <v>74.458191888555262</v>
      </c>
      <c r="AI23" s="528">
        <f t="shared" si="103"/>
        <v>-75.144965358921439</v>
      </c>
      <c r="AJ23" s="529">
        <f t="shared" si="104"/>
        <v>16.093542287371356</v>
      </c>
      <c r="AK23" s="578">
        <f t="shared" si="234"/>
        <v>0.95731950976824132</v>
      </c>
      <c r="AL23" s="572">
        <f t="shared" si="105"/>
        <v>-0.13345999493977603</v>
      </c>
      <c r="AM23" s="577">
        <f t="shared" si="106"/>
        <v>-0.25637430832236169</v>
      </c>
      <c r="AN23" s="524">
        <f t="shared" si="107"/>
        <v>-27.499996029491921</v>
      </c>
      <c r="AO23" s="525">
        <f t="shared" si="108"/>
        <v>16.799997574380441</v>
      </c>
      <c r="AP23" s="528">
        <f t="shared" si="109"/>
        <v>-7.9364578526793279</v>
      </c>
      <c r="AQ23" s="529">
        <f t="shared" si="13"/>
        <v>0.30943320860842743</v>
      </c>
      <c r="AS23" s="900">
        <f t="shared" si="137"/>
        <v>-65.959999861393158</v>
      </c>
      <c r="AT23" s="896">
        <f t="shared" si="14"/>
        <v>-0.33367434706575605</v>
      </c>
      <c r="AU23" s="418"/>
      <c r="AV23" s="164">
        <f t="shared" si="15"/>
        <v>2.1280000000000001</v>
      </c>
      <c r="AW23" s="829">
        <f>IFERROR(INDEX(MassProp!C$9:C$150,MATCH($M23,MassProp!$B$9:$B$150,0)),"")</f>
        <v>4.6271000000000004</v>
      </c>
      <c r="AX23" s="830">
        <f>IFERROR(INDEX(MassProp!D$9:D$150,MATCH($M23,MassProp!$B$9:$B$150,0)),"")</f>
        <v>6.54E-2</v>
      </c>
      <c r="AY23" s="831">
        <f>IFERROR(INDEX(MassProp!E$9:E$150,MATCH($M23,MassProp!$B$9:$B$150,0)),"")</f>
        <v>1.2699999999999999E-2</v>
      </c>
      <c r="AZ23" s="297">
        <f t="shared" si="138"/>
        <v>0.36923131509566648</v>
      </c>
      <c r="BA23" s="296">
        <f t="shared" si="16"/>
        <v>2.0455584088454663E-2</v>
      </c>
      <c r="BB23" s="190">
        <f t="shared" si="139"/>
        <v>0.24558597497273277</v>
      </c>
      <c r="BC23" s="9"/>
      <c r="BD23" s="5">
        <f t="shared" si="235"/>
        <v>4.6271000000000004</v>
      </c>
      <c r="BE23" s="6">
        <f t="shared" si="17"/>
        <v>-0.11621511621935826</v>
      </c>
      <c r="BF23" s="4">
        <f t="shared" si="18"/>
        <v>4.1311974113488024</v>
      </c>
      <c r="BG23" s="5">
        <f t="shared" si="19"/>
        <v>1.8419200850611128</v>
      </c>
      <c r="BH23" s="10">
        <f t="shared" si="20"/>
        <v>-0.36180109119209103</v>
      </c>
      <c r="BI23" s="9">
        <f t="shared" si="140"/>
        <v>4.1311974113488024</v>
      </c>
      <c r="BJ23" s="5">
        <f t="shared" si="21"/>
        <v>2.1080244473046554</v>
      </c>
      <c r="BK23" s="8">
        <f t="shared" si="22"/>
        <v>-1.3257453159244963</v>
      </c>
      <c r="BL23" s="173">
        <f t="shared" si="23"/>
        <v>5.0946326070774779</v>
      </c>
      <c r="BM23" s="5">
        <f t="shared" si="24"/>
        <v>2.1002007037570891</v>
      </c>
      <c r="BN23" s="6">
        <f t="shared" si="25"/>
        <v>-0.29050070102995285</v>
      </c>
      <c r="BO23" s="4">
        <f t="shared" si="141"/>
        <v>0.26794145560411081</v>
      </c>
      <c r="BP23" s="5">
        <f t="shared" si="142"/>
        <v>-0.92869779282659171</v>
      </c>
      <c r="BQ23" s="5">
        <f t="shared" si="143"/>
        <v>-0.25637430832236241</v>
      </c>
      <c r="BR23" s="6">
        <f t="shared" si="144"/>
        <v>0.51091156526984427</v>
      </c>
      <c r="BS23" s="4">
        <f t="shared" si="110"/>
        <v>0</v>
      </c>
      <c r="BT23" s="5">
        <f t="shared" si="110"/>
        <v>0</v>
      </c>
      <c r="BU23" s="10">
        <f t="shared" si="111"/>
        <v>-0.11621511621935826</v>
      </c>
      <c r="BV23" s="9">
        <f t="shared" si="112"/>
        <v>0</v>
      </c>
      <c r="BW23" s="5">
        <f t="shared" si="113"/>
        <v>1</v>
      </c>
      <c r="BX23" s="8">
        <f t="shared" si="114"/>
        <v>-0.11621511621935826</v>
      </c>
      <c r="BY23" s="173">
        <f t="shared" si="115"/>
        <v>1</v>
      </c>
      <c r="BZ23" s="5">
        <f t="shared" si="116"/>
        <v>0</v>
      </c>
      <c r="CA23" s="6">
        <f t="shared" si="117"/>
        <v>-0.11621511621935826</v>
      </c>
      <c r="CB23" s="4">
        <f t="shared" si="145"/>
        <v>0</v>
      </c>
      <c r="CC23" s="5">
        <f t="shared" si="146"/>
        <v>0</v>
      </c>
      <c r="CD23" s="5">
        <f t="shared" si="147"/>
        <v>-1</v>
      </c>
      <c r="CE23" s="6">
        <f t="shared" si="148"/>
        <v>-0.11621511621935826</v>
      </c>
      <c r="CF23" s="4">
        <f t="shared" si="149"/>
        <v>0.92869779282659171</v>
      </c>
      <c r="CG23" s="5">
        <f t="shared" si="150"/>
        <v>0.26794145560411081</v>
      </c>
      <c r="CH23" s="5">
        <f t="shared" si="151"/>
        <v>0</v>
      </c>
      <c r="CI23" s="4">
        <f t="shared" si="118"/>
        <v>0</v>
      </c>
      <c r="CJ23" s="5">
        <f t="shared" si="119"/>
        <v>0.58221968382361278</v>
      </c>
      <c r="CK23" s="8">
        <f t="shared" si="120"/>
        <v>-0.11621511621935826</v>
      </c>
      <c r="CL23" s="173">
        <f t="shared" si="121"/>
        <v>0.92869779282659171</v>
      </c>
      <c r="CM23" s="5">
        <f t="shared" si="122"/>
        <v>0.85016113942772353</v>
      </c>
      <c r="CN23" s="6">
        <f t="shared" si="123"/>
        <v>-0.11621511621935826</v>
      </c>
      <c r="CO23" s="167">
        <f t="shared" si="26"/>
        <v>0.3125</v>
      </c>
      <c r="CP23" s="4">
        <f t="shared" si="236"/>
        <v>0.93427221403223271</v>
      </c>
      <c r="CQ23" s="5">
        <f t="shared" si="237"/>
        <v>-8.3483197535664413</v>
      </c>
      <c r="CR23" s="5">
        <f>IF(ISNUMBER($AV23),BF23^2+BG23^2+BH23^2+CI23^2+CJ23^2+CK23^2-2*(BF23*CI23+BG23*CJ23+BH23*CK23)-CO23^2,"")</f>
        <v>18.616293373516271</v>
      </c>
      <c r="CS23" s="8">
        <f>IF(ISNUMBER($AV23),CQ23^2-(4*CP23*CR23),"")</f>
        <v>0.12370019919312369</v>
      </c>
      <c r="CT23" s="9">
        <f t="shared" si="154"/>
        <v>4.6560467142103965</v>
      </c>
      <c r="CU23" s="6">
        <f t="shared" si="155"/>
        <v>4.2795928437037407</v>
      </c>
      <c r="CV23" s="4">
        <f t="shared" si="238"/>
        <v>4.3240603067847001</v>
      </c>
      <c r="CW23" s="5">
        <f t="shared" si="156"/>
        <v>1.8297676177898836</v>
      </c>
      <c r="CX23" s="8">
        <f t="shared" si="157"/>
        <v>-0.11621511621935826</v>
      </c>
      <c r="CY23" s="9">
        <f t="shared" si="158"/>
        <v>3.9744484281441412</v>
      </c>
      <c r="CZ23" s="5">
        <f t="shared" si="159"/>
        <v>1.7289000197585289</v>
      </c>
      <c r="DA23" s="6">
        <f t="shared" si="160"/>
        <v>-0.11621511621935826</v>
      </c>
      <c r="DB23" s="4">
        <f t="shared" si="161"/>
        <v>0</v>
      </c>
      <c r="DC23" s="5">
        <f t="shared" si="161"/>
        <v>0</v>
      </c>
      <c r="DD23" s="10">
        <f t="shared" si="162"/>
        <v>-10</v>
      </c>
      <c r="DE23" s="9">
        <f t="shared" si="163"/>
        <v>0</v>
      </c>
      <c r="DF23" s="5">
        <f t="shared" si="163"/>
        <v>0</v>
      </c>
      <c r="DG23" s="10">
        <f t="shared" si="164"/>
        <v>10</v>
      </c>
      <c r="DH23" s="70">
        <f t="shared" si="165"/>
        <v>4.6271000000000004</v>
      </c>
      <c r="DI23" s="4">
        <f t="shared" si="166"/>
        <v>0</v>
      </c>
      <c r="DJ23" s="5">
        <f t="shared" si="167"/>
        <v>0</v>
      </c>
      <c r="DK23" s="10">
        <f t="shared" si="168"/>
        <v>20</v>
      </c>
      <c r="DL23" s="9">
        <f t="shared" si="169"/>
        <v>4.3240603067847001</v>
      </c>
      <c r="DM23" s="173">
        <f t="shared" si="170"/>
        <v>1.8297676177898836</v>
      </c>
      <c r="DN23" s="178">
        <f t="shared" si="171"/>
        <v>9.8837848837806419</v>
      </c>
      <c r="DO23" s="9">
        <f t="shared" si="172"/>
        <v>-0.34961187864055887</v>
      </c>
      <c r="DP23" s="173">
        <f t="shared" si="173"/>
        <v>-0.1008675980313547</v>
      </c>
      <c r="DQ23" s="11">
        <f t="shared" si="174"/>
        <v>0</v>
      </c>
      <c r="DR23" s="173">
        <f t="shared" si="175"/>
        <v>197.67569767561284</v>
      </c>
      <c r="DS23" s="5">
        <f t="shared" si="176"/>
        <v>0</v>
      </c>
      <c r="DT23" s="5">
        <f t="shared" si="177"/>
        <v>400</v>
      </c>
      <c r="DU23" s="5">
        <f t="shared" si="178"/>
        <v>0.13240273801919583</v>
      </c>
      <c r="DV23" s="5">
        <f t="shared" si="179"/>
        <v>-1.6963071117720896</v>
      </c>
      <c r="DW23" s="5">
        <f t="shared" si="180"/>
        <v>119.73475070067418</v>
      </c>
      <c r="DX23" s="167">
        <f t="shared" si="181"/>
        <v>98.324696290674183</v>
      </c>
      <c r="DY23" s="9">
        <f t="shared" si="182"/>
        <v>52.961095207678333</v>
      </c>
      <c r="DZ23" s="5">
        <f t="shared" si="183"/>
        <v>-678.52284470883581</v>
      </c>
      <c r="EA23" s="10">
        <f t="shared" si="184"/>
        <v>254.1970647293856</v>
      </c>
      <c r="EB23" s="6">
        <f t="shared" si="185"/>
        <v>446930.69584512559</v>
      </c>
      <c r="EC23" s="173">
        <f t="shared" si="186"/>
        <v>25.434738351140947</v>
      </c>
      <c r="ED23" s="5">
        <f t="shared" si="187"/>
        <v>0.18870625657038179</v>
      </c>
      <c r="EE23" s="4">
        <f t="shared" si="188"/>
        <v>-4.5682263508887573</v>
      </c>
      <c r="EF23" s="5">
        <f t="shared" si="189"/>
        <v>-0.7357733462456828</v>
      </c>
      <c r="EG23" s="10">
        <f t="shared" si="190"/>
        <v>-0.11621511621935826</v>
      </c>
      <c r="EH23" s="9">
        <f t="shared" si="191"/>
        <v>4.2580863579139017</v>
      </c>
      <c r="EI23" s="5">
        <f t="shared" si="192"/>
        <v>1.8107332709561406</v>
      </c>
      <c r="EJ23" s="6">
        <f t="shared" si="193"/>
        <v>-0.11621511621935826</v>
      </c>
      <c r="EK23" s="236" t="b">
        <f t="shared" si="194"/>
        <v>0</v>
      </c>
      <c r="EL23" s="238" t="b">
        <f t="shared" si="195"/>
        <v>1</v>
      </c>
      <c r="EM23" s="4">
        <f t="shared" si="196"/>
        <v>4.2580863579139017</v>
      </c>
      <c r="EN23" s="5">
        <f t="shared" si="197"/>
        <v>1.8107332709561406</v>
      </c>
      <c r="EO23" s="10">
        <f t="shared" si="198"/>
        <v>-0.11621511621935826</v>
      </c>
      <c r="EP23" s="9">
        <f t="shared" si="199"/>
        <v>23.037418853210749</v>
      </c>
      <c r="EQ23" s="5">
        <f t="shared" si="200"/>
        <v>4.6271000000000004</v>
      </c>
      <c r="ER23" s="7">
        <f t="shared" si="201"/>
        <v>-0.11621511621935826</v>
      </c>
      <c r="ES23" s="21">
        <f t="shared" si="124"/>
        <v>0.26794145560411015</v>
      </c>
      <c r="ET23" s="5">
        <f t="shared" si="35"/>
        <v>-0.92869779282659082</v>
      </c>
      <c r="EU23" s="10">
        <f t="shared" si="36"/>
        <v>-0.25637430832236169</v>
      </c>
      <c r="EV23" s="174">
        <f t="shared" si="252"/>
        <v>66.962581146789248</v>
      </c>
      <c r="EW23" s="9">
        <f t="shared" si="125"/>
        <v>0.95948778081096953</v>
      </c>
      <c r="EX23" s="5">
        <f t="shared" si="37"/>
        <v>-0.11685637554995276</v>
      </c>
      <c r="EY23" s="6">
        <f t="shared" si="202"/>
        <v>-0.25637430832236169</v>
      </c>
      <c r="EZ23" s="51">
        <f t="shared" si="203"/>
        <v>0.30248603112851025</v>
      </c>
      <c r="FA23" s="266">
        <f t="shared" si="126"/>
        <v>0.3913267568878398</v>
      </c>
      <c r="FB23" s="267">
        <f t="shared" si="127"/>
        <v>-0.92023665313827541</v>
      </c>
      <c r="FC23" s="269">
        <f t="shared" si="38"/>
        <v>-5.2793526602052656E-3</v>
      </c>
      <c r="FD23" s="4">
        <f t="shared" si="128"/>
        <v>0.99998606412064017</v>
      </c>
      <c r="FE23" s="5">
        <f t="shared" si="39"/>
        <v>-1.1102230246251565E-16</v>
      </c>
      <c r="FF23" s="7">
        <f t="shared" si="204"/>
        <v>-5.2793526602052656E-3</v>
      </c>
      <c r="FG23" s="173">
        <f t="shared" si="205"/>
        <v>-4.0498283309670646E-2</v>
      </c>
      <c r="FH23" s="5">
        <f t="shared" si="40"/>
        <v>-0.11685637554995265</v>
      </c>
      <c r="FI23" s="10">
        <f t="shared" si="41"/>
        <v>-0.25109495566215645</v>
      </c>
      <c r="FJ23" s="279">
        <f t="shared" si="206"/>
        <v>16.089925610598435</v>
      </c>
      <c r="FK23" s="4">
        <f t="shared" si="42"/>
        <v>0.96657757786544518</v>
      </c>
      <c r="FL23" s="5">
        <f t="shared" si="207"/>
        <v>0.99998606412064017</v>
      </c>
      <c r="FM23" s="8">
        <f t="shared" si="208"/>
        <v>0.12367507209499383</v>
      </c>
      <c r="FN23" s="9">
        <f t="shared" si="209"/>
        <v>6.9438765658393882</v>
      </c>
      <c r="FO23" s="10">
        <f t="shared" si="43"/>
        <v>1</v>
      </c>
      <c r="FP23" s="277">
        <f t="shared" si="44"/>
        <v>6.9438765658393882</v>
      </c>
      <c r="FQ23" s="173">
        <f t="shared" si="239"/>
        <v>0.12089704771345305</v>
      </c>
      <c r="FR23" s="10">
        <f t="shared" si="210"/>
        <v>0.99266505119006332</v>
      </c>
      <c r="FS23" s="9">
        <f t="shared" si="211"/>
        <v>0.10856785430511322</v>
      </c>
      <c r="FT23" s="6">
        <f t="shared" si="212"/>
        <v>0.89143214569488671</v>
      </c>
      <c r="FU23" s="4">
        <f t="shared" si="213"/>
        <v>0.99314882444341068</v>
      </c>
      <c r="FV23" s="5">
        <f t="shared" si="214"/>
        <v>1</v>
      </c>
      <c r="FW23" s="8">
        <f t="shared" si="240"/>
        <v>0.25433990585437172</v>
      </c>
      <c r="FX23" s="9">
        <f t="shared" si="241"/>
        <v>14.65741029865012</v>
      </c>
      <c r="FY23" s="10">
        <f t="shared" si="45"/>
        <v>1</v>
      </c>
      <c r="FZ23" s="277">
        <f t="shared" si="242"/>
        <v>14.65741029865012</v>
      </c>
      <c r="GA23" s="177">
        <f t="shared" si="215"/>
        <v>14.556260858389072</v>
      </c>
      <c r="GB23" s="4">
        <f t="shared" si="216"/>
        <v>-0.11696258767936302</v>
      </c>
      <c r="GC23" s="5">
        <f t="shared" si="217"/>
        <v>0.96035987050110116</v>
      </c>
      <c r="GD23" s="10">
        <f t="shared" si="218"/>
        <v>-0.2530388749075041</v>
      </c>
      <c r="GE23" s="311">
        <f t="shared" si="219"/>
        <v>1.3303613330879682</v>
      </c>
      <c r="GF23" s="341">
        <f t="shared" si="243"/>
        <v>0.75167548479393187</v>
      </c>
      <c r="GG23" s="285">
        <f t="shared" si="46"/>
        <v>8.7917909796637966E-2</v>
      </c>
      <c r="GH23" s="286">
        <f t="shared" si="47"/>
        <v>0.72187897123555289</v>
      </c>
      <c r="GI23" s="281">
        <f t="shared" si="48"/>
        <v>0.19020311896780923</v>
      </c>
      <c r="GJ23" s="167">
        <f t="shared" si="220"/>
        <v>4.6271000000000004</v>
      </c>
      <c r="GK23" s="174">
        <f t="shared" si="49"/>
        <v>2.4227776581080476</v>
      </c>
      <c r="GL23" s="174">
        <f t="shared" si="221"/>
        <v>1.2699999999999999E-2</v>
      </c>
      <c r="GM23" s="177">
        <f t="shared" si="244"/>
        <v>0.36923131509566648</v>
      </c>
      <c r="GN23" s="280">
        <f t="shared" si="222"/>
        <v>2.0455584088454663E-2</v>
      </c>
      <c r="GO23" s="4">
        <f t="shared" si="223"/>
        <v>6.9438765658393882</v>
      </c>
      <c r="GP23" s="8">
        <f t="shared" si="245"/>
        <v>14.65741029865012</v>
      </c>
      <c r="GQ23" s="177">
        <f t="shared" si="224"/>
        <v>16.089925610598435</v>
      </c>
      <c r="GR23" s="371">
        <f t="shared" si="246"/>
        <v>1278.716134588662</v>
      </c>
      <c r="GS23" s="342">
        <f t="shared" si="51"/>
        <v>112.42204977627156</v>
      </c>
      <c r="GT23" s="343">
        <f t="shared" si="52"/>
        <v>46.402132444981433</v>
      </c>
      <c r="GU23" s="344">
        <f t="shared" si="53"/>
        <v>923.07828773916617</v>
      </c>
      <c r="GV23" s="343">
        <f t="shared" si="253"/>
        <v>381</v>
      </c>
      <c r="GW23" s="345">
        <f t="shared" si="129"/>
        <v>30000</v>
      </c>
      <c r="GX23" s="346">
        <f t="shared" si="54"/>
        <v>146.91042500000003</v>
      </c>
      <c r="GY23" s="344">
        <f t="shared" si="55"/>
        <v>243.21579707322445</v>
      </c>
      <c r="GZ23" s="345">
        <f t="shared" si="56"/>
        <v>100.38717183117505</v>
      </c>
      <c r="HA23" s="342">
        <f t="shared" si="57"/>
        <v>112.42204977627156</v>
      </c>
      <c r="HB23" s="5">
        <f t="shared" si="225"/>
        <v>66.962581146789248</v>
      </c>
      <c r="HC23" s="343">
        <f t="shared" si="226"/>
        <v>43.994369241853924</v>
      </c>
      <c r="HD23" s="345">
        <f t="shared" si="227"/>
        <v>103.45633258003059</v>
      </c>
      <c r="HE23" s="344">
        <f t="shared" si="58"/>
        <v>381</v>
      </c>
      <c r="HF23" s="5">
        <f t="shared" si="59"/>
        <v>156.96258114678926</v>
      </c>
      <c r="HG23" s="343">
        <f t="shared" si="228"/>
        <v>-350.61505097473514</v>
      </c>
      <c r="HH23" s="349">
        <f t="shared" si="229"/>
        <v>149.0975721800456</v>
      </c>
      <c r="HI23" s="317">
        <f t="shared" si="60"/>
        <v>2.1280000000000001</v>
      </c>
      <c r="HJ23" s="336"/>
      <c r="HK23" s="310">
        <f t="shared" si="130"/>
        <v>15</v>
      </c>
      <c r="HL23" s="348">
        <f t="shared" si="61"/>
        <v>5.1150000000000002</v>
      </c>
      <c r="HM23" s="935">
        <f t="shared" si="62"/>
        <v>-1.8190620039631311</v>
      </c>
      <c r="HN23" s="936">
        <f t="shared" si="63"/>
        <v>14.999997834268255</v>
      </c>
      <c r="HO23" s="937"/>
      <c r="HP23" s="938"/>
      <c r="HQ23" s="936">
        <f t="shared" si="64"/>
        <v>14.625229737499547</v>
      </c>
      <c r="HR23" s="939">
        <f t="shared" si="65"/>
        <v>14.521577649626947</v>
      </c>
      <c r="HS23" s="940">
        <f t="shared" si="249"/>
        <v>2.9386000000000001</v>
      </c>
      <c r="HT23" s="941">
        <f t="shared" si="66"/>
        <v>2.8000000000000001E-2</v>
      </c>
      <c r="HU23" s="942">
        <f t="shared" si="67"/>
        <v>0.5170033764893871</v>
      </c>
      <c r="HV23" s="943">
        <f t="shared" si="68"/>
        <v>2.8642224018982629E-2</v>
      </c>
      <c r="HW23" s="944">
        <f t="shared" si="69"/>
        <v>30000</v>
      </c>
      <c r="HX23" s="947">
        <f t="shared" si="70"/>
        <v>205.702</v>
      </c>
      <c r="HY23" s="952">
        <f t="shared" si="71"/>
        <v>41.049154084855545</v>
      </c>
      <c r="HZ23" s="953">
        <f t="shared" si="72"/>
        <v>1292.5084412234678</v>
      </c>
      <c r="IA23" s="954">
        <f t="shared" si="73"/>
        <v>334.95357567314312</v>
      </c>
      <c r="IB23" s="955">
        <f t="shared" si="74"/>
        <v>1668.5111709814664</v>
      </c>
      <c r="IC23" s="842">
        <f t="shared" si="75"/>
        <v>26.677805986813688</v>
      </c>
      <c r="ID23" s="351">
        <f t="shared" si="76"/>
        <v>840</v>
      </c>
      <c r="IE23" s="844">
        <f t="shared" si="77"/>
        <v>217.68600853322738</v>
      </c>
      <c r="IF23" s="845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0"/>
        <v>2.1280000000000001</v>
      </c>
      <c r="IJ23" s="96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8"/>
        <v>1613</v>
      </c>
      <c r="IM23" s="482" t="str">
        <f t="shared" si="231"/>
        <v/>
      </c>
      <c r="IN23" s="670" t="str">
        <f t="shared" si="80"/>
        <v/>
      </c>
      <c r="IO23" s="702"/>
      <c r="IP23" s="5" t="str">
        <f t="shared" si="81"/>
        <v/>
      </c>
      <c r="IQ23" s="714"/>
      <c r="IR23" s="9" t="str">
        <f t="shared" si="131"/>
        <v/>
      </c>
      <c r="IS23" s="5" t="str">
        <f t="shared" si="82"/>
        <v/>
      </c>
      <c r="IT23" s="5" t="str">
        <f t="shared" si="83"/>
        <v/>
      </c>
      <c r="IU23" s="5" t="str">
        <f t="shared" si="84"/>
        <v/>
      </c>
      <c r="IV23" s="670" t="str">
        <f t="shared" si="85"/>
        <v/>
      </c>
      <c r="IW23" s="9" t="str">
        <f t="shared" si="86"/>
        <v/>
      </c>
      <c r="IX23" s="5" t="str">
        <f t="shared" si="87"/>
        <v/>
      </c>
      <c r="IY23" s="5" t="str">
        <f t="shared" si="88"/>
        <v/>
      </c>
      <c r="IZ23" s="5" t="str">
        <f t="shared" si="89"/>
        <v/>
      </c>
      <c r="JA23" s="705" t="str">
        <f t="shared" si="90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</row>
    <row r="24" spans="1:271" ht="15" customHeight="1" x14ac:dyDescent="0.25">
      <c r="A24" s="75">
        <f t="shared" si="1"/>
        <v>0</v>
      </c>
      <c r="B24" s="578">
        <f t="shared" ref="B24:D24" si="274">IFERROR(O179+($A24*-E24),"")</f>
        <v>4.6881614290746167</v>
      </c>
      <c r="C24" s="572">
        <f t="shared" si="274"/>
        <v>2.0209816100273317</v>
      </c>
      <c r="D24" s="576">
        <f t="shared" si="274"/>
        <v>-0.83100250630355899</v>
      </c>
      <c r="E24" s="580">
        <f t="shared" ref="E24:K24" si="275">R179</f>
        <v>-0.18104445892431562</v>
      </c>
      <c r="F24" s="572">
        <f t="shared" si="275"/>
        <v>0.95584040496614497</v>
      </c>
      <c r="G24" s="579">
        <f t="shared" si="275"/>
        <v>0.23149951215274281</v>
      </c>
      <c r="H24" s="580">
        <f t="shared" si="275"/>
        <v>0.3125</v>
      </c>
      <c r="I24" s="572">
        <f t="shared" si="275"/>
        <v>0.52</v>
      </c>
      <c r="J24" s="483">
        <f t="shared" si="92"/>
        <v>2.1339999999999999</v>
      </c>
      <c r="K24" s="806">
        <f t="shared" si="275"/>
        <v>1613</v>
      </c>
      <c r="L24" s="82"/>
      <c r="M24" s="164">
        <f t="shared" si="4"/>
        <v>2.1339999999999999</v>
      </c>
      <c r="N24" s="575">
        <f t="shared" si="5"/>
        <v>4.6881614290746167</v>
      </c>
      <c r="O24" s="572">
        <f t="shared" si="6"/>
        <v>2.0209816100273317</v>
      </c>
      <c r="P24" s="576">
        <f t="shared" si="7"/>
        <v>-0.83100250630355899</v>
      </c>
      <c r="Q24" s="528">
        <f t="shared" si="134"/>
        <v>23.320000242561964</v>
      </c>
      <c r="R24" s="572">
        <f t="shared" si="93"/>
        <v>5.1052153973296388</v>
      </c>
      <c r="S24" s="577">
        <f t="shared" si="94"/>
        <v>-0.83100250630355899</v>
      </c>
      <c r="T24" s="578">
        <f t="shared" si="95"/>
        <v>2.0217998176517589</v>
      </c>
      <c r="U24" s="572">
        <f t="shared" si="96"/>
        <v>-4.6878086298904025</v>
      </c>
      <c r="V24" s="579">
        <f t="shared" si="135"/>
        <v>-0.83100250630355899</v>
      </c>
      <c r="W24" s="528">
        <f t="shared" si="256"/>
        <v>293.33000024111811</v>
      </c>
      <c r="X24" s="572">
        <f t="shared" si="97"/>
        <v>5.1052153973296388</v>
      </c>
      <c r="Y24" s="573">
        <f t="shared" si="259"/>
        <v>-0.83100250630355899</v>
      </c>
      <c r="Z24" s="575">
        <f t="shared" si="10"/>
        <v>0.18104445892431562</v>
      </c>
      <c r="AA24" s="572">
        <f t="shared" si="11"/>
        <v>-0.95584040496614497</v>
      </c>
      <c r="AB24" s="572">
        <f t="shared" si="12"/>
        <v>-0.23149951215274281</v>
      </c>
      <c r="AC24" s="579">
        <f t="shared" si="98"/>
        <v>1</v>
      </c>
      <c r="AD24" s="580">
        <f t="shared" si="136"/>
        <v>0.18104445892431562</v>
      </c>
      <c r="AE24" s="572">
        <f t="shared" si="99"/>
        <v>-0.95584040496614497</v>
      </c>
      <c r="AF24" s="576">
        <f t="shared" si="100"/>
        <v>-0.23149951215274281</v>
      </c>
      <c r="AG24" s="545">
        <f t="shared" si="101"/>
        <v>-76.38542576915745</v>
      </c>
      <c r="AH24" s="546">
        <f t="shared" si="102"/>
        <v>79.569397512978256</v>
      </c>
      <c r="AI24" s="528">
        <f t="shared" si="103"/>
        <v>-76.614629621439121</v>
      </c>
      <c r="AJ24" s="529">
        <f t="shared" si="104"/>
        <v>10.72526325797555</v>
      </c>
      <c r="AK24" s="578">
        <f>IF(M24="","",(COS(RADIANS((90-$Q$8)-W24))*AD24)+(-SIN(RADIANS((90-$Q$8)-W24))*AE24))</f>
        <v>0.94942549212165317</v>
      </c>
      <c r="AL24" s="572">
        <f t="shared" si="105"/>
        <v>-0.21213017414455382</v>
      </c>
      <c r="AM24" s="577">
        <f t="shared" si="106"/>
        <v>-0.23149951215274281</v>
      </c>
      <c r="AN24" s="524">
        <f t="shared" si="107"/>
        <v>-42.499993863760011</v>
      </c>
      <c r="AO24" s="525">
        <f t="shared" si="108"/>
        <v>18.299997357807271</v>
      </c>
      <c r="AP24" s="528">
        <f t="shared" si="109"/>
        <v>-12.59473698458639</v>
      </c>
      <c r="AQ24" s="529">
        <f t="shared" si="13"/>
        <v>0.27415795950871785</v>
      </c>
      <c r="AS24" s="900">
        <f t="shared" si="137"/>
        <v>-66.669999758881886</v>
      </c>
      <c r="AT24" s="896">
        <f t="shared" si="14"/>
        <v>-0.80257304904263582</v>
      </c>
      <c r="AU24" s="418"/>
      <c r="AV24" s="164">
        <f t="shared" si="15"/>
        <v>2.1339999999999999</v>
      </c>
      <c r="AW24" s="829">
        <f>IFERROR(INDEX(MassProp!C$9:C$150,MATCH($M24,MassProp!$B$9:$B$150,0)),"")</f>
        <v>5.2811000000000003</v>
      </c>
      <c r="AX24" s="830">
        <f>IFERROR(INDEX(MassProp!D$9:D$150,MATCH($M24,MassProp!$B$9:$B$150,0)),"")</f>
        <v>-0.44569999999999999</v>
      </c>
      <c r="AY24" s="831">
        <f>IFERROR(INDEX(MassProp!E$9:E$150,MATCH($M24,MassProp!$B$9:$B$150,0)),"")</f>
        <v>1.01E-2</v>
      </c>
      <c r="AZ24" s="297">
        <f t="shared" si="138"/>
        <v>0.33514309763469124</v>
      </c>
      <c r="BA24" s="296">
        <f t="shared" si="16"/>
        <v>1.8567081217245481E-2</v>
      </c>
      <c r="BB24" s="190">
        <f t="shared" si="139"/>
        <v>0.2033846769496126</v>
      </c>
      <c r="BC24" s="9"/>
      <c r="BD24" s="5">
        <f t="shared" si="235"/>
        <v>5.2811000000000003</v>
      </c>
      <c r="BE24" s="6">
        <f t="shared" si="17"/>
        <v>-0.62761782935394639</v>
      </c>
      <c r="BF24" s="4">
        <f t="shared" si="18"/>
        <v>4.6881614290746167</v>
      </c>
      <c r="BG24" s="5">
        <f t="shared" si="19"/>
        <v>2.0209816100273317</v>
      </c>
      <c r="BH24" s="10">
        <f t="shared" si="20"/>
        <v>-0.83100250630355899</v>
      </c>
      <c r="BI24" s="9">
        <f t="shared" si="140"/>
        <v>4.6881614290746167</v>
      </c>
      <c r="BJ24" s="5">
        <f t="shared" si="21"/>
        <v>2.2563709516011623</v>
      </c>
      <c r="BK24" s="8">
        <f t="shared" si="22"/>
        <v>-1.8029036627353427</v>
      </c>
      <c r="BL24" s="173">
        <f t="shared" si="23"/>
        <v>5.6716363417657343</v>
      </c>
      <c r="BM24" s="5">
        <f t="shared" si="24"/>
        <v>2.1969389290214405</v>
      </c>
      <c r="BN24" s="6">
        <f t="shared" si="25"/>
        <v>-0.78838657032177395</v>
      </c>
      <c r="BO24" s="4">
        <f t="shared" si="141"/>
        <v>0.18104445892431503</v>
      </c>
      <c r="BP24" s="5">
        <f t="shared" si="142"/>
        <v>-0.95584040496614386</v>
      </c>
      <c r="BQ24" s="5">
        <f t="shared" si="143"/>
        <v>-0.23149951215274234</v>
      </c>
      <c r="BR24" s="6">
        <f t="shared" si="144"/>
        <v>0.89059355647401706</v>
      </c>
      <c r="BS24" s="4">
        <f t="shared" si="110"/>
        <v>0</v>
      </c>
      <c r="BT24" s="5">
        <f t="shared" si="110"/>
        <v>0</v>
      </c>
      <c r="BU24" s="10">
        <f t="shared" si="111"/>
        <v>-0.62761782935394639</v>
      </c>
      <c r="BV24" s="9">
        <f t="shared" si="112"/>
        <v>0</v>
      </c>
      <c r="BW24" s="5">
        <f t="shared" si="113"/>
        <v>1</v>
      </c>
      <c r="BX24" s="8">
        <f t="shared" si="114"/>
        <v>-0.62761782935394639</v>
      </c>
      <c r="BY24" s="173">
        <f t="shared" si="115"/>
        <v>1</v>
      </c>
      <c r="BZ24" s="5">
        <f t="shared" si="116"/>
        <v>0</v>
      </c>
      <c r="CA24" s="6">
        <f t="shared" si="117"/>
        <v>-0.62761782935394639</v>
      </c>
      <c r="CB24" s="4">
        <f t="shared" si="145"/>
        <v>0</v>
      </c>
      <c r="CC24" s="5">
        <f t="shared" si="146"/>
        <v>0</v>
      </c>
      <c r="CD24" s="5">
        <f t="shared" si="147"/>
        <v>-1</v>
      </c>
      <c r="CE24" s="6">
        <f t="shared" si="148"/>
        <v>-0.62761782935394639</v>
      </c>
      <c r="CF24" s="4">
        <f t="shared" si="149"/>
        <v>0.95584040496614386</v>
      </c>
      <c r="CG24" s="5">
        <f t="shared" si="150"/>
        <v>0.18104445892431503</v>
      </c>
      <c r="CH24" s="5">
        <f t="shared" si="151"/>
        <v>0</v>
      </c>
      <c r="CI24" s="4">
        <f t="shared" si="118"/>
        <v>0</v>
      </c>
      <c r="CJ24" s="5">
        <f t="shared" si="119"/>
        <v>1.0837444958444815</v>
      </c>
      <c r="CK24" s="8">
        <f t="shared" si="120"/>
        <v>-0.62761782935394639</v>
      </c>
      <c r="CL24" s="173">
        <f t="shared" si="121"/>
        <v>0.95584040496614386</v>
      </c>
      <c r="CM24" s="5">
        <f t="shared" si="122"/>
        <v>1.2647889547687965</v>
      </c>
      <c r="CN24" s="6">
        <f t="shared" si="123"/>
        <v>-0.62761782935394639</v>
      </c>
      <c r="CO24" s="167">
        <f t="shared" si="26"/>
        <v>0.3125</v>
      </c>
      <c r="CP24" s="4">
        <f t="shared" si="236"/>
        <v>0.94640797587303982</v>
      </c>
      <c r="CQ24" s="5">
        <f t="shared" si="237"/>
        <v>-9.3016314102687172</v>
      </c>
      <c r="CR24" s="5">
        <f t="shared" si="152"/>
        <v>22.800980070082645</v>
      </c>
      <c r="CS24" s="8">
        <f t="shared" si="153"/>
        <v>0.20422930830385155</v>
      </c>
      <c r="CT24" s="9">
        <f t="shared" si="154"/>
        <v>5.1529303576296561</v>
      </c>
      <c r="CU24" s="6">
        <f t="shared" si="155"/>
        <v>4.6754223690981318</v>
      </c>
      <c r="CV24" s="4">
        <f t="shared" si="238"/>
        <v>4.9253790397990667</v>
      </c>
      <c r="CW24" s="5">
        <f t="shared" si="156"/>
        <v>2.0166539843162195</v>
      </c>
      <c r="CX24" s="8">
        <f t="shared" si="157"/>
        <v>-0.62761782935394639</v>
      </c>
      <c r="CY24" s="9">
        <f t="shared" si="158"/>
        <v>4.4689576106665259</v>
      </c>
      <c r="CZ24" s="5">
        <f t="shared" si="159"/>
        <v>1.9302038089004916</v>
      </c>
      <c r="DA24" s="6">
        <f t="shared" si="160"/>
        <v>-0.62761782935394639</v>
      </c>
      <c r="DB24" s="4">
        <f t="shared" si="161"/>
        <v>0</v>
      </c>
      <c r="DC24" s="5">
        <f t="shared" si="161"/>
        <v>0</v>
      </c>
      <c r="DD24" s="10">
        <f t="shared" si="162"/>
        <v>-10</v>
      </c>
      <c r="DE24" s="9">
        <f t="shared" si="163"/>
        <v>0</v>
      </c>
      <c r="DF24" s="5">
        <f t="shared" si="163"/>
        <v>0</v>
      </c>
      <c r="DG24" s="10">
        <f t="shared" si="164"/>
        <v>10</v>
      </c>
      <c r="DH24" s="70">
        <f t="shared" si="165"/>
        <v>5.2811000000000003</v>
      </c>
      <c r="DI24" s="4">
        <f t="shared" si="166"/>
        <v>0</v>
      </c>
      <c r="DJ24" s="5">
        <f t="shared" si="167"/>
        <v>0</v>
      </c>
      <c r="DK24" s="10">
        <f t="shared" si="168"/>
        <v>20</v>
      </c>
      <c r="DL24" s="9">
        <f t="shared" si="169"/>
        <v>4.9253790397990667</v>
      </c>
      <c r="DM24" s="173">
        <f t="shared" si="170"/>
        <v>2.0166539843162195</v>
      </c>
      <c r="DN24" s="178">
        <f t="shared" si="171"/>
        <v>9.3723821706460537</v>
      </c>
      <c r="DO24" s="9">
        <f t="shared" si="172"/>
        <v>-0.4564214291325408</v>
      </c>
      <c r="DP24" s="173">
        <f t="shared" si="173"/>
        <v>-8.6450175415727859E-2</v>
      </c>
      <c r="DQ24" s="11">
        <f t="shared" si="174"/>
        <v>0</v>
      </c>
      <c r="DR24" s="173">
        <f t="shared" si="175"/>
        <v>187.44764341292108</v>
      </c>
      <c r="DS24" s="5">
        <f t="shared" si="176"/>
        <v>0</v>
      </c>
      <c r="DT24" s="5">
        <f t="shared" si="177"/>
        <v>400</v>
      </c>
      <c r="DU24" s="5">
        <f t="shared" si="178"/>
        <v>0.21579415380080108</v>
      </c>
      <c r="DV24" s="5">
        <f t="shared" si="179"/>
        <v>-2.4223886310615153</v>
      </c>
      <c r="DW24" s="5">
        <f t="shared" si="180"/>
        <v>116.1677995307945</v>
      </c>
      <c r="DX24" s="167">
        <f t="shared" si="181"/>
        <v>88.2777823207945</v>
      </c>
      <c r="DY24" s="9">
        <f t="shared" si="182"/>
        <v>86.317661520320428</v>
      </c>
      <c r="DZ24" s="5">
        <f t="shared" si="183"/>
        <v>-968.95545242460605</v>
      </c>
      <c r="EA24" s="10">
        <f t="shared" si="184"/>
        <v>174.49390726018464</v>
      </c>
      <c r="EB24" s="6">
        <f t="shared" si="185"/>
        <v>923812.76275913022</v>
      </c>
      <c r="EC24" s="173">
        <f t="shared" si="186"/>
        <v>22.360513573764205</v>
      </c>
      <c r="ED24" s="5">
        <f t="shared" si="187"/>
        <v>9.0406327408044093E-2</v>
      </c>
      <c r="EE24" s="4">
        <f t="shared" si="188"/>
        <v>-5.2804385216759684</v>
      </c>
      <c r="EF24" s="5">
        <f t="shared" si="189"/>
        <v>8.3583663478540071E-2</v>
      </c>
      <c r="EG24" s="10">
        <f t="shared" si="190"/>
        <v>-0.62761782935394639</v>
      </c>
      <c r="EH24" s="9">
        <f t="shared" si="191"/>
        <v>4.8841156546408628</v>
      </c>
      <c r="EI24" s="5">
        <f t="shared" si="192"/>
        <v>2.0088383414531021</v>
      </c>
      <c r="EJ24" s="6">
        <f t="shared" si="193"/>
        <v>-0.62761782935394639</v>
      </c>
      <c r="EK24" s="236" t="b">
        <f t="shared" si="194"/>
        <v>0</v>
      </c>
      <c r="EL24" s="238" t="b">
        <f t="shared" si="195"/>
        <v>1</v>
      </c>
      <c r="EM24" s="4">
        <f t="shared" si="196"/>
        <v>4.8841156546408628</v>
      </c>
      <c r="EN24" s="5">
        <f t="shared" si="197"/>
        <v>2.0088383414531021</v>
      </c>
      <c r="EO24" s="10">
        <f t="shared" si="198"/>
        <v>-0.62761782935394639</v>
      </c>
      <c r="EP24" s="9">
        <f t="shared" si="199"/>
        <v>22.35738135872479</v>
      </c>
      <c r="EQ24" s="5">
        <f t="shared" si="200"/>
        <v>5.2810999999999995</v>
      </c>
      <c r="ER24" s="7">
        <f t="shared" si="201"/>
        <v>-0.62761782935394639</v>
      </c>
      <c r="ES24" s="21">
        <f t="shared" si="124"/>
        <v>0.18104445892431562</v>
      </c>
      <c r="ET24" s="5">
        <f t="shared" si="35"/>
        <v>-0.95584040496614497</v>
      </c>
      <c r="EU24" s="10">
        <f t="shared" si="36"/>
        <v>-0.23149951215274281</v>
      </c>
      <c r="EV24" s="174">
        <f t="shared" si="252"/>
        <v>67.642618641275206</v>
      </c>
      <c r="EW24" s="9">
        <f t="shared" si="125"/>
        <v>0.95285530208256008</v>
      </c>
      <c r="EX24" s="5">
        <f t="shared" si="37"/>
        <v>-0.19614981306694032</v>
      </c>
      <c r="EY24" s="6">
        <f t="shared" si="202"/>
        <v>-0.23149951215274281</v>
      </c>
      <c r="EZ24" s="51">
        <f t="shared" si="203"/>
        <v>0.26502738744724658</v>
      </c>
      <c r="FA24" s="266">
        <f t="shared" si="126"/>
        <v>0.38037849136692869</v>
      </c>
      <c r="FB24" s="267">
        <f t="shared" si="127"/>
        <v>-0.92481933764268642</v>
      </c>
      <c r="FC24" s="269">
        <f t="shared" si="38"/>
        <v>-4.6255840239004462E-3</v>
      </c>
      <c r="FD24" s="4">
        <f t="shared" si="128"/>
        <v>0.9999893019289946</v>
      </c>
      <c r="FE24" s="5">
        <f t="shared" si="39"/>
        <v>-1.6653345369377348E-16</v>
      </c>
      <c r="FF24" s="7">
        <f t="shared" si="204"/>
        <v>-4.6255840239004462E-3</v>
      </c>
      <c r="FG24" s="173">
        <f t="shared" si="205"/>
        <v>-4.7133999846434516E-2</v>
      </c>
      <c r="FH24" s="5">
        <f t="shared" si="40"/>
        <v>-0.19614981306694015</v>
      </c>
      <c r="FI24" s="10">
        <f t="shared" si="41"/>
        <v>-0.22687392812884236</v>
      </c>
      <c r="FJ24" s="279">
        <f t="shared" si="206"/>
        <v>17.462047315449588</v>
      </c>
      <c r="FK24" s="4">
        <f t="shared" si="42"/>
        <v>0.97283501986361609</v>
      </c>
      <c r="FL24" s="5">
        <f t="shared" si="207"/>
        <v>0.9999893019289946</v>
      </c>
      <c r="FM24" s="8">
        <f t="shared" si="208"/>
        <v>0.2017333961140774</v>
      </c>
      <c r="FN24" s="9">
        <f t="shared" si="209"/>
        <v>11.632118100749265</v>
      </c>
      <c r="FO24" s="10">
        <f t="shared" si="43"/>
        <v>1</v>
      </c>
      <c r="FP24" s="277">
        <f t="shared" si="44"/>
        <v>11.632118100749265</v>
      </c>
      <c r="FQ24" s="173">
        <f t="shared" si="239"/>
        <v>0.20162700669887401</v>
      </c>
      <c r="FR24" s="10">
        <f t="shared" si="210"/>
        <v>0.97946237812876313</v>
      </c>
      <c r="FS24" s="9">
        <f t="shared" si="211"/>
        <v>0.17071274138011031</v>
      </c>
      <c r="FT24" s="6">
        <f t="shared" si="212"/>
        <v>0.82928725861988972</v>
      </c>
      <c r="FU24" s="4">
        <f t="shared" si="213"/>
        <v>0.98057393950369942</v>
      </c>
      <c r="FV24" s="5">
        <f t="shared" si="214"/>
        <v>1</v>
      </c>
      <c r="FW24" s="8">
        <f t="shared" si="240"/>
        <v>0.23171834887668005</v>
      </c>
      <c r="FX24" s="9">
        <f t="shared" si="241"/>
        <v>13.390603957603565</v>
      </c>
      <c r="FY24" s="10">
        <f t="shared" si="45"/>
        <v>1</v>
      </c>
      <c r="FZ24" s="277">
        <f t="shared" si="242"/>
        <v>13.390603957603565</v>
      </c>
      <c r="GA24" s="177">
        <f t="shared" si="215"/>
        <v>13.12983630411491</v>
      </c>
      <c r="GB24" s="4">
        <f t="shared" si="216"/>
        <v>-0.19614554866352743</v>
      </c>
      <c r="GC24" s="5">
        <f t="shared" si="217"/>
        <v>0.95283458649104946</v>
      </c>
      <c r="GD24" s="10">
        <f t="shared" si="218"/>
        <v>-0.23158837303697835</v>
      </c>
      <c r="GE24" s="311">
        <f t="shared" si="219"/>
        <v>1.3805685081915553</v>
      </c>
      <c r="GF24" s="341">
        <f t="shared" si="243"/>
        <v>0.72433928056922547</v>
      </c>
      <c r="GG24" s="285">
        <f t="shared" si="46"/>
        <v>0.14207592560579546</v>
      </c>
      <c r="GH24" s="286">
        <f t="shared" si="47"/>
        <v>0.69017551888040218</v>
      </c>
      <c r="GI24" s="281">
        <f t="shared" si="48"/>
        <v>0.1677485555138023</v>
      </c>
      <c r="GJ24" s="167">
        <f t="shared" si="220"/>
        <v>5.2811000000000003</v>
      </c>
      <c r="GK24" s="174">
        <f t="shared" si="49"/>
        <v>2.7652070761938226</v>
      </c>
      <c r="GL24" s="174">
        <f t="shared" si="221"/>
        <v>1.01E-2</v>
      </c>
      <c r="GM24" s="177">
        <f t="shared" si="244"/>
        <v>0.33514309763469124</v>
      </c>
      <c r="GN24" s="280">
        <f t="shared" si="222"/>
        <v>1.8567081217245481E-2</v>
      </c>
      <c r="GO24" s="4">
        <f t="shared" si="223"/>
        <v>11.632118100749265</v>
      </c>
      <c r="GP24" s="8">
        <f t="shared" si="245"/>
        <v>13.390603957603565</v>
      </c>
      <c r="GQ24" s="177">
        <f t="shared" si="224"/>
        <v>17.462047315449588</v>
      </c>
      <c r="GR24" s="371">
        <f t="shared" si="246"/>
        <v>1213.9777798057733</v>
      </c>
      <c r="GS24" s="342">
        <f t="shared" si="51"/>
        <v>172.47701673077378</v>
      </c>
      <c r="GT24" s="343">
        <f t="shared" si="52"/>
        <v>62.373996586244921</v>
      </c>
      <c r="GU24" s="344">
        <f t="shared" si="53"/>
        <v>837.85774408672819</v>
      </c>
      <c r="GV24" s="343">
        <f t="shared" si="253"/>
        <v>303</v>
      </c>
      <c r="GW24" s="345">
        <f t="shared" si="129"/>
        <v>30000</v>
      </c>
      <c r="GX24" s="346">
        <f t="shared" si="54"/>
        <v>133.34777500000001</v>
      </c>
      <c r="GY24" s="344">
        <f t="shared" si="55"/>
        <v>203.64301898827122</v>
      </c>
      <c r="GZ24" s="345">
        <f t="shared" si="56"/>
        <v>73.644762716496544</v>
      </c>
      <c r="HA24" s="342">
        <f t="shared" si="57"/>
        <v>172.47701673077378</v>
      </c>
      <c r="HB24" s="5">
        <f t="shared" si="225"/>
        <v>67.642618641275206</v>
      </c>
      <c r="HC24" s="343">
        <f t="shared" si="226"/>
        <v>65.607249290531655</v>
      </c>
      <c r="HD24" s="363">
        <f t="shared" si="227"/>
        <v>159.51178683996258</v>
      </c>
      <c r="HE24" s="344">
        <f t="shared" si="58"/>
        <v>303</v>
      </c>
      <c r="HF24" s="5">
        <f t="shared" si="59"/>
        <v>157.64261864127519</v>
      </c>
      <c r="HG24" s="343">
        <f t="shared" si="228"/>
        <v>-280.22325715403633</v>
      </c>
      <c r="HH24" s="349">
        <f t="shared" si="229"/>
        <v>115.25591590015155</v>
      </c>
      <c r="HI24" s="317">
        <f t="shared" si="60"/>
        <v>2.1339999999999999</v>
      </c>
      <c r="HJ24" s="336"/>
      <c r="HK24" s="310">
        <f t="shared" si="130"/>
        <v>16</v>
      </c>
      <c r="HL24" s="348">
        <f t="shared" si="61"/>
        <v>2.1160000000000001</v>
      </c>
      <c r="HM24" s="935">
        <f t="shared" si="62"/>
        <v>-1.5895172656165577</v>
      </c>
      <c r="HN24" s="936">
        <f t="shared" si="63"/>
        <v>14.99999783426823</v>
      </c>
      <c r="HO24" s="937"/>
      <c r="HP24" s="938"/>
      <c r="HQ24" s="936">
        <f t="shared" si="64"/>
        <v>14.620179928881811</v>
      </c>
      <c r="HR24" s="939">
        <f t="shared" si="65"/>
        <v>14.541085414307592</v>
      </c>
      <c r="HS24" s="940">
        <f t="shared" si="249"/>
        <v>3.0289000000000001</v>
      </c>
      <c r="HT24" s="941">
        <f t="shared" si="66"/>
        <v>1.4500000000000001E-2</v>
      </c>
      <c r="HU24" s="942">
        <f t="shared" si="67"/>
        <v>0.27596050430660973</v>
      </c>
      <c r="HV24" s="943">
        <f t="shared" si="68"/>
        <v>1.5288338421332514E-2</v>
      </c>
      <c r="HW24" s="944">
        <f t="shared" si="69"/>
        <v>30000</v>
      </c>
      <c r="HX24" s="947">
        <f t="shared" si="70"/>
        <v>109.79762500000001</v>
      </c>
      <c r="HY24" s="952">
        <f t="shared" si="71"/>
        <v>19.14436615742629</v>
      </c>
      <c r="HZ24" s="953">
        <f t="shared" si="72"/>
        <v>689.90126076652427</v>
      </c>
      <c r="IA24" s="954">
        <f t="shared" si="73"/>
        <v>179.01737944247222</v>
      </c>
      <c r="IB24" s="955">
        <f t="shared" si="74"/>
        <v>888.06300636642277</v>
      </c>
      <c r="IC24" s="842">
        <f t="shared" si="75"/>
        <v>12.071001681063347</v>
      </c>
      <c r="ID24" s="351">
        <f t="shared" si="76"/>
        <v>435</v>
      </c>
      <c r="IE24" s="844">
        <f t="shared" si="77"/>
        <v>112.87493513340451</v>
      </c>
      <c r="IF24" s="845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0"/>
        <v>2.1339999999999999</v>
      </c>
      <c r="IJ24" s="96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8"/>
        <v>1613</v>
      </c>
      <c r="IM24" s="482" t="str">
        <f t="shared" si="231"/>
        <v/>
      </c>
      <c r="IN24" s="670" t="str">
        <f t="shared" si="80"/>
        <v/>
      </c>
      <c r="IO24" s="702"/>
      <c r="IP24" s="5" t="str">
        <f t="shared" si="81"/>
        <v/>
      </c>
      <c r="IQ24" s="714"/>
      <c r="IR24" s="9" t="str">
        <f t="shared" si="131"/>
        <v/>
      </c>
      <c r="IS24" s="5" t="str">
        <f t="shared" si="82"/>
        <v/>
      </c>
      <c r="IT24" s="5" t="str">
        <f t="shared" si="83"/>
        <v/>
      </c>
      <c r="IU24" s="5" t="str">
        <f t="shared" si="84"/>
        <v/>
      </c>
      <c r="IV24" s="670" t="str">
        <f t="shared" si="85"/>
        <v/>
      </c>
      <c r="IW24" s="9" t="str">
        <f t="shared" si="86"/>
        <v/>
      </c>
      <c r="IX24" s="5" t="str">
        <f t="shared" si="87"/>
        <v/>
      </c>
      <c r="IY24" s="5" t="str">
        <f t="shared" si="88"/>
        <v/>
      </c>
      <c r="IZ24" s="5" t="str">
        <f t="shared" si="89"/>
        <v/>
      </c>
      <c r="JA24" s="705" t="str">
        <f t="shared" si="90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ref="B25:D25" si="276">IFERROR(O180+($A25*-E25),"")</f>
        <v>5.1063436486882834</v>
      </c>
      <c r="C25" s="572">
        <f t="shared" si="276"/>
        <v>2.1391720634075138</v>
      </c>
      <c r="D25" s="576">
        <f t="shared" si="276"/>
        <v>-1.4419043487835159</v>
      </c>
      <c r="E25" s="580">
        <f t="shared" ref="E25:K25" si="277">R180</f>
        <v>-8.7989036966297854E-2</v>
      </c>
      <c r="F25" s="572">
        <f t="shared" si="277"/>
        <v>0.97801847907961426</v>
      </c>
      <c r="G25" s="579">
        <f t="shared" si="277"/>
        <v>0.18904439677636981</v>
      </c>
      <c r="H25" s="580">
        <f t="shared" si="277"/>
        <v>0.3125</v>
      </c>
      <c r="I25" s="572">
        <f t="shared" si="277"/>
        <v>0.52</v>
      </c>
      <c r="J25" s="483">
        <f t="shared" si="92"/>
        <v>2.14</v>
      </c>
      <c r="K25" s="806">
        <f t="shared" si="277"/>
        <v>1613</v>
      </c>
      <c r="L25" s="82"/>
      <c r="M25" s="164">
        <f t="shared" si="4"/>
        <v>2.14</v>
      </c>
      <c r="N25" s="575">
        <f t="shared" si="5"/>
        <v>5.1063436486882834</v>
      </c>
      <c r="O25" s="572">
        <f t="shared" si="6"/>
        <v>2.1391720634075138</v>
      </c>
      <c r="P25" s="576">
        <f t="shared" si="7"/>
        <v>-1.4419043487835159</v>
      </c>
      <c r="Q25" s="528">
        <f t="shared" si="134"/>
        <v>22.730000327747415</v>
      </c>
      <c r="R25" s="572">
        <f>IF(M25="","",SQRT(N25^2+O25^2))</f>
        <v>5.5363166975311602</v>
      </c>
      <c r="S25" s="577">
        <f>IF(M25="","",P25)</f>
        <v>-1.4419043487835159</v>
      </c>
      <c r="T25" s="578">
        <f>IF(M25="","",X25*COS(RADIANS(W25)))</f>
        <v>2.1400632557869468</v>
      </c>
      <c r="U25" s="572">
        <f>IF(M25="","",X25*SIN(RADIANS(W25)))</f>
        <v>-5.1059702150123147</v>
      </c>
      <c r="V25" s="579">
        <f>IF(M25="","",Y25)</f>
        <v>-1.4419043487835159</v>
      </c>
      <c r="W25" s="528">
        <f t="shared" si="256"/>
        <v>292.74000032630357</v>
      </c>
      <c r="X25" s="572">
        <f>IF(M25="","",R25)</f>
        <v>5.5363166975311602</v>
      </c>
      <c r="Y25" s="573">
        <f t="shared" si="259"/>
        <v>-1.4419043487835159</v>
      </c>
      <c r="Z25" s="575">
        <f t="shared" si="10"/>
        <v>8.7989036966297854E-2</v>
      </c>
      <c r="AA25" s="572">
        <f t="shared" si="11"/>
        <v>-0.97801847907961426</v>
      </c>
      <c r="AB25" s="572">
        <f t="shared" si="12"/>
        <v>-0.18904439677636981</v>
      </c>
      <c r="AC25" s="579">
        <f>IF(M25="","",SQRT(Z25^2+AA25^2+AB25^2))</f>
        <v>1</v>
      </c>
      <c r="AD25" s="580">
        <f>IF(M25="","",Z25*(1/SQRT(Z25^2+AA25^2+AB25^2)))</f>
        <v>8.7989036966297854E-2</v>
      </c>
      <c r="AE25" s="572">
        <f>IF(M25="","",AA25*(1/SQRT(Z25^2+AA25^2+AB25^2)))</f>
        <v>-0.97801847907961426</v>
      </c>
      <c r="AF25" s="576">
        <f>IF(M25="","",AB25*(1/SQRT(Z25^2+AA25^2+AB25^2)))</f>
        <v>-0.18904439677636981</v>
      </c>
      <c r="AG25" s="545">
        <f>IF(M25="","",DEGREES(ATAN2(-AF25,AE25)))</f>
        <v>-79.060026973689403</v>
      </c>
      <c r="AH25" s="546">
        <f>IF(M25="","",DEGREES(ACOS(AD25)))</f>
        <v>84.95207162352412</v>
      </c>
      <c r="AI25" s="528">
        <f>IF(M25="","",DEGREES(-ACOS(-AF25)))</f>
        <v>-79.1029784530851</v>
      </c>
      <c r="AJ25" s="529">
        <f>IF(M25="","",DEGREES(ATAN2(-AE25,AD25)))</f>
        <v>5.1408685545775663</v>
      </c>
      <c r="AK25" s="578">
        <f>IF(M25="","",(COS(RADIANS((90-$Q$8)-W25))*AD25)+(-SIN(RADIANS((90-$Q$8)-W25))*AE25))</f>
        <v>0.9360595540033646</v>
      </c>
      <c r="AL25" s="572">
        <f>IF(M25="","",(SIN(RADIANS((90-$Q$8)-W25))*AD25)+(COS(RADIANS((90-$Q$8)-W25))*AE25))</f>
        <v>-0.29674016817155108</v>
      </c>
      <c r="AM25" s="577">
        <f>IF(M25="","",AF25)</f>
        <v>-0.18904439677636981</v>
      </c>
      <c r="AN25" s="524">
        <f>IF(M25="","",DEGREES(ATAN2(-AM25,AL25)))</f>
        <v>-57.49999169802809</v>
      </c>
      <c r="AO25" s="525">
        <f>IF(ROUND(IF(M25="",0,DEGREES(ACOS(AK25))),4)=90,0,IF(M25="","",DEGREES(ACOS(AK25))))</f>
        <v>20.599997025728428</v>
      </c>
      <c r="AP25" s="528">
        <f>IF(M25="","",DEGREES(ATAN2(AK25,AL25)))</f>
        <v>-17.589131773169846</v>
      </c>
      <c r="AQ25" s="529">
        <f t="shared" si="13"/>
        <v>0.25281014642745603</v>
      </c>
      <c r="AS25" s="900">
        <f t="shared" si="137"/>
        <v>-67.259999673696427</v>
      </c>
      <c r="AT25" s="896">
        <f t="shared" si="14"/>
        <v>-1.4132233411713151</v>
      </c>
      <c r="AU25" s="418"/>
      <c r="AV25" s="164">
        <f t="shared" si="15"/>
        <v>2.14</v>
      </c>
      <c r="AW25" s="829">
        <f>IFERROR(INDEX(MassProp!C$9:C$150,MATCH($M25,MassProp!$B$9:$B$150,0)),"")</f>
        <v>5.7678000000000003</v>
      </c>
      <c r="AX25" s="830">
        <f>IFERROR(INDEX(MassProp!D$9:D$150,MATCH($M25,MassProp!$B$9:$B$150,0)),"")</f>
        <v>-1.1188</v>
      </c>
      <c r="AY25" s="831">
        <f>IFERROR(INDEX(MassProp!E$9:E$150,MATCH($M25,MassProp!$B$9:$B$150,0)),"")</f>
        <v>7.1000000000000004E-3</v>
      </c>
      <c r="AZ25" s="297">
        <f t="shared" si="138"/>
        <v>0.25730741686699493</v>
      </c>
      <c r="BA25" s="296">
        <f t="shared" si="16"/>
        <v>1.4254948827788758E-2</v>
      </c>
      <c r="BB25" s="190">
        <f t="shared" si="139"/>
        <v>0.14093496907829173</v>
      </c>
      <c r="BC25" s="9"/>
      <c r="BD25" s="5">
        <f t="shared" si="235"/>
        <v>5.7678000000000003</v>
      </c>
      <c r="BE25" s="6">
        <f t="shared" si="17"/>
        <v>-1.3009693797052242</v>
      </c>
      <c r="BF25" s="4">
        <f t="shared" si="18"/>
        <v>5.1063436486882834</v>
      </c>
      <c r="BG25" s="5">
        <f t="shared" si="19"/>
        <v>2.1391720634075138</v>
      </c>
      <c r="BH25" s="10">
        <f t="shared" si="20"/>
        <v>-1.4419043487835159</v>
      </c>
      <c r="BI25" s="9">
        <f t="shared" si="140"/>
        <v>5.1063436486882834</v>
      </c>
      <c r="BJ25" s="5">
        <f t="shared" si="21"/>
        <v>2.3289525345425361</v>
      </c>
      <c r="BK25" s="8">
        <f t="shared" si="22"/>
        <v>-2.4237308980149823</v>
      </c>
      <c r="BL25" s="173">
        <f t="shared" si="23"/>
        <v>6.1024650917732837</v>
      </c>
      <c r="BM25" s="5">
        <f t="shared" si="24"/>
        <v>2.225562035942334</v>
      </c>
      <c r="BN25" s="6">
        <f t="shared" si="25"/>
        <v>-1.4252057478933351</v>
      </c>
      <c r="BO25" s="4">
        <f t="shared" si="141"/>
        <v>8.7989036966298312E-2</v>
      </c>
      <c r="BP25" s="5">
        <f t="shared" si="142"/>
        <v>-0.97801847907961492</v>
      </c>
      <c r="BQ25" s="5">
        <f t="shared" si="143"/>
        <v>-0.18904439677637086</v>
      </c>
      <c r="BR25" s="6">
        <f t="shared" si="144"/>
        <v>1.3702636100513557</v>
      </c>
      <c r="BS25" s="4">
        <f t="shared" si="110"/>
        <v>0</v>
      </c>
      <c r="BT25" s="5">
        <f t="shared" si="110"/>
        <v>0</v>
      </c>
      <c r="BU25" s="10">
        <f t="shared" si="111"/>
        <v>-1.3009693797052242</v>
      </c>
      <c r="BV25" s="9">
        <f t="shared" si="112"/>
        <v>0</v>
      </c>
      <c r="BW25" s="5">
        <f t="shared" si="113"/>
        <v>1</v>
      </c>
      <c r="BX25" s="8">
        <f t="shared" si="114"/>
        <v>-1.3009693797052242</v>
      </c>
      <c r="BY25" s="173">
        <f t="shared" si="115"/>
        <v>1</v>
      </c>
      <c r="BZ25" s="5">
        <f t="shared" si="116"/>
        <v>0</v>
      </c>
      <c r="CA25" s="6">
        <f t="shared" si="117"/>
        <v>-1.3009693797052242</v>
      </c>
      <c r="CB25" s="4">
        <f t="shared" si="145"/>
        <v>0</v>
      </c>
      <c r="CC25" s="5">
        <f t="shared" si="146"/>
        <v>0</v>
      </c>
      <c r="CD25" s="5">
        <f t="shared" si="147"/>
        <v>-1</v>
      </c>
      <c r="CE25" s="6">
        <f t="shared" si="148"/>
        <v>-1.3009693797052242</v>
      </c>
      <c r="CF25" s="4">
        <f t="shared" si="149"/>
        <v>0.97801847907961492</v>
      </c>
      <c r="CG25" s="5">
        <f t="shared" si="150"/>
        <v>8.7989036966298312E-2</v>
      </c>
      <c r="CH25" s="5">
        <f t="shared" si="151"/>
        <v>0</v>
      </c>
      <c r="CI25" s="4">
        <f t="shared" si="118"/>
        <v>0</v>
      </c>
      <c r="CJ25" s="5">
        <f t="shared" si="119"/>
        <v>1.6525296977856931</v>
      </c>
      <c r="CK25" s="8">
        <f t="shared" si="120"/>
        <v>-1.3009693797052242</v>
      </c>
      <c r="CL25" s="173">
        <f t="shared" si="121"/>
        <v>0.97801847907961492</v>
      </c>
      <c r="CM25" s="5">
        <f t="shared" si="122"/>
        <v>1.7405187347519915</v>
      </c>
      <c r="CN25" s="6">
        <f t="shared" si="123"/>
        <v>-1.3009693797052242</v>
      </c>
      <c r="CO25" s="167">
        <f t="shared" si="26"/>
        <v>0.3125</v>
      </c>
      <c r="CP25" s="4">
        <f t="shared" si="236"/>
        <v>0.96426221604745976</v>
      </c>
      <c r="CQ25" s="5">
        <f t="shared" si="237"/>
        <v>-10.073835284092063</v>
      </c>
      <c r="CR25" s="5">
        <f t="shared" si="152"/>
        <v>26.233772666026269</v>
      </c>
      <c r="CS25" s="8">
        <f t="shared" si="153"/>
        <v>0.2972142661071473</v>
      </c>
      <c r="CT25" s="9">
        <f t="shared" si="154"/>
        <v>5.5062869405990158</v>
      </c>
      <c r="CU25" s="6">
        <f t="shared" si="155"/>
        <v>4.9409079369364965</v>
      </c>
      <c r="CV25" s="4">
        <f t="shared" si="238"/>
        <v>5.3852503790205954</v>
      </c>
      <c r="CW25" s="5">
        <f t="shared" si="156"/>
        <v>2.1370225829491059</v>
      </c>
      <c r="CX25" s="8">
        <f t="shared" si="157"/>
        <v>-1.3009693797052242</v>
      </c>
      <c r="CY25" s="9">
        <f t="shared" si="158"/>
        <v>4.8322992657550303</v>
      </c>
      <c r="CZ25" s="5">
        <f t="shared" si="159"/>
        <v>2.0872754288958753</v>
      </c>
      <c r="DA25" s="6">
        <f t="shared" si="160"/>
        <v>-1.3009693797052242</v>
      </c>
      <c r="DB25" s="4">
        <f t="shared" si="161"/>
        <v>0</v>
      </c>
      <c r="DC25" s="5">
        <f t="shared" si="161"/>
        <v>0</v>
      </c>
      <c r="DD25" s="10">
        <f t="shared" si="162"/>
        <v>-10</v>
      </c>
      <c r="DE25" s="9">
        <f t="shared" si="163"/>
        <v>0</v>
      </c>
      <c r="DF25" s="5">
        <f t="shared" si="163"/>
        <v>0</v>
      </c>
      <c r="DG25" s="10">
        <f t="shared" si="164"/>
        <v>10</v>
      </c>
      <c r="DH25" s="70">
        <f t="shared" si="165"/>
        <v>5.7678000000000003</v>
      </c>
      <c r="DI25" s="4">
        <f t="shared" si="166"/>
        <v>0</v>
      </c>
      <c r="DJ25" s="5">
        <f t="shared" si="167"/>
        <v>0</v>
      </c>
      <c r="DK25" s="10">
        <f t="shared" si="168"/>
        <v>20</v>
      </c>
      <c r="DL25" s="9">
        <f t="shared" si="169"/>
        <v>5.3852503790205954</v>
      </c>
      <c r="DM25" s="173">
        <f t="shared" si="170"/>
        <v>2.1370225829491059</v>
      </c>
      <c r="DN25" s="178">
        <f t="shared" si="171"/>
        <v>8.699030620294776</v>
      </c>
      <c r="DO25" s="9">
        <f t="shared" si="172"/>
        <v>-0.55295111326556512</v>
      </c>
      <c r="DP25" s="173">
        <f t="shared" si="173"/>
        <v>-4.9747154053230602E-2</v>
      </c>
      <c r="DQ25" s="11">
        <f t="shared" si="174"/>
        <v>0</v>
      </c>
      <c r="DR25" s="173">
        <f t="shared" si="175"/>
        <v>173.98061240589553</v>
      </c>
      <c r="DS25" s="5">
        <f t="shared" si="176"/>
        <v>0</v>
      </c>
      <c r="DT25" s="5">
        <f t="shared" si="177"/>
        <v>400</v>
      </c>
      <c r="DU25" s="5">
        <f t="shared" si="178"/>
        <v>0.30822971299802365</v>
      </c>
      <c r="DV25" s="5">
        <f t="shared" si="179"/>
        <v>-3.0840909839424469</v>
      </c>
      <c r="DW25" s="5">
        <f t="shared" si="180"/>
        <v>109.24092089760205</v>
      </c>
      <c r="DX25" s="167">
        <f t="shared" si="181"/>
        <v>75.973404057602039</v>
      </c>
      <c r="DY25" s="9">
        <f t="shared" si="182"/>
        <v>123.29188519920946</v>
      </c>
      <c r="DZ25" s="5">
        <f t="shared" si="183"/>
        <v>-1233.6363935769787</v>
      </c>
      <c r="EA25" s="10">
        <f t="shared" si="184"/>
        <v>120.10812991036801</v>
      </c>
      <c r="EB25" s="6">
        <f t="shared" si="185"/>
        <v>1507050.3937932134</v>
      </c>
      <c r="EC25" s="173">
        <f t="shared" si="186"/>
        <v>19.962840197679867</v>
      </c>
      <c r="ED25" s="5">
        <f t="shared" si="187"/>
        <v>4.8799523518731958E-2</v>
      </c>
      <c r="EE25" s="4">
        <f t="shared" si="188"/>
        <v>-5.6532243322290618</v>
      </c>
      <c r="EF25" s="5">
        <f t="shared" si="189"/>
        <v>1.1439280962951011</v>
      </c>
      <c r="EG25" s="10">
        <f t="shared" si="190"/>
        <v>-1.3009693797052242</v>
      </c>
      <c r="EH25" s="9">
        <f t="shared" si="191"/>
        <v>5.3582666281640838</v>
      </c>
      <c r="EI25" s="5">
        <f t="shared" si="192"/>
        <v>2.1345949455348951</v>
      </c>
      <c r="EJ25" s="6">
        <f t="shared" si="193"/>
        <v>-1.3009693797052242</v>
      </c>
      <c r="EK25" s="236" t="b">
        <f t="shared" si="194"/>
        <v>0</v>
      </c>
      <c r="EL25" s="238" t="b">
        <f t="shared" si="195"/>
        <v>1</v>
      </c>
      <c r="EM25" s="4">
        <f t="shared" si="196"/>
        <v>5.3582666281640838</v>
      </c>
      <c r="EN25" s="5">
        <f t="shared" si="197"/>
        <v>2.1345949455348951</v>
      </c>
      <c r="EO25" s="10">
        <f t="shared" si="198"/>
        <v>-1.3009693797052242</v>
      </c>
      <c r="EP25" s="9">
        <f t="shared" si="199"/>
        <v>21.721059319195263</v>
      </c>
      <c r="EQ25" s="5">
        <f t="shared" si="200"/>
        <v>5.767800000000002</v>
      </c>
      <c r="ER25" s="7">
        <f t="shared" si="201"/>
        <v>-1.3009693797052242</v>
      </c>
      <c r="ES25" s="21">
        <f t="shared" si="124"/>
        <v>8.7989036966297854E-2</v>
      </c>
      <c r="ET25" s="5">
        <f t="shared" si="35"/>
        <v>-0.97801847907961426</v>
      </c>
      <c r="EU25" s="10">
        <f t="shared" si="36"/>
        <v>-0.18904439677636981</v>
      </c>
      <c r="EV25" s="174">
        <f t="shared" si="252"/>
        <v>68.278940680804737</v>
      </c>
      <c r="EW25" s="9">
        <f t="shared" si="125"/>
        <v>0.94113955611339351</v>
      </c>
      <c r="EX25" s="5">
        <f t="shared" si="37"/>
        <v>-0.28021161996987765</v>
      </c>
      <c r="EY25" s="6">
        <f t="shared" si="202"/>
        <v>-0.18904439677636981</v>
      </c>
      <c r="EZ25" s="51">
        <f t="shared" si="203"/>
        <v>0.24266405725280998</v>
      </c>
      <c r="FA25" s="266">
        <f t="shared" si="126"/>
        <v>0.37008491985690506</v>
      </c>
      <c r="FB25" s="267">
        <f t="shared" si="127"/>
        <v>-0.92898827470947776</v>
      </c>
      <c r="FC25" s="269">
        <f t="shared" si="38"/>
        <v>-4.2352741134694064E-3</v>
      </c>
      <c r="FD25" s="4">
        <f t="shared" si="128"/>
        <v>0.99999103118637223</v>
      </c>
      <c r="FE25" s="5">
        <f t="shared" si="39"/>
        <v>-1.1102230246251565E-16</v>
      </c>
      <c r="FF25" s="7">
        <f t="shared" si="204"/>
        <v>-4.2352741134694064E-3</v>
      </c>
      <c r="FG25" s="173">
        <f t="shared" si="205"/>
        <v>-5.8851475072978721E-2</v>
      </c>
      <c r="FH25" s="5">
        <f t="shared" si="40"/>
        <v>-0.28021161996987753</v>
      </c>
      <c r="FI25" s="10">
        <f t="shared" si="41"/>
        <v>-0.18480912266290039</v>
      </c>
      <c r="FJ25" s="279">
        <f t="shared" si="206"/>
        <v>19.621455574700015</v>
      </c>
      <c r="FK25" s="4">
        <f t="shared" si="42"/>
        <v>0.98196854127179578</v>
      </c>
      <c r="FL25" s="5">
        <f t="shared" si="207"/>
        <v>0.99999103118637223</v>
      </c>
      <c r="FM25" s="8">
        <f t="shared" si="208"/>
        <v>0.28632507414546932</v>
      </c>
      <c r="FN25" s="9">
        <f t="shared" si="209"/>
        <v>16.580190764617662</v>
      </c>
      <c r="FO25" s="10">
        <f t="shared" si="43"/>
        <v>1</v>
      </c>
      <c r="FP25" s="277">
        <f t="shared" si="44"/>
        <v>16.580190764617662</v>
      </c>
      <c r="FQ25" s="173">
        <f t="shared" si="239"/>
        <v>0.28535702335938495</v>
      </c>
      <c r="FR25" s="10">
        <f t="shared" si="210"/>
        <v>0.95842129004914711</v>
      </c>
      <c r="FS25" s="9">
        <f t="shared" si="211"/>
        <v>0.22942755978545223</v>
      </c>
      <c r="FT25" s="6">
        <f t="shared" si="212"/>
        <v>0.77057244021454774</v>
      </c>
      <c r="FU25" s="4">
        <f t="shared" si="213"/>
        <v>0.95993825219847184</v>
      </c>
      <c r="FV25" s="5">
        <f t="shared" si="214"/>
        <v>1</v>
      </c>
      <c r="FW25" s="8">
        <f t="shared" si="240"/>
        <v>0.19395336536831836</v>
      </c>
      <c r="FX25" s="9">
        <f t="shared" si="241"/>
        <v>11.115055576660119</v>
      </c>
      <c r="FY25" s="10">
        <f t="shared" si="45"/>
        <v>1</v>
      </c>
      <c r="FZ25" s="277">
        <f t="shared" si="242"/>
        <v>11.115055576660119</v>
      </c>
      <c r="GA25" s="177">
        <f t="shared" si="215"/>
        <v>10.669267864329363</v>
      </c>
      <c r="GB25" s="4">
        <f t="shared" si="216"/>
        <v>-0.28000430808229115</v>
      </c>
      <c r="GC25" s="5">
        <f t="shared" si="217"/>
        <v>0.9404432630121986</v>
      </c>
      <c r="GD25" s="10">
        <f t="shared" si="218"/>
        <v>-0.19277981354469162</v>
      </c>
      <c r="GE25" s="311">
        <f t="shared" si="219"/>
        <v>1.4132273846391814</v>
      </c>
      <c r="GF25" s="341">
        <f t="shared" si="243"/>
        <v>0.70760021414056828</v>
      </c>
      <c r="GG25" s="285">
        <f t="shared" si="46"/>
        <v>0.19813110835931086</v>
      </c>
      <c r="GH25" s="286">
        <f t="shared" si="47"/>
        <v>0.66545785429448645</v>
      </c>
      <c r="GI25" s="281">
        <f t="shared" si="48"/>
        <v>0.13641103734620261</v>
      </c>
      <c r="GJ25" s="167">
        <f t="shared" si="220"/>
        <v>5.7678000000000003</v>
      </c>
      <c r="GK25" s="174">
        <f t="shared" si="49"/>
        <v>3.0200401040727107</v>
      </c>
      <c r="GL25" s="174">
        <f t="shared" si="221"/>
        <v>7.1000000000000004E-3</v>
      </c>
      <c r="GM25" s="177">
        <f t="shared" si="244"/>
        <v>0.25730741686699493</v>
      </c>
      <c r="GN25" s="280">
        <f t="shared" si="222"/>
        <v>1.4254948827788758E-2</v>
      </c>
      <c r="GO25" s="4">
        <f t="shared" si="223"/>
        <v>16.580190764617662</v>
      </c>
      <c r="GP25" s="8">
        <f t="shared" si="245"/>
        <v>11.115055576660119</v>
      </c>
      <c r="GQ25" s="177">
        <f t="shared" si="224"/>
        <v>19.621455574700015</v>
      </c>
      <c r="GR25" s="371">
        <f t="shared" si="246"/>
        <v>966.65557107215432</v>
      </c>
      <c r="GS25" s="342">
        <f t="shared" si="51"/>
        <v>191.52453969822855</v>
      </c>
      <c r="GT25" s="343">
        <f t="shared" si="52"/>
        <v>63.417879597011272</v>
      </c>
      <c r="GU25" s="344">
        <f t="shared" si="53"/>
        <v>643.26854216748734</v>
      </c>
      <c r="GV25" s="343">
        <f t="shared" si="253"/>
        <v>213</v>
      </c>
      <c r="GW25" s="345">
        <f t="shared" si="129"/>
        <v>30000</v>
      </c>
      <c r="GX25" s="346">
        <f t="shared" si="54"/>
        <v>102.37845</v>
      </c>
      <c r="GY25" s="344">
        <f t="shared" si="55"/>
        <v>131.86248920643845</v>
      </c>
      <c r="GZ25" s="345">
        <f t="shared" si="56"/>
        <v>43.66249608030494</v>
      </c>
      <c r="HA25" s="342">
        <f t="shared" si="57"/>
        <v>191.52453969822855</v>
      </c>
      <c r="HB25" s="5">
        <f t="shared" si="225"/>
        <v>68.278940680804737</v>
      </c>
      <c r="HC25" s="343">
        <f t="shared" si="226"/>
        <v>70.880979643145736</v>
      </c>
      <c r="HD25" s="363">
        <f t="shared" si="227"/>
        <v>177.92564748075608</v>
      </c>
      <c r="HE25" s="344">
        <f t="shared" si="58"/>
        <v>213</v>
      </c>
      <c r="HF25" s="5">
        <f t="shared" si="59"/>
        <v>158.27894068080474</v>
      </c>
      <c r="HG25" s="343">
        <f t="shared" si="228"/>
        <v>-197.87627722857059</v>
      </c>
      <c r="HH25" s="349">
        <f t="shared" si="229"/>
        <v>78.828794930291039</v>
      </c>
      <c r="HI25" s="317">
        <f t="shared" si="60"/>
        <v>2.14</v>
      </c>
      <c r="HJ25" s="336"/>
      <c r="HK25" s="310">
        <f t="shared" si="130"/>
        <v>17</v>
      </c>
      <c r="HL25" s="348">
        <f t="shared" si="61"/>
        <v>1.117</v>
      </c>
      <c r="HM25" s="935">
        <f t="shared" si="62"/>
        <v>-1.1823198039015688</v>
      </c>
      <c r="HN25" s="936">
        <f t="shared" si="63"/>
        <v>14.99999783426828</v>
      </c>
      <c r="HO25" s="937"/>
      <c r="HP25" s="938"/>
      <c r="HQ25" s="936">
        <f t="shared" si="64"/>
        <v>14.610964640079901</v>
      </c>
      <c r="HR25" s="939">
        <f t="shared" si="65"/>
        <v>14.567233265675076</v>
      </c>
      <c r="HS25" s="940">
        <f t="shared" si="249"/>
        <v>3.2115</v>
      </c>
      <c r="HT25" s="941">
        <f t="shared" si="66"/>
        <v>2.7E-2</v>
      </c>
      <c r="HU25" s="942">
        <f t="shared" si="67"/>
        <v>0.54483390082798111</v>
      </c>
      <c r="HV25" s="943">
        <f t="shared" si="68"/>
        <v>3.0184047823083298E-2</v>
      </c>
      <c r="HW25" s="944">
        <f t="shared" si="69"/>
        <v>30000</v>
      </c>
      <c r="HX25" s="947">
        <f t="shared" si="70"/>
        <v>216.77625</v>
      </c>
      <c r="HY25" s="952">
        <f t="shared" si="71"/>
        <v>28.111117639787057</v>
      </c>
      <c r="HZ25" s="953">
        <f t="shared" si="72"/>
        <v>1362.0847520699526</v>
      </c>
      <c r="IA25" s="954">
        <f t="shared" si="73"/>
        <v>354.04019074429704</v>
      </c>
      <c r="IB25" s="955">
        <f t="shared" si="74"/>
        <v>1744.2360604540368</v>
      </c>
      <c r="IC25" s="842">
        <f t="shared" si="75"/>
        <v>16.717025319917916</v>
      </c>
      <c r="ID25" s="351">
        <f t="shared" si="76"/>
        <v>810</v>
      </c>
      <c r="IE25" s="844">
        <f t="shared" si="77"/>
        <v>210.53943527895305</v>
      </c>
      <c r="IF25" s="1071" t="s">
        <v>406</v>
      </c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0"/>
        <v>2.14</v>
      </c>
      <c r="IJ25" s="96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8"/>
        <v>1613</v>
      </c>
      <c r="IM25" s="482" t="str">
        <f t="shared" si="231"/>
        <v/>
      </c>
      <c r="IN25" s="670" t="str">
        <f t="shared" si="80"/>
        <v/>
      </c>
      <c r="IO25" s="702"/>
      <c r="IP25" s="5" t="str">
        <f t="shared" si="81"/>
        <v/>
      </c>
      <c r="IQ25" s="714"/>
      <c r="IR25" s="9" t="str">
        <f t="shared" si="131"/>
        <v/>
      </c>
      <c r="IS25" s="5" t="str">
        <f t="shared" si="82"/>
        <v/>
      </c>
      <c r="IT25" s="5" t="str">
        <f t="shared" si="83"/>
        <v/>
      </c>
      <c r="IU25" s="5" t="str">
        <f t="shared" si="84"/>
        <v/>
      </c>
      <c r="IV25" s="670" t="str">
        <f t="shared" si="85"/>
        <v/>
      </c>
      <c r="IW25" s="9" t="str">
        <f t="shared" si="86"/>
        <v/>
      </c>
      <c r="IX25" s="5" t="str">
        <f t="shared" si="87"/>
        <v/>
      </c>
      <c r="IY25" s="5" t="str">
        <f t="shared" si="88"/>
        <v/>
      </c>
      <c r="IZ25" s="5" t="str">
        <f t="shared" si="89"/>
        <v/>
      </c>
      <c r="JA25" s="705" t="str">
        <f t="shared" si="9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ref="B26:D26" si="278">IFERROR(O181+($A26*-E26),"")</f>
        <v>5.3542143137269758</v>
      </c>
      <c r="C26" s="572">
        <f t="shared" si="278"/>
        <v>2.20247622371804</v>
      </c>
      <c r="D26" s="576">
        <f t="shared" si="278"/>
        <v>-2.145606471149117</v>
      </c>
      <c r="E26" s="580">
        <f t="shared" ref="E26:K26" si="279">R181</f>
        <v>2.9646651500264954E-2</v>
      </c>
      <c r="F26" s="572">
        <f t="shared" si="279"/>
        <v>0.99138776737983036</v>
      </c>
      <c r="G26" s="579">
        <f t="shared" si="279"/>
        <v>0.12755928325471741</v>
      </c>
      <c r="H26" s="580">
        <f t="shared" si="279"/>
        <v>0.3125</v>
      </c>
      <c r="I26" s="572">
        <f t="shared" si="279"/>
        <v>0.52</v>
      </c>
      <c r="J26" s="483">
        <f t="shared" si="92"/>
        <v>2.1459999999999999</v>
      </c>
      <c r="K26" s="806">
        <f t="shared" si="279"/>
        <v>1613</v>
      </c>
      <c r="L26" s="309"/>
      <c r="M26" s="164">
        <f t="shared" si="4"/>
        <v>2.1459999999999999</v>
      </c>
      <c r="N26" s="575">
        <f t="shared" si="5"/>
        <v>5.3542143137269758</v>
      </c>
      <c r="O26" s="572">
        <f t="shared" si="6"/>
        <v>2.20247622371804</v>
      </c>
      <c r="P26" s="576">
        <f t="shared" si="7"/>
        <v>-2.145606471149117</v>
      </c>
      <c r="Q26" s="528">
        <f t="shared" si="134"/>
        <v>22.360000381168799</v>
      </c>
      <c r="R26" s="572">
        <f>IF(M26="","",SQRT(N26^2+O26^2))</f>
        <v>5.7895174611846629</v>
      </c>
      <c r="S26" s="577">
        <f>IF(M26="","",P26)</f>
        <v>-2.145606471149117</v>
      </c>
      <c r="T26" s="578">
        <f>IF(M26="","",X26*COS(RADIANS(W26)))</f>
        <v>2.20341067671907</v>
      </c>
      <c r="U26" s="572">
        <f>IF(M26="","",X26*SIN(RADIANS(W26)))</f>
        <v>-5.3538298276170968</v>
      </c>
      <c r="V26" s="579">
        <f>IF(M26="","",Y26)</f>
        <v>-2.145606471149117</v>
      </c>
      <c r="W26" s="528">
        <f t="shared" si="256"/>
        <v>292.37000037972496</v>
      </c>
      <c r="X26" s="572">
        <f>IF(M26="","",R26)</f>
        <v>5.7895174611846629</v>
      </c>
      <c r="Y26" s="573">
        <f t="shared" si="259"/>
        <v>-2.145606471149117</v>
      </c>
      <c r="Z26" s="575">
        <f t="shared" si="10"/>
        <v>-2.9646651500264954E-2</v>
      </c>
      <c r="AA26" s="572">
        <f t="shared" si="11"/>
        <v>-0.99138776737983036</v>
      </c>
      <c r="AB26" s="572">
        <f t="shared" si="12"/>
        <v>-0.12755928325471741</v>
      </c>
      <c r="AC26" s="579">
        <f>IF(M26="","",SQRT(Z26^2+AA26^2+AB26^2))</f>
        <v>1</v>
      </c>
      <c r="AD26" s="580">
        <f>IF(M26="","",Z26*(1/SQRT(Z26^2+AA26^2+AB26^2)))</f>
        <v>-2.9646651500264954E-2</v>
      </c>
      <c r="AE26" s="572">
        <f>IF(M26="","",AA26*(1/SQRT(Z26^2+AA26^2+AB26^2)))</f>
        <v>-0.99138776737983036</v>
      </c>
      <c r="AF26" s="576">
        <f>IF(M26="","",AB26*(1/SQRT(Z26^2+AA26^2+AB26^2)))</f>
        <v>-0.12755928325471741</v>
      </c>
      <c r="AG26" s="545">
        <f>IF(M26="","",DEGREES(ATAN2(-AF26,AE26)))</f>
        <v>-82.66818424735331</v>
      </c>
      <c r="AH26" s="546">
        <f>IF(M26="","",DEGREES(ACOS(AD26)))</f>
        <v>91.698876933598726</v>
      </c>
      <c r="AI26" s="528">
        <f>IF(M26="","",DEGREES(-ACOS(-AF26)))</f>
        <v>-82.671424704832532</v>
      </c>
      <c r="AJ26" s="529">
        <f>IF(M26="","",DEGREES(ATAN2(-AE26,AD26)))</f>
        <v>-1.7128736063098264</v>
      </c>
      <c r="AK26" s="578">
        <f>IF(M26="","",(COS(RADIANS((90-$Q$8)-W26))*AD26)+(-SIN(RADIANS((90-$Q$8)-W26))*AE26))</f>
        <v>0.90556882584199594</v>
      </c>
      <c r="AL26" s="572">
        <f>IF(M26="","",(SIN(RADIANS((90-$Q$8)-W26))*AD26)+(COS(RADIANS((90-$Q$8)-W26))*AE26))</f>
        <v>-0.40456610203858095</v>
      </c>
      <c r="AM26" s="577">
        <f>IF(M26="","",AF26)</f>
        <v>-0.12755928325471741</v>
      </c>
      <c r="AN26" s="524">
        <f>IF(M26="","",DEGREES(ATAN2(-AM26,AL26)))</f>
        <v>-72.499989532296709</v>
      </c>
      <c r="AO26" s="525">
        <f t="shared" si="108"/>
        <v>25.099996376008903</v>
      </c>
      <c r="AP26" s="528">
        <f>IF(M26="","",DEGREES(ATAN2(AK26,AL26)))</f>
        <v>-24.072873987478619</v>
      </c>
      <c r="AQ26" s="529">
        <f t="shared" si="13"/>
        <v>0.24175379407241668</v>
      </c>
      <c r="AS26" s="900">
        <f t="shared" si="137"/>
        <v>-67.629999620275044</v>
      </c>
      <c r="AT26" s="896">
        <f t="shared" si="14"/>
        <v>-2.1167677116217085</v>
      </c>
      <c r="AU26" s="418"/>
      <c r="AV26" s="164">
        <f t="shared" si="15"/>
        <v>2.1459999999999999</v>
      </c>
      <c r="AW26" s="829">
        <f>IFERROR(INDEX(MassProp!C$9:C$150,MATCH($M26,MassProp!$B$9:$B$150,0)),"")</f>
        <v>6.0556000000000001</v>
      </c>
      <c r="AX26" s="830">
        <f>IFERROR(INDEX(MassProp!D$9:D$150,MATCH($M26,MassProp!$B$9:$B$150,0)),"")</f>
        <v>-1.9123000000000001</v>
      </c>
      <c r="AY26" s="831">
        <f>IFERROR(INDEX(MassProp!E$9:E$150,MATCH($M26,MassProp!$B$9:$B$150,0)),"")</f>
        <v>3.0999999999999999E-3</v>
      </c>
      <c r="AZ26" s="297">
        <f t="shared" si="138"/>
        <v>0.11795117625153281</v>
      </c>
      <c r="BA26" s="296">
        <f t="shared" si="16"/>
        <v>6.5345492256533785E-3</v>
      </c>
      <c r="BB26" s="190">
        <f t="shared" si="139"/>
        <v>5.0979339528685053E-2</v>
      </c>
      <c r="BC26" s="9"/>
      <c r="BD26" s="5">
        <f t="shared" si="235"/>
        <v>6.0556000000000001</v>
      </c>
      <c r="BE26" s="6">
        <f t="shared" si="17"/>
        <v>-2.0946271316204319</v>
      </c>
      <c r="BF26" s="4">
        <f t="shared" si="18"/>
        <v>5.3542143137269758</v>
      </c>
      <c r="BG26" s="5">
        <f t="shared" si="19"/>
        <v>2.20247622371804</v>
      </c>
      <c r="BH26" s="10">
        <f t="shared" si="20"/>
        <v>-2.145606471149117</v>
      </c>
      <c r="BI26" s="9">
        <f t="shared" si="140"/>
        <v>5.3542143137269758</v>
      </c>
      <c r="BJ26" s="5">
        <f t="shared" si="21"/>
        <v>2.3300916014067639</v>
      </c>
      <c r="BK26" s="8">
        <f t="shared" si="22"/>
        <v>-3.1374302031586732</v>
      </c>
      <c r="BL26" s="173">
        <f t="shared" si="23"/>
        <v>6.3537747551485149</v>
      </c>
      <c r="BM26" s="5">
        <f t="shared" si="24"/>
        <v>2.1730719711854607</v>
      </c>
      <c r="BN26" s="6">
        <f t="shared" si="25"/>
        <v>-2.1493898397775291</v>
      </c>
      <c r="BO26" s="4">
        <f t="shared" si="141"/>
        <v>-2.9646651500264909E-2</v>
      </c>
      <c r="BP26" s="5">
        <f t="shared" si="142"/>
        <v>-0.99138776737982948</v>
      </c>
      <c r="BQ26" s="5">
        <f t="shared" si="143"/>
        <v>-0.1275592832547181</v>
      </c>
      <c r="BR26" s="6">
        <f t="shared" si="144"/>
        <v>2.0685504883493149</v>
      </c>
      <c r="BS26" s="4">
        <f t="shared" si="110"/>
        <v>0</v>
      </c>
      <c r="BT26" s="5">
        <f t="shared" si="110"/>
        <v>0</v>
      </c>
      <c r="BU26" s="10">
        <f t="shared" si="111"/>
        <v>-2.0946271316204319</v>
      </c>
      <c r="BV26" s="9">
        <f t="shared" si="112"/>
        <v>0</v>
      </c>
      <c r="BW26" s="5">
        <f t="shared" si="113"/>
        <v>1</v>
      </c>
      <c r="BX26" s="8">
        <f t="shared" si="114"/>
        <v>-2.0946271316204319</v>
      </c>
      <c r="BY26" s="173">
        <f t="shared" si="115"/>
        <v>1</v>
      </c>
      <c r="BZ26" s="5">
        <f t="shared" si="116"/>
        <v>0</v>
      </c>
      <c r="CA26" s="6">
        <f t="shared" si="117"/>
        <v>-2.0946271316204319</v>
      </c>
      <c r="CB26" s="4">
        <f t="shared" si="145"/>
        <v>0</v>
      </c>
      <c r="CC26" s="5">
        <f t="shared" si="146"/>
        <v>0</v>
      </c>
      <c r="CD26" s="5">
        <f t="shared" si="147"/>
        <v>-1</v>
      </c>
      <c r="CE26" s="6">
        <f t="shared" si="148"/>
        <v>-2.0946271316204319</v>
      </c>
      <c r="CF26" s="4">
        <f t="shared" si="149"/>
        <v>0.99138776737982948</v>
      </c>
      <c r="CG26" s="5">
        <f t="shared" si="150"/>
        <v>-2.9646651500264909E-2</v>
      </c>
      <c r="CH26" s="5">
        <f t="shared" si="151"/>
        <v>0</v>
      </c>
      <c r="CI26" s="4">
        <f t="shared" si="118"/>
        <v>0</v>
      </c>
      <c r="CJ26" s="5">
        <f t="shared" si="119"/>
        <v>2.356030304991461</v>
      </c>
      <c r="CK26" s="8">
        <f t="shared" si="120"/>
        <v>-2.0946271316204319</v>
      </c>
      <c r="CL26" s="173">
        <f t="shared" si="121"/>
        <v>0.99138776737982948</v>
      </c>
      <c r="CM26" s="5">
        <f t="shared" si="122"/>
        <v>2.3263836534911961</v>
      </c>
      <c r="CN26" s="6">
        <f t="shared" si="123"/>
        <v>-2.0946271316204319</v>
      </c>
      <c r="CO26" s="167">
        <f t="shared" si="26"/>
        <v>0.3125</v>
      </c>
      <c r="CP26" s="4">
        <f t="shared" si="236"/>
        <v>0.98372862925554105</v>
      </c>
      <c r="CQ26" s="5">
        <f t="shared" si="237"/>
        <v>-10.625309877785737</v>
      </c>
      <c r="CR26" s="5">
        <f t="shared" si="152"/>
        <v>28.596132416253333</v>
      </c>
      <c r="CS26" s="8">
        <f t="shared" si="153"/>
        <v>0.37387342356781517</v>
      </c>
      <c r="CT26" s="9">
        <f t="shared" si="154"/>
        <v>5.7113117589601021</v>
      </c>
      <c r="CU26" s="6">
        <f t="shared" si="155"/>
        <v>5.0897461362713114</v>
      </c>
      <c r="CV26" s="4">
        <f t="shared" si="238"/>
        <v>5.6621246135256227</v>
      </c>
      <c r="CW26" s="5">
        <f t="shared" si="156"/>
        <v>2.1867090356642058</v>
      </c>
      <c r="CX26" s="8">
        <f t="shared" si="157"/>
        <v>-2.0946271316204319</v>
      </c>
      <c r="CY26" s="9">
        <f t="shared" si="158"/>
        <v>5.0459120585681285</v>
      </c>
      <c r="CZ26" s="5">
        <f t="shared" si="159"/>
        <v>2.2051363750646056</v>
      </c>
      <c r="DA26" s="6">
        <f t="shared" si="160"/>
        <v>-2.0946271316204319</v>
      </c>
      <c r="DB26" s="4">
        <f t="shared" si="161"/>
        <v>0</v>
      </c>
      <c r="DC26" s="5">
        <f t="shared" si="161"/>
        <v>0</v>
      </c>
      <c r="DD26" s="10">
        <f t="shared" si="162"/>
        <v>-10</v>
      </c>
      <c r="DE26" s="9">
        <f t="shared" si="163"/>
        <v>0</v>
      </c>
      <c r="DF26" s="5">
        <f t="shared" si="163"/>
        <v>0</v>
      </c>
      <c r="DG26" s="10">
        <f t="shared" si="164"/>
        <v>10</v>
      </c>
      <c r="DH26" s="70">
        <f t="shared" si="165"/>
        <v>6.0556000000000001</v>
      </c>
      <c r="DI26" s="4">
        <f t="shared" si="166"/>
        <v>0</v>
      </c>
      <c r="DJ26" s="5">
        <f t="shared" si="167"/>
        <v>0</v>
      </c>
      <c r="DK26" s="10">
        <f t="shared" si="168"/>
        <v>20</v>
      </c>
      <c r="DL26" s="9">
        <f t="shared" si="169"/>
        <v>5.6621246135256227</v>
      </c>
      <c r="DM26" s="173">
        <f t="shared" si="170"/>
        <v>2.1867090356642058</v>
      </c>
      <c r="DN26" s="178">
        <f t="shared" si="171"/>
        <v>7.9053728683795681</v>
      </c>
      <c r="DO26" s="9">
        <f t="shared" si="172"/>
        <v>-0.61621255495749416</v>
      </c>
      <c r="DP26" s="173">
        <f t="shared" si="173"/>
        <v>1.8427339400399756E-2</v>
      </c>
      <c r="DQ26" s="11">
        <f t="shared" si="174"/>
        <v>0</v>
      </c>
      <c r="DR26" s="173">
        <f t="shared" si="175"/>
        <v>158.10745736759137</v>
      </c>
      <c r="DS26" s="5">
        <f t="shared" si="176"/>
        <v>0</v>
      </c>
      <c r="DT26" s="5">
        <f t="shared" si="177"/>
        <v>400</v>
      </c>
      <c r="DU26" s="5">
        <f t="shared" si="178"/>
        <v>0.38005747972462028</v>
      </c>
      <c r="DV26" s="5">
        <f t="shared" si="179"/>
        <v>-3.4487770450182329</v>
      </c>
      <c r="DW26" s="5">
        <f t="shared" si="180"/>
        <v>99.336271733859974</v>
      </c>
      <c r="DX26" s="167">
        <f t="shared" si="181"/>
        <v>62.665980373859973</v>
      </c>
      <c r="DY26" s="9">
        <f t="shared" si="182"/>
        <v>152.0229918898481</v>
      </c>
      <c r="DZ26" s="5">
        <f t="shared" si="183"/>
        <v>-1379.5108180072932</v>
      </c>
      <c r="EA26" s="10">
        <f t="shared" si="184"/>
        <v>68.424074299269705</v>
      </c>
      <c r="EB26" s="6">
        <f t="shared" si="185"/>
        <v>1892648.064506883</v>
      </c>
      <c r="EC26" s="173">
        <f t="shared" si="186"/>
        <v>18.123878808616411</v>
      </c>
      <c r="ED26" s="5">
        <f t="shared" si="187"/>
        <v>2.4834104583597319E-2</v>
      </c>
      <c r="EE26" s="4">
        <f t="shared" si="188"/>
        <v>-5.5060370528718812</v>
      </c>
      <c r="EF26" s="5">
        <f t="shared" si="189"/>
        <v>2.5206839017222933</v>
      </c>
      <c r="EG26" s="10">
        <f t="shared" si="190"/>
        <v>-2.0946271316204319</v>
      </c>
      <c r="EH26" s="9">
        <f t="shared" si="191"/>
        <v>5.6468215264900827</v>
      </c>
      <c r="EI26" s="5">
        <f t="shared" si="192"/>
        <v>2.1871666621380728</v>
      </c>
      <c r="EJ26" s="6">
        <f t="shared" si="193"/>
        <v>-2.0946271316204319</v>
      </c>
      <c r="EK26" s="236" t="b">
        <f t="shared" si="194"/>
        <v>0</v>
      </c>
      <c r="EL26" s="238" t="b">
        <f t="shared" si="195"/>
        <v>1</v>
      </c>
      <c r="EM26" s="4">
        <f t="shared" si="196"/>
        <v>5.6468215264900827</v>
      </c>
      <c r="EN26" s="5">
        <f t="shared" si="197"/>
        <v>2.1871666621380728</v>
      </c>
      <c r="EO26" s="10">
        <f t="shared" si="198"/>
        <v>-2.0946271316204319</v>
      </c>
      <c r="EP26" s="9">
        <f t="shared" si="199"/>
        <v>21.172732838429102</v>
      </c>
      <c r="EQ26" s="5">
        <f t="shared" si="200"/>
        <v>6.0555999999999992</v>
      </c>
      <c r="ER26" s="7">
        <f t="shared" si="201"/>
        <v>-2.0946271316204319</v>
      </c>
      <c r="ES26" s="21">
        <f t="shared" si="124"/>
        <v>-2.9646651500264954E-2</v>
      </c>
      <c r="ET26" s="5">
        <f t="shared" si="35"/>
        <v>-0.99138776737983036</v>
      </c>
      <c r="EU26" s="10">
        <f t="shared" si="36"/>
        <v>-0.12755928325471741</v>
      </c>
      <c r="EV26" s="174">
        <f t="shared" si="252"/>
        <v>68.827267161570902</v>
      </c>
      <c r="EW26" s="9">
        <f t="shared" si="125"/>
        <v>0.91375712037353274</v>
      </c>
      <c r="EX26" s="5">
        <f t="shared" si="37"/>
        <v>-0.38571563906874717</v>
      </c>
      <c r="EY26" s="6">
        <f t="shared" si="202"/>
        <v>-0.12755928325471741</v>
      </c>
      <c r="EZ26" s="51">
        <f t="shared" si="203"/>
        <v>0.23113127121797988</v>
      </c>
      <c r="FA26" s="266">
        <f t="shared" si="126"/>
        <v>0.36117789584767424</v>
      </c>
      <c r="FB26" s="267">
        <f t="shared" si="127"/>
        <v>-0.93248820607539429</v>
      </c>
      <c r="FC26" s="269">
        <f t="shared" si="38"/>
        <v>-4.0339907460837116E-3</v>
      </c>
      <c r="FD26" s="4">
        <f t="shared" si="128"/>
        <v>0.99999186342622837</v>
      </c>
      <c r="FE26" s="5">
        <f t="shared" si="39"/>
        <v>1.6653345369377348E-16</v>
      </c>
      <c r="FF26" s="7">
        <f t="shared" si="204"/>
        <v>-4.0339907460837116E-3</v>
      </c>
      <c r="FG26" s="173">
        <f t="shared" si="205"/>
        <v>-8.6234743052695628E-2</v>
      </c>
      <c r="FH26" s="5">
        <f t="shared" si="40"/>
        <v>-0.38571563906874734</v>
      </c>
      <c r="FI26" s="10">
        <f t="shared" si="41"/>
        <v>-0.1235252925086337</v>
      </c>
      <c r="FJ26" s="279">
        <f t="shared" si="206"/>
        <v>23.898542855134732</v>
      </c>
      <c r="FK26" s="4">
        <f t="shared" si="42"/>
        <v>0.99183094792184356</v>
      </c>
      <c r="FL26" s="5">
        <f t="shared" si="207"/>
        <v>0.99999186342622826</v>
      </c>
      <c r="FM26" s="8">
        <f t="shared" si="208"/>
        <v>0.39523788423122674</v>
      </c>
      <c r="FN26" s="9">
        <f t="shared" si="209"/>
        <v>22.885606444738926</v>
      </c>
      <c r="FO26" s="10">
        <f t="shared" si="43"/>
        <v>1</v>
      </c>
      <c r="FP26" s="277">
        <f t="shared" si="44"/>
        <v>22.885606444738926</v>
      </c>
      <c r="FQ26" s="173">
        <f t="shared" si="239"/>
        <v>0.38889252233651983</v>
      </c>
      <c r="FR26" s="10">
        <f t="shared" si="210"/>
        <v>0.92128313024321651</v>
      </c>
      <c r="FS26" s="9">
        <f>IF(ISNUMBER($AV26),FQ26/(FQ26+FR26),"")</f>
        <v>0.29682472084623945</v>
      </c>
      <c r="FT26" s="6">
        <f t="shared" si="212"/>
        <v>0.70317527915376055</v>
      </c>
      <c r="FU26" s="4">
        <f t="shared" si="213"/>
        <v>0.92261771377845769</v>
      </c>
      <c r="FV26" s="5">
        <f t="shared" si="214"/>
        <v>1</v>
      </c>
      <c r="FW26" s="8">
        <f t="shared" si="240"/>
        <v>0.15064836142058749</v>
      </c>
      <c r="FX26" s="9">
        <f t="shared" si="241"/>
        <v>7.7159256746585436</v>
      </c>
      <c r="FY26" s="10">
        <f t="shared" si="45"/>
        <v>1</v>
      </c>
      <c r="FZ26" s="277">
        <f t="shared" si="242"/>
        <v>7.7159256746585436</v>
      </c>
      <c r="GA26" s="177">
        <f t="shared" si="215"/>
        <v>7.1185420596501991</v>
      </c>
      <c r="GB26" s="4">
        <f t="shared" si="216"/>
        <v>-0.38537145803326861</v>
      </c>
      <c r="GC26" s="5">
        <f t="shared" si="217"/>
        <v>0.91294175838140468</v>
      </c>
      <c r="GD26" s="10">
        <f t="shared" si="218"/>
        <v>-0.13426162942844655</v>
      </c>
      <c r="GE26" s="311">
        <f t="shared" si="219"/>
        <v>1.4325748458431198</v>
      </c>
      <c r="GF26" s="341">
        <f>IF(ISNUMBER($AV26),1/GE26,"")</f>
        <v>0.69804380755510576</v>
      </c>
      <c r="GG26" s="285">
        <f t="shared" si="46"/>
        <v>0.26900615988860549</v>
      </c>
      <c r="GH26" s="286">
        <f t="shared" si="47"/>
        <v>0.63727334109660916</v>
      </c>
      <c r="GI26" s="281">
        <f t="shared" si="48"/>
        <v>9.3720499014785463E-2</v>
      </c>
      <c r="GJ26" s="167">
        <f t="shared" si="220"/>
        <v>6.0556000000000001</v>
      </c>
      <c r="GK26" s="174">
        <f t="shared" si="49"/>
        <v>3.1707305443960436</v>
      </c>
      <c r="GL26" s="174">
        <f t="shared" si="221"/>
        <v>3.0999999999999999E-3</v>
      </c>
      <c r="GM26" s="177">
        <f t="shared" si="244"/>
        <v>0.11795117625153281</v>
      </c>
      <c r="GN26" s="280">
        <f t="shared" si="222"/>
        <v>6.5345492256533785E-3</v>
      </c>
      <c r="GO26" s="4">
        <f t="shared" si="223"/>
        <v>22.885606444738926</v>
      </c>
      <c r="GP26" s="8">
        <f t="shared" si="245"/>
        <v>7.7159256746585436</v>
      </c>
      <c r="GQ26" s="177">
        <f t="shared" si="224"/>
        <v>23.898542855134732</v>
      </c>
      <c r="GR26" s="371">
        <f t="shared" si="246"/>
        <v>462.71814873255346</v>
      </c>
      <c r="GS26" s="342">
        <f t="shared" si="51"/>
        <v>124.4740323013088</v>
      </c>
      <c r="GT26" s="343">
        <f t="shared" si="52"/>
        <v>39.257209200985081</v>
      </c>
      <c r="GU26" s="344">
        <f t="shared" si="53"/>
        <v>294.87794062883205</v>
      </c>
      <c r="GV26" s="343">
        <f t="shared" si="253"/>
        <v>93</v>
      </c>
      <c r="GW26" s="345">
        <f t="shared" si="129"/>
        <v>30000</v>
      </c>
      <c r="GX26" s="346">
        <f t="shared" si="54"/>
        <v>46.930900000000001</v>
      </c>
      <c r="GY26" s="344">
        <f t="shared" si="55"/>
        <v>43.366175802412627</v>
      </c>
      <c r="GZ26" s="345">
        <f t="shared" si="56"/>
        <v>13.677029692434163</v>
      </c>
      <c r="HA26" s="342">
        <f t="shared" si="57"/>
        <v>124.4740323013088</v>
      </c>
      <c r="HB26" s="5">
        <f t="shared" si="225"/>
        <v>68.827267161570902</v>
      </c>
      <c r="HC26" s="343">
        <f t="shared" si="226"/>
        <v>44.957634875374893</v>
      </c>
      <c r="HD26" s="363">
        <f t="shared" si="227"/>
        <v>116.07151150803431</v>
      </c>
      <c r="HE26" s="344">
        <f t="shared" si="58"/>
        <v>93</v>
      </c>
      <c r="HF26" s="5">
        <f t="shared" si="59"/>
        <v>158.82726716157089</v>
      </c>
      <c r="HG26" s="343">
        <f t="shared" si="228"/>
        <v>-86.722108785847425</v>
      </c>
      <c r="HH26" s="349">
        <f t="shared" si="229"/>
        <v>33.589817619862771</v>
      </c>
      <c r="HI26" s="317">
        <f t="shared" si="60"/>
        <v>2.1459999999999999</v>
      </c>
      <c r="HJ26" s="336"/>
      <c r="HK26" s="310">
        <f t="shared" si="130"/>
        <v>18</v>
      </c>
      <c r="HL26" s="348">
        <f t="shared" si="61"/>
        <v>4.1180000000000003</v>
      </c>
      <c r="HM26" s="935">
        <f t="shared" si="62"/>
        <v>-0.54935299852702435</v>
      </c>
      <c r="HN26" s="936">
        <f t="shared" si="63"/>
        <v>15.099997819830044</v>
      </c>
      <c r="HO26" s="937"/>
      <c r="HP26" s="938"/>
      <c r="HQ26" s="936">
        <f t="shared" si="64"/>
        <v>14.671571932584248</v>
      </c>
      <c r="HR26" s="939">
        <f t="shared" si="65"/>
        <v>14.662190986852824</v>
      </c>
      <c r="HS26" s="940">
        <f t="shared" si="249"/>
        <v>3.3029000000000002</v>
      </c>
      <c r="HT26" s="941">
        <f t="shared" si="66"/>
        <v>1.47E-2</v>
      </c>
      <c r="HU26" s="942">
        <f t="shared" si="67"/>
        <v>0.30507351510992026</v>
      </c>
      <c r="HV26" s="943">
        <f t="shared" si="68"/>
        <v>1.690121256338872E-2</v>
      </c>
      <c r="HW26" s="944">
        <f t="shared" si="69"/>
        <v>30000</v>
      </c>
      <c r="HX26" s="947">
        <f t="shared" si="70"/>
        <v>121.381575</v>
      </c>
      <c r="HY26" s="952">
        <f t="shared" si="71"/>
        <v>7.312850419580597</v>
      </c>
      <c r="HZ26" s="953">
        <f t="shared" si="72"/>
        <v>762.68378777480075</v>
      </c>
      <c r="IA26" s="954">
        <f t="shared" si="73"/>
        <v>199.55768416793774</v>
      </c>
      <c r="IB26" s="955">
        <f t="shared" si="74"/>
        <v>969.55432236231911</v>
      </c>
      <c r="IC26" s="842">
        <f t="shared" si="75"/>
        <v>4.2284457683887284</v>
      </c>
      <c r="ID26" s="351">
        <f t="shared" si="76"/>
        <v>441</v>
      </c>
      <c r="IE26" s="844">
        <f t="shared" si="77"/>
        <v>115.38850061940211</v>
      </c>
      <c r="IF26" s="1071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0"/>
        <v>2.1459999999999999</v>
      </c>
      <c r="IJ26" s="96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8"/>
        <v>1613</v>
      </c>
      <c r="IM26" s="482" t="str">
        <f t="shared" si="231"/>
        <v/>
      </c>
      <c r="IN26" s="670" t="str">
        <f t="shared" si="80"/>
        <v/>
      </c>
      <c r="IO26" s="702"/>
      <c r="IP26" s="5" t="str">
        <f t="shared" si="81"/>
        <v/>
      </c>
      <c r="IQ26" s="714"/>
      <c r="IR26" s="9" t="str">
        <f t="shared" si="131"/>
        <v/>
      </c>
      <c r="IS26" s="5" t="str">
        <f t="shared" si="82"/>
        <v/>
      </c>
      <c r="IT26" s="5" t="str">
        <f t="shared" si="83"/>
        <v/>
      </c>
      <c r="IU26" s="5" t="str">
        <f t="shared" si="84"/>
        <v/>
      </c>
      <c r="IV26" s="670" t="str">
        <f t="shared" si="85"/>
        <v/>
      </c>
      <c r="IW26" s="9" t="str">
        <f t="shared" si="86"/>
        <v/>
      </c>
      <c r="IX26" s="5" t="str">
        <f t="shared" si="87"/>
        <v/>
      </c>
      <c r="IY26" s="5" t="str">
        <f t="shared" si="88"/>
        <v/>
      </c>
      <c r="IZ26" s="5" t="str">
        <f t="shared" si="89"/>
        <v/>
      </c>
      <c r="JA26" s="705" t="str">
        <f t="shared" si="9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ref="B27:D27" si="280">IFERROR(O182+($A27*-E27),"")</f>
        <v>5.4424338462570017</v>
      </c>
      <c r="C27" s="572">
        <f t="shared" si="280"/>
        <v>2.2232326265845179</v>
      </c>
      <c r="D27" s="576">
        <f t="shared" si="280"/>
        <v>-2.9042087590936174</v>
      </c>
      <c r="E27" s="580">
        <f t="shared" ref="E27:K27" si="281">R182</f>
        <v>0.13360828018574014</v>
      </c>
      <c r="F27" s="572">
        <f t="shared" si="281"/>
        <v>0.99007564750931731</v>
      </c>
      <c r="G27" s="579">
        <f t="shared" si="281"/>
        <v>4.357797235777422E-2</v>
      </c>
      <c r="H27" s="580">
        <f t="shared" si="281"/>
        <v>0.3125</v>
      </c>
      <c r="I27" s="572">
        <f t="shared" si="281"/>
        <v>0.52</v>
      </c>
      <c r="J27" s="483">
        <f t="shared" si="92"/>
        <v>2.1520000000000001</v>
      </c>
      <c r="K27" s="806">
        <f t="shared" si="281"/>
        <v>1613</v>
      </c>
      <c r="L27" s="309"/>
      <c r="M27" s="164">
        <f t="shared" si="4"/>
        <v>2.1520000000000001</v>
      </c>
      <c r="N27" s="575">
        <f t="shared" si="5"/>
        <v>5.4424338462570017</v>
      </c>
      <c r="O27" s="572">
        <f t="shared" si="6"/>
        <v>2.2232326265845179</v>
      </c>
      <c r="P27" s="576">
        <f t="shared" si="7"/>
        <v>-2.9042087590936174</v>
      </c>
      <c r="Q27" s="528">
        <f t="shared" si="134"/>
        <v>22.220000401382297</v>
      </c>
      <c r="R27" s="572">
        <f t="shared" si="93"/>
        <v>5.8790177311174761</v>
      </c>
      <c r="S27" s="577">
        <f t="shared" si="94"/>
        <v>-2.9042087590936174</v>
      </c>
      <c r="T27" s="578">
        <f t="shared" si="95"/>
        <v>2.2241824764801836</v>
      </c>
      <c r="U27" s="572">
        <f t="shared" si="96"/>
        <v>-5.4420457361282955</v>
      </c>
      <c r="V27" s="579">
        <f t="shared" si="135"/>
        <v>-2.9042087590936174</v>
      </c>
      <c r="W27" s="528">
        <f t="shared" si="256"/>
        <v>292.23000039993849</v>
      </c>
      <c r="X27" s="572">
        <f t="shared" si="97"/>
        <v>5.8790177311174761</v>
      </c>
      <c r="Y27" s="573">
        <f t="shared" si="259"/>
        <v>-2.9042087590936174</v>
      </c>
      <c r="Z27" s="575">
        <f t="shared" si="10"/>
        <v>-0.13360828018574014</v>
      </c>
      <c r="AA27" s="572">
        <f t="shared" si="11"/>
        <v>-0.99007564750931731</v>
      </c>
      <c r="AB27" s="572">
        <f t="shared" si="12"/>
        <v>-4.357797235777422E-2</v>
      </c>
      <c r="AC27" s="579">
        <f t="shared" si="98"/>
        <v>1</v>
      </c>
      <c r="AD27" s="580">
        <f t="shared" si="136"/>
        <v>-0.13360828018574014</v>
      </c>
      <c r="AE27" s="572">
        <f t="shared" si="99"/>
        <v>-0.99007564750931731</v>
      </c>
      <c r="AF27" s="576">
        <f t="shared" si="100"/>
        <v>-4.357797235777422E-2</v>
      </c>
      <c r="AG27" s="545">
        <f t="shared" si="101"/>
        <v>-87.479764904711004</v>
      </c>
      <c r="AH27" s="546">
        <f t="shared" si="102"/>
        <v>97.678151176280338</v>
      </c>
      <c r="AI27" s="528">
        <f t="shared" si="103"/>
        <v>-87.502375163624549</v>
      </c>
      <c r="AJ27" s="529">
        <f t="shared" si="104"/>
        <v>-7.6854962176700168</v>
      </c>
      <c r="AK27" s="578">
        <f t="shared" si="234"/>
        <v>0.86602544158358552</v>
      </c>
      <c r="AL27" s="572">
        <f t="shared" si="105"/>
        <v>-0.49809727449077756</v>
      </c>
      <c r="AM27" s="577">
        <f t="shared" si="106"/>
        <v>-4.357797235777422E-2</v>
      </c>
      <c r="AN27" s="524">
        <f t="shared" si="107"/>
        <v>-84.999987727520264</v>
      </c>
      <c r="AO27" s="525">
        <f t="shared" si="108"/>
        <v>29.999995668536549</v>
      </c>
      <c r="AP27" s="528">
        <f t="shared" si="109"/>
        <v>-29.905496619052336</v>
      </c>
      <c r="AQ27" s="529">
        <f t="shared" si="13"/>
        <v>0.23807345496744725</v>
      </c>
      <c r="AS27" s="900">
        <f t="shared" si="137"/>
        <v>-67.76999960006151</v>
      </c>
      <c r="AT27" s="896">
        <f t="shared" si="14"/>
        <v>-2.8753103096523462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38"/>
        <v/>
      </c>
      <c r="BA27" s="296" t="str">
        <f t="shared" si="16"/>
        <v/>
      </c>
      <c r="BB27" s="190" t="str">
        <f t="shared" si="139"/>
        <v/>
      </c>
      <c r="BC27" s="9"/>
      <c r="BD27" s="5" t="str">
        <f t="shared" si="235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41"/>
        <v/>
      </c>
      <c r="BP27" s="5" t="str">
        <f t="shared" si="142"/>
        <v/>
      </c>
      <c r="BQ27" s="5" t="str">
        <f t="shared" si="143"/>
        <v/>
      </c>
      <c r="BR27" s="6" t="str">
        <f t="shared" si="144"/>
        <v/>
      </c>
      <c r="BS27" s="4" t="str">
        <f t="shared" si="110"/>
        <v/>
      </c>
      <c r="BT27" s="5" t="str">
        <f t="shared" si="110"/>
        <v/>
      </c>
      <c r="BU27" s="10" t="str">
        <f t="shared" si="111"/>
        <v/>
      </c>
      <c r="BV27" s="9" t="str">
        <f t="shared" si="112"/>
        <v/>
      </c>
      <c r="BW27" s="5" t="str">
        <f t="shared" si="113"/>
        <v/>
      </c>
      <c r="BX27" s="8" t="str">
        <f t="shared" si="114"/>
        <v/>
      </c>
      <c r="BY27" s="173" t="str">
        <f t="shared" si="115"/>
        <v/>
      </c>
      <c r="BZ27" s="5" t="str">
        <f t="shared" si="116"/>
        <v/>
      </c>
      <c r="CA27" s="6" t="str">
        <f t="shared" si="117"/>
        <v/>
      </c>
      <c r="CB27" s="4" t="str">
        <f t="shared" si="145"/>
        <v/>
      </c>
      <c r="CC27" s="5" t="str">
        <f t="shared" si="146"/>
        <v/>
      </c>
      <c r="CD27" s="5" t="str">
        <f t="shared" si="147"/>
        <v/>
      </c>
      <c r="CE27" s="6" t="str">
        <f t="shared" si="148"/>
        <v/>
      </c>
      <c r="CF27" s="4" t="str">
        <f t="shared" si="149"/>
        <v/>
      </c>
      <c r="CG27" s="5" t="str">
        <f t="shared" si="150"/>
        <v/>
      </c>
      <c r="CH27" s="5" t="str">
        <f t="shared" si="151"/>
        <v/>
      </c>
      <c r="CI27" s="4" t="str">
        <f t="shared" si="118"/>
        <v/>
      </c>
      <c r="CJ27" s="5" t="str">
        <f t="shared" si="119"/>
        <v/>
      </c>
      <c r="CK27" s="8" t="str">
        <f t="shared" si="120"/>
        <v/>
      </c>
      <c r="CL27" s="173" t="str">
        <f t="shared" si="121"/>
        <v/>
      </c>
      <c r="CM27" s="5" t="str">
        <f t="shared" si="122"/>
        <v/>
      </c>
      <c r="CN27" s="6" t="str">
        <f t="shared" si="123"/>
        <v/>
      </c>
      <c r="CO27" s="167" t="str">
        <f t="shared" si="26"/>
        <v/>
      </c>
      <c r="CP27" s="4" t="str">
        <f t="shared" si="236"/>
        <v/>
      </c>
      <c r="CQ27" s="5" t="str">
        <f t="shared" si="237"/>
        <v/>
      </c>
      <c r="CR27" s="5" t="str">
        <f t="shared" si="152"/>
        <v/>
      </c>
      <c r="CS27" s="8" t="str">
        <f>IF(ISNUMBER($AV27),CQ27^2-(4*CP27*CR27),"")</f>
        <v/>
      </c>
      <c r="CT27" s="9" t="str">
        <f t="shared" si="154"/>
        <v/>
      </c>
      <c r="CU27" s="6" t="str">
        <f t="shared" si="155"/>
        <v/>
      </c>
      <c r="CV27" s="4" t="str">
        <f t="shared" si="238"/>
        <v/>
      </c>
      <c r="CW27" s="5" t="str">
        <f t="shared" si="156"/>
        <v/>
      </c>
      <c r="CX27" s="8" t="str">
        <f t="shared" si="157"/>
        <v/>
      </c>
      <c r="CY27" s="9" t="str">
        <f t="shared" si="158"/>
        <v/>
      </c>
      <c r="CZ27" s="5" t="str">
        <f t="shared" si="159"/>
        <v/>
      </c>
      <c r="DA27" s="6" t="str">
        <f t="shared" si="160"/>
        <v/>
      </c>
      <c r="DB27" s="4" t="str">
        <f t="shared" si="161"/>
        <v/>
      </c>
      <c r="DC27" s="5" t="str">
        <f t="shared" si="161"/>
        <v/>
      </c>
      <c r="DD27" s="10" t="str">
        <f t="shared" si="162"/>
        <v/>
      </c>
      <c r="DE27" s="9" t="str">
        <f t="shared" si="163"/>
        <v/>
      </c>
      <c r="DF27" s="5" t="str">
        <f t="shared" si="163"/>
        <v/>
      </c>
      <c r="DG27" s="10" t="str">
        <f t="shared" si="164"/>
        <v/>
      </c>
      <c r="DH27" s="70" t="str">
        <f t="shared" si="165"/>
        <v/>
      </c>
      <c r="DI27" s="4" t="str">
        <f t="shared" si="166"/>
        <v/>
      </c>
      <c r="DJ27" s="5" t="str">
        <f t="shared" si="167"/>
        <v/>
      </c>
      <c r="DK27" s="10" t="str">
        <f t="shared" si="168"/>
        <v/>
      </c>
      <c r="DL27" s="9" t="str">
        <f t="shared" si="169"/>
        <v/>
      </c>
      <c r="DM27" s="173" t="str">
        <f t="shared" si="170"/>
        <v/>
      </c>
      <c r="DN27" s="178" t="str">
        <f t="shared" si="171"/>
        <v/>
      </c>
      <c r="DO27" s="9" t="str">
        <f t="shared" si="172"/>
        <v/>
      </c>
      <c r="DP27" s="173" t="str">
        <f t="shared" si="173"/>
        <v/>
      </c>
      <c r="DQ27" s="11" t="str">
        <f t="shared" si="174"/>
        <v/>
      </c>
      <c r="DR27" s="173" t="str">
        <f t="shared" si="175"/>
        <v/>
      </c>
      <c r="DS27" s="5" t="str">
        <f t="shared" si="176"/>
        <v/>
      </c>
      <c r="DT27" s="5" t="str">
        <f t="shared" si="177"/>
        <v/>
      </c>
      <c r="DU27" s="5" t="str">
        <f t="shared" si="178"/>
        <v/>
      </c>
      <c r="DV27" s="5" t="str">
        <f t="shared" si="179"/>
        <v/>
      </c>
      <c r="DW27" s="5" t="str">
        <f t="shared" si="180"/>
        <v/>
      </c>
      <c r="DX27" s="167" t="str">
        <f t="shared" si="181"/>
        <v/>
      </c>
      <c r="DY27" s="9" t="str">
        <f t="shared" si="182"/>
        <v/>
      </c>
      <c r="DZ27" s="5" t="str">
        <f t="shared" si="183"/>
        <v/>
      </c>
      <c r="EA27" s="10" t="str">
        <f t="shared" si="184"/>
        <v/>
      </c>
      <c r="EB27" s="6" t="str">
        <f t="shared" si="185"/>
        <v/>
      </c>
      <c r="EC27" s="173" t="str">
        <f t="shared" si="186"/>
        <v/>
      </c>
      <c r="ED27" s="5" t="str">
        <f t="shared" si="187"/>
        <v/>
      </c>
      <c r="EE27" s="4" t="str">
        <f t="shared" si="188"/>
        <v/>
      </c>
      <c r="EF27" s="5" t="str">
        <f t="shared" si="189"/>
        <v/>
      </c>
      <c r="EG27" s="10" t="str">
        <f t="shared" si="190"/>
        <v/>
      </c>
      <c r="EH27" s="9" t="str">
        <f t="shared" si="191"/>
        <v/>
      </c>
      <c r="EI27" s="5" t="str">
        <f t="shared" si="192"/>
        <v/>
      </c>
      <c r="EJ27" s="6" t="str">
        <f t="shared" si="193"/>
        <v/>
      </c>
      <c r="EK27" s="236" t="str">
        <f t="shared" si="194"/>
        <v/>
      </c>
      <c r="EL27" s="238" t="str">
        <f t="shared" si="195"/>
        <v/>
      </c>
      <c r="EM27" s="4" t="str">
        <f t="shared" si="196"/>
        <v/>
      </c>
      <c r="EN27" s="5" t="str">
        <f t="shared" si="197"/>
        <v/>
      </c>
      <c r="EO27" s="10" t="str">
        <f t="shared" si="198"/>
        <v/>
      </c>
      <c r="EP27" s="9" t="str">
        <f t="shared" si="199"/>
        <v/>
      </c>
      <c r="EQ27" s="5" t="str">
        <f t="shared" si="200"/>
        <v/>
      </c>
      <c r="ER27" s="7" t="str">
        <f t="shared" si="201"/>
        <v/>
      </c>
      <c r="ES27" s="21" t="str">
        <f t="shared" si="124"/>
        <v/>
      </c>
      <c r="ET27" s="5" t="str">
        <f t="shared" si="35"/>
        <v/>
      </c>
      <c r="EU27" s="10" t="str">
        <f t="shared" si="36"/>
        <v/>
      </c>
      <c r="EV27" s="174" t="str">
        <f t="shared" si="252"/>
        <v/>
      </c>
      <c r="EW27" s="9" t="str">
        <f t="shared" si="125"/>
        <v/>
      </c>
      <c r="EX27" s="5" t="str">
        <f t="shared" si="37"/>
        <v/>
      </c>
      <c r="EY27" s="6" t="str">
        <f t="shared" si="202"/>
        <v/>
      </c>
      <c r="EZ27" s="51" t="str">
        <f t="shared" si="203"/>
        <v/>
      </c>
      <c r="FA27" s="266" t="str">
        <f t="shared" si="126"/>
        <v/>
      </c>
      <c r="FB27" s="267" t="str">
        <f t="shared" si="127"/>
        <v/>
      </c>
      <c r="FC27" s="269" t="str">
        <f t="shared" si="38"/>
        <v/>
      </c>
      <c r="FD27" s="4" t="str">
        <f t="shared" si="128"/>
        <v/>
      </c>
      <c r="FE27" s="5" t="str">
        <f t="shared" si="39"/>
        <v/>
      </c>
      <c r="FF27" s="7" t="str">
        <f t="shared" si="204"/>
        <v/>
      </c>
      <c r="FG27" s="173" t="str">
        <f t="shared" si="205"/>
        <v/>
      </c>
      <c r="FH27" s="5" t="str">
        <f t="shared" si="40"/>
        <v/>
      </c>
      <c r="FI27" s="10" t="str">
        <f t="shared" si="41"/>
        <v/>
      </c>
      <c r="FJ27" s="279" t="str">
        <f t="shared" si="206"/>
        <v/>
      </c>
      <c r="FK27" s="4" t="str">
        <f t="shared" si="42"/>
        <v/>
      </c>
      <c r="FL27" s="5" t="str">
        <f t="shared" si="207"/>
        <v/>
      </c>
      <c r="FM27" s="8" t="str">
        <f t="shared" si="208"/>
        <v/>
      </c>
      <c r="FN27" s="9" t="str">
        <f t="shared" si="209"/>
        <v/>
      </c>
      <c r="FO27" s="10" t="str">
        <f t="shared" si="43"/>
        <v/>
      </c>
      <c r="FP27" s="277" t="str">
        <f t="shared" si="44"/>
        <v/>
      </c>
      <c r="FQ27" s="173" t="str">
        <f t="shared" si="239"/>
        <v/>
      </c>
      <c r="FR27" s="10" t="str">
        <f t="shared" si="210"/>
        <v/>
      </c>
      <c r="FS27" s="9" t="str">
        <f t="shared" si="211"/>
        <v/>
      </c>
      <c r="FT27" s="6" t="str">
        <f t="shared" si="212"/>
        <v/>
      </c>
      <c r="FU27" s="4" t="str">
        <f t="shared" si="213"/>
        <v/>
      </c>
      <c r="FV27" s="5" t="str">
        <f t="shared" si="214"/>
        <v/>
      </c>
      <c r="FW27" s="8" t="str">
        <f t="shared" si="240"/>
        <v/>
      </c>
      <c r="FX27" s="9" t="str">
        <f t="shared" si="241"/>
        <v/>
      </c>
      <c r="FY27" s="10" t="str">
        <f t="shared" si="45"/>
        <v/>
      </c>
      <c r="FZ27" s="277" t="str">
        <f t="shared" si="242"/>
        <v/>
      </c>
      <c r="GA27" s="177" t="str">
        <f t="shared" si="215"/>
        <v/>
      </c>
      <c r="GB27" s="4" t="str">
        <f t="shared" si="216"/>
        <v/>
      </c>
      <c r="GC27" s="5" t="str">
        <f t="shared" si="217"/>
        <v/>
      </c>
      <c r="GD27" s="10" t="str">
        <f t="shared" si="218"/>
        <v/>
      </c>
      <c r="GE27" s="311" t="str">
        <f t="shared" si="219"/>
        <v/>
      </c>
      <c r="GF27" s="341" t="str">
        <f t="shared" si="243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20"/>
        <v/>
      </c>
      <c r="GK27" s="174" t="str">
        <f t="shared" si="49"/>
        <v/>
      </c>
      <c r="GL27" s="174" t="str">
        <f t="shared" si="221"/>
        <v/>
      </c>
      <c r="GM27" s="177" t="str">
        <f t="shared" si="244"/>
        <v/>
      </c>
      <c r="GN27" s="280" t="str">
        <f t="shared" si="222"/>
        <v/>
      </c>
      <c r="GO27" s="4" t="str">
        <f t="shared" si="223"/>
        <v/>
      </c>
      <c r="GP27" s="8" t="str">
        <f t="shared" si="245"/>
        <v/>
      </c>
      <c r="GQ27" s="177" t="str">
        <f t="shared" si="224"/>
        <v/>
      </c>
      <c r="GR27" s="371" t="str">
        <f t="shared" si="246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53"/>
        <v/>
      </c>
      <c r="GW27" s="345" t="str">
        <f t="shared" si="129"/>
        <v/>
      </c>
      <c r="GX27" s="346" t="str">
        <f t="shared" si="54"/>
        <v/>
      </c>
      <c r="GY27" s="344" t="str">
        <f t="shared" si="55"/>
        <v/>
      </c>
      <c r="GZ27" s="345" t="str">
        <f t="shared" si="56"/>
        <v/>
      </c>
      <c r="HA27" s="342" t="str">
        <f t="shared" si="57"/>
        <v/>
      </c>
      <c r="HB27" s="5" t="str">
        <f t="shared" si="225"/>
        <v/>
      </c>
      <c r="HC27" s="343" t="str">
        <f t="shared" si="226"/>
        <v/>
      </c>
      <c r="HD27" s="363" t="str">
        <f t="shared" si="227"/>
        <v/>
      </c>
      <c r="HE27" s="344" t="str">
        <f t="shared" si="58"/>
        <v/>
      </c>
      <c r="HF27" s="5" t="str">
        <f t="shared" si="59"/>
        <v/>
      </c>
      <c r="HG27" s="343" t="str">
        <f t="shared" si="228"/>
        <v/>
      </c>
      <c r="HH27" s="349" t="str">
        <f t="shared" si="229"/>
        <v/>
      </c>
      <c r="HI27" s="317" t="str">
        <f t="shared" si="60"/>
        <v/>
      </c>
      <c r="HJ27" s="336"/>
      <c r="HK27" s="310">
        <f t="shared" si="130"/>
        <v>19</v>
      </c>
      <c r="HL27" s="348">
        <f t="shared" si="61"/>
        <v>3.1190000000000002</v>
      </c>
      <c r="HM27" s="935">
        <f t="shared" si="62"/>
        <v>0.26199746954372771</v>
      </c>
      <c r="HN27" s="936">
        <f t="shared" si="63"/>
        <v>15.199997805391808</v>
      </c>
      <c r="HO27" s="937"/>
      <c r="HP27" s="938"/>
      <c r="HQ27" s="936">
        <f t="shared" si="64"/>
        <v>14.741554974778243</v>
      </c>
      <c r="HR27" s="939">
        <f t="shared" si="65"/>
        <v>14.739433519814803</v>
      </c>
      <c r="HS27" s="940">
        <f t="shared" si="249"/>
        <v>3.4861</v>
      </c>
      <c r="HT27" s="941">
        <f t="shared" si="66"/>
        <v>2.8400000000000002E-2</v>
      </c>
      <c r="HU27" s="942">
        <f t="shared" si="67"/>
        <v>0.62208354194702831</v>
      </c>
      <c r="HV27" s="943">
        <f t="shared" si="68"/>
        <v>3.4463713347401552E-2</v>
      </c>
      <c r="HW27" s="944">
        <f t="shared" si="69"/>
        <v>30000</v>
      </c>
      <c r="HX27" s="947">
        <f t="shared" si="70"/>
        <v>247.51309999999998</v>
      </c>
      <c r="HY27" s="952">
        <f t="shared" si="71"/>
        <v>7.1115818310196044</v>
      </c>
      <c r="HZ27" s="953">
        <f t="shared" si="72"/>
        <v>1555.2088548675708</v>
      </c>
      <c r="IA27" s="954">
        <f t="shared" si="73"/>
        <v>409.14992177003171</v>
      </c>
      <c r="IB27" s="955">
        <f t="shared" si="74"/>
        <v>1971.4703584686222</v>
      </c>
      <c r="IC27" s="842">
        <f t="shared" si="75"/>
        <v>3.8959832957899696</v>
      </c>
      <c r="ID27" s="351">
        <f t="shared" si="76"/>
        <v>852</v>
      </c>
      <c r="IE27" s="844">
        <f t="shared" si="77"/>
        <v>224.14721486250195</v>
      </c>
      <c r="IF27" s="845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0"/>
        <v>2.1520000000000001</v>
      </c>
      <c r="IJ27" s="96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8"/>
        <v>1613</v>
      </c>
      <c r="IM27" s="482" t="str">
        <f t="shared" si="231"/>
        <v/>
      </c>
      <c r="IN27" s="670" t="str">
        <f t="shared" si="80"/>
        <v/>
      </c>
      <c r="IO27" s="702"/>
      <c r="IP27" s="5" t="str">
        <f t="shared" si="81"/>
        <v/>
      </c>
      <c r="IQ27" s="714"/>
      <c r="IR27" s="9" t="str">
        <f t="shared" si="131"/>
        <v/>
      </c>
      <c r="IS27" s="5" t="str">
        <f t="shared" si="82"/>
        <v/>
      </c>
      <c r="IT27" s="5" t="str">
        <f t="shared" si="83"/>
        <v/>
      </c>
      <c r="IU27" s="5" t="str">
        <f t="shared" si="84"/>
        <v/>
      </c>
      <c r="IV27" s="670" t="str">
        <f t="shared" si="85"/>
        <v/>
      </c>
      <c r="IW27" s="9" t="str">
        <f t="shared" si="86"/>
        <v/>
      </c>
      <c r="IX27" s="5" t="str">
        <f t="shared" si="87"/>
        <v/>
      </c>
      <c r="IY27" s="5" t="str">
        <f t="shared" si="88"/>
        <v/>
      </c>
      <c r="IZ27" s="5" t="str">
        <f t="shared" si="89"/>
        <v/>
      </c>
      <c r="JA27" s="705" t="str">
        <f t="shared" si="9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ref="B28:D28" si="282">IFERROR(O183+($A28*-E28),"")</f>
        <v>0.47502770316673903</v>
      </c>
      <c r="C28" s="572">
        <f t="shared" si="282"/>
        <v>-0.33261797861579523</v>
      </c>
      <c r="D28" s="576">
        <f t="shared" si="282"/>
        <v>-0.74820225657800576</v>
      </c>
      <c r="E28" s="580">
        <f t="shared" ref="E28:K28" si="283">R183</f>
        <v>0.4664731387290782</v>
      </c>
      <c r="F28" s="572">
        <f t="shared" si="283"/>
        <v>0.82052488563465986</v>
      </c>
      <c r="G28" s="579">
        <f t="shared" si="283"/>
        <v>0.33036604380364326</v>
      </c>
      <c r="H28" s="580">
        <f t="shared" si="283"/>
        <v>0.3125</v>
      </c>
      <c r="I28" s="572">
        <f t="shared" si="283"/>
        <v>0.52</v>
      </c>
      <c r="J28" s="483">
        <f t="shared" si="92"/>
        <v>3.1019999999999999</v>
      </c>
      <c r="K28" s="806">
        <f t="shared" si="283"/>
        <v>1613</v>
      </c>
      <c r="L28" s="309"/>
      <c r="M28" s="164">
        <f t="shared" si="4"/>
        <v>3.1019999999999999</v>
      </c>
      <c r="N28" s="575">
        <f t="shared" si="5"/>
        <v>0.47502770316673903</v>
      </c>
      <c r="O28" s="572">
        <f t="shared" si="6"/>
        <v>-0.33261797861579523</v>
      </c>
      <c r="P28" s="576">
        <f t="shared" si="7"/>
        <v>-0.74820225657800576</v>
      </c>
      <c r="Q28" s="528">
        <f t="shared" si="134"/>
        <v>325</v>
      </c>
      <c r="R28" s="572">
        <f t="shared" si="93"/>
        <v>0.57990174898367497</v>
      </c>
      <c r="S28" s="577">
        <f t="shared" si="94"/>
        <v>-0.74820225657800576</v>
      </c>
      <c r="T28" s="578">
        <f t="shared" si="95"/>
        <v>-0.3325350655875422</v>
      </c>
      <c r="U28" s="572">
        <f t="shared" si="96"/>
        <v>-0.47508574871176068</v>
      </c>
      <c r="V28" s="579">
        <f t="shared" si="135"/>
        <v>-0.74820225657800576</v>
      </c>
      <c r="W28" s="528">
        <f t="shared" si="256"/>
        <v>235.00999999855617</v>
      </c>
      <c r="X28" s="572">
        <f t="shared" si="97"/>
        <v>0.57990174898367497</v>
      </c>
      <c r="Y28" s="573">
        <f t="shared" si="259"/>
        <v>-0.74820225657800576</v>
      </c>
      <c r="Z28" s="575">
        <f t="shared" si="10"/>
        <v>-0.4664731387290782</v>
      </c>
      <c r="AA28" s="572">
        <f t="shared" si="11"/>
        <v>-0.82052488563465986</v>
      </c>
      <c r="AB28" s="572">
        <f t="shared" si="12"/>
        <v>-0.33036604380364326</v>
      </c>
      <c r="AC28" s="579">
        <f t="shared" si="98"/>
        <v>1</v>
      </c>
      <c r="AD28" s="580">
        <f t="shared" si="136"/>
        <v>-0.4664731387290782</v>
      </c>
      <c r="AE28" s="572">
        <f t="shared" si="99"/>
        <v>-0.82052488563465986</v>
      </c>
      <c r="AF28" s="576">
        <f t="shared" si="100"/>
        <v>-0.33036604380364326</v>
      </c>
      <c r="AG28" s="545">
        <f t="shared" si="101"/>
        <v>-68.068918694913791</v>
      </c>
      <c r="AH28" s="546">
        <f t="shared" si="102"/>
        <v>117.80560278882766</v>
      </c>
      <c r="AI28" s="528">
        <f t="shared" si="103"/>
        <v>-70.709005640983108</v>
      </c>
      <c r="AJ28" s="529">
        <f t="shared" si="104"/>
        <v>-29.618480483055453</v>
      </c>
      <c r="AK28" s="578">
        <f t="shared" si="234"/>
        <v>0.93969263802333458</v>
      </c>
      <c r="AL28" s="572">
        <f t="shared" si="105"/>
        <v>8.8521314643851323E-2</v>
      </c>
      <c r="AM28" s="577">
        <f t="shared" si="106"/>
        <v>-0.33036604380364326</v>
      </c>
      <c r="AN28" s="524">
        <f t="shared" si="107"/>
        <v>15.000000000000034</v>
      </c>
      <c r="AO28" s="525">
        <f t="shared" si="108"/>
        <v>19.999997112357679</v>
      </c>
      <c r="AP28" s="528">
        <f t="shared" si="109"/>
        <v>5.3815195169445662</v>
      </c>
      <c r="AQ28" s="529">
        <f t="shared" si="13"/>
        <v>2.4121656783986722</v>
      </c>
      <c r="AS28" s="900">
        <f t="shared" si="137"/>
        <v>-124.99000000144383</v>
      </c>
      <c r="AT28" s="896">
        <f t="shared" si="14"/>
        <v>-0.69490768293459493</v>
      </c>
      <c r="AU28" s="418"/>
      <c r="AV28" s="164">
        <f t="shared" si="15"/>
        <v>3.1019999999999999</v>
      </c>
      <c r="AW28" s="829">
        <f>IFERROR(INDEX(MassProp!C$9:C$150,MATCH($M28,MassProp!$B$9:$B$150,0)),"")</f>
        <v>0.52049999999999996</v>
      </c>
      <c r="AX28" s="830">
        <f>IFERROR(INDEX(MassProp!D$9:D$150,MATCH($M28,MassProp!$B$9:$B$150,0)),"")</f>
        <v>-0.3241</v>
      </c>
      <c r="AY28" s="831">
        <f>IFERROR(INDEX(MassProp!E$9:E$150,MATCH($M28,MassProp!$B$9:$B$150,0)),"")</f>
        <v>3.6499999999999998E-2</v>
      </c>
      <c r="AZ28" s="297">
        <f t="shared" si="138"/>
        <v>0.11950091888025362</v>
      </c>
      <c r="BA28" s="296">
        <f t="shared" si="16"/>
        <v>6.6204056775879807E-3</v>
      </c>
      <c r="BB28" s="190">
        <f t="shared" si="139"/>
        <v>0.21731931084157169</v>
      </c>
      <c r="BC28" s="9"/>
      <c r="BD28" s="5">
        <f t="shared" si="235"/>
        <v>0.52049999999999996</v>
      </c>
      <c r="BE28" s="6">
        <f t="shared" si="17"/>
        <v>-0.53088294573643413</v>
      </c>
      <c r="BF28" s="4">
        <f t="shared" si="18"/>
        <v>0.47502770316673903</v>
      </c>
      <c r="BG28" s="5">
        <f t="shared" si="19"/>
        <v>-0.33261797861579523</v>
      </c>
      <c r="BH28" s="10">
        <f t="shared" si="20"/>
        <v>-0.74820225657800576</v>
      </c>
      <c r="BI28" s="9">
        <f t="shared" si="140"/>
        <v>0.47502770316673903</v>
      </c>
      <c r="BJ28" s="5">
        <f t="shared" si="21"/>
        <v>4.0873073417009909E-2</v>
      </c>
      <c r="BK28" s="8">
        <f t="shared" si="22"/>
        <v>-1.6758360388711198</v>
      </c>
      <c r="BL28" s="173">
        <f t="shared" si="23"/>
        <v>1.3595630675497818</v>
      </c>
      <c r="BM28" s="5">
        <f t="shared" si="24"/>
        <v>-0.76533422063319057</v>
      </c>
      <c r="BN28" s="6">
        <f t="shared" si="25"/>
        <v>-0.92242579990697382</v>
      </c>
      <c r="BO28" s="4">
        <f t="shared" si="141"/>
        <v>-0.46647313872907814</v>
      </c>
      <c r="BP28" s="5">
        <f t="shared" si="142"/>
        <v>-0.82052488563465975</v>
      </c>
      <c r="BQ28" s="5">
        <f t="shared" si="143"/>
        <v>-0.33036604380364326</v>
      </c>
      <c r="BR28" s="6">
        <f t="shared" si="144"/>
        <v>-0.29851428465493773</v>
      </c>
      <c r="BS28" s="4">
        <f t="shared" si="110"/>
        <v>0</v>
      </c>
      <c r="BT28" s="5">
        <f t="shared" si="110"/>
        <v>0</v>
      </c>
      <c r="BU28" s="10">
        <f t="shared" si="111"/>
        <v>-0.53088294573643413</v>
      </c>
      <c r="BV28" s="9">
        <f t="shared" si="112"/>
        <v>0</v>
      </c>
      <c r="BW28" s="5">
        <f t="shared" si="113"/>
        <v>1</v>
      </c>
      <c r="BX28" s="8">
        <f t="shared" si="114"/>
        <v>-0.53088294573643413</v>
      </c>
      <c r="BY28" s="173">
        <f t="shared" si="115"/>
        <v>1</v>
      </c>
      <c r="BZ28" s="5">
        <f t="shared" si="116"/>
        <v>0</v>
      </c>
      <c r="CA28" s="6">
        <f t="shared" si="117"/>
        <v>-0.53088294573643413</v>
      </c>
      <c r="CB28" s="4">
        <f t="shared" si="145"/>
        <v>0</v>
      </c>
      <c r="CC28" s="5">
        <f t="shared" si="146"/>
        <v>0</v>
      </c>
      <c r="CD28" s="5">
        <f t="shared" si="147"/>
        <v>-1</v>
      </c>
      <c r="CE28" s="6">
        <f t="shared" si="148"/>
        <v>-0.53088294573643413</v>
      </c>
      <c r="CF28" s="4">
        <f t="shared" si="149"/>
        <v>0.82052488563465975</v>
      </c>
      <c r="CG28" s="5">
        <f t="shared" si="150"/>
        <v>-0.46647313872907814</v>
      </c>
      <c r="CH28" s="5">
        <f t="shared" si="151"/>
        <v>0</v>
      </c>
      <c r="CI28" s="4">
        <f t="shared" si="118"/>
        <v>0</v>
      </c>
      <c r="CJ28" s="5">
        <f t="shared" si="119"/>
        <v>-0.15006075782080669</v>
      </c>
      <c r="CK28" s="8">
        <f t="shared" si="120"/>
        <v>-0.53088294573643413</v>
      </c>
      <c r="CL28" s="173">
        <f t="shared" si="121"/>
        <v>0.82052488563465975</v>
      </c>
      <c r="CM28" s="5">
        <f t="shared" si="122"/>
        <v>-0.61653389654988477</v>
      </c>
      <c r="CN28" s="6">
        <f t="shared" si="123"/>
        <v>-0.53088294573643413</v>
      </c>
      <c r="CO28" s="167">
        <f t="shared" si="26"/>
        <v>0.3125</v>
      </c>
      <c r="CP28" s="4">
        <f t="shared" si="236"/>
        <v>0.89085827710152921</v>
      </c>
      <c r="CQ28" s="5">
        <f t="shared" si="237"/>
        <v>-0.94986018319215859</v>
      </c>
      <c r="CR28" s="5">
        <f t="shared" si="152"/>
        <v>0.20854989050491324</v>
      </c>
      <c r="CS28" s="8">
        <f t="shared" si="153"/>
        <v>0.15908078303416284</v>
      </c>
      <c r="CT28" s="9">
        <f t="shared" si="154"/>
        <v>0.75697197948427652</v>
      </c>
      <c r="CU28" s="6">
        <f t="shared" si="155"/>
        <v>0.30925842731240971</v>
      </c>
      <c r="CV28" s="4">
        <f t="shared" si="238"/>
        <v>0.62111434689497802</v>
      </c>
      <c r="CW28" s="5">
        <f t="shared" si="156"/>
        <v>-0.50316785302080047</v>
      </c>
      <c r="CX28" s="8">
        <f t="shared" si="157"/>
        <v>-0.53088294573643413</v>
      </c>
      <c r="CY28" s="9">
        <f t="shared" si="158"/>
        <v>0.25375423570206973</v>
      </c>
      <c r="CZ28" s="5">
        <f t="shared" si="159"/>
        <v>-0.29432150708764493</v>
      </c>
      <c r="DA28" s="6">
        <f t="shared" si="160"/>
        <v>-0.53088294573643413</v>
      </c>
      <c r="DB28" s="4">
        <f t="shared" si="161"/>
        <v>0</v>
      </c>
      <c r="DC28" s="5">
        <f t="shared" si="161"/>
        <v>0</v>
      </c>
      <c r="DD28" s="10">
        <f t="shared" si="162"/>
        <v>-10</v>
      </c>
      <c r="DE28" s="9">
        <f t="shared" si="163"/>
        <v>0</v>
      </c>
      <c r="DF28" s="5">
        <f t="shared" si="163"/>
        <v>0</v>
      </c>
      <c r="DG28" s="10">
        <f t="shared" si="164"/>
        <v>10</v>
      </c>
      <c r="DH28" s="70">
        <f t="shared" si="165"/>
        <v>0.52049999999999996</v>
      </c>
      <c r="DI28" s="4">
        <f t="shared" si="166"/>
        <v>0</v>
      </c>
      <c r="DJ28" s="5">
        <f t="shared" si="167"/>
        <v>0</v>
      </c>
      <c r="DK28" s="10">
        <f t="shared" si="168"/>
        <v>20</v>
      </c>
      <c r="DL28" s="9">
        <f t="shared" si="169"/>
        <v>0.62111434689497802</v>
      </c>
      <c r="DM28" s="173">
        <f t="shared" si="170"/>
        <v>-0.50316785302080047</v>
      </c>
      <c r="DN28" s="178">
        <f t="shared" si="171"/>
        <v>9.4691170542635668</v>
      </c>
      <c r="DO28" s="9">
        <f t="shared" si="172"/>
        <v>-0.36736011119290829</v>
      </c>
      <c r="DP28" s="173">
        <f t="shared" si="173"/>
        <v>0.20884634593315554</v>
      </c>
      <c r="DQ28" s="11">
        <f t="shared" si="174"/>
        <v>0</v>
      </c>
      <c r="DR28" s="173">
        <f t="shared" si="175"/>
        <v>189.38234108527132</v>
      </c>
      <c r="DS28" s="5">
        <f t="shared" si="176"/>
        <v>0</v>
      </c>
      <c r="DT28" s="5">
        <f t="shared" si="177"/>
        <v>400</v>
      </c>
      <c r="DU28" s="5">
        <f t="shared" si="178"/>
        <v>0.17857024750529721</v>
      </c>
      <c r="DV28" s="5">
        <f t="shared" si="179"/>
        <v>-0.333257403033275</v>
      </c>
      <c r="DW28" s="5">
        <f t="shared" si="180"/>
        <v>90.30313870757746</v>
      </c>
      <c r="DX28" s="167">
        <f t="shared" si="181"/>
        <v>90.032218457577457</v>
      </c>
      <c r="DY28" s="9">
        <f t="shared" si="182"/>
        <v>71.428099002118884</v>
      </c>
      <c r="DZ28" s="5">
        <f t="shared" si="183"/>
        <v>-133.30296121331</v>
      </c>
      <c r="EA28" s="10">
        <f t="shared" si="184"/>
        <v>147.21626809293957</v>
      </c>
      <c r="EB28" s="6">
        <f t="shared" si="185"/>
        <v>7254.301296172267</v>
      </c>
      <c r="EC28" s="173">
        <f t="shared" si="186"/>
        <v>3.0586722932680042</v>
      </c>
      <c r="ED28" s="5">
        <f t="shared" si="187"/>
        <v>0.67383530739922393</v>
      </c>
      <c r="EE28" s="4">
        <f t="shared" si="188"/>
        <v>-0.50251984686262374</v>
      </c>
      <c r="EF28" s="5">
        <f t="shared" si="189"/>
        <v>0.13562467883520735</v>
      </c>
      <c r="EG28" s="10">
        <f t="shared" si="190"/>
        <v>-0.53088294573643413</v>
      </c>
      <c r="EH28" s="9">
        <f t="shared" si="191"/>
        <v>0.37357413344309159</v>
      </c>
      <c r="EI28" s="5">
        <f t="shared" si="192"/>
        <v>-0.36243981130972791</v>
      </c>
      <c r="EJ28" s="6">
        <f t="shared" si="193"/>
        <v>-0.53088294573643413</v>
      </c>
      <c r="EK28" s="236" t="b">
        <f t="shared" si="194"/>
        <v>0</v>
      </c>
      <c r="EL28" s="238" t="b">
        <f t="shared" si="195"/>
        <v>1</v>
      </c>
      <c r="EM28" s="4">
        <f t="shared" si="196"/>
        <v>0.37357413344309159</v>
      </c>
      <c r="EN28" s="5">
        <f t="shared" si="197"/>
        <v>-0.36243981130972791</v>
      </c>
      <c r="EO28" s="10">
        <f t="shared" si="198"/>
        <v>-0.53088294573643413</v>
      </c>
      <c r="EP28" s="9">
        <f t="shared" si="199"/>
        <v>315.86669690400782</v>
      </c>
      <c r="EQ28" s="5">
        <f t="shared" si="200"/>
        <v>0.52049999999998842</v>
      </c>
      <c r="ER28" s="7">
        <f t="shared" si="201"/>
        <v>-0.53088294573643413</v>
      </c>
      <c r="ES28" s="21">
        <f t="shared" si="124"/>
        <v>-0.4664731387290782</v>
      </c>
      <c r="ET28" s="5">
        <f t="shared" si="35"/>
        <v>-0.82052488563465986</v>
      </c>
      <c r="EU28" s="10">
        <f t="shared" si="36"/>
        <v>-0.33036604380364326</v>
      </c>
      <c r="EV28" s="174">
        <f t="shared" si="252"/>
        <v>134.13330309599218</v>
      </c>
      <c r="EW28" s="9">
        <f t="shared" si="125"/>
        <v>0.91372778002208266</v>
      </c>
      <c r="EX28" s="5">
        <f t="shared" si="37"/>
        <v>0.23655828270734042</v>
      </c>
      <c r="EY28" s="6">
        <f t="shared" si="202"/>
        <v>-0.33036604380364326</v>
      </c>
      <c r="EZ28" s="51">
        <f t="shared" si="203"/>
        <v>2.6870697803005372</v>
      </c>
      <c r="FA28" s="266">
        <f t="shared" si="126"/>
        <v>-0.69556446029982721</v>
      </c>
      <c r="FB28" s="267">
        <f t="shared" si="127"/>
        <v>-0.71693252893862014</v>
      </c>
      <c r="FC28" s="269">
        <f t="shared" si="38"/>
        <v>-4.6881025132612636E-2</v>
      </c>
      <c r="FD28" s="4">
        <f t="shared" si="128"/>
        <v>0.99890048026943878</v>
      </c>
      <c r="FE28" s="5">
        <f t="shared" si="39"/>
        <v>1.6653345369377348E-16</v>
      </c>
      <c r="FF28" s="7">
        <f t="shared" si="204"/>
        <v>-4.6881025132612636E-2</v>
      </c>
      <c r="FG28" s="173">
        <f t="shared" si="205"/>
        <v>-8.5172700247356126E-2</v>
      </c>
      <c r="FH28" s="5">
        <f t="shared" si="40"/>
        <v>0.23655828270734025</v>
      </c>
      <c r="FI28" s="10">
        <f t="shared" si="41"/>
        <v>-0.2834850186710306</v>
      </c>
      <c r="FJ28" s="279">
        <f t="shared" si="206"/>
        <v>21.842359358732732</v>
      </c>
      <c r="FK28" s="4">
        <f t="shared" si="42"/>
        <v>0.94385288954451452</v>
      </c>
      <c r="FL28" s="5">
        <f t="shared" si="207"/>
        <v>0.99890048026943867</v>
      </c>
      <c r="FM28" s="8">
        <f t="shared" si="208"/>
        <v>0.25142436235351556</v>
      </c>
      <c r="FN28" s="9">
        <f t="shared" si="209"/>
        <v>14.514822612936699</v>
      </c>
      <c r="FO28" s="10">
        <f t="shared" si="43"/>
        <v>-1</v>
      </c>
      <c r="FP28" s="277">
        <f t="shared" si="44"/>
        <v>-14.514822612936699</v>
      </c>
      <c r="FQ28" s="173">
        <f t="shared" si="239"/>
        <v>0.25063045875877821</v>
      </c>
      <c r="FR28" s="10">
        <f t="shared" si="210"/>
        <v>0.96808283382279037</v>
      </c>
      <c r="FS28" s="9">
        <f t="shared" si="211"/>
        <v>0.20565169862706123</v>
      </c>
      <c r="FT28" s="6">
        <f t="shared" si="212"/>
        <v>0.79434830137293888</v>
      </c>
      <c r="FU28" s="4">
        <f t="shared" si="213"/>
        <v>0.97161730062949903</v>
      </c>
      <c r="FV28" s="5">
        <f t="shared" si="214"/>
        <v>1</v>
      </c>
      <c r="FW28" s="8">
        <f t="shared" si="240"/>
        <v>0.29600362274529773</v>
      </c>
      <c r="FX28" s="9">
        <f t="shared" si="241"/>
        <v>17.19081770748814</v>
      </c>
      <c r="FY28" s="10">
        <f t="shared" si="45"/>
        <v>1</v>
      </c>
      <c r="FZ28" s="277">
        <f t="shared" si="242"/>
        <v>17.19081770748814</v>
      </c>
      <c r="GA28" s="177">
        <f t="shared" si="215"/>
        <v>16.702095363095687</v>
      </c>
      <c r="GB28" s="4">
        <f t="shared" si="216"/>
        <v>0.23943372857865944</v>
      </c>
      <c r="GC28" s="5">
        <f t="shared" si="217"/>
        <v>0.92483444998309494</v>
      </c>
      <c r="GD28" s="10">
        <f t="shared" si="218"/>
        <v>-0.29555495215507221</v>
      </c>
      <c r="GE28" s="311">
        <f t="shared" si="219"/>
        <v>1.4598231307168266</v>
      </c>
      <c r="GF28" s="341">
        <f t="shared" si="243"/>
        <v>0.68501449179597762</v>
      </c>
      <c r="GG28" s="285">
        <f t="shared" si="46"/>
        <v>0.16401557390112645</v>
      </c>
      <c r="GH28" s="286">
        <f t="shared" si="47"/>
        <v>0.63352500075058227</v>
      </c>
      <c r="GI28" s="281">
        <f t="shared" si="48"/>
        <v>0.20245942534829128</v>
      </c>
      <c r="GJ28" s="167">
        <f t="shared" si="220"/>
        <v>0.52049999999999996</v>
      </c>
      <c r="GK28" s="174">
        <f t="shared" si="49"/>
        <v>0.2728331481284329</v>
      </c>
      <c r="GL28" s="174">
        <f t="shared" si="221"/>
        <v>3.6499999999999998E-2</v>
      </c>
      <c r="GM28" s="177">
        <f t="shared" si="244"/>
        <v>0.11950091888025362</v>
      </c>
      <c r="GN28" s="280">
        <f t="shared" si="222"/>
        <v>6.6204056775879807E-3</v>
      </c>
      <c r="GO28" s="4">
        <f t="shared" si="223"/>
        <v>-14.514822612936699</v>
      </c>
      <c r="GP28" s="8">
        <f t="shared" si="245"/>
        <v>17.19081770748814</v>
      </c>
      <c r="GQ28" s="177">
        <f t="shared" si="224"/>
        <v>21.842359358732732</v>
      </c>
      <c r="GR28" s="371">
        <f t="shared" si="246"/>
        <v>471.57144050618501</v>
      </c>
      <c r="GS28" s="342">
        <f t="shared" si="51"/>
        <v>77.345060450002848</v>
      </c>
      <c r="GT28" s="343">
        <f t="shared" si="52"/>
        <v>283.48850196748674</v>
      </c>
      <c r="GU28" s="344">
        <f t="shared" si="53"/>
        <v>298.75229720063402</v>
      </c>
      <c r="GV28" s="343">
        <f t="shared" si="253"/>
        <v>1095</v>
      </c>
      <c r="GW28" s="345">
        <f t="shared" si="129"/>
        <v>30000</v>
      </c>
      <c r="GX28" s="346">
        <f t="shared" si="54"/>
        <v>47.495624999999997</v>
      </c>
      <c r="GY28" s="344">
        <f t="shared" si="55"/>
        <v>95.474082855548147</v>
      </c>
      <c r="GZ28" s="345">
        <f t="shared" si="56"/>
        <v>349.9357886330032</v>
      </c>
      <c r="HA28" s="342">
        <f t="shared" si="57"/>
        <v>-77.345060450002848</v>
      </c>
      <c r="HB28" s="5">
        <f t="shared" si="225"/>
        <v>134.13330309599218</v>
      </c>
      <c r="HC28" s="343">
        <f t="shared" si="226"/>
        <v>53.857692824666984</v>
      </c>
      <c r="HD28" s="363">
        <f t="shared" si="227"/>
        <v>-55.512226577740599</v>
      </c>
      <c r="HE28" s="344">
        <f t="shared" si="58"/>
        <v>1095</v>
      </c>
      <c r="HF28" s="5">
        <f t="shared" si="59"/>
        <v>224.13330309599218</v>
      </c>
      <c r="HG28" s="343">
        <f t="shared" si="228"/>
        <v>-785.90523750277475</v>
      </c>
      <c r="HH28" s="349">
        <f t="shared" si="229"/>
        <v>-762.48144742394038</v>
      </c>
      <c r="HI28" s="317">
        <f t="shared" si="60"/>
        <v>3.1019999999999999</v>
      </c>
      <c r="HJ28" s="336"/>
      <c r="HK28" s="310">
        <f t="shared" si="130"/>
        <v>20</v>
      </c>
      <c r="HL28" s="348">
        <f t="shared" si="61"/>
        <v>6.12</v>
      </c>
      <c r="HM28" s="935">
        <f t="shared" si="62"/>
        <v>0.8926503457431032</v>
      </c>
      <c r="HN28" s="936">
        <f t="shared" si="63"/>
        <v>15.299997790953636</v>
      </c>
      <c r="HO28" s="937"/>
      <c r="HP28" s="938"/>
      <c r="HQ28" s="936">
        <f t="shared" si="64"/>
        <v>14.801302507866115</v>
      </c>
      <c r="HR28" s="939">
        <f t="shared" si="65"/>
        <v>14.776765659216958</v>
      </c>
      <c r="HS28" s="940">
        <f t="shared" si="249"/>
        <v>3.5802</v>
      </c>
      <c r="HT28" s="941">
        <f t="shared" si="66"/>
        <v>1.4E-2</v>
      </c>
      <c r="HU28" s="942">
        <f t="shared" si="67"/>
        <v>0.31493817140614777</v>
      </c>
      <c r="HV28" s="943">
        <f t="shared" si="68"/>
        <v>1.744771904353086E-2</v>
      </c>
      <c r="HW28" s="944">
        <f t="shared" si="69"/>
        <v>30000</v>
      </c>
      <c r="HX28" s="947">
        <f t="shared" si="70"/>
        <v>125.307</v>
      </c>
      <c r="HY28" s="952">
        <f t="shared" si="71"/>
        <v>12.267588384358595</v>
      </c>
      <c r="HZ28" s="953">
        <f t="shared" si="72"/>
        <v>787.34542851536935</v>
      </c>
      <c r="IA28" s="954">
        <f t="shared" si="73"/>
        <v>207.70931054178075</v>
      </c>
      <c r="IB28" s="955">
        <f t="shared" si="74"/>
        <v>1007.3223274415087</v>
      </c>
      <c r="IC28" s="842">
        <f t="shared" si="75"/>
        <v>6.5439982691536427</v>
      </c>
      <c r="ID28" s="351">
        <f t="shared" si="76"/>
        <v>420</v>
      </c>
      <c r="IE28" s="844">
        <f t="shared" si="77"/>
        <v>110.80004692736334</v>
      </c>
      <c r="IF28" s="845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0"/>
        <v>3.1019999999999999</v>
      </c>
      <c r="IJ28" s="96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78"/>
        <v>1613</v>
      </c>
      <c r="IM28" s="482" t="str">
        <f t="shared" si="231"/>
        <v/>
      </c>
      <c r="IN28" s="670" t="str">
        <f t="shared" si="80"/>
        <v/>
      </c>
      <c r="IO28" s="702"/>
      <c r="IP28" s="5" t="str">
        <f t="shared" si="81"/>
        <v/>
      </c>
      <c r="IQ28" s="714"/>
      <c r="IR28" s="9" t="str">
        <f t="shared" si="131"/>
        <v/>
      </c>
      <c r="IS28" s="5" t="str">
        <f t="shared" si="82"/>
        <v/>
      </c>
      <c r="IT28" s="5" t="str">
        <f t="shared" si="83"/>
        <v/>
      </c>
      <c r="IU28" s="5" t="str">
        <f t="shared" si="84"/>
        <v/>
      </c>
      <c r="IV28" s="670" t="str">
        <f t="shared" si="85"/>
        <v/>
      </c>
      <c r="IW28" s="9" t="str">
        <f t="shared" si="86"/>
        <v/>
      </c>
      <c r="IX28" s="5" t="str">
        <f t="shared" si="87"/>
        <v/>
      </c>
      <c r="IY28" s="5" t="str">
        <f t="shared" si="88"/>
        <v/>
      </c>
      <c r="IZ28" s="5" t="str">
        <f t="shared" si="89"/>
        <v/>
      </c>
      <c r="JA28" s="705" t="str">
        <f t="shared" si="9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ref="B29:D29" si="284">IFERROR(O184+($A29*-E29),"")</f>
        <v>1.057364647780008</v>
      </c>
      <c r="C29" s="572">
        <f t="shared" si="284"/>
        <v>-0.74037469701201686</v>
      </c>
      <c r="D29" s="576">
        <f t="shared" si="284"/>
        <v>-0.50890153484702916</v>
      </c>
      <c r="E29" s="580">
        <f t="shared" ref="E29:K29" si="285">R184</f>
        <v>0.50995250049304508</v>
      </c>
      <c r="F29" s="572">
        <f t="shared" si="285"/>
        <v>0.82210513033099375</v>
      </c>
      <c r="G29" s="579">
        <f t="shared" si="285"/>
        <v>0.25316319227792727</v>
      </c>
      <c r="H29" s="580">
        <f t="shared" si="285"/>
        <v>0.3125</v>
      </c>
      <c r="I29" s="572">
        <f t="shared" si="285"/>
        <v>0.52</v>
      </c>
      <c r="J29" s="483">
        <f t="shared" si="92"/>
        <v>3.105</v>
      </c>
      <c r="K29" s="806">
        <f t="shared" si="285"/>
        <v>1613</v>
      </c>
      <c r="L29" s="82"/>
      <c r="M29" s="164">
        <f t="shared" si="4"/>
        <v>3.105</v>
      </c>
      <c r="N29" s="575">
        <f t="shared" si="5"/>
        <v>1.057364647780008</v>
      </c>
      <c r="O29" s="572">
        <f t="shared" si="6"/>
        <v>-0.74037469701201686</v>
      </c>
      <c r="P29" s="576">
        <f t="shared" si="7"/>
        <v>-0.50890153484702916</v>
      </c>
      <c r="Q29" s="528">
        <f t="shared" si="134"/>
        <v>325</v>
      </c>
      <c r="R29" s="572">
        <f>IF(M29="","",SQRT(N29^2+O29^2))</f>
        <v>1.2908038930645414</v>
      </c>
      <c r="S29" s="577">
        <f>IF(M29="","",P29)</f>
        <v>-0.50890153484702916</v>
      </c>
      <c r="T29" s="578">
        <f>IF(M29="","",X29*COS(RADIANS(W29)))</f>
        <v>-0.740190140818071</v>
      </c>
      <c r="U29" s="572">
        <f>IF(M29="","",X29*SIN(RADIANS(W29)))</f>
        <v>-1.0574938514177283</v>
      </c>
      <c r="V29" s="579">
        <f>IF(M29="","",Y29)</f>
        <v>-0.50890153484702916</v>
      </c>
      <c r="W29" s="528">
        <f t="shared" si="256"/>
        <v>235.00999999855617</v>
      </c>
      <c r="X29" s="572">
        <f>IF(M29="","",R29)</f>
        <v>1.2908038930645414</v>
      </c>
      <c r="Y29" s="573">
        <f t="shared" si="259"/>
        <v>-0.50890153484702916</v>
      </c>
      <c r="Z29" s="575">
        <f t="shared" si="10"/>
        <v>-0.50995250049304508</v>
      </c>
      <c r="AA29" s="572">
        <f t="shared" si="11"/>
        <v>-0.82210513033099375</v>
      </c>
      <c r="AB29" s="572">
        <f t="shared" si="12"/>
        <v>-0.25316319227792727</v>
      </c>
      <c r="AC29" s="579">
        <f>IF(M29="","",SQRT(Z29^2+AA29^2+AB29^2))</f>
        <v>1</v>
      </c>
      <c r="AD29" s="580">
        <f>IF(M29="","",Z29*(1/SQRT(Z29^2+AA29^2+AB29^2)))</f>
        <v>-0.50995250049304508</v>
      </c>
      <c r="AE29" s="572">
        <f>IF(M29="","",AA29*(1/SQRT(Z29^2+AA29^2+AB29^2)))</f>
        <v>-0.82210513033099375</v>
      </c>
      <c r="AF29" s="576">
        <f>IF(M29="","",AB29*(1/SQRT(Z29^2+AA29^2+AB29^2)))</f>
        <v>-0.25316319227792727</v>
      </c>
      <c r="AG29" s="545">
        <f>IF(M29="","",DEGREES(ATAN2(-AF29,AE29)))</f>
        <v>-72.884044159466299</v>
      </c>
      <c r="AH29" s="546">
        <f>IF(M29="","",DEGREES(ACOS(AD29)))</f>
        <v>120.66066587616848</v>
      </c>
      <c r="AI29" s="528">
        <f>IF(M29="","",DEGREES(-ACOS(-AF29)))</f>
        <v>-75.335227113755124</v>
      </c>
      <c r="AJ29" s="529">
        <f>IF(M29="","",DEGREES(ATAN2(-AE29,AD29)))</f>
        <v>-31.81136180683983</v>
      </c>
      <c r="AK29" s="578">
        <f>IF(M29="","",(COS(RADIANS((90-$Q$8)-W29))*AD29)+(-SIN(RADIANS((90-$Q$8)-W29))*AE29))</f>
        <v>0.96592583607220739</v>
      </c>
      <c r="AL29" s="572">
        <f>IF(M29="","",(SIN(RADIANS((90-$Q$8)-W29))*AD29)+(COS(RADIANS((90-$Q$8)-W29))*AE29))</f>
        <v>5.3811497692003052E-2</v>
      </c>
      <c r="AM29" s="577">
        <f>IF(M29="","",AF29)</f>
        <v>-0.25316319227792727</v>
      </c>
      <c r="AN29" s="524">
        <f>IF(M29="","",DEGREES(ATAN2(-AM29,AL29)))</f>
        <v>12.00000000000003</v>
      </c>
      <c r="AO29" s="525">
        <f t="shared" si="108"/>
        <v>14.999997834268255</v>
      </c>
      <c r="AP29" s="528">
        <f>IF(M29="","",DEGREES(ATAN2(AK29,AL29)))</f>
        <v>3.188638193160195</v>
      </c>
      <c r="AQ29" s="529">
        <f t="shared" si="13"/>
        <v>1.0841918474329395</v>
      </c>
      <c r="AS29" s="900">
        <f t="shared" si="137"/>
        <v>-124.99000000144383</v>
      </c>
      <c r="AT29" s="896">
        <f t="shared" si="14"/>
        <v>-0.45560696120361832</v>
      </c>
      <c r="AU29" s="418"/>
      <c r="AV29" s="164">
        <f t="shared" si="15"/>
        <v>3.105</v>
      </c>
      <c r="AW29" s="829">
        <f>IFERROR(INDEX(MassProp!C$9:C$150,MATCH($M29,MassProp!$B$9:$B$150,0)),"")</f>
        <v>1.228</v>
      </c>
      <c r="AX29" s="830">
        <f>IFERROR(INDEX(MassProp!D$9:D$150,MATCH($M29,MassProp!$B$9:$B$150,0)),"")</f>
        <v>-7.7799999999999994E-2</v>
      </c>
      <c r="AY29" s="831">
        <f>IFERROR(INDEX(MassProp!E$9:E$150,MATCH($M29,MassProp!$B$9:$B$150,0)),"")</f>
        <v>3.6499999999999998E-2</v>
      </c>
      <c r="AZ29" s="297">
        <f t="shared" si="138"/>
        <v>0.28168064946833909</v>
      </c>
      <c r="BA29" s="296">
        <f t="shared" si="16"/>
        <v>1.5605237085043109E-2</v>
      </c>
      <c r="BB29" s="190">
        <f t="shared" si="139"/>
        <v>0.2243185891105951</v>
      </c>
      <c r="BC29" s="9"/>
      <c r="BD29" s="5">
        <f t="shared" si="235"/>
        <v>1.228</v>
      </c>
      <c r="BE29" s="6">
        <f t="shared" si="17"/>
        <v>-0.28458294573643406</v>
      </c>
      <c r="BF29" s="4">
        <f t="shared" si="18"/>
        <v>1.057364647780008</v>
      </c>
      <c r="BG29" s="5">
        <f t="shared" si="19"/>
        <v>-0.74037469701201686</v>
      </c>
      <c r="BH29" s="10">
        <f t="shared" si="20"/>
        <v>-0.50890153484702916</v>
      </c>
      <c r="BI29" s="9">
        <f t="shared" si="140"/>
        <v>1.057364647780008</v>
      </c>
      <c r="BJ29" s="5">
        <f t="shared" si="21"/>
        <v>-0.44606821208019509</v>
      </c>
      <c r="BK29" s="8">
        <f t="shared" si="22"/>
        <v>-1.4646126276606866</v>
      </c>
      <c r="BL29" s="173">
        <f t="shared" si="23"/>
        <v>1.917567209529792</v>
      </c>
      <c r="BM29" s="5">
        <f t="shared" si="24"/>
        <v>-1.2277419585412821</v>
      </c>
      <c r="BN29" s="6">
        <f t="shared" si="25"/>
        <v>-0.6589838627493303</v>
      </c>
      <c r="BO29" s="4">
        <f t="shared" si="141"/>
        <v>-0.50995250049304497</v>
      </c>
      <c r="BP29" s="5">
        <f t="shared" si="142"/>
        <v>-0.82210513033099408</v>
      </c>
      <c r="BQ29" s="5">
        <f t="shared" si="143"/>
        <v>-0.25316319227792727</v>
      </c>
      <c r="BR29" s="6">
        <f t="shared" si="144"/>
        <v>-0.1982952278294822</v>
      </c>
      <c r="BS29" s="4">
        <f t="shared" si="110"/>
        <v>0</v>
      </c>
      <c r="BT29" s="5">
        <f t="shared" si="110"/>
        <v>0</v>
      </c>
      <c r="BU29" s="10">
        <f t="shared" si="111"/>
        <v>-0.28458294573643406</v>
      </c>
      <c r="BV29" s="9">
        <f t="shared" si="112"/>
        <v>0</v>
      </c>
      <c r="BW29" s="5">
        <f t="shared" si="113"/>
        <v>1</v>
      </c>
      <c r="BX29" s="8">
        <f t="shared" si="114"/>
        <v>-0.28458294573643406</v>
      </c>
      <c r="BY29" s="173">
        <f t="shared" si="115"/>
        <v>1</v>
      </c>
      <c r="BZ29" s="5">
        <f t="shared" si="116"/>
        <v>0</v>
      </c>
      <c r="CA29" s="6">
        <f t="shared" si="117"/>
        <v>-0.28458294573643406</v>
      </c>
      <c r="CB29" s="4">
        <f t="shared" si="145"/>
        <v>0</v>
      </c>
      <c r="CC29" s="5">
        <f t="shared" si="146"/>
        <v>0</v>
      </c>
      <c r="CD29" s="5">
        <f t="shared" si="147"/>
        <v>-1</v>
      </c>
      <c r="CE29" s="6">
        <f t="shared" si="148"/>
        <v>-0.28458294573643406</v>
      </c>
      <c r="CF29" s="4">
        <f t="shared" si="149"/>
        <v>0.82210513033099408</v>
      </c>
      <c r="CG29" s="5">
        <f t="shared" si="150"/>
        <v>-0.50995250049304497</v>
      </c>
      <c r="CH29" s="5">
        <f t="shared" si="151"/>
        <v>0</v>
      </c>
      <c r="CI29" s="4">
        <f t="shared" si="118"/>
        <v>0</v>
      </c>
      <c r="CJ29" s="5">
        <f t="shared" si="119"/>
        <v>-0.15356831646113214</v>
      </c>
      <c r="CK29" s="8">
        <f t="shared" si="120"/>
        <v>-0.28458294573643406</v>
      </c>
      <c r="CL29" s="173">
        <f t="shared" si="121"/>
        <v>0.82210513033099408</v>
      </c>
      <c r="CM29" s="5">
        <f t="shared" si="122"/>
        <v>-0.66352081695417708</v>
      </c>
      <c r="CN29" s="6">
        <f t="shared" si="123"/>
        <v>-0.28458294573643406</v>
      </c>
      <c r="CO29" s="167">
        <f t="shared" si="26"/>
        <v>0.3125</v>
      </c>
      <c r="CP29" s="4">
        <f t="shared" si="236"/>
        <v>0.93590839807564974</v>
      </c>
      <c r="CQ29" s="5">
        <f t="shared" si="237"/>
        <v>-2.3370165652755324</v>
      </c>
      <c r="CR29" s="5">
        <f t="shared" si="152"/>
        <v>1.4150243060507379</v>
      </c>
      <c r="CS29" s="8">
        <f t="shared" si="153"/>
        <v>0.16431390031603055</v>
      </c>
      <c r="CT29" s="9">
        <f t="shared" si="154"/>
        <v>1.4650862632807318</v>
      </c>
      <c r="CU29" s="6">
        <f t="shared" si="155"/>
        <v>1.0319706816945933</v>
      </c>
      <c r="CV29" s="4">
        <f t="shared" si="238"/>
        <v>1.2044549334205552</v>
      </c>
      <c r="CW29" s="5">
        <f t="shared" si="156"/>
        <v>-0.90069271985915289</v>
      </c>
      <c r="CX29" s="8">
        <f t="shared" si="157"/>
        <v>-0.28458294573643406</v>
      </c>
      <c r="CY29" s="9">
        <f t="shared" si="158"/>
        <v>0.84838839177229841</v>
      </c>
      <c r="CZ29" s="5">
        <f t="shared" si="159"/>
        <v>-0.6798243460268022</v>
      </c>
      <c r="DA29" s="6">
        <f t="shared" si="160"/>
        <v>-0.28458294573643406</v>
      </c>
      <c r="DB29" s="4">
        <f t="shared" si="161"/>
        <v>0</v>
      </c>
      <c r="DC29" s="5">
        <f t="shared" si="161"/>
        <v>0</v>
      </c>
      <c r="DD29" s="10">
        <f t="shared" si="162"/>
        <v>-10</v>
      </c>
      <c r="DE29" s="9">
        <f t="shared" si="163"/>
        <v>0</v>
      </c>
      <c r="DF29" s="5">
        <f t="shared" si="163"/>
        <v>0</v>
      </c>
      <c r="DG29" s="10">
        <f t="shared" si="164"/>
        <v>10</v>
      </c>
      <c r="DH29" s="70">
        <f t="shared" si="165"/>
        <v>1.228</v>
      </c>
      <c r="DI29" s="4">
        <f t="shared" si="166"/>
        <v>0</v>
      </c>
      <c r="DJ29" s="5">
        <f t="shared" si="167"/>
        <v>0</v>
      </c>
      <c r="DK29" s="10">
        <f t="shared" si="168"/>
        <v>20</v>
      </c>
      <c r="DL29" s="9">
        <f t="shared" si="169"/>
        <v>1.2044549334205552</v>
      </c>
      <c r="DM29" s="173">
        <f t="shared" si="170"/>
        <v>-0.90069271985915289</v>
      </c>
      <c r="DN29" s="178">
        <f t="shared" si="171"/>
        <v>9.7154170542635665</v>
      </c>
      <c r="DO29" s="9">
        <f t="shared" si="172"/>
        <v>-0.3560665416482568</v>
      </c>
      <c r="DP29" s="173">
        <f t="shared" si="173"/>
        <v>0.2208683738323507</v>
      </c>
      <c r="DQ29" s="11">
        <f t="shared" si="174"/>
        <v>0</v>
      </c>
      <c r="DR29" s="173">
        <f t="shared" si="175"/>
        <v>194.30834108527134</v>
      </c>
      <c r="DS29" s="5">
        <f t="shared" si="176"/>
        <v>0</v>
      </c>
      <c r="DT29" s="5">
        <f t="shared" si="177"/>
        <v>400</v>
      </c>
      <c r="DU29" s="5">
        <f t="shared" si="178"/>
        <v>0.1755662206406968</v>
      </c>
      <c r="DV29" s="5">
        <f t="shared" si="179"/>
        <v>-0.62780063907216654</v>
      </c>
      <c r="DW29" s="5">
        <f t="shared" si="180"/>
        <v>96.651287600523744</v>
      </c>
      <c r="DX29" s="167">
        <f t="shared" si="181"/>
        <v>95.143303600523751</v>
      </c>
      <c r="DY29" s="9">
        <f t="shared" si="182"/>
        <v>70.226488256278714</v>
      </c>
      <c r="DZ29" s="5">
        <f t="shared" si="183"/>
        <v>-251.12025562886663</v>
      </c>
      <c r="EA29" s="10">
        <f t="shared" si="184"/>
        <v>301.59002489935665</v>
      </c>
      <c r="EB29" s="6">
        <f t="shared" si="185"/>
        <v>41881.774445301853</v>
      </c>
      <c r="EC29" s="173">
        <f t="shared" si="186"/>
        <v>6.4900102251644212</v>
      </c>
      <c r="ED29" s="5">
        <f t="shared" si="187"/>
        <v>0.66171448339424133</v>
      </c>
      <c r="EE29" s="4">
        <f t="shared" si="188"/>
        <v>-1.1064205627155648</v>
      </c>
      <c r="EF29" s="5">
        <f t="shared" si="189"/>
        <v>0.5327452847282409</v>
      </c>
      <c r="EG29" s="10">
        <f t="shared" si="190"/>
        <v>-0.28458294573643406</v>
      </c>
      <c r="EH29" s="9">
        <f t="shared" si="191"/>
        <v>0.96884054575980483</v>
      </c>
      <c r="EI29" s="5">
        <f t="shared" si="192"/>
        <v>-0.75454091797055278</v>
      </c>
      <c r="EJ29" s="6">
        <f t="shared" si="193"/>
        <v>-0.28458294573643406</v>
      </c>
      <c r="EK29" s="236" t="b">
        <f t="shared" si="194"/>
        <v>0</v>
      </c>
      <c r="EL29" s="238" t="b">
        <f t="shared" si="195"/>
        <v>1</v>
      </c>
      <c r="EM29" s="4">
        <f t="shared" si="196"/>
        <v>0.96884054575980483</v>
      </c>
      <c r="EN29" s="5">
        <f t="shared" si="197"/>
        <v>-0.75454091797055278</v>
      </c>
      <c r="EO29" s="10">
        <f t="shared" si="198"/>
        <v>-0.28458294573643406</v>
      </c>
      <c r="EP29" s="9">
        <f t="shared" si="199"/>
        <v>322.08825057598659</v>
      </c>
      <c r="EQ29" s="5">
        <f t="shared" si="200"/>
        <v>1.2280000000000004</v>
      </c>
      <c r="ER29" s="7">
        <f t="shared" si="201"/>
        <v>-0.28458294573643406</v>
      </c>
      <c r="ES29" s="21">
        <f t="shared" si="124"/>
        <v>-0.50995250049304508</v>
      </c>
      <c r="ET29" s="5">
        <f t="shared" si="35"/>
        <v>-0.82210513033099375</v>
      </c>
      <c r="EU29" s="10">
        <f t="shared" si="36"/>
        <v>-0.25316319227792727</v>
      </c>
      <c r="EV29" s="174">
        <f t="shared" si="252"/>
        <v>127.91174942401341</v>
      </c>
      <c r="EW29" s="9">
        <f t="shared" si="125"/>
        <v>0.96194528581857985</v>
      </c>
      <c r="EX29" s="5">
        <f t="shared" si="37"/>
        <v>0.10280887688842855</v>
      </c>
      <c r="EY29" s="6">
        <f t="shared" si="202"/>
        <v>-0.25316319227792727</v>
      </c>
      <c r="EZ29" s="51">
        <f t="shared" si="203"/>
        <v>1.1396266584965025</v>
      </c>
      <c r="FA29" s="266">
        <f t="shared" si="126"/>
        <v>-0.61432546137565158</v>
      </c>
      <c r="FB29" s="267">
        <f t="shared" si="127"/>
        <v>-0.78880203988693187</v>
      </c>
      <c r="FC29" s="269">
        <f t="shared" si="38"/>
        <v>-1.9888925959129646E-2</v>
      </c>
      <c r="FD29" s="4">
        <f t="shared" si="128"/>
        <v>0.999802195748835</v>
      </c>
      <c r="FE29" s="5">
        <f t="shared" si="39"/>
        <v>1.6653345369377348E-16</v>
      </c>
      <c r="FF29" s="7">
        <f t="shared" si="204"/>
        <v>-1.9888925959129646E-2</v>
      </c>
      <c r="FG29" s="173">
        <f t="shared" si="205"/>
        <v>-3.7856909930255145E-2</v>
      </c>
      <c r="FH29" s="5">
        <f t="shared" si="40"/>
        <v>0.10280887688842838</v>
      </c>
      <c r="FI29" s="10">
        <f t="shared" si="41"/>
        <v>-0.23327426631879764</v>
      </c>
      <c r="FJ29" s="279">
        <f t="shared" si="206"/>
        <v>14.807452833723081</v>
      </c>
      <c r="FK29" s="4">
        <f t="shared" si="42"/>
        <v>0.96742358771928305</v>
      </c>
      <c r="FL29" s="5">
        <f t="shared" si="207"/>
        <v>0.99980219574883511</v>
      </c>
      <c r="FM29" s="8">
        <f t="shared" si="208"/>
        <v>0.1095573402220384</v>
      </c>
      <c r="FN29" s="9">
        <f t="shared" si="209"/>
        <v>6.1003876171736398</v>
      </c>
      <c r="FO29" s="10">
        <f t="shared" si="43"/>
        <v>-1</v>
      </c>
      <c r="FP29" s="277">
        <f t="shared" si="44"/>
        <v>-6.1003876171736398</v>
      </c>
      <c r="FQ29" s="173">
        <f t="shared" si="239"/>
        <v>0.10627079822480147</v>
      </c>
      <c r="FR29" s="10">
        <f t="shared" si="210"/>
        <v>0.99433722521318868</v>
      </c>
      <c r="FS29" s="9">
        <f t="shared" si="211"/>
        <v>9.6556445130066698E-2</v>
      </c>
      <c r="FT29" s="6">
        <f t="shared" si="212"/>
        <v>0.90344355486993322</v>
      </c>
      <c r="FU29" s="4">
        <f t="shared" si="213"/>
        <v>0.99470112839633396</v>
      </c>
      <c r="FV29" s="5">
        <f t="shared" si="214"/>
        <v>0.99999999999999978</v>
      </c>
      <c r="FW29" s="8">
        <f t="shared" si="240"/>
        <v>0.23632610722482772</v>
      </c>
      <c r="FX29" s="9">
        <f t="shared" si="241"/>
        <v>13.605033333573594</v>
      </c>
      <c r="FY29" s="10">
        <f t="shared" si="45"/>
        <v>1</v>
      </c>
      <c r="FZ29" s="277">
        <f t="shared" si="242"/>
        <v>13.605033333573594</v>
      </c>
      <c r="GA29" s="177">
        <f t="shared" si="215"/>
        <v>13.532262219385229</v>
      </c>
      <c r="GB29" s="4">
        <f t="shared" si="216"/>
        <v>0.10328887575938298</v>
      </c>
      <c r="GC29" s="5">
        <f t="shared" si="217"/>
        <v>0.96643646075489387</v>
      </c>
      <c r="GD29" s="10">
        <f t="shared" si="218"/>
        <v>-0.23522749726151729</v>
      </c>
      <c r="GE29" s="311">
        <f t="shared" si="219"/>
        <v>1.3049528337757943</v>
      </c>
      <c r="GF29" s="341">
        <f t="shared" si="243"/>
        <v>0.76631122146121289</v>
      </c>
      <c r="GG29" s="285">
        <f t="shared" si="46"/>
        <v>7.9151424546528223E-2</v>
      </c>
      <c r="GH29" s="286">
        <f t="shared" si="47"/>
        <v>0.74059110470573419</v>
      </c>
      <c r="GI29" s="281">
        <f t="shared" si="48"/>
        <v>0.1802574707477374</v>
      </c>
      <c r="GJ29" s="167">
        <f t="shared" si="220"/>
        <v>1.228</v>
      </c>
      <c r="GK29" s="174">
        <f t="shared" si="49"/>
        <v>0.64310650563547733</v>
      </c>
      <c r="GL29" s="174">
        <f t="shared" si="221"/>
        <v>3.6499999999999998E-2</v>
      </c>
      <c r="GM29" s="177">
        <f t="shared" si="244"/>
        <v>0.28168064946833909</v>
      </c>
      <c r="GN29" s="280">
        <f t="shared" si="222"/>
        <v>1.5605237085043109E-2</v>
      </c>
      <c r="GO29" s="4">
        <f t="shared" si="223"/>
        <v>-6.1003876171736398</v>
      </c>
      <c r="GP29" s="8">
        <f t="shared" si="245"/>
        <v>13.605033333573594</v>
      </c>
      <c r="GQ29" s="177">
        <f t="shared" si="224"/>
        <v>14.807452833723081</v>
      </c>
      <c r="GR29" s="371">
        <f t="shared" si="246"/>
        <v>950.8642747615155</v>
      </c>
      <c r="GS29" s="342">
        <f t="shared" si="51"/>
        <v>75.262261897775389</v>
      </c>
      <c r="GT29" s="343">
        <f t="shared" si="52"/>
        <v>117.02923425320657</v>
      </c>
      <c r="GU29" s="344">
        <f t="shared" si="53"/>
        <v>704.20162367084765</v>
      </c>
      <c r="GV29" s="343">
        <f t="shared" si="253"/>
        <v>1095</v>
      </c>
      <c r="GW29" s="345">
        <f t="shared" si="129"/>
        <v>30000</v>
      </c>
      <c r="GX29" s="346">
        <f t="shared" si="54"/>
        <v>112.05499999999999</v>
      </c>
      <c r="GY29" s="344">
        <f t="shared" si="55"/>
        <v>171.40038919289245</v>
      </c>
      <c r="GZ29" s="345">
        <f t="shared" si="56"/>
        <v>266.51944536546927</v>
      </c>
      <c r="HA29" s="342">
        <f t="shared" si="57"/>
        <v>-75.262261897775389</v>
      </c>
      <c r="HB29" s="5">
        <f t="shared" si="225"/>
        <v>127.91174942401341</v>
      </c>
      <c r="HC29" s="343">
        <f t="shared" si="226"/>
        <v>46.244671157074585</v>
      </c>
      <c r="HD29" s="363">
        <f t="shared" si="227"/>
        <v>-59.378771084819249</v>
      </c>
      <c r="HE29" s="344">
        <f t="shared" si="58"/>
        <v>1095</v>
      </c>
      <c r="HF29" s="5">
        <f t="shared" si="59"/>
        <v>217.91174942401341</v>
      </c>
      <c r="HG29" s="343">
        <f t="shared" si="228"/>
        <v>-863.90911857246408</v>
      </c>
      <c r="HH29" s="349">
        <f t="shared" si="229"/>
        <v>-672.81946675712959</v>
      </c>
      <c r="HI29" s="317">
        <f t="shared" si="60"/>
        <v>3.105</v>
      </c>
      <c r="HJ29" s="336"/>
      <c r="HK29" s="310">
        <f t="shared" si="130"/>
        <v>21</v>
      </c>
      <c r="HL29" s="348">
        <f t="shared" si="61"/>
        <v>5.1210000000000004</v>
      </c>
      <c r="HM29" s="935">
        <f t="shared" si="62"/>
        <v>1.7078397393160301</v>
      </c>
      <c r="HN29" s="936">
        <f t="shared" si="63"/>
        <v>15.399997776515438</v>
      </c>
      <c r="HO29" s="937"/>
      <c r="HP29" s="938"/>
      <c r="HQ29" s="936">
        <f t="shared" si="64"/>
        <v>14.883989516302481</v>
      </c>
      <c r="HR29" s="939">
        <f t="shared" si="65"/>
        <v>14.794479665433892</v>
      </c>
      <c r="HS29" s="940">
        <f t="shared" si="249"/>
        <v>3.7591999999999999</v>
      </c>
      <c r="HT29" s="941">
        <f t="shared" si="66"/>
        <v>2.76E-2</v>
      </c>
      <c r="HU29" s="942">
        <f t="shared" si="67"/>
        <v>0.65191886988050984</v>
      </c>
      <c r="HV29" s="943">
        <f t="shared" si="68"/>
        <v>3.6116604189533476E-2</v>
      </c>
      <c r="HW29" s="944">
        <f t="shared" si="69"/>
        <v>30000</v>
      </c>
      <c r="HX29" s="947">
        <f t="shared" si="70"/>
        <v>259.38479999999998</v>
      </c>
      <c r="HY29" s="952">
        <f t="shared" si="71"/>
        <v>48.594452201037285</v>
      </c>
      <c r="HZ29" s="953">
        <f t="shared" si="72"/>
        <v>1629.7971747012746</v>
      </c>
      <c r="IA29" s="954">
        <f t="shared" si="73"/>
        <v>430.63429419229197</v>
      </c>
      <c r="IB29" s="955">
        <f t="shared" si="74"/>
        <v>2109.0259210946037</v>
      </c>
      <c r="IC29" s="842">
        <f t="shared" si="75"/>
        <v>24.687861193423508</v>
      </c>
      <c r="ID29" s="351">
        <f t="shared" si="76"/>
        <v>828</v>
      </c>
      <c r="IE29" s="844">
        <f t="shared" si="77"/>
        <v>218.77887698300407</v>
      </c>
      <c r="IF29" s="845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0"/>
        <v>3.105</v>
      </c>
      <c r="IJ29" s="96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8"/>
        <v>1613</v>
      </c>
      <c r="IM29" s="482" t="str">
        <f t="shared" si="231"/>
        <v/>
      </c>
      <c r="IN29" s="670" t="str">
        <f t="shared" si="80"/>
        <v/>
      </c>
      <c r="IO29" s="702"/>
      <c r="IP29" s="5" t="str">
        <f t="shared" si="81"/>
        <v/>
      </c>
      <c r="IQ29" s="714"/>
      <c r="IR29" s="9" t="str">
        <f t="shared" si="131"/>
        <v/>
      </c>
      <c r="IS29" s="5" t="str">
        <f t="shared" si="82"/>
        <v/>
      </c>
      <c r="IT29" s="5" t="str">
        <f t="shared" si="83"/>
        <v/>
      </c>
      <c r="IU29" s="5" t="str">
        <f t="shared" si="84"/>
        <v/>
      </c>
      <c r="IV29" s="670" t="str">
        <f t="shared" si="85"/>
        <v/>
      </c>
      <c r="IW29" s="9" t="str">
        <f t="shared" si="86"/>
        <v/>
      </c>
      <c r="IX29" s="5" t="str">
        <f t="shared" si="87"/>
        <v/>
      </c>
      <c r="IY29" s="5" t="str">
        <f t="shared" si="88"/>
        <v/>
      </c>
      <c r="IZ29" s="5" t="str">
        <f t="shared" si="89"/>
        <v/>
      </c>
      <c r="JA29" s="705" t="str">
        <f t="shared" si="90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ref="B30:D30" si="286">IFERROR(O185+($A30*-E30),"")</f>
        <v>1.6374079597516722</v>
      </c>
      <c r="C30" s="572">
        <f t="shared" si="286"/>
        <v>-1.1465253965427025</v>
      </c>
      <c r="D30" s="576">
        <f t="shared" si="286"/>
        <v>-0.26210079049598417</v>
      </c>
      <c r="E30" s="580">
        <f t="shared" ref="E30:K30" si="287">R185</f>
        <v>0.52086629626126324</v>
      </c>
      <c r="F30" s="572">
        <f t="shared" si="287"/>
        <v>0.81446320826360619</v>
      </c>
      <c r="G30" s="579">
        <f t="shared" si="287"/>
        <v>0.25563251711006529</v>
      </c>
      <c r="H30" s="580">
        <f t="shared" si="287"/>
        <v>0.3125</v>
      </c>
      <c r="I30" s="572">
        <f t="shared" si="287"/>
        <v>0.52</v>
      </c>
      <c r="J30" s="483">
        <f t="shared" si="92"/>
        <v>3.1080000000000001</v>
      </c>
      <c r="K30" s="806">
        <f t="shared" si="287"/>
        <v>1613</v>
      </c>
      <c r="L30" s="82"/>
      <c r="M30" s="164">
        <f t="shared" si="4"/>
        <v>3.1080000000000001</v>
      </c>
      <c r="N30" s="575">
        <f t="shared" si="5"/>
        <v>1.6374079597516722</v>
      </c>
      <c r="O30" s="572">
        <f t="shared" si="6"/>
        <v>-1.1465253965427025</v>
      </c>
      <c r="P30" s="576">
        <f t="shared" si="7"/>
        <v>-0.26210079049598417</v>
      </c>
      <c r="Q30" s="528">
        <f t="shared" si="134"/>
        <v>325</v>
      </c>
      <c r="R30" s="572">
        <f>IF(M30="","",SQRT(N30^2+O30^2))</f>
        <v>1.9989060287005826</v>
      </c>
      <c r="S30" s="577">
        <f>IF(M30="","",P30)</f>
        <v>-0.26210079049598417</v>
      </c>
      <c r="T30" s="578">
        <f>IF(M30="","",X30*COS(RADIANS(W30)))</f>
        <v>-1.1462395975218798</v>
      </c>
      <c r="U30" s="572">
        <f>IF(M30="","",X30*SIN(RADIANS(W30)))</f>
        <v>-1.6376080412138962</v>
      </c>
      <c r="V30" s="579">
        <f>IF(M30="","",Y30)</f>
        <v>-0.26210079049598417</v>
      </c>
      <c r="W30" s="528">
        <f t="shared" si="256"/>
        <v>235.00999999855617</v>
      </c>
      <c r="X30" s="572">
        <f>IF(M30="","",R30)</f>
        <v>1.9989060287005826</v>
      </c>
      <c r="Y30" s="573">
        <f t="shared" si="259"/>
        <v>-0.26210079049598417</v>
      </c>
      <c r="Z30" s="575">
        <f t="shared" si="10"/>
        <v>-0.52086629626126324</v>
      </c>
      <c r="AA30" s="572">
        <f t="shared" si="11"/>
        <v>-0.81446320826360619</v>
      </c>
      <c r="AB30" s="572">
        <f t="shared" si="12"/>
        <v>-0.25563251711006529</v>
      </c>
      <c r="AC30" s="579">
        <f>IF(M30="","",SQRT(Z30^2+AA30^2+AB30^2))</f>
        <v>1</v>
      </c>
      <c r="AD30" s="580">
        <f>IF(M30="","",Z30*(1/SQRT(Z30^2+AA30^2+AB30^2)))</f>
        <v>-0.52086629626126324</v>
      </c>
      <c r="AE30" s="572">
        <f>IF(M30="","",AA30*(1/SQRT(Z30^2+AA30^2+AB30^2)))</f>
        <v>-0.81446320826360619</v>
      </c>
      <c r="AF30" s="576">
        <f>IF(M30="","",AB30*(1/SQRT(Z30^2+AA30^2+AB30^2)))</f>
        <v>-0.25563251711006529</v>
      </c>
      <c r="AG30" s="545">
        <f>IF(M30="","",DEGREES(ATAN2(-AF30,AE30)))</f>
        <v>-72.574686948310315</v>
      </c>
      <c r="AH30" s="546">
        <f>IF(M30="","",DEGREES(ACOS(AD30)))</f>
        <v>121.3903788937364</v>
      </c>
      <c r="AI30" s="528">
        <f>IF(M30="","",DEGREES(-ACOS(-AF30)))</f>
        <v>-75.188932016188588</v>
      </c>
      <c r="AJ30" s="529">
        <f>IF(M30="","",DEGREES(ATAN2(-AE30,AD30)))</f>
        <v>-32.599767547014196</v>
      </c>
      <c r="AK30" s="578">
        <f>IF(M30="","",(COS(RADIANS((90-$Q$8)-W30))*AD30)+(-SIN(RADIANS((90-$Q$8)-W30))*AE30))</f>
        <v>0.96592583607220739</v>
      </c>
      <c r="AL30" s="572">
        <f>IF(M30="","",(SIN(RADIANS((90-$Q$8)-W30))*AD30)+(COS(RADIANS((90-$Q$8)-W30))*AE30))</f>
        <v>4.0488213151230024E-2</v>
      </c>
      <c r="AM30" s="577">
        <f>IF(M30="","",AF30)</f>
        <v>-0.25563251711006529</v>
      </c>
      <c r="AN30" s="524">
        <f>IF(M30="","",DEGREES(ATAN2(-AM30,AL30)))</f>
        <v>8.9999999999999751</v>
      </c>
      <c r="AO30" s="525">
        <f>IF(ROUND(IF(M30="",0,DEGREES(ACOS(AK30))),4)=90,0,IF(M30="","",DEGREES(ACOS(AK30))))</f>
        <v>14.999997834268255</v>
      </c>
      <c r="AP30" s="528">
        <f>IF(M30="","",DEGREES(ATAN2(AK30,AL30)))</f>
        <v>2.4002324529858257</v>
      </c>
      <c r="AQ30" s="529">
        <f t="shared" si="13"/>
        <v>0.70017120621067153</v>
      </c>
      <c r="AS30" s="900">
        <f t="shared" si="137"/>
        <v>-124.99000000144383</v>
      </c>
      <c r="AT30" s="896">
        <f t="shared" si="14"/>
        <v>-0.20880621685257331</v>
      </c>
      <c r="AU30" s="418"/>
      <c r="AV30" s="164">
        <f t="shared" si="15"/>
        <v>3.1080000000000001</v>
      </c>
      <c r="AW30" s="797">
        <f>IFERROR(INDEX(MassProp!C$9:C$150,MATCH($M30,MassProp!$B$9:$B$150,0)),"")</f>
        <v>1.9300999999999999</v>
      </c>
      <c r="AX30" s="744">
        <f>IFERROR(INDEX(MassProp!D$9:D$150,MATCH($M30,MassProp!$B$9:$B$150,0)),"")</f>
        <v>0.1676</v>
      </c>
      <c r="AY30" s="731">
        <f>IFERROR(INDEX(MassProp!E$9:E$150,MATCH($M30,MassProp!$B$9:$B$150,0)),"")</f>
        <v>3.5499999999999997E-2</v>
      </c>
      <c r="AZ30" s="297">
        <f t="shared" si="138"/>
        <v>0.43054922702541298</v>
      </c>
      <c r="BA30" s="296">
        <f t="shared" si="16"/>
        <v>2.3852624513594128E-2</v>
      </c>
      <c r="BB30" s="177">
        <f t="shared" si="139"/>
        <v>0.22291784475955004</v>
      </c>
      <c r="BC30" s="9"/>
      <c r="BD30" s="5">
        <f t="shared" si="235"/>
        <v>1.9300999999999999</v>
      </c>
      <c r="BE30" s="6">
        <f t="shared" si="17"/>
        <v>-3.9182945736434133E-2</v>
      </c>
      <c r="BF30" s="4">
        <f t="shared" si="18"/>
        <v>1.6374079597516722</v>
      </c>
      <c r="BG30" s="5">
        <f t="shared" si="19"/>
        <v>-1.1465253965427025</v>
      </c>
      <c r="BH30" s="10">
        <f t="shared" si="20"/>
        <v>-0.26210079049598417</v>
      </c>
      <c r="BI30" s="9">
        <f t="shared" si="140"/>
        <v>1.6374079597516722</v>
      </c>
      <c r="BJ30" s="5">
        <f t="shared" si="21"/>
        <v>-0.84706305383277725</v>
      </c>
      <c r="BK30" s="8">
        <f t="shared" si="22"/>
        <v>-1.2162089108359608</v>
      </c>
      <c r="BL30" s="173">
        <f t="shared" si="23"/>
        <v>2.4910462329207435</v>
      </c>
      <c r="BM30" s="5">
        <f t="shared" si="24"/>
        <v>-1.6434881594169817</v>
      </c>
      <c r="BN30" s="6">
        <f t="shared" si="25"/>
        <v>-0.41808063181302402</v>
      </c>
      <c r="BO30" s="4">
        <f t="shared" si="141"/>
        <v>-0.52086629626126313</v>
      </c>
      <c r="BP30" s="5">
        <f t="shared" si="142"/>
        <v>-0.8144632082636063</v>
      </c>
      <c r="BQ30" s="5">
        <f t="shared" si="143"/>
        <v>-0.25563251711006496</v>
      </c>
      <c r="BR30" s="6">
        <f t="shared" si="144"/>
        <v>-0.14793361817033449</v>
      </c>
      <c r="BS30" s="4">
        <f t="shared" si="110"/>
        <v>0</v>
      </c>
      <c r="BT30" s="5">
        <f t="shared" si="110"/>
        <v>0</v>
      </c>
      <c r="BU30" s="10">
        <f t="shared" si="111"/>
        <v>-3.9182945736434133E-2</v>
      </c>
      <c r="BV30" s="9">
        <f t="shared" si="112"/>
        <v>0</v>
      </c>
      <c r="BW30" s="5">
        <f t="shared" si="113"/>
        <v>1</v>
      </c>
      <c r="BX30" s="8">
        <f t="shared" si="114"/>
        <v>-3.9182945736434133E-2</v>
      </c>
      <c r="BY30" s="173">
        <f t="shared" si="115"/>
        <v>1</v>
      </c>
      <c r="BZ30" s="5">
        <f t="shared" si="116"/>
        <v>0</v>
      </c>
      <c r="CA30" s="6">
        <f t="shared" si="117"/>
        <v>-3.9182945736434133E-2</v>
      </c>
      <c r="CB30" s="4">
        <f t="shared" si="145"/>
        <v>0</v>
      </c>
      <c r="CC30" s="5">
        <f t="shared" si="146"/>
        <v>0</v>
      </c>
      <c r="CD30" s="5">
        <f t="shared" si="147"/>
        <v>-1</v>
      </c>
      <c r="CE30" s="6">
        <f t="shared" si="148"/>
        <v>-3.9182945736434133E-2</v>
      </c>
      <c r="CF30" s="4">
        <f t="shared" si="149"/>
        <v>0.8144632082636063</v>
      </c>
      <c r="CG30" s="5">
        <f t="shared" si="150"/>
        <v>-0.52086629626126313</v>
      </c>
      <c r="CH30" s="5">
        <f t="shared" si="151"/>
        <v>0</v>
      </c>
      <c r="CI30" s="4">
        <f t="shared" si="118"/>
        <v>0</v>
      </c>
      <c r="CJ30" s="5">
        <f t="shared" si="119"/>
        <v>-0.16933506845321483</v>
      </c>
      <c r="CK30" s="8">
        <f t="shared" si="120"/>
        <v>-3.9182945736434133E-2</v>
      </c>
      <c r="CL30" s="173">
        <f t="shared" si="121"/>
        <v>0.8144632082636063</v>
      </c>
      <c r="CM30" s="5">
        <f t="shared" si="122"/>
        <v>-0.69020136471447802</v>
      </c>
      <c r="CN30" s="6">
        <f t="shared" si="123"/>
        <v>-3.9182945736434133E-2</v>
      </c>
      <c r="CO30" s="167">
        <f t="shared" si="26"/>
        <v>0.3125</v>
      </c>
      <c r="CP30" s="4">
        <f t="shared" si="236"/>
        <v>0.93465201619597238</v>
      </c>
      <c r="CQ30" s="5">
        <f t="shared" si="237"/>
        <v>-3.6851880941400257</v>
      </c>
      <c r="CR30" s="5">
        <f t="shared" si="152"/>
        <v>3.5880418794820161</v>
      </c>
      <c r="CS30" s="8">
        <f t="shared" si="153"/>
        <v>0.16632898177758548</v>
      </c>
      <c r="CT30" s="9">
        <f t="shared" si="154"/>
        <v>2.1895970511706833</v>
      </c>
      <c r="CU30" s="6">
        <f t="shared" si="155"/>
        <v>1.753248018739632</v>
      </c>
      <c r="CV30" s="4">
        <f t="shared" si="238"/>
        <v>1.7833462391010064</v>
      </c>
      <c r="CW30" s="5">
        <f t="shared" si="156"/>
        <v>-1.3098223748010722</v>
      </c>
      <c r="CX30" s="8">
        <f t="shared" si="157"/>
        <v>-3.9182945736434133E-2</v>
      </c>
      <c r="CY30" s="9">
        <f t="shared" si="158"/>
        <v>1.427956006224492</v>
      </c>
      <c r="CZ30" s="5">
        <f t="shared" si="159"/>
        <v>-1.0825428704015245</v>
      </c>
      <c r="DA30" s="6">
        <f t="shared" si="160"/>
        <v>-3.9182945736434133E-2</v>
      </c>
      <c r="DB30" s="4">
        <f t="shared" si="161"/>
        <v>0</v>
      </c>
      <c r="DC30" s="5">
        <f t="shared" si="161"/>
        <v>0</v>
      </c>
      <c r="DD30" s="10">
        <f t="shared" si="162"/>
        <v>-10</v>
      </c>
      <c r="DE30" s="9">
        <f t="shared" si="163"/>
        <v>0</v>
      </c>
      <c r="DF30" s="5">
        <f t="shared" si="163"/>
        <v>0</v>
      </c>
      <c r="DG30" s="10">
        <f t="shared" si="164"/>
        <v>10</v>
      </c>
      <c r="DH30" s="70">
        <f t="shared" si="165"/>
        <v>1.9300999999999999</v>
      </c>
      <c r="DI30" s="4">
        <f t="shared" si="166"/>
        <v>0</v>
      </c>
      <c r="DJ30" s="5">
        <f t="shared" si="167"/>
        <v>0</v>
      </c>
      <c r="DK30" s="10">
        <f t="shared" si="168"/>
        <v>20</v>
      </c>
      <c r="DL30" s="9">
        <f t="shared" si="169"/>
        <v>1.7833462391010064</v>
      </c>
      <c r="DM30" s="173">
        <f t="shared" si="170"/>
        <v>-1.3098223748010722</v>
      </c>
      <c r="DN30" s="178">
        <f t="shared" si="171"/>
        <v>9.9608170542635666</v>
      </c>
      <c r="DO30" s="9">
        <f t="shared" si="172"/>
        <v>-0.35539023287651439</v>
      </c>
      <c r="DP30" s="173">
        <f t="shared" si="173"/>
        <v>0.22727950439954769</v>
      </c>
      <c r="DQ30" s="11">
        <f t="shared" si="174"/>
        <v>0</v>
      </c>
      <c r="DR30" s="173">
        <f t="shared" si="175"/>
        <v>199.21634108527132</v>
      </c>
      <c r="DS30" s="5">
        <f t="shared" si="176"/>
        <v>0</v>
      </c>
      <c r="DT30" s="5">
        <f t="shared" si="177"/>
        <v>400</v>
      </c>
      <c r="DU30" s="5">
        <f t="shared" si="178"/>
        <v>0.17795819074412716</v>
      </c>
      <c r="DV30" s="5">
        <f t="shared" si="179"/>
        <v>-0.93147961540978907</v>
      </c>
      <c r="DW30" s="5">
        <f t="shared" si="180"/>
        <v>104.11383485055315</v>
      </c>
      <c r="DX30" s="167">
        <f t="shared" si="181"/>
        <v>100.38854884055314</v>
      </c>
      <c r="DY30" s="9">
        <f t="shared" si="182"/>
        <v>71.183276297650863</v>
      </c>
      <c r="DZ30" s="5">
        <f t="shared" si="183"/>
        <v>-372.59184616391565</v>
      </c>
      <c r="EA30" s="10">
        <f t="shared" si="184"/>
        <v>468.26898081809486</v>
      </c>
      <c r="EB30" s="6">
        <f t="shared" si="185"/>
        <v>105491.76358464117</v>
      </c>
      <c r="EC30" s="173">
        <f t="shared" si="186"/>
        <v>9.7970596276827013</v>
      </c>
      <c r="ED30" s="5">
        <f t="shared" si="187"/>
        <v>0.67146234947197103</v>
      </c>
      <c r="EE30" s="4">
        <f t="shared" si="188"/>
        <v>-1.6984330634862461</v>
      </c>
      <c r="EF30" s="5">
        <f t="shared" si="189"/>
        <v>0.91684848195146951</v>
      </c>
      <c r="EG30" s="10">
        <f t="shared" si="190"/>
        <v>-3.9182945736434133E-2</v>
      </c>
      <c r="EH30" s="9">
        <f t="shared" si="191"/>
        <v>1.5447150783543511</v>
      </c>
      <c r="EI30" s="5">
        <f t="shared" si="192"/>
        <v>-1.1572127447901268</v>
      </c>
      <c r="EJ30" s="6">
        <f t="shared" si="193"/>
        <v>-3.9182945736434133E-2</v>
      </c>
      <c r="EK30" s="236" t="b">
        <f t="shared" si="194"/>
        <v>0</v>
      </c>
      <c r="EL30" s="238" t="b">
        <f t="shared" si="195"/>
        <v>1</v>
      </c>
      <c r="EM30" s="4">
        <f t="shared" si="196"/>
        <v>1.5447150783543511</v>
      </c>
      <c r="EN30" s="5">
        <f t="shared" si="197"/>
        <v>-1.1572127447901268</v>
      </c>
      <c r="EO30" s="10">
        <f t="shared" si="198"/>
        <v>-3.9182945736434133E-2</v>
      </c>
      <c r="EP30" s="9">
        <f t="shared" si="199"/>
        <v>323.16153477051716</v>
      </c>
      <c r="EQ30" s="5">
        <f t="shared" si="200"/>
        <v>1.9300999999999968</v>
      </c>
      <c r="ER30" s="7">
        <f t="shared" si="201"/>
        <v>-3.9182945736434133E-2</v>
      </c>
      <c r="ES30" s="21">
        <f t="shared" si="124"/>
        <v>-0.52086629626126324</v>
      </c>
      <c r="ET30" s="5">
        <f t="shared" si="35"/>
        <v>-0.81446320826360619</v>
      </c>
      <c r="EU30" s="10">
        <f t="shared" si="36"/>
        <v>-0.25563251711006529</v>
      </c>
      <c r="EV30" s="174">
        <f t="shared" si="252"/>
        <v>126.83846522948284</v>
      </c>
      <c r="EW30" s="9">
        <f t="shared" si="125"/>
        <v>0.96412969013772309</v>
      </c>
      <c r="EX30" s="5">
        <f t="shared" si="37"/>
        <v>7.1455977992820274E-2</v>
      </c>
      <c r="EY30" s="6">
        <f t="shared" si="202"/>
        <v>-0.25563251711006529</v>
      </c>
      <c r="EZ30" s="51">
        <f t="shared" si="203"/>
        <v>0.72512895167140201</v>
      </c>
      <c r="FA30" s="266">
        <f t="shared" si="126"/>
        <v>-0.59951301475582053</v>
      </c>
      <c r="FB30" s="267">
        <f t="shared" si="127"/>
        <v>-0.80026494500019041</v>
      </c>
      <c r="FC30" s="269">
        <f t="shared" si="38"/>
        <v>-1.2655549858833491E-2</v>
      </c>
      <c r="FD30" s="4">
        <f t="shared" si="128"/>
        <v>0.99991991532210744</v>
      </c>
      <c r="FE30" s="5">
        <f t="shared" si="39"/>
        <v>-3.8857805861880479E-16</v>
      </c>
      <c r="FF30" s="7">
        <f t="shared" si="204"/>
        <v>-1.2655549858833491E-2</v>
      </c>
      <c r="FG30" s="173">
        <f t="shared" si="205"/>
        <v>-3.579022518438435E-2</v>
      </c>
      <c r="FH30" s="5">
        <f t="shared" si="40"/>
        <v>7.1455977992820663E-2</v>
      </c>
      <c r="FI30" s="10">
        <f t="shared" si="41"/>
        <v>-0.2429769672512318</v>
      </c>
      <c r="FJ30" s="279">
        <f t="shared" si="206"/>
        <v>14.695507161249756</v>
      </c>
      <c r="FK30" s="4">
        <f t="shared" si="42"/>
        <v>0.96677402540406121</v>
      </c>
      <c r="FL30" s="5">
        <f t="shared" si="207"/>
        <v>0.99991991532210744</v>
      </c>
      <c r="FM30" s="8">
        <f t="shared" si="208"/>
        <v>7.9918064351305523E-2</v>
      </c>
      <c r="FN30" s="9">
        <f t="shared" si="209"/>
        <v>4.2386976824686062</v>
      </c>
      <c r="FO30" s="10">
        <f t="shared" si="43"/>
        <v>-1</v>
      </c>
      <c r="FP30" s="277">
        <f t="shared" si="44"/>
        <v>-4.2386976824686062</v>
      </c>
      <c r="FQ30" s="173">
        <f t="shared" si="239"/>
        <v>7.3911768536556371E-2</v>
      </c>
      <c r="FR30" s="10">
        <f t="shared" si="210"/>
        <v>0.99726478453407674</v>
      </c>
      <c r="FS30" s="9">
        <f t="shared" si="211"/>
        <v>6.90005474117978E-2</v>
      </c>
      <c r="FT30" s="6">
        <f t="shared" si="212"/>
        <v>0.93099945258820216</v>
      </c>
      <c r="FU30" s="4">
        <f t="shared" si="213"/>
        <v>0.99744375440878363</v>
      </c>
      <c r="FV30" s="5">
        <f t="shared" si="214"/>
        <v>1</v>
      </c>
      <c r="FW30" s="8">
        <f t="shared" si="240"/>
        <v>0.24559875169339748</v>
      </c>
      <c r="FX30" s="9">
        <f t="shared" si="241"/>
        <v>14.124768985040467</v>
      </c>
      <c r="FY30" s="10">
        <f t="shared" si="45"/>
        <v>1</v>
      </c>
      <c r="FZ30" s="277">
        <f t="shared" si="242"/>
        <v>14.124768985040467</v>
      </c>
      <c r="GA30" s="177">
        <f t="shared" si="215"/>
        <v>14.087950994201806</v>
      </c>
      <c r="GB30" s="4">
        <f t="shared" si="216"/>
        <v>7.1677165198661658E-2</v>
      </c>
      <c r="GC30" s="5">
        <f t="shared" si="217"/>
        <v>0.96711408917921504</v>
      </c>
      <c r="GD30" s="10">
        <f t="shared" si="218"/>
        <v>-0.24403426501239744</v>
      </c>
      <c r="GE30" s="311">
        <f t="shared" si="219"/>
        <v>1.2828255193902742</v>
      </c>
      <c r="GF30" s="341">
        <f t="shared" si="243"/>
        <v>0.77952923829836118</v>
      </c>
      <c r="GG30" s="285">
        <f t="shared" si="46"/>
        <v>5.5874445990698525E-2</v>
      </c>
      <c r="GH30" s="286">
        <f t="shared" si="47"/>
        <v>0.75389370928548682</v>
      </c>
      <c r="GI30" s="281">
        <f t="shared" si="48"/>
        <v>0.19023184472381457</v>
      </c>
      <c r="GJ30" s="167">
        <f t="shared" si="220"/>
        <v>1.9300999999999999</v>
      </c>
      <c r="GK30" s="174">
        <f t="shared" si="49"/>
        <v>1.0106789366793734</v>
      </c>
      <c r="GL30" s="174">
        <f t="shared" si="221"/>
        <v>3.5499999999999997E-2</v>
      </c>
      <c r="GM30" s="177">
        <f t="shared" si="244"/>
        <v>0.43054922702541298</v>
      </c>
      <c r="GN30" s="280">
        <f t="shared" si="222"/>
        <v>2.3852624513594128E-2</v>
      </c>
      <c r="GO30" s="4">
        <f t="shared" si="223"/>
        <v>-4.2386976824686062</v>
      </c>
      <c r="GP30" s="8">
        <f t="shared" si="245"/>
        <v>14.124768985040467</v>
      </c>
      <c r="GQ30" s="177">
        <f t="shared" si="224"/>
        <v>14.695507161249756</v>
      </c>
      <c r="GR30" s="371">
        <f t="shared" si="246"/>
        <v>1427.7517563897436</v>
      </c>
      <c r="GS30" s="342">
        <f t="shared" si="51"/>
        <v>79.774838400523706</v>
      </c>
      <c r="GT30" s="343">
        <f t="shared" si="52"/>
        <v>78.93192932527829</v>
      </c>
      <c r="GU30" s="344">
        <f t="shared" si="53"/>
        <v>1076.3730675635327</v>
      </c>
      <c r="GV30" s="343">
        <f t="shared" si="253"/>
        <v>1065</v>
      </c>
      <c r="GW30" s="345">
        <f t="shared" si="129"/>
        <v>30000</v>
      </c>
      <c r="GX30" s="346">
        <f t="shared" si="54"/>
        <v>171.29637499999998</v>
      </c>
      <c r="GY30" s="344">
        <f t="shared" si="55"/>
        <v>271.60385042568726</v>
      </c>
      <c r="GZ30" s="345">
        <f t="shared" si="56"/>
        <v>268.73405645323203</v>
      </c>
      <c r="HA30" s="342">
        <f t="shared" si="57"/>
        <v>-79.774838400523706</v>
      </c>
      <c r="HB30" s="5">
        <f t="shared" si="225"/>
        <v>126.83846522948284</v>
      </c>
      <c r="HC30" s="343">
        <f t="shared" si="226"/>
        <v>47.829884312035112</v>
      </c>
      <c r="HD30" s="363">
        <f t="shared" si="227"/>
        <v>-63.846119760929945</v>
      </c>
      <c r="HE30" s="344">
        <f t="shared" si="58"/>
        <v>1065</v>
      </c>
      <c r="HF30" s="5">
        <f t="shared" si="59"/>
        <v>216.83846522948284</v>
      </c>
      <c r="HG30" s="343">
        <f t="shared" si="228"/>
        <v>-852.3504266345717</v>
      </c>
      <c r="HH30" s="349">
        <f t="shared" si="229"/>
        <v>-638.53249738432555</v>
      </c>
      <c r="HI30" s="317">
        <f t="shared" si="60"/>
        <v>3.1080000000000001</v>
      </c>
      <c r="HJ30" s="336"/>
      <c r="HK30" s="310">
        <f t="shared" si="130"/>
        <v>22</v>
      </c>
      <c r="HL30" s="348">
        <f t="shared" si="61"/>
        <v>2.1219999999999999</v>
      </c>
      <c r="HM30" s="935">
        <f t="shared" si="62"/>
        <v>2.3654538960768203</v>
      </c>
      <c r="HN30" s="936">
        <f t="shared" si="63"/>
        <v>15.599997747638966</v>
      </c>
      <c r="HO30" s="937"/>
      <c r="HP30" s="938"/>
      <c r="HQ30" s="936">
        <f t="shared" si="64"/>
        <v>15.040692211338591</v>
      </c>
      <c r="HR30" s="939">
        <f t="shared" si="65"/>
        <v>14.870455770325353</v>
      </c>
      <c r="HS30" s="940">
        <f t="shared" si="249"/>
        <v>3.855</v>
      </c>
      <c r="HT30" s="941">
        <f t="shared" si="66"/>
        <v>1.4200000000000001E-2</v>
      </c>
      <c r="HU30" s="942">
        <f t="shared" si="67"/>
        <v>0.3439547524888612</v>
      </c>
      <c r="HV30" s="943">
        <f t="shared" si="68"/>
        <v>1.9055250934868734E-2</v>
      </c>
      <c r="HW30" s="944">
        <f t="shared" si="69"/>
        <v>30000</v>
      </c>
      <c r="HX30" s="947">
        <f t="shared" si="70"/>
        <v>136.85249999999999</v>
      </c>
      <c r="HY30" s="952">
        <f t="shared" si="71"/>
        <v>35.520577739887223</v>
      </c>
      <c r="HZ30" s="953">
        <f t="shared" si="72"/>
        <v>859.88688122215297</v>
      </c>
      <c r="IA30" s="954">
        <f t="shared" si="73"/>
        <v>228.51820726836476</v>
      </c>
      <c r="IB30" s="955">
        <f t="shared" si="74"/>
        <v>1123.9256662304049</v>
      </c>
      <c r="IC30" s="842">
        <f t="shared" si="75"/>
        <v>17.597391526296171</v>
      </c>
      <c r="ID30" s="351">
        <f t="shared" si="76"/>
        <v>426</v>
      </c>
      <c r="IE30" s="844">
        <f t="shared" si="77"/>
        <v>113.21111930206689</v>
      </c>
      <c r="IF30" s="845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0"/>
        <v>3.1080000000000001</v>
      </c>
      <c r="IJ30" s="96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8"/>
        <v>1613</v>
      </c>
      <c r="IM30" s="482" t="str">
        <f t="shared" si="231"/>
        <v/>
      </c>
      <c r="IN30" s="670" t="str">
        <f t="shared" si="80"/>
        <v/>
      </c>
      <c r="IO30" s="702"/>
      <c r="IP30" s="5" t="str">
        <f t="shared" si="81"/>
        <v/>
      </c>
      <c r="IQ30" s="714"/>
      <c r="IR30" s="9" t="str">
        <f t="shared" si="131"/>
        <v/>
      </c>
      <c r="IS30" s="5" t="str">
        <f t="shared" si="82"/>
        <v/>
      </c>
      <c r="IT30" s="5" t="str">
        <f t="shared" si="83"/>
        <v/>
      </c>
      <c r="IU30" s="5" t="str">
        <f t="shared" si="84"/>
        <v/>
      </c>
      <c r="IV30" s="670" t="str">
        <f t="shared" si="85"/>
        <v/>
      </c>
      <c r="IW30" s="9" t="str">
        <f t="shared" si="86"/>
        <v/>
      </c>
      <c r="IX30" s="5" t="str">
        <f t="shared" si="87"/>
        <v/>
      </c>
      <c r="IY30" s="5" t="str">
        <f t="shared" si="88"/>
        <v/>
      </c>
      <c r="IZ30" s="5" t="str">
        <f t="shared" si="89"/>
        <v/>
      </c>
      <c r="JA30" s="705" t="str">
        <f t="shared" si="90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</v>
      </c>
      <c r="B31" s="578">
        <f t="shared" ref="B31:D31" si="288">IFERROR(O186+($A31*-E31),"")</f>
        <v>2.2250694087115246</v>
      </c>
      <c r="C31" s="572">
        <f t="shared" si="288"/>
        <v>-1.5580103730196322</v>
      </c>
      <c r="D31" s="576">
        <f t="shared" si="288"/>
        <v>-4.5600137530014795E-2</v>
      </c>
      <c r="E31" s="580">
        <f t="shared" ref="E31:K31" si="289">R186</f>
        <v>0.53924308308411939</v>
      </c>
      <c r="F31" s="572">
        <f t="shared" si="289"/>
        <v>0.80159564360216939</v>
      </c>
      <c r="G31" s="579">
        <f t="shared" si="289"/>
        <v>0.25818853867659863</v>
      </c>
      <c r="H31" s="580">
        <f t="shared" si="289"/>
        <v>0.3125</v>
      </c>
      <c r="I31" s="572">
        <f t="shared" si="289"/>
        <v>0.52</v>
      </c>
      <c r="J31" s="483">
        <f t="shared" si="92"/>
        <v>3.113</v>
      </c>
      <c r="K31" s="806">
        <f t="shared" si="289"/>
        <v>1613</v>
      </c>
      <c r="L31" s="309"/>
      <c r="M31" s="164">
        <f t="shared" si="4"/>
        <v>3.113</v>
      </c>
      <c r="N31" s="575">
        <f t="shared" si="5"/>
        <v>2.2250694087115246</v>
      </c>
      <c r="O31" s="572">
        <f t="shared" si="6"/>
        <v>-1.5580103730196322</v>
      </c>
      <c r="P31" s="576">
        <f t="shared" si="7"/>
        <v>-4.5600137530014795E-2</v>
      </c>
      <c r="Q31" s="528">
        <f t="shared" si="134"/>
        <v>325</v>
      </c>
      <c r="R31" s="572">
        <f>IF(M31="","",SQRT(N31^2+O31^2))</f>
        <v>2.7163081923855081</v>
      </c>
      <c r="S31" s="577">
        <f>IF(M31="","",P31)</f>
        <v>-4.5600137530014795E-2</v>
      </c>
      <c r="T31" s="578">
        <f>IF(M31="","",X31*COS(RADIANS(W31)))</f>
        <v>-1.5576220014751521</v>
      </c>
      <c r="U31" s="572">
        <f>IF(M31="","",X31*SIN(RADIANS(W31)))</f>
        <v>-2.2253412988890422</v>
      </c>
      <c r="V31" s="579">
        <f>IF(M31="","",Y31)</f>
        <v>-4.5600137530014795E-2</v>
      </c>
      <c r="W31" s="528">
        <f t="shared" si="256"/>
        <v>235.00999999855617</v>
      </c>
      <c r="X31" s="572">
        <f>IF(M31="","",R31)</f>
        <v>2.7163081923855081</v>
      </c>
      <c r="Y31" s="573">
        <f t="shared" si="259"/>
        <v>-4.5600137530014795E-2</v>
      </c>
      <c r="Z31" s="575">
        <f t="shared" si="10"/>
        <v>-0.53924308308411939</v>
      </c>
      <c r="AA31" s="572">
        <f t="shared" si="11"/>
        <v>-0.80159564360216939</v>
      </c>
      <c r="AB31" s="572">
        <f t="shared" si="12"/>
        <v>-0.25818853867659863</v>
      </c>
      <c r="AC31" s="579">
        <f>IF(M31="","",SQRT(Z31^2+AA31^2+AB31^2))</f>
        <v>1</v>
      </c>
      <c r="AD31" s="580">
        <f>IF(M31="","",Z31*(1/SQRT(Z31^2+AA31^2+AB31^2)))</f>
        <v>-0.53924308308411939</v>
      </c>
      <c r="AE31" s="572">
        <f>IF(M31="","",AA31*(1/SQRT(Z31^2+AA31^2+AB31^2)))</f>
        <v>-0.80159564360216939</v>
      </c>
      <c r="AF31" s="576">
        <f>IF(M31="","",AB31*(1/SQRT(Z31^2+AA31^2+AB31^2)))</f>
        <v>-0.25818853867659863</v>
      </c>
      <c r="AG31" s="545">
        <f>IF(M31="","",DEGREES(ATAN2(-AF31,AE31)))</f>
        <v>-72.146601151506744</v>
      </c>
      <c r="AH31" s="546">
        <f>IF(M31="","",DEGREES(ACOS(AD31)))</f>
        <v>122.63212708615011</v>
      </c>
      <c r="AI31" s="528">
        <f>IF(M31="","",DEGREES(-ACOS(-AF31)))</f>
        <v>-75.037396454335777</v>
      </c>
      <c r="AJ31" s="529">
        <f>IF(M31="","",DEGREES(ATAN2(-AE31,AD31)))</f>
        <v>-33.929198655917048</v>
      </c>
      <c r="AK31" s="578">
        <f>IF(M31="","",(COS(RADIANS((90-$Q$8)-W31))*AD31)+(-SIN(RADIANS((90-$Q$8)-W31))*AE31))</f>
        <v>0.96592583607220739</v>
      </c>
      <c r="AL31" s="572">
        <f>IF(M31="","",(SIN(RADIANS((90-$Q$8)-W31))*AD31)+(COS(RADIANS((90-$Q$8)-W31))*AE31))</f>
        <v>1.8054298774800859E-2</v>
      </c>
      <c r="AM31" s="577">
        <f>IF(M31="","",AF31)</f>
        <v>-0.25818853867659863</v>
      </c>
      <c r="AN31" s="524">
        <f>IF(M31="","",DEGREES(ATAN2(-AM31,AL31)))</f>
        <v>3.9999994224715376</v>
      </c>
      <c r="AO31" s="525">
        <f t="shared" si="108"/>
        <v>14.999997834268255</v>
      </c>
      <c r="AP31" s="528">
        <f>IF(M31="","",DEGREES(ATAN2(AK31,AL31)))</f>
        <v>1.0708013440829691</v>
      </c>
      <c r="AQ31" s="529">
        <f t="shared" si="13"/>
        <v>0.51526126166861608</v>
      </c>
      <c r="AS31" s="900">
        <f t="shared" si="137"/>
        <v>-124.99000000144383</v>
      </c>
      <c r="AT31" s="896">
        <f t="shared" si="14"/>
        <v>7.6944361133960693E-3</v>
      </c>
      <c r="AU31" s="418"/>
      <c r="AV31" s="164">
        <f t="shared" si="15"/>
        <v>3.113</v>
      </c>
      <c r="AW31" s="829">
        <f>IFERROR(INDEX(MassProp!C$9:C$150,MATCH($M31,MassProp!$B$9:$B$150,0)),"")</f>
        <v>2.6654</v>
      </c>
      <c r="AX31" s="830">
        <f>IFERROR(INDEX(MassProp!D$9:D$150,MATCH($M31,MassProp!$B$9:$B$150,0)),"")</f>
        <v>0.4022</v>
      </c>
      <c r="AY31" s="831">
        <f>IFERROR(INDEX(MassProp!E$9:E$150,MATCH($M31,MassProp!$B$9:$B$150,0)),"")</f>
        <v>2.8000000000000001E-2</v>
      </c>
      <c r="AZ31" s="297">
        <f t="shared" si="138"/>
        <v>0.46894135301061901</v>
      </c>
      <c r="BA31" s="296">
        <f t="shared" si="16"/>
        <v>2.5979565889683667E-2</v>
      </c>
      <c r="BB31" s="190">
        <f t="shared" si="139"/>
        <v>0.24101719179358067</v>
      </c>
      <c r="BC31" s="9"/>
      <c r="BD31" s="5">
        <f t="shared" si="235"/>
        <v>2.6654</v>
      </c>
      <c r="BE31" s="6">
        <f t="shared" si="17"/>
        <v>0.19541705426356587</v>
      </c>
      <c r="BF31" s="4">
        <f t="shared" si="18"/>
        <v>2.2250694087115246</v>
      </c>
      <c r="BG31" s="5">
        <f t="shared" si="19"/>
        <v>-1.5580103730196322</v>
      </c>
      <c r="BH31" s="10">
        <f t="shared" si="20"/>
        <v>-4.5600137530014795E-2</v>
      </c>
      <c r="BI31" s="9">
        <f t="shared" si="140"/>
        <v>2.2250694087115246</v>
      </c>
      <c r="BJ31" s="5">
        <f t="shared" si="21"/>
        <v>-1.2514278299475838</v>
      </c>
      <c r="BK31" s="8">
        <f t="shared" si="22"/>
        <v>-0.99744421314506826</v>
      </c>
      <c r="BL31" s="173">
        <f t="shared" si="23"/>
        <v>3.067219571892613</v>
      </c>
      <c r="BM31" s="5">
        <f t="shared" si="24"/>
        <v>-2.0712857069696473</v>
      </c>
      <c r="BN31" s="6">
        <f t="shared" si="25"/>
        <v>-0.21092265327595597</v>
      </c>
      <c r="BO31" s="4">
        <f t="shared" si="141"/>
        <v>-0.53924308308411928</v>
      </c>
      <c r="BP31" s="5">
        <f t="shared" si="142"/>
        <v>-0.80159564360216917</v>
      </c>
      <c r="BQ31" s="5">
        <f t="shared" si="143"/>
        <v>-0.25818853867659874</v>
      </c>
      <c r="BR31" s="6">
        <f t="shared" si="144"/>
        <v>-6.0814472542093718E-2</v>
      </c>
      <c r="BS31" s="4">
        <f t="shared" si="110"/>
        <v>0</v>
      </c>
      <c r="BT31" s="5">
        <f t="shared" si="110"/>
        <v>0</v>
      </c>
      <c r="BU31" s="10">
        <f t="shared" si="111"/>
        <v>0.19541705426356587</v>
      </c>
      <c r="BV31" s="9">
        <f t="shared" si="112"/>
        <v>0</v>
      </c>
      <c r="BW31" s="5">
        <f t="shared" si="113"/>
        <v>1</v>
      </c>
      <c r="BX31" s="8">
        <f t="shared" si="114"/>
        <v>0.19541705426356587</v>
      </c>
      <c r="BY31" s="173">
        <f t="shared" si="115"/>
        <v>1</v>
      </c>
      <c r="BZ31" s="5">
        <f t="shared" si="116"/>
        <v>0</v>
      </c>
      <c r="CA31" s="6">
        <f t="shared" si="117"/>
        <v>0.19541705426356587</v>
      </c>
      <c r="CB31" s="4">
        <f t="shared" si="145"/>
        <v>0</v>
      </c>
      <c r="CC31" s="5">
        <f t="shared" si="146"/>
        <v>0</v>
      </c>
      <c r="CD31" s="5">
        <f t="shared" si="147"/>
        <v>-1</v>
      </c>
      <c r="CE31" s="6">
        <f t="shared" si="148"/>
        <v>0.19541705426356587</v>
      </c>
      <c r="CF31" s="4">
        <f t="shared" si="149"/>
        <v>0.80159564360216917</v>
      </c>
      <c r="CG31" s="5">
        <f t="shared" si="150"/>
        <v>-0.53924308308411928</v>
      </c>
      <c r="CH31" s="5">
        <f t="shared" si="151"/>
        <v>0</v>
      </c>
      <c r="CI31" s="4">
        <f t="shared" si="118"/>
        <v>0</v>
      </c>
      <c r="CJ31" s="5">
        <f t="shared" si="119"/>
        <v>-0.13880928258900568</v>
      </c>
      <c r="CK31" s="8">
        <f t="shared" si="120"/>
        <v>0.19541705426356587</v>
      </c>
      <c r="CL31" s="173">
        <f t="shared" si="121"/>
        <v>0.80159564360216917</v>
      </c>
      <c r="CM31" s="5">
        <f t="shared" si="122"/>
        <v>-0.67805236567312499</v>
      </c>
      <c r="CN31" s="6">
        <f t="shared" si="123"/>
        <v>0.19541705426356587</v>
      </c>
      <c r="CO31" s="167">
        <f t="shared" si="26"/>
        <v>0.3125</v>
      </c>
      <c r="CP31" s="4">
        <f t="shared" si="236"/>
        <v>0.93333867849604224</v>
      </c>
      <c r="CQ31" s="5">
        <f t="shared" si="237"/>
        <v>-5.097800632511535</v>
      </c>
      <c r="CR31" s="5">
        <f t="shared" si="152"/>
        <v>6.9254986454033958</v>
      </c>
      <c r="CS31" s="8">
        <f t="shared" si="153"/>
        <v>0.13222827432726092</v>
      </c>
      <c r="CT31" s="9">
        <f t="shared" si="154"/>
        <v>2.9257507576481419</v>
      </c>
      <c r="CU31" s="6">
        <f t="shared" si="155"/>
        <v>2.5361472113999199</v>
      </c>
      <c r="CV31" s="4">
        <f t="shared" si="238"/>
        <v>2.3452690615964964</v>
      </c>
      <c r="CW31" s="5">
        <f t="shared" si="156"/>
        <v>-1.7165001414788876</v>
      </c>
      <c r="CX31" s="8">
        <f t="shared" si="157"/>
        <v>0.19541705426356587</v>
      </c>
      <c r="CY31" s="9">
        <f t="shared" si="158"/>
        <v>2.0329645561919656</v>
      </c>
      <c r="CZ31" s="5">
        <f t="shared" si="159"/>
        <v>-1.5064091240194901</v>
      </c>
      <c r="DA31" s="6">
        <f t="shared" si="160"/>
        <v>0.19541705426356587</v>
      </c>
      <c r="DB31" s="4">
        <f t="shared" si="161"/>
        <v>0</v>
      </c>
      <c r="DC31" s="5">
        <f t="shared" si="161"/>
        <v>0</v>
      </c>
      <c r="DD31" s="10">
        <f t="shared" si="162"/>
        <v>-10</v>
      </c>
      <c r="DE31" s="9">
        <f t="shared" si="163"/>
        <v>0</v>
      </c>
      <c r="DF31" s="5">
        <f t="shared" si="163"/>
        <v>0</v>
      </c>
      <c r="DG31" s="10">
        <f t="shared" si="164"/>
        <v>10</v>
      </c>
      <c r="DH31" s="70">
        <f t="shared" si="165"/>
        <v>2.6654</v>
      </c>
      <c r="DI31" s="4">
        <f t="shared" si="166"/>
        <v>0</v>
      </c>
      <c r="DJ31" s="5">
        <f t="shared" si="167"/>
        <v>0</v>
      </c>
      <c r="DK31" s="10">
        <f t="shared" si="168"/>
        <v>20</v>
      </c>
      <c r="DL31" s="9">
        <f t="shared" si="169"/>
        <v>2.3452690615964964</v>
      </c>
      <c r="DM31" s="173">
        <f t="shared" si="170"/>
        <v>-1.7165001414788876</v>
      </c>
      <c r="DN31" s="178">
        <f t="shared" si="171"/>
        <v>10.195417054263565</v>
      </c>
      <c r="DO31" s="9">
        <f t="shared" si="172"/>
        <v>-0.31230450540453081</v>
      </c>
      <c r="DP31" s="173">
        <f t="shared" si="173"/>
        <v>0.21009101745939751</v>
      </c>
      <c r="DQ31" s="11">
        <f t="shared" si="174"/>
        <v>0</v>
      </c>
      <c r="DR31" s="173">
        <f t="shared" si="175"/>
        <v>203.9083410852713</v>
      </c>
      <c r="DS31" s="5">
        <f t="shared" si="176"/>
        <v>0</v>
      </c>
      <c r="DT31" s="5">
        <f t="shared" si="177"/>
        <v>400</v>
      </c>
      <c r="DU31" s="5">
        <f t="shared" si="178"/>
        <v>0.14167233971309348</v>
      </c>
      <c r="DV31" s="5">
        <f t="shared" si="179"/>
        <v>-1.0930593555149413</v>
      </c>
      <c r="DW31" s="5">
        <f t="shared" si="180"/>
        <v>112.39318861734711</v>
      </c>
      <c r="DX31" s="167">
        <f t="shared" si="181"/>
        <v>105.2888314573471</v>
      </c>
      <c r="DY31" s="9">
        <f t="shared" si="182"/>
        <v>56.668935885237396</v>
      </c>
      <c r="DZ31" s="5">
        <f t="shared" si="183"/>
        <v>-437.22374220597652</v>
      </c>
      <c r="EA31" s="10">
        <f t="shared" si="184"/>
        <v>536.92101879149413</v>
      </c>
      <c r="EB31" s="6">
        <f t="shared" si="185"/>
        <v>160737.85795926669</v>
      </c>
      <c r="EC31" s="173">
        <f t="shared" si="186"/>
        <v>14.790201909717837</v>
      </c>
      <c r="ED31" s="5">
        <f t="shared" si="187"/>
        <v>0.64060635855162185</v>
      </c>
      <c r="EE31" s="4">
        <f t="shared" si="188"/>
        <v>-2.2737776306510793</v>
      </c>
      <c r="EF31" s="5">
        <f t="shared" si="189"/>
        <v>1.3907884261636569</v>
      </c>
      <c r="EG31" s="10">
        <f t="shared" si="190"/>
        <v>0.19541705426356587</v>
      </c>
      <c r="EH31" s="9">
        <f t="shared" si="191"/>
        <v>2.1452048096300347</v>
      </c>
      <c r="EI31" s="5">
        <f t="shared" si="192"/>
        <v>-1.5819144998198178</v>
      </c>
      <c r="EJ31" s="6">
        <f t="shared" si="193"/>
        <v>0.19541705426356587</v>
      </c>
      <c r="EK31" s="236" t="b">
        <f t="shared" si="194"/>
        <v>0</v>
      </c>
      <c r="EL31" s="238" t="b">
        <f t="shared" si="195"/>
        <v>1</v>
      </c>
      <c r="EM31" s="4">
        <f t="shared" si="196"/>
        <v>2.1452048096300347</v>
      </c>
      <c r="EN31" s="5">
        <f t="shared" si="197"/>
        <v>-1.5819144998198178</v>
      </c>
      <c r="EO31" s="10">
        <f t="shared" si="198"/>
        <v>0.19541705426356587</v>
      </c>
      <c r="EP31" s="9">
        <f t="shared" si="199"/>
        <v>323.59423647568053</v>
      </c>
      <c r="EQ31" s="5">
        <f t="shared" si="200"/>
        <v>2.6654000000000031</v>
      </c>
      <c r="ER31" s="7">
        <f t="shared" si="201"/>
        <v>0.19541705426356587</v>
      </c>
      <c r="ES31" s="21">
        <f t="shared" si="124"/>
        <v>-0.53924308308411939</v>
      </c>
      <c r="ET31" s="5">
        <f t="shared" si="35"/>
        <v>-0.80159564360216939</v>
      </c>
      <c r="EU31" s="10">
        <f t="shared" si="36"/>
        <v>-0.25818853867659863</v>
      </c>
      <c r="EV31" s="174">
        <f t="shared" si="252"/>
        <v>126.40576352431947</v>
      </c>
      <c r="EW31" s="9">
        <f t="shared" si="125"/>
        <v>0.96519219707817394</v>
      </c>
      <c r="EX31" s="5">
        <f t="shared" si="37"/>
        <v>4.1745672775151621E-2</v>
      </c>
      <c r="EY31" s="6">
        <f t="shared" si="202"/>
        <v>-0.25818853867659863</v>
      </c>
      <c r="EZ31" s="51">
        <f t="shared" si="203"/>
        <v>0.52510202268522876</v>
      </c>
      <c r="FA31" s="266">
        <f t="shared" si="126"/>
        <v>-0.59347492517513145</v>
      </c>
      <c r="FB31" s="267">
        <f t="shared" si="127"/>
        <v>-0.80480029990592228</v>
      </c>
      <c r="FC31" s="269">
        <f t="shared" si="38"/>
        <v>-9.164630909629606E-3</v>
      </c>
      <c r="FD31" s="4">
        <f t="shared" si="128"/>
        <v>0.99995800388830847</v>
      </c>
      <c r="FE31" s="5">
        <f t="shared" si="39"/>
        <v>-2.7755575615628914E-16</v>
      </c>
      <c r="FF31" s="7">
        <f t="shared" si="204"/>
        <v>-9.164630909629606E-3</v>
      </c>
      <c r="FG31" s="173">
        <f t="shared" si="205"/>
        <v>-3.4765806810134525E-2</v>
      </c>
      <c r="FH31" s="5">
        <f t="shared" si="40"/>
        <v>4.1745672775151899E-2</v>
      </c>
      <c r="FI31" s="10">
        <f t="shared" si="41"/>
        <v>-0.24902390776696903</v>
      </c>
      <c r="FJ31" s="279">
        <f t="shared" si="206"/>
        <v>14.643420795303198</v>
      </c>
      <c r="FK31" s="4">
        <f t="shared" si="42"/>
        <v>0.96609454945985629</v>
      </c>
      <c r="FL31" s="5">
        <f t="shared" si="207"/>
        <v>0.99995800388830847</v>
      </c>
      <c r="FM31" s="8">
        <f t="shared" si="208"/>
        <v>5.4326444008508917E-2</v>
      </c>
      <c r="FN31" s="9">
        <f t="shared" si="209"/>
        <v>2.4765648684024546</v>
      </c>
      <c r="FO31" s="10">
        <f t="shared" si="43"/>
        <v>-1</v>
      </c>
      <c r="FP31" s="277">
        <f t="shared" si="44"/>
        <v>-2.4765648684024546</v>
      </c>
      <c r="FQ31" s="173">
        <f t="shared" si="239"/>
        <v>4.3210752817612288E-2</v>
      </c>
      <c r="FR31" s="10">
        <f t="shared" si="210"/>
        <v>0.99906597922306173</v>
      </c>
      <c r="FS31" s="9">
        <f t="shared" si="211"/>
        <v>4.1458042273485214E-2</v>
      </c>
      <c r="FT31" s="6">
        <f t="shared" si="212"/>
        <v>0.95854195772651474</v>
      </c>
      <c r="FU31" s="4">
        <f t="shared" si="213"/>
        <v>0.99912826944519484</v>
      </c>
      <c r="FV31" s="5">
        <f t="shared" si="214"/>
        <v>1</v>
      </c>
      <c r="FW31" s="8">
        <f t="shared" si="240"/>
        <v>0.25143899451495483</v>
      </c>
      <c r="FX31" s="9">
        <f t="shared" si="241"/>
        <v>14.450861770912079</v>
      </c>
      <c r="FY31" s="10">
        <f t="shared" si="45"/>
        <v>1</v>
      </c>
      <c r="FZ31" s="277">
        <f t="shared" si="242"/>
        <v>14.450861770912079</v>
      </c>
      <c r="GA31" s="177">
        <f t="shared" si="215"/>
        <v>14.437532777251022</v>
      </c>
      <c r="GB31" s="4">
        <f t="shared" si="216"/>
        <v>4.1843651719055609E-2</v>
      </c>
      <c r="GC31" s="5">
        <f t="shared" si="217"/>
        <v>0.96745754593583611</v>
      </c>
      <c r="GD31" s="10">
        <f t="shared" si="218"/>
        <v>-0.24954960553489963</v>
      </c>
      <c r="GE31" s="311">
        <f t="shared" si="219"/>
        <v>1.2588508031897914</v>
      </c>
      <c r="GF31" s="341">
        <f t="shared" si="243"/>
        <v>0.79437531236116976</v>
      </c>
      <c r="GG31" s="285">
        <f t="shared" si="46"/>
        <v>3.3239563904656801E-2</v>
      </c>
      <c r="GH31" s="286">
        <f t="shared" si="47"/>
        <v>0.76852439024895058</v>
      </c>
      <c r="GI31" s="281">
        <f t="shared" si="48"/>
        <v>0.19823604584639259</v>
      </c>
      <c r="GJ31" s="167">
        <f t="shared" si="220"/>
        <v>2.6654</v>
      </c>
      <c r="GK31" s="174">
        <f t="shared" si="49"/>
        <v>1.3956587887220804</v>
      </c>
      <c r="GL31" s="174">
        <f t="shared" si="221"/>
        <v>2.8000000000000001E-2</v>
      </c>
      <c r="GM31" s="177">
        <f t="shared" si="244"/>
        <v>0.46894135301061901</v>
      </c>
      <c r="GN31" s="280">
        <f t="shared" si="222"/>
        <v>2.5979565889683667E-2</v>
      </c>
      <c r="GO31" s="4">
        <f t="shared" si="223"/>
        <v>-2.4765648684024546</v>
      </c>
      <c r="GP31" s="8">
        <f t="shared" si="245"/>
        <v>14.450861770912079</v>
      </c>
      <c r="GQ31" s="177">
        <f t="shared" si="224"/>
        <v>14.643420795303198</v>
      </c>
      <c r="GR31" s="371">
        <f t="shared" si="246"/>
        <v>1525.4602162291599</v>
      </c>
      <c r="GS31" s="342">
        <f t="shared" si="51"/>
        <v>50.70563234136074</v>
      </c>
      <c r="GT31" s="343">
        <f t="shared" si="52"/>
        <v>36.330966244112425</v>
      </c>
      <c r="GU31" s="344">
        <f t="shared" si="53"/>
        <v>1172.3533825265474</v>
      </c>
      <c r="GV31" s="343">
        <f t="shared" si="253"/>
        <v>840</v>
      </c>
      <c r="GW31" s="345">
        <f t="shared" si="129"/>
        <v>30000</v>
      </c>
      <c r="GX31" s="346">
        <f t="shared" si="54"/>
        <v>186.578</v>
      </c>
      <c r="GY31" s="344">
        <f t="shared" si="55"/>
        <v>302.40120136125171</v>
      </c>
      <c r="GZ31" s="345">
        <f t="shared" si="56"/>
        <v>216.67273104634839</v>
      </c>
      <c r="HA31" s="342">
        <f t="shared" si="57"/>
        <v>-50.70563234136074</v>
      </c>
      <c r="HB31" s="5">
        <f t="shared" si="225"/>
        <v>126.40576352431947</v>
      </c>
      <c r="HC31" s="343">
        <f t="shared" si="226"/>
        <v>30.093785181710494</v>
      </c>
      <c r="HD31" s="363">
        <f t="shared" si="227"/>
        <v>-40.809621960688517</v>
      </c>
      <c r="HE31" s="344">
        <f t="shared" si="58"/>
        <v>840</v>
      </c>
      <c r="HF31" s="5">
        <f t="shared" si="59"/>
        <v>216.40576352431947</v>
      </c>
      <c r="HG31" s="343">
        <f t="shared" si="228"/>
        <v>-676.06064383928378</v>
      </c>
      <c r="HH31" s="349">
        <f t="shared" si="229"/>
        <v>-498.53987388333644</v>
      </c>
      <c r="HI31" s="317">
        <f t="shared" si="60"/>
        <v>3.113</v>
      </c>
      <c r="HJ31" s="336"/>
      <c r="HK31" s="310">
        <f t="shared" si="130"/>
        <v>23</v>
      </c>
      <c r="HL31" s="348">
        <f t="shared" si="61"/>
        <v>1.123</v>
      </c>
      <c r="HM31" s="935">
        <f t="shared" si="62"/>
        <v>3.1720569438593782</v>
      </c>
      <c r="HN31" s="936">
        <f t="shared" si="63"/>
        <v>15.699997733200757</v>
      </c>
      <c r="HO31" s="937"/>
      <c r="HP31" s="938"/>
      <c r="HQ31" s="936">
        <f t="shared" si="64"/>
        <v>15.132254056997278</v>
      </c>
      <c r="HR31" s="939">
        <f t="shared" si="65"/>
        <v>14.826377098779473</v>
      </c>
      <c r="HS31" s="940">
        <f t="shared" si="249"/>
        <v>4.0247000000000002</v>
      </c>
      <c r="HT31" s="941">
        <f t="shared" si="66"/>
        <v>2.58E-2</v>
      </c>
      <c r="HU31" s="942">
        <f t="shared" si="67"/>
        <v>0.65244076412318952</v>
      </c>
      <c r="HV31" s="943">
        <f t="shared" si="68"/>
        <v>3.6145517369781062E-2</v>
      </c>
      <c r="HW31" s="944">
        <f t="shared" si="69"/>
        <v>30000</v>
      </c>
      <c r="HX31" s="947">
        <f t="shared" si="70"/>
        <v>259.59315000000004</v>
      </c>
      <c r="HY31" s="952">
        <f t="shared" si="71"/>
        <v>90.394803938015599</v>
      </c>
      <c r="HZ31" s="953">
        <f t="shared" si="72"/>
        <v>1631.1019103079736</v>
      </c>
      <c r="IA31" s="954">
        <f t="shared" si="73"/>
        <v>432.42166303754482</v>
      </c>
      <c r="IB31" s="955">
        <f t="shared" si="74"/>
        <v>2153.918377283534</v>
      </c>
      <c r="IC31" s="842">
        <f t="shared" si="75"/>
        <v>42.894670042298976</v>
      </c>
      <c r="ID31" s="351">
        <f t="shared" si="76"/>
        <v>774</v>
      </c>
      <c r="IE31" s="844">
        <f t="shared" si="77"/>
        <v>205.19525179629332</v>
      </c>
      <c r="IF31" s="845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0"/>
        <v>3.113</v>
      </c>
      <c r="IJ31" s="96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8"/>
        <v>1613</v>
      </c>
      <c r="IM31" s="482" t="str">
        <f t="shared" si="231"/>
        <v/>
      </c>
      <c r="IN31" s="670" t="str">
        <f t="shared" si="80"/>
        <v/>
      </c>
      <c r="IO31" s="702"/>
      <c r="IP31" s="5" t="str">
        <f t="shared" si="81"/>
        <v/>
      </c>
      <c r="IQ31" s="714"/>
      <c r="IR31" s="9" t="str">
        <f t="shared" si="131"/>
        <v/>
      </c>
      <c r="IS31" s="5" t="str">
        <f t="shared" si="82"/>
        <v/>
      </c>
      <c r="IT31" s="5" t="str">
        <f t="shared" si="83"/>
        <v/>
      </c>
      <c r="IU31" s="5" t="str">
        <f t="shared" si="84"/>
        <v/>
      </c>
      <c r="IV31" s="670" t="str">
        <f t="shared" si="85"/>
        <v/>
      </c>
      <c r="IW31" s="9" t="str">
        <f t="shared" si="86"/>
        <v/>
      </c>
      <c r="IX31" s="5" t="str">
        <f t="shared" si="87"/>
        <v/>
      </c>
      <c r="IY31" s="5" t="str">
        <f t="shared" si="88"/>
        <v/>
      </c>
      <c r="IZ31" s="5" t="str">
        <f t="shared" si="89"/>
        <v/>
      </c>
      <c r="JA31" s="705" t="str">
        <f t="shared" si="90"/>
        <v/>
      </c>
    </row>
    <row r="32" spans="1:271" ht="15" customHeight="1" x14ac:dyDescent="0.25">
      <c r="A32" s="75">
        <f t="shared" si="1"/>
        <v>0</v>
      </c>
      <c r="B32" s="578">
        <f t="shared" ref="B32:D32" si="290">IFERROR(O187+($A32*-E32),"")</f>
        <v>2.8337721629073664</v>
      </c>
      <c r="C32" s="572">
        <f t="shared" si="290"/>
        <v>-1.9908696379683377</v>
      </c>
      <c r="D32" s="576">
        <f t="shared" si="290"/>
        <v>-1.2200036795310976E-2</v>
      </c>
      <c r="E32" s="580">
        <f t="shared" ref="E32:K32" si="291">R187</f>
        <v>0.57344981741872236</v>
      </c>
      <c r="F32" s="572">
        <f t="shared" si="291"/>
        <v>0.77648846879063005</v>
      </c>
      <c r="G32" s="579">
        <f t="shared" si="291"/>
        <v>0.26119143312447451</v>
      </c>
      <c r="H32" s="580">
        <f t="shared" si="291"/>
        <v>0.3125</v>
      </c>
      <c r="I32" s="572">
        <f t="shared" si="291"/>
        <v>0.52</v>
      </c>
      <c r="J32" s="483">
        <f t="shared" si="92"/>
        <v>3.1190000000000002</v>
      </c>
      <c r="K32" s="806">
        <f t="shared" si="291"/>
        <v>1613</v>
      </c>
      <c r="L32" s="309"/>
      <c r="M32" s="164">
        <f t="shared" si="4"/>
        <v>3.1190000000000002</v>
      </c>
      <c r="N32" s="575">
        <f t="shared" si="5"/>
        <v>2.8337721629073664</v>
      </c>
      <c r="O32" s="572">
        <f t="shared" si="6"/>
        <v>-1.9908696379683377</v>
      </c>
      <c r="P32" s="576">
        <f t="shared" si="7"/>
        <v>-1.2200036795310976E-2</v>
      </c>
      <c r="Q32" s="528">
        <f t="shared" si="134"/>
        <v>324.91000001299437</v>
      </c>
      <c r="R32" s="572">
        <f t="shared" si="93"/>
        <v>3.4632104450427024</v>
      </c>
      <c r="S32" s="577">
        <f t="shared" si="94"/>
        <v>-1.2200036795310976E-2</v>
      </c>
      <c r="T32" s="578">
        <f t="shared" si="95"/>
        <v>-1.9903750211746476</v>
      </c>
      <c r="U32" s="572">
        <f t="shared" si="96"/>
        <v>-2.8341195919962328</v>
      </c>
      <c r="V32" s="579">
        <f t="shared" si="135"/>
        <v>-1.2200036795310976E-2</v>
      </c>
      <c r="W32" s="528">
        <f t="shared" si="256"/>
        <v>234.92000001155054</v>
      </c>
      <c r="X32" s="572">
        <f t="shared" si="97"/>
        <v>3.4632104450427024</v>
      </c>
      <c r="Y32" s="573">
        <f t="shared" si="259"/>
        <v>-1.2200036795310976E-2</v>
      </c>
      <c r="Z32" s="575">
        <f t="shared" si="10"/>
        <v>-0.57344981741872236</v>
      </c>
      <c r="AA32" s="572">
        <f t="shared" si="11"/>
        <v>-0.77648846879063005</v>
      </c>
      <c r="AB32" s="572">
        <f t="shared" si="12"/>
        <v>-0.26119143312447451</v>
      </c>
      <c r="AC32" s="579">
        <f t="shared" si="98"/>
        <v>1</v>
      </c>
      <c r="AD32" s="580">
        <f t="shared" si="136"/>
        <v>-0.57344981741872236</v>
      </c>
      <c r="AE32" s="572">
        <f t="shared" si="99"/>
        <v>-0.77648846879063005</v>
      </c>
      <c r="AF32" s="576">
        <f t="shared" si="100"/>
        <v>-0.26119143312447451</v>
      </c>
      <c r="AG32" s="545">
        <f t="shared" si="101"/>
        <v>-71.40833911543028</v>
      </c>
      <c r="AH32" s="546">
        <f t="shared" si="102"/>
        <v>124.99114408863552</v>
      </c>
      <c r="AI32" s="528">
        <f t="shared" si="103"/>
        <v>-74.859230687331703</v>
      </c>
      <c r="AJ32" s="529">
        <f t="shared" si="104"/>
        <v>-36.446492449965554</v>
      </c>
      <c r="AK32" s="578">
        <f t="shared" si="234"/>
        <v>0.96501650451497922</v>
      </c>
      <c r="AL32" s="572">
        <f t="shared" si="105"/>
        <v>-2.2851286092353096E-2</v>
      </c>
      <c r="AM32" s="577">
        <f t="shared" si="106"/>
        <v>-0.26119143312447451</v>
      </c>
      <c r="AN32" s="524">
        <f t="shared" si="107"/>
        <v>-4.9999992780893745</v>
      </c>
      <c r="AO32" s="525">
        <f t="shared" si="108"/>
        <v>15.199997805391808</v>
      </c>
      <c r="AP32" s="528">
        <f t="shared" si="109"/>
        <v>-1.3564924629599062</v>
      </c>
      <c r="AQ32" s="529">
        <f t="shared" si="13"/>
        <v>0.40414029934637785</v>
      </c>
      <c r="AS32" s="900">
        <f t="shared" si="137"/>
        <v>-125.07999998844946</v>
      </c>
      <c r="AT32" s="896">
        <f t="shared" si="14"/>
        <v>4.1132908935582906E-2</v>
      </c>
      <c r="AU32" s="418"/>
      <c r="AV32" s="164">
        <f t="shared" si="15"/>
        <v>3.1190000000000002</v>
      </c>
      <c r="AW32" s="829">
        <f>IFERROR(INDEX(MassProp!C$9:C$150,MATCH($M32,MassProp!$B$9:$B$150,0)),"")</f>
        <v>3.4861</v>
      </c>
      <c r="AX32" s="830">
        <f>IFERROR(INDEX(MassProp!D$9:D$150,MATCH($M32,MassProp!$B$9:$B$150,0)),"")</f>
        <v>0.43869999999999998</v>
      </c>
      <c r="AY32" s="831">
        <f>IFERROR(INDEX(MassProp!E$9:E$150,MATCH($M32,MassProp!$B$9:$B$150,0)),"")</f>
        <v>2.8400000000000002E-2</v>
      </c>
      <c r="AZ32" s="297">
        <f t="shared" si="138"/>
        <v>0.62208354194702831</v>
      </c>
      <c r="BA32" s="296">
        <f t="shared" si="16"/>
        <v>3.4463713347401552E-2</v>
      </c>
      <c r="BB32" s="190">
        <f t="shared" si="139"/>
        <v>0.2440787189713938</v>
      </c>
      <c r="BC32" s="9"/>
      <c r="BD32" s="5">
        <f t="shared" si="235"/>
        <v>3.4861</v>
      </c>
      <c r="BE32" s="6">
        <f t="shared" si="17"/>
        <v>0.23187868217608282</v>
      </c>
      <c r="BF32" s="4">
        <f t="shared" si="18"/>
        <v>2.8337721629073664</v>
      </c>
      <c r="BG32" s="5">
        <f t="shared" si="19"/>
        <v>-1.9908696379683377</v>
      </c>
      <c r="BH32" s="10">
        <f t="shared" si="20"/>
        <v>-1.2200036795310976E-2</v>
      </c>
      <c r="BI32" s="9">
        <f t="shared" si="140"/>
        <v>2.8337721629073664</v>
      </c>
      <c r="BJ32" s="5">
        <f t="shared" si="21"/>
        <v>-1.6720482750211967</v>
      </c>
      <c r="BK32" s="8">
        <f t="shared" si="22"/>
        <v>-0.96001485970563427</v>
      </c>
      <c r="BL32" s="173">
        <f t="shared" si="23"/>
        <v>3.6530128521449274</v>
      </c>
      <c r="BM32" s="5">
        <f t="shared" si="24"/>
        <v>-2.5343938751130213</v>
      </c>
      <c r="BN32" s="6">
        <f t="shared" si="25"/>
        <v>-0.19502808916653722</v>
      </c>
      <c r="BO32" s="4">
        <f t="shared" si="141"/>
        <v>-0.5734498174187227</v>
      </c>
      <c r="BP32" s="5">
        <f t="shared" si="142"/>
        <v>-0.77648846879063005</v>
      </c>
      <c r="BQ32" s="5">
        <f t="shared" si="143"/>
        <v>-0.26119143312447424</v>
      </c>
      <c r="BR32" s="6">
        <f t="shared" si="144"/>
        <v>7.5952267582959421E-2</v>
      </c>
      <c r="BS32" s="4">
        <f t="shared" si="110"/>
        <v>0</v>
      </c>
      <c r="BT32" s="5">
        <f t="shared" si="110"/>
        <v>0</v>
      </c>
      <c r="BU32" s="10">
        <f t="shared" si="111"/>
        <v>0.23187868217608282</v>
      </c>
      <c r="BV32" s="9">
        <f t="shared" si="112"/>
        <v>0</v>
      </c>
      <c r="BW32" s="5">
        <f t="shared" si="113"/>
        <v>1</v>
      </c>
      <c r="BX32" s="8">
        <f t="shared" si="114"/>
        <v>0.23187868217608282</v>
      </c>
      <c r="BY32" s="173">
        <f t="shared" si="115"/>
        <v>1</v>
      </c>
      <c r="BZ32" s="5">
        <f t="shared" si="116"/>
        <v>0</v>
      </c>
      <c r="CA32" s="6">
        <f t="shared" si="117"/>
        <v>0.23187868217608282</v>
      </c>
      <c r="CB32" s="4">
        <f t="shared" si="145"/>
        <v>0</v>
      </c>
      <c r="CC32" s="5">
        <f t="shared" si="146"/>
        <v>0</v>
      </c>
      <c r="CD32" s="5">
        <f t="shared" si="147"/>
        <v>-1</v>
      </c>
      <c r="CE32" s="6">
        <f t="shared" si="148"/>
        <v>0.23187868217608282</v>
      </c>
      <c r="CF32" s="4">
        <f t="shared" si="149"/>
        <v>0.77648846879063005</v>
      </c>
      <c r="CG32" s="5">
        <f t="shared" si="150"/>
        <v>-0.5734498174187227</v>
      </c>
      <c r="CH32" s="5">
        <f t="shared" si="151"/>
        <v>0</v>
      </c>
      <c r="CI32" s="4">
        <f t="shared" si="118"/>
        <v>0</v>
      </c>
      <c r="CJ32" s="5">
        <f t="shared" si="119"/>
        <v>1.9816832950964165E-2</v>
      </c>
      <c r="CK32" s="8">
        <f t="shared" si="120"/>
        <v>0.23187868217608282</v>
      </c>
      <c r="CL32" s="173">
        <f t="shared" si="121"/>
        <v>0.77648846879063005</v>
      </c>
      <c r="CM32" s="5">
        <f t="shared" si="122"/>
        <v>-0.55363298446775855</v>
      </c>
      <c r="CN32" s="6">
        <f t="shared" si="123"/>
        <v>0.23187868217608282</v>
      </c>
      <c r="CO32" s="167">
        <f t="shared" si="26"/>
        <v>0.3125</v>
      </c>
      <c r="CP32" s="4">
        <f t="shared" si="236"/>
        <v>0.93177903526238359</v>
      </c>
      <c r="CQ32" s="5">
        <f t="shared" si="237"/>
        <v>-6.7068383946248451</v>
      </c>
      <c r="CR32" s="5">
        <f t="shared" si="152"/>
        <v>12.035042926661326</v>
      </c>
      <c r="CS32" s="8">
        <f t="shared" si="153"/>
        <v>0.12567850143051373</v>
      </c>
      <c r="CT32" s="9">
        <f t="shared" si="154"/>
        <v>3.789176277490629</v>
      </c>
      <c r="CU32" s="6">
        <f t="shared" si="155"/>
        <v>3.4087087798140123</v>
      </c>
      <c r="CV32" s="4">
        <f t="shared" si="238"/>
        <v>2.942251685686478</v>
      </c>
      <c r="CW32" s="5">
        <f t="shared" si="156"/>
        <v>-2.1530856115433923</v>
      </c>
      <c r="CX32" s="8">
        <f t="shared" si="157"/>
        <v>0.23187868217608282</v>
      </c>
      <c r="CY32" s="9">
        <f t="shared" si="158"/>
        <v>2.6468230609909593</v>
      </c>
      <c r="CZ32" s="5">
        <f t="shared" si="159"/>
        <v>-1.9349065944669781</v>
      </c>
      <c r="DA32" s="6">
        <f t="shared" si="160"/>
        <v>0.23187868217608282</v>
      </c>
      <c r="DB32" s="4">
        <f t="shared" si="161"/>
        <v>0</v>
      </c>
      <c r="DC32" s="5">
        <f t="shared" si="161"/>
        <v>0</v>
      </c>
      <c r="DD32" s="10">
        <f t="shared" si="162"/>
        <v>-10</v>
      </c>
      <c r="DE32" s="9">
        <f t="shared" si="163"/>
        <v>0</v>
      </c>
      <c r="DF32" s="5">
        <f t="shared" si="163"/>
        <v>0</v>
      </c>
      <c r="DG32" s="10">
        <f t="shared" si="164"/>
        <v>10</v>
      </c>
      <c r="DH32" s="70">
        <f t="shared" si="165"/>
        <v>3.4861</v>
      </c>
      <c r="DI32" s="4">
        <f t="shared" si="166"/>
        <v>0</v>
      </c>
      <c r="DJ32" s="5">
        <f t="shared" si="167"/>
        <v>0</v>
      </c>
      <c r="DK32" s="10">
        <f t="shared" si="168"/>
        <v>20</v>
      </c>
      <c r="DL32" s="9">
        <f t="shared" si="169"/>
        <v>2.942251685686478</v>
      </c>
      <c r="DM32" s="173">
        <f t="shared" si="170"/>
        <v>-2.1530856115433923</v>
      </c>
      <c r="DN32" s="178">
        <f t="shared" si="171"/>
        <v>10.231878682176083</v>
      </c>
      <c r="DO32" s="9">
        <f t="shared" si="172"/>
        <v>-0.29542862469551867</v>
      </c>
      <c r="DP32" s="173">
        <f t="shared" si="173"/>
        <v>0.21817901707641418</v>
      </c>
      <c r="DQ32" s="11">
        <f t="shared" si="174"/>
        <v>0</v>
      </c>
      <c r="DR32" s="173">
        <f t="shared" si="175"/>
        <v>204.63757364352165</v>
      </c>
      <c r="DS32" s="5">
        <f t="shared" si="176"/>
        <v>0</v>
      </c>
      <c r="DT32" s="5">
        <f t="shared" si="177"/>
        <v>400</v>
      </c>
      <c r="DU32" s="5">
        <f t="shared" si="178"/>
        <v>0.13488015578191587</v>
      </c>
      <c r="DV32" s="5">
        <f t="shared" si="179"/>
        <v>-1.3389834714183351</v>
      </c>
      <c r="DW32" s="5">
        <f t="shared" si="180"/>
        <v>117.98396399932949</v>
      </c>
      <c r="DX32" s="167">
        <f t="shared" si="181"/>
        <v>105.83107078932949</v>
      </c>
      <c r="DY32" s="9">
        <f t="shared" si="182"/>
        <v>53.952062312766344</v>
      </c>
      <c r="DZ32" s="5">
        <f t="shared" si="183"/>
        <v>-535.59338856733405</v>
      </c>
      <c r="EA32" s="10">
        <f t="shared" si="184"/>
        <v>455.89176902405598</v>
      </c>
      <c r="EB32" s="6">
        <f t="shared" si="185"/>
        <v>262263.97674677614</v>
      </c>
      <c r="EC32" s="173">
        <f t="shared" si="186"/>
        <v>19.419286215281769</v>
      </c>
      <c r="ED32" s="5">
        <f t="shared" si="187"/>
        <v>0.43513141429603164</v>
      </c>
      <c r="EE32" s="4">
        <f t="shared" si="188"/>
        <v>-2.7947613334628585</v>
      </c>
      <c r="EF32" s="5">
        <f t="shared" si="189"/>
        <v>2.0837951672323434</v>
      </c>
      <c r="EG32" s="10">
        <f t="shared" si="190"/>
        <v>0.23187868217608282</v>
      </c>
      <c r="EH32" s="9">
        <f t="shared" si="191"/>
        <v>2.8137014103991853</v>
      </c>
      <c r="EI32" s="5">
        <f t="shared" si="192"/>
        <v>-2.0581490672732143</v>
      </c>
      <c r="EJ32" s="6">
        <f t="shared" si="193"/>
        <v>0.23187868217608282</v>
      </c>
      <c r="EK32" s="236" t="b">
        <f t="shared" si="194"/>
        <v>0</v>
      </c>
      <c r="EL32" s="238" t="b">
        <f t="shared" si="195"/>
        <v>1</v>
      </c>
      <c r="EM32" s="4">
        <f t="shared" si="196"/>
        <v>2.8137014103991853</v>
      </c>
      <c r="EN32" s="5">
        <f t="shared" si="197"/>
        <v>-2.0581490672732143</v>
      </c>
      <c r="EO32" s="10">
        <f t="shared" si="198"/>
        <v>0.23187868217608282</v>
      </c>
      <c r="EP32" s="9">
        <f t="shared" si="199"/>
        <v>323.8155050195785</v>
      </c>
      <c r="EQ32" s="5">
        <f t="shared" si="200"/>
        <v>3.4860999999999951</v>
      </c>
      <c r="ER32" s="7">
        <f t="shared" si="201"/>
        <v>0.23187868217608282</v>
      </c>
      <c r="ES32" s="21">
        <f t="shared" si="124"/>
        <v>-0.57344981741872236</v>
      </c>
      <c r="ET32" s="5">
        <f t="shared" si="35"/>
        <v>-0.77648846879063005</v>
      </c>
      <c r="EU32" s="10">
        <f t="shared" si="36"/>
        <v>-0.26119143312447451</v>
      </c>
      <c r="EV32" s="174">
        <f t="shared" si="252"/>
        <v>126.1844949804215</v>
      </c>
      <c r="EW32" s="9">
        <f t="shared" si="125"/>
        <v>0.96527693027831751</v>
      </c>
      <c r="EX32" s="5">
        <f t="shared" si="37"/>
        <v>-4.4139704180522488E-3</v>
      </c>
      <c r="EY32" s="6">
        <f t="shared" si="202"/>
        <v>-0.26119143312447451</v>
      </c>
      <c r="EZ32" s="51">
        <f t="shared" si="203"/>
        <v>0.40148682188418683</v>
      </c>
      <c r="FA32" s="266">
        <f t="shared" si="126"/>
        <v>-0.59037277705122837</v>
      </c>
      <c r="FB32" s="267">
        <f t="shared" si="127"/>
        <v>-0.80710029310516007</v>
      </c>
      <c r="FC32" s="269">
        <f t="shared" si="38"/>
        <v>-7.0072096004961523E-3</v>
      </c>
      <c r="FD32" s="4">
        <f t="shared" si="128"/>
        <v>0.99997544920543668</v>
      </c>
      <c r="FE32" s="5">
        <f t="shared" si="39"/>
        <v>-2.2204460492503131E-16</v>
      </c>
      <c r="FF32" s="7">
        <f t="shared" si="204"/>
        <v>-7.0072096004961523E-3</v>
      </c>
      <c r="FG32" s="173">
        <f t="shared" si="205"/>
        <v>-3.4698518927119171E-2</v>
      </c>
      <c r="FH32" s="5">
        <f t="shared" si="40"/>
        <v>-4.4139704180520267E-3</v>
      </c>
      <c r="FI32" s="10">
        <f t="shared" si="41"/>
        <v>-0.25418422352397835</v>
      </c>
      <c r="FJ32" s="279">
        <f t="shared" si="206"/>
        <v>14.741554974778243</v>
      </c>
      <c r="FK32" s="4">
        <f t="shared" si="42"/>
        <v>0.96528702221794283</v>
      </c>
      <c r="FL32" s="5">
        <f t="shared" si="207"/>
        <v>0.99997544920543657</v>
      </c>
      <c r="FM32" s="8">
        <f t="shared" si="208"/>
        <v>3.4978141039613379E-2</v>
      </c>
      <c r="FN32" s="9">
        <f t="shared" si="209"/>
        <v>0.26199746954372771</v>
      </c>
      <c r="FO32" s="10">
        <f t="shared" si="43"/>
        <v>1</v>
      </c>
      <c r="FP32" s="277">
        <f t="shared" si="44"/>
        <v>0.26199746954372771</v>
      </c>
      <c r="FQ32" s="173">
        <f t="shared" si="239"/>
        <v>4.5727025397116743E-3</v>
      </c>
      <c r="FR32" s="10">
        <f t="shared" si="210"/>
        <v>0.99998954514108962</v>
      </c>
      <c r="FS32" s="9">
        <f t="shared" si="211"/>
        <v>4.5519354826129661E-3</v>
      </c>
      <c r="FT32" s="6">
        <f t="shared" si="212"/>
        <v>0.99544806451738699</v>
      </c>
      <c r="FU32" s="4">
        <f t="shared" si="213"/>
        <v>0.99999025838512479</v>
      </c>
      <c r="FV32" s="5">
        <f t="shared" si="214"/>
        <v>1</v>
      </c>
      <c r="FW32" s="8">
        <f t="shared" si="240"/>
        <v>0.25654162762449184</v>
      </c>
      <c r="FX32" s="9">
        <f t="shared" si="241"/>
        <v>14.739433519814803</v>
      </c>
      <c r="FY32" s="10">
        <f t="shared" si="45"/>
        <v>1</v>
      </c>
      <c r="FZ32" s="277">
        <f t="shared" si="242"/>
        <v>14.739433519814803</v>
      </c>
      <c r="GA32" s="177">
        <f t="shared" si="215"/>
        <v>14.738541652494666</v>
      </c>
      <c r="GB32" s="4">
        <f t="shared" si="216"/>
        <v>-4.4222280508020755E-3</v>
      </c>
      <c r="GC32" s="5">
        <f t="shared" si="217"/>
        <v>0.96708276530723736</v>
      </c>
      <c r="GD32" s="10">
        <f t="shared" si="218"/>
        <v>-0.25442360139101394</v>
      </c>
      <c r="GE32" s="311">
        <f t="shared" si="219"/>
        <v>1.2259285947490532</v>
      </c>
      <c r="GF32" s="341">
        <f t="shared" si="243"/>
        <v>0.81570819400350092</v>
      </c>
      <c r="GG32" s="285">
        <f t="shared" si="46"/>
        <v>3.6072476567913831E-3</v>
      </c>
      <c r="GH32" s="286">
        <f t="shared" si="47"/>
        <v>0.78885733594067808</v>
      </c>
      <c r="GI32" s="281">
        <f t="shared" si="48"/>
        <v>0.20753541640253059</v>
      </c>
      <c r="GJ32" s="167">
        <f t="shared" si="220"/>
        <v>3.4861</v>
      </c>
      <c r="GK32" s="174">
        <f t="shared" si="49"/>
        <v>1.8253625057131113</v>
      </c>
      <c r="GL32" s="174">
        <f t="shared" si="221"/>
        <v>2.8400000000000002E-2</v>
      </c>
      <c r="GM32" s="177">
        <f t="shared" si="244"/>
        <v>0.62208354194702831</v>
      </c>
      <c r="GN32" s="280">
        <f t="shared" si="222"/>
        <v>3.4463713347401552E-2</v>
      </c>
      <c r="GO32" s="4">
        <f t="shared" si="223"/>
        <v>0.26199746954372771</v>
      </c>
      <c r="GP32" s="8">
        <f t="shared" si="245"/>
        <v>14.739433519814803</v>
      </c>
      <c r="GQ32" s="177">
        <f t="shared" si="224"/>
        <v>14.741554974778243</v>
      </c>
      <c r="GR32" s="371">
        <f t="shared" si="246"/>
        <v>1971.4703584686222</v>
      </c>
      <c r="GS32" s="342">
        <f t="shared" si="51"/>
        <v>7.1115818310196044</v>
      </c>
      <c r="GT32" s="343">
        <f t="shared" si="52"/>
        <v>3.8959832957899696</v>
      </c>
      <c r="GU32" s="344">
        <f t="shared" si="53"/>
        <v>1555.2088548675708</v>
      </c>
      <c r="GV32" s="343">
        <f t="shared" si="253"/>
        <v>852</v>
      </c>
      <c r="GW32" s="345">
        <f t="shared" si="129"/>
        <v>30000</v>
      </c>
      <c r="GX32" s="346">
        <f t="shared" si="54"/>
        <v>247.51309999999998</v>
      </c>
      <c r="GY32" s="344">
        <f t="shared" si="55"/>
        <v>409.14992177003171</v>
      </c>
      <c r="GZ32" s="345">
        <f t="shared" si="56"/>
        <v>224.14721486250195</v>
      </c>
      <c r="HA32" s="342">
        <f t="shared" si="57"/>
        <v>7.1115818310196044</v>
      </c>
      <c r="HB32" s="5">
        <f t="shared" si="225"/>
        <v>126.1844949804215</v>
      </c>
      <c r="HC32" s="343">
        <f t="shared" si="226"/>
        <v>-4.1985873934626552</v>
      </c>
      <c r="HD32" s="363">
        <f t="shared" si="227"/>
        <v>5.73990069938014</v>
      </c>
      <c r="HE32" s="344">
        <f t="shared" si="58"/>
        <v>852</v>
      </c>
      <c r="HF32" s="5">
        <f t="shared" si="59"/>
        <v>216.1844949804215</v>
      </c>
      <c r="HG32" s="343">
        <f t="shared" si="228"/>
        <v>-687.66633248045343</v>
      </c>
      <c r="HH32" s="349">
        <f t="shared" si="229"/>
        <v>-503.00995534172324</v>
      </c>
      <c r="HI32" s="317">
        <f t="shared" si="60"/>
        <v>3.1190000000000002</v>
      </c>
      <c r="HJ32" s="336"/>
      <c r="HK32" s="310">
        <f t="shared" si="130"/>
        <v>24</v>
      </c>
      <c r="HL32" s="348">
        <f t="shared" si="61"/>
        <v>4.1239999999999997</v>
      </c>
      <c r="HM32" s="935">
        <f t="shared" si="62"/>
        <v>3.8521450019728833</v>
      </c>
      <c r="HN32" s="936">
        <f t="shared" si="63"/>
        <v>15.899997704324347</v>
      </c>
      <c r="HO32" s="937"/>
      <c r="HP32" s="938"/>
      <c r="HQ32" s="936">
        <f t="shared" si="64"/>
        <v>15.287515859737962</v>
      </c>
      <c r="HR32" s="939">
        <f t="shared" si="65"/>
        <v>14.838939685151281</v>
      </c>
      <c r="HS32" s="940">
        <f t="shared" si="249"/>
        <v>4.1193</v>
      </c>
      <c r="HT32" s="941">
        <f t="shared" si="66"/>
        <v>1.4E-2</v>
      </c>
      <c r="HU32" s="942">
        <f t="shared" si="67"/>
        <v>0.36235892480510151</v>
      </c>
      <c r="HV32" s="943">
        <f t="shared" si="68"/>
        <v>2.0074850516490682E-2</v>
      </c>
      <c r="HW32" s="944">
        <f t="shared" si="69"/>
        <v>30000</v>
      </c>
      <c r="HX32" s="947">
        <f t="shared" si="70"/>
        <v>144.1755</v>
      </c>
      <c r="HY32" s="952">
        <f t="shared" si="71"/>
        <v>60.997779483733488</v>
      </c>
      <c r="HZ32" s="953">
        <f t="shared" si="72"/>
        <v>905.89731201275379</v>
      </c>
      <c r="IA32" s="954">
        <f t="shared" si="73"/>
        <v>240.55062884202704</v>
      </c>
      <c r="IB32" s="955">
        <f t="shared" si="74"/>
        <v>1207.4457203385143</v>
      </c>
      <c r="IC32" s="842">
        <f t="shared" si="75"/>
        <v>28.280321669402838</v>
      </c>
      <c r="ID32" s="351">
        <f t="shared" si="76"/>
        <v>420</v>
      </c>
      <c r="IE32" s="844">
        <f t="shared" si="77"/>
        <v>111.52617716590484</v>
      </c>
      <c r="IF32" s="845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0"/>
        <v>3.1190000000000002</v>
      </c>
      <c r="IJ32" s="96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8"/>
        <v>1613</v>
      </c>
      <c r="IM32" s="482" t="str">
        <f t="shared" si="231"/>
        <v/>
      </c>
      <c r="IN32" s="670" t="str">
        <f t="shared" si="80"/>
        <v/>
      </c>
      <c r="IO32" s="702"/>
      <c r="IP32" s="5" t="str">
        <f t="shared" si="81"/>
        <v/>
      </c>
      <c r="IQ32" s="714"/>
      <c r="IR32" s="9" t="str">
        <f t="shared" si="131"/>
        <v/>
      </c>
      <c r="IS32" s="5" t="str">
        <f t="shared" si="82"/>
        <v/>
      </c>
      <c r="IT32" s="5" t="str">
        <f t="shared" si="83"/>
        <v/>
      </c>
      <c r="IU32" s="5" t="str">
        <f t="shared" si="84"/>
        <v/>
      </c>
      <c r="IV32" s="670" t="str">
        <f t="shared" si="85"/>
        <v/>
      </c>
      <c r="IW32" s="9" t="str">
        <f t="shared" si="86"/>
        <v/>
      </c>
      <c r="IX32" s="5" t="str">
        <f t="shared" si="87"/>
        <v/>
      </c>
      <c r="IY32" s="5" t="str">
        <f t="shared" si="88"/>
        <v/>
      </c>
      <c r="IZ32" s="5" t="str">
        <f t="shared" si="89"/>
        <v/>
      </c>
      <c r="JA32" s="705" t="str">
        <f t="shared" si="90"/>
        <v/>
      </c>
    </row>
    <row r="33" spans="1:269" ht="15" customHeight="1" x14ac:dyDescent="0.25">
      <c r="A33" s="75">
        <f t="shared" si="1"/>
        <v>0</v>
      </c>
      <c r="B33" s="578">
        <f t="shared" ref="B33:D33" si="292">IFERROR(O188+($A33*-E33),"")</f>
        <v>3.4045876329139113</v>
      </c>
      <c r="C33" s="572">
        <f t="shared" si="292"/>
        <v>-2.4392433453258366</v>
      </c>
      <c r="D33" s="576">
        <f t="shared" si="292"/>
        <v>-0.19390058480416383</v>
      </c>
      <c r="E33" s="580">
        <f t="shared" ref="E33:K33" si="293">R188</f>
        <v>0.63666530940087673</v>
      </c>
      <c r="F33" s="572">
        <f t="shared" si="293"/>
        <v>0.72577536079422666</v>
      </c>
      <c r="G33" s="579">
        <f t="shared" si="293"/>
        <v>0.26059050149515434</v>
      </c>
      <c r="H33" s="580">
        <f t="shared" si="293"/>
        <v>0.3125</v>
      </c>
      <c r="I33" s="572">
        <f t="shared" si="293"/>
        <v>0.52</v>
      </c>
      <c r="J33" s="483">
        <f t="shared" si="92"/>
        <v>3.125</v>
      </c>
      <c r="K33" s="806">
        <f t="shared" si="293"/>
        <v>1613</v>
      </c>
      <c r="L33" s="309"/>
      <c r="M33" s="164">
        <f t="shared" si="4"/>
        <v>3.125</v>
      </c>
      <c r="N33" s="575">
        <f t="shared" si="5"/>
        <v>3.4045876329139113</v>
      </c>
      <c r="O33" s="572">
        <f t="shared" si="6"/>
        <v>-2.4392433453258366</v>
      </c>
      <c r="P33" s="576">
        <f t="shared" si="7"/>
        <v>-0.19390058480416383</v>
      </c>
      <c r="Q33" s="528">
        <f t="shared" si="134"/>
        <v>324.3800000895169</v>
      </c>
      <c r="R33" s="572">
        <f t="shared" si="93"/>
        <v>4.1882126316492965</v>
      </c>
      <c r="S33" s="577">
        <f t="shared" si="94"/>
        <v>-0.19390058480416383</v>
      </c>
      <c r="T33" s="578">
        <f t="shared" si="95"/>
        <v>-2.4386490956241893</v>
      </c>
      <c r="U33" s="572">
        <f t="shared" si="96"/>
        <v>-3.4050133092717938</v>
      </c>
      <c r="V33" s="579">
        <f t="shared" si="135"/>
        <v>-0.19390058480416383</v>
      </c>
      <c r="W33" s="528">
        <f t="shared" si="256"/>
        <v>234.39000008807307</v>
      </c>
      <c r="X33" s="572">
        <f t="shared" si="97"/>
        <v>4.1882126316492965</v>
      </c>
      <c r="Y33" s="573">
        <f t="shared" si="259"/>
        <v>-0.19390058480416383</v>
      </c>
      <c r="Z33" s="575">
        <f t="shared" si="10"/>
        <v>-0.63666530940087673</v>
      </c>
      <c r="AA33" s="572">
        <f t="shared" si="11"/>
        <v>-0.72577536079422666</v>
      </c>
      <c r="AB33" s="572">
        <f t="shared" si="12"/>
        <v>-0.26059050149515434</v>
      </c>
      <c r="AC33" s="579">
        <f t="shared" si="98"/>
        <v>1</v>
      </c>
      <c r="AD33" s="580">
        <f t="shared" si="136"/>
        <v>-0.63666530940087673</v>
      </c>
      <c r="AE33" s="572">
        <f t="shared" si="99"/>
        <v>-0.72577536079422666</v>
      </c>
      <c r="AF33" s="576">
        <f t="shared" si="100"/>
        <v>-0.26059050149515434</v>
      </c>
      <c r="AG33" s="545">
        <f t="shared" si="101"/>
        <v>-70.249264289290636</v>
      </c>
      <c r="AH33" s="546">
        <f t="shared" si="102"/>
        <v>129.54360707039726</v>
      </c>
      <c r="AI33" s="528">
        <f t="shared" si="103"/>
        <v>-74.894896710096745</v>
      </c>
      <c r="AJ33" s="529">
        <f t="shared" si="104"/>
        <v>-41.25791541007419</v>
      </c>
      <c r="AK33" s="578">
        <f t="shared" si="234"/>
        <v>0.96077916540855024</v>
      </c>
      <c r="AL33" s="572">
        <f t="shared" si="105"/>
        <v>-9.484717100342821E-2</v>
      </c>
      <c r="AM33" s="577">
        <f t="shared" si="106"/>
        <v>-0.26059050149515434</v>
      </c>
      <c r="AN33" s="524">
        <f t="shared" si="107"/>
        <v>-19.999997112358137</v>
      </c>
      <c r="AO33" s="525">
        <f t="shared" si="108"/>
        <v>16.099997675447952</v>
      </c>
      <c r="AP33" s="528">
        <f t="shared" si="109"/>
        <v>-5.6379154995910934</v>
      </c>
      <c r="AQ33" s="529">
        <f t="shared" si="13"/>
        <v>0.33418318735820196</v>
      </c>
      <c r="AS33" s="900">
        <f t="shared" si="137"/>
        <v>-125.60999991192693</v>
      </c>
      <c r="AT33" s="896">
        <f t="shared" si="14"/>
        <v>-0.14034167011364779</v>
      </c>
      <c r="AU33" s="418"/>
      <c r="AV33" s="164">
        <f t="shared" si="15"/>
        <v>3.125</v>
      </c>
      <c r="AW33" s="829">
        <f>IFERROR(INDEX(MassProp!C$9:C$150,MATCH($M33,MassProp!$B$9:$B$150,0)),"")</f>
        <v>4.2831999999999999</v>
      </c>
      <c r="AX33" s="830">
        <f>IFERROR(INDEX(MassProp!D$9:D$150,MATCH($M33,MassProp!$B$9:$B$150,0)),"")</f>
        <v>0.2404</v>
      </c>
      <c r="AY33" s="831">
        <f>IFERROR(INDEX(MassProp!E$9:E$150,MATCH($M33,MassProp!$B$9:$B$150,0)),"")</f>
        <v>2.63E-2</v>
      </c>
      <c r="AZ33" s="297">
        <f t="shared" si="138"/>
        <v>0.70780077510836259</v>
      </c>
      <c r="BA33" s="296">
        <f t="shared" si="16"/>
        <v>3.921248735186824E-2</v>
      </c>
      <c r="BB33" s="190">
        <f t="shared" si="139"/>
        <v>0.22725329802062452</v>
      </c>
      <c r="BC33" s="9"/>
      <c r="BD33" s="5">
        <f t="shared" si="235"/>
        <v>4.2831999999999999</v>
      </c>
      <c r="BE33" s="6">
        <f t="shared" si="17"/>
        <v>3.3352713216460689E-2</v>
      </c>
      <c r="BF33" s="4">
        <f t="shared" si="18"/>
        <v>3.4045876329139113</v>
      </c>
      <c r="BG33" s="5">
        <f t="shared" si="19"/>
        <v>-2.4392433453258366</v>
      </c>
      <c r="BH33" s="10">
        <f t="shared" si="20"/>
        <v>-0.19390058480416383</v>
      </c>
      <c r="BI33" s="9">
        <f t="shared" si="140"/>
        <v>3.4045876329139113</v>
      </c>
      <c r="BJ33" s="5">
        <f t="shared" si="21"/>
        <v>-2.1013145421098893</v>
      </c>
      <c r="BK33" s="8">
        <f t="shared" si="22"/>
        <v>-1.135072260938246</v>
      </c>
      <c r="BL33" s="173">
        <f t="shared" si="23"/>
        <v>4.1757278820291326</v>
      </c>
      <c r="BM33" s="5">
        <f t="shared" si="24"/>
        <v>-3.0384547017110837</v>
      </c>
      <c r="BN33" s="6">
        <f t="shared" si="25"/>
        <v>-0.40904813085911285</v>
      </c>
      <c r="BO33" s="4">
        <f t="shared" si="141"/>
        <v>-0.63666530940087662</v>
      </c>
      <c r="BP33" s="5">
        <f t="shared" si="142"/>
        <v>-0.72577536079422655</v>
      </c>
      <c r="BQ33" s="5">
        <f t="shared" si="143"/>
        <v>-0.2605905014951555</v>
      </c>
      <c r="BR33" s="6">
        <f t="shared" si="144"/>
        <v>0.3467114690384378</v>
      </c>
      <c r="BS33" s="4">
        <f t="shared" si="110"/>
        <v>0</v>
      </c>
      <c r="BT33" s="5">
        <f t="shared" si="110"/>
        <v>0</v>
      </c>
      <c r="BU33" s="10">
        <f t="shared" si="111"/>
        <v>3.3352713216460689E-2</v>
      </c>
      <c r="BV33" s="9">
        <f t="shared" si="112"/>
        <v>0</v>
      </c>
      <c r="BW33" s="5">
        <f t="shared" si="113"/>
        <v>1</v>
      </c>
      <c r="BX33" s="8">
        <f t="shared" si="114"/>
        <v>3.3352713216460689E-2</v>
      </c>
      <c r="BY33" s="173">
        <f t="shared" si="115"/>
        <v>1</v>
      </c>
      <c r="BZ33" s="5">
        <f t="shared" si="116"/>
        <v>0</v>
      </c>
      <c r="CA33" s="6">
        <f t="shared" si="117"/>
        <v>3.3352713216460689E-2</v>
      </c>
      <c r="CB33" s="4">
        <f t="shared" si="145"/>
        <v>0</v>
      </c>
      <c r="CC33" s="5">
        <f t="shared" si="146"/>
        <v>0</v>
      </c>
      <c r="CD33" s="5">
        <f t="shared" si="147"/>
        <v>-1</v>
      </c>
      <c r="CE33" s="6">
        <f t="shared" si="148"/>
        <v>3.3352713216460689E-2</v>
      </c>
      <c r="CF33" s="4">
        <f t="shared" si="149"/>
        <v>0.72577536079422655</v>
      </c>
      <c r="CG33" s="5">
        <f t="shared" si="150"/>
        <v>-0.63666530940087662</v>
      </c>
      <c r="CH33" s="5">
        <f t="shared" si="151"/>
        <v>0</v>
      </c>
      <c r="CI33" s="4">
        <f t="shared" si="118"/>
        <v>0</v>
      </c>
      <c r="CJ33" s="5">
        <f t="shared" si="119"/>
        <v>0.46573648960090885</v>
      </c>
      <c r="CK33" s="8">
        <f t="shared" si="120"/>
        <v>3.3352713216460689E-2</v>
      </c>
      <c r="CL33" s="173">
        <f t="shared" si="121"/>
        <v>0.72577536079422655</v>
      </c>
      <c r="CM33" s="5">
        <f t="shared" si="122"/>
        <v>-0.17092881979996777</v>
      </c>
      <c r="CN33" s="6">
        <f t="shared" si="123"/>
        <v>3.3352713216460689E-2</v>
      </c>
      <c r="CO33" s="167">
        <f t="shared" si="26"/>
        <v>0.3125</v>
      </c>
      <c r="CP33" s="4">
        <f t="shared" si="236"/>
        <v>0.93209259053050375</v>
      </c>
      <c r="CQ33" s="5">
        <f t="shared" si="237"/>
        <v>-8.640931406081199</v>
      </c>
      <c r="CR33" s="5">
        <f t="shared" si="152"/>
        <v>19.984112602982623</v>
      </c>
      <c r="CS33" s="8">
        <f t="shared" si="153"/>
        <v>0.15752242233097036</v>
      </c>
      <c r="CT33" s="9">
        <f t="shared" si="154"/>
        <v>4.8481354980374425</v>
      </c>
      <c r="CU33" s="6">
        <f t="shared" si="155"/>
        <v>4.422329146642527</v>
      </c>
      <c r="CV33" s="4">
        <f t="shared" si="238"/>
        <v>3.5186572902674222</v>
      </c>
      <c r="CW33" s="5">
        <f t="shared" si="156"/>
        <v>-2.6209031972744725</v>
      </c>
      <c r="CX33" s="8">
        <f t="shared" si="157"/>
        <v>3.3352713216460689E-2</v>
      </c>
      <c r="CY33" s="9">
        <f t="shared" si="158"/>
        <v>3.209617531955304</v>
      </c>
      <c r="CZ33" s="5">
        <f t="shared" si="159"/>
        <v>-2.3498070648187701</v>
      </c>
      <c r="DA33" s="6">
        <f t="shared" si="160"/>
        <v>3.3352713216460689E-2</v>
      </c>
      <c r="DB33" s="4">
        <f t="shared" si="161"/>
        <v>0</v>
      </c>
      <c r="DC33" s="5">
        <f t="shared" si="161"/>
        <v>0</v>
      </c>
      <c r="DD33" s="10">
        <f t="shared" si="162"/>
        <v>-10</v>
      </c>
      <c r="DE33" s="9">
        <f t="shared" si="163"/>
        <v>0</v>
      </c>
      <c r="DF33" s="5">
        <f t="shared" si="163"/>
        <v>0</v>
      </c>
      <c r="DG33" s="10">
        <f t="shared" si="164"/>
        <v>10</v>
      </c>
      <c r="DH33" s="70">
        <f t="shared" si="165"/>
        <v>4.2831999999999999</v>
      </c>
      <c r="DI33" s="4">
        <f t="shared" si="166"/>
        <v>0</v>
      </c>
      <c r="DJ33" s="5">
        <f t="shared" si="167"/>
        <v>0</v>
      </c>
      <c r="DK33" s="10">
        <f t="shared" si="168"/>
        <v>20</v>
      </c>
      <c r="DL33" s="9">
        <f t="shared" si="169"/>
        <v>3.5186572902674222</v>
      </c>
      <c r="DM33" s="173">
        <f t="shared" si="170"/>
        <v>-2.6209031972744725</v>
      </c>
      <c r="DN33" s="178">
        <f t="shared" si="171"/>
        <v>10.033352713216461</v>
      </c>
      <c r="DO33" s="9">
        <f t="shared" si="172"/>
        <v>-0.30903975831211827</v>
      </c>
      <c r="DP33" s="173">
        <f t="shared" si="173"/>
        <v>0.27109613245570241</v>
      </c>
      <c r="DQ33" s="11">
        <f t="shared" si="174"/>
        <v>0</v>
      </c>
      <c r="DR33" s="173">
        <f t="shared" si="175"/>
        <v>200.66705426432921</v>
      </c>
      <c r="DS33" s="5">
        <f t="shared" si="176"/>
        <v>0</v>
      </c>
      <c r="DT33" s="5">
        <f t="shared" si="177"/>
        <v>400</v>
      </c>
      <c r="DU33" s="5">
        <f t="shared" si="178"/>
        <v>0.16899868525005224</v>
      </c>
      <c r="DV33" s="5">
        <f t="shared" si="179"/>
        <v>-1.7979217188893117</v>
      </c>
      <c r="DW33" s="5">
        <f t="shared" si="180"/>
        <v>119.91824936364375</v>
      </c>
      <c r="DX33" s="167">
        <f t="shared" si="181"/>
        <v>101.57244712364376</v>
      </c>
      <c r="DY33" s="9">
        <f t="shared" si="182"/>
        <v>67.599474100020899</v>
      </c>
      <c r="DZ33" s="5">
        <f t="shared" si="183"/>
        <v>-719.16868755572466</v>
      </c>
      <c r="EA33" s="10">
        <f t="shared" si="184"/>
        <v>361.71218233426043</v>
      </c>
      <c r="EB33" s="6">
        <f t="shared" si="185"/>
        <v>492752.04785925668</v>
      </c>
      <c r="EC33" s="173">
        <f t="shared" si="186"/>
        <v>21.022821590719442</v>
      </c>
      <c r="ED33" s="5">
        <f t="shared" si="187"/>
        <v>0.25452404340886481</v>
      </c>
      <c r="EE33" s="4">
        <f t="shared" si="188"/>
        <v>-2.9782304131672963</v>
      </c>
      <c r="EF33" s="5">
        <f t="shared" si="189"/>
        <v>3.0783024292758059</v>
      </c>
      <c r="EG33" s="10">
        <f t="shared" si="190"/>
        <v>3.3352713216460689E-2</v>
      </c>
      <c r="EH33" s="9">
        <f t="shared" si="191"/>
        <v>3.4399992414077234</v>
      </c>
      <c r="EI33" s="5">
        <f t="shared" si="192"/>
        <v>-2.5519027134893419</v>
      </c>
      <c r="EJ33" s="6">
        <f t="shared" si="193"/>
        <v>3.3352713216460689E-2</v>
      </c>
      <c r="EK33" s="236" t="b">
        <f t="shared" si="194"/>
        <v>0</v>
      </c>
      <c r="EL33" s="238" t="b">
        <f t="shared" si="195"/>
        <v>1</v>
      </c>
      <c r="EM33" s="272">
        <f t="shared" si="196"/>
        <v>3.4399992414077234</v>
      </c>
      <c r="EN33" s="267">
        <f t="shared" si="197"/>
        <v>-2.5519027134893419</v>
      </c>
      <c r="EO33" s="273">
        <f t="shared" si="198"/>
        <v>3.3352713216460689E-2</v>
      </c>
      <c r="EP33" s="9">
        <f t="shared" si="199"/>
        <v>323.43078048709356</v>
      </c>
      <c r="EQ33" s="5">
        <f t="shared" si="200"/>
        <v>4.2831999999999972</v>
      </c>
      <c r="ER33" s="7">
        <f t="shared" si="201"/>
        <v>3.3352713216460689E-2</v>
      </c>
      <c r="ES33" s="274">
        <f t="shared" si="124"/>
        <v>-0.63666530940087673</v>
      </c>
      <c r="ET33" s="267">
        <f t="shared" si="35"/>
        <v>-0.72577536079422666</v>
      </c>
      <c r="EU33" s="273">
        <f t="shared" si="36"/>
        <v>-0.26059050149515434</v>
      </c>
      <c r="EV33" s="174">
        <f t="shared" si="252"/>
        <v>126.56921951290644</v>
      </c>
      <c r="EW33" s="9">
        <f t="shared" si="125"/>
        <v>0.9622185798489884</v>
      </c>
      <c r="EX33" s="5">
        <f t="shared" si="37"/>
        <v>-7.8917647734202456E-2</v>
      </c>
      <c r="EY33" s="6">
        <f t="shared" si="202"/>
        <v>-0.26059050149515434</v>
      </c>
      <c r="EZ33" s="51">
        <f t="shared" si="203"/>
        <v>0.32677225969400614</v>
      </c>
      <c r="FA33" s="266">
        <f t="shared" si="126"/>
        <v>-0.59578380898115102</v>
      </c>
      <c r="FB33" s="267">
        <f t="shared" si="127"/>
        <v>-0.80312460193115565</v>
      </c>
      <c r="FC33" s="269">
        <f t="shared" si="38"/>
        <v>-5.7032209175364333E-3</v>
      </c>
      <c r="FD33" s="4">
        <f t="shared" si="128"/>
        <v>0.99998373650333217</v>
      </c>
      <c r="FE33" s="5">
        <f t="shared" si="39"/>
        <v>2.2204460492503131E-16</v>
      </c>
      <c r="FF33" s="7">
        <f t="shared" si="204"/>
        <v>-5.7032209175364333E-3</v>
      </c>
      <c r="FG33" s="173">
        <f t="shared" si="205"/>
        <v>-3.7765156654343768E-2</v>
      </c>
      <c r="FH33" s="5">
        <f t="shared" si="40"/>
        <v>-7.8917647734202678E-2</v>
      </c>
      <c r="FI33" s="10">
        <f t="shared" si="41"/>
        <v>-0.25488728057761789</v>
      </c>
      <c r="FJ33" s="279">
        <f t="shared" si="206"/>
        <v>15.487413450514595</v>
      </c>
      <c r="FK33" s="4">
        <f t="shared" si="42"/>
        <v>0.96544942411837609</v>
      </c>
      <c r="FL33" s="5">
        <f t="shared" si="207"/>
        <v>0.99998373650333228</v>
      </c>
      <c r="FM33" s="8">
        <f t="shared" si="208"/>
        <v>8.7488297394719194E-2</v>
      </c>
      <c r="FN33" s="9">
        <f t="shared" si="209"/>
        <v>4.6886958971677792</v>
      </c>
      <c r="FO33" s="10">
        <f t="shared" si="43"/>
        <v>1</v>
      </c>
      <c r="FP33" s="277">
        <f t="shared" si="44"/>
        <v>4.6886958971677792</v>
      </c>
      <c r="FQ33" s="173">
        <f t="shared" si="239"/>
        <v>8.1741876645965938E-2</v>
      </c>
      <c r="FR33" s="10">
        <f t="shared" si="210"/>
        <v>0.99665353338178442</v>
      </c>
      <c r="FS33" s="9">
        <f t="shared" si="211"/>
        <v>7.5799540582115854E-2</v>
      </c>
      <c r="FT33" s="6">
        <f t="shared" si="212"/>
        <v>0.92420045941788409</v>
      </c>
      <c r="FU33" s="4">
        <f t="shared" si="213"/>
        <v>0.99688113879042772</v>
      </c>
      <c r="FV33" s="5">
        <f t="shared" si="214"/>
        <v>1</v>
      </c>
      <c r="FW33" s="8">
        <f t="shared" si="240"/>
        <v>0.2576698136324479</v>
      </c>
      <c r="FX33" s="9">
        <f t="shared" si="241"/>
        <v>14.826720839618194</v>
      </c>
      <c r="FY33" s="10">
        <f t="shared" si="45"/>
        <v>1</v>
      </c>
      <c r="FZ33" s="277">
        <f t="shared" si="242"/>
        <v>14.826720839618194</v>
      </c>
      <c r="GA33" s="177">
        <f t="shared" si="215"/>
        <v>14.779732641361999</v>
      </c>
      <c r="GB33" s="4">
        <f t="shared" si="216"/>
        <v>-7.9020211553320369E-2</v>
      </c>
      <c r="GC33" s="5">
        <f t="shared" si="217"/>
        <v>0.96346910891578608</v>
      </c>
      <c r="GD33" s="10">
        <f t="shared" si="218"/>
        <v>-0.25589662430577248</v>
      </c>
      <c r="GE33" s="311">
        <f t="shared" si="219"/>
        <v>1.2983859447748789</v>
      </c>
      <c r="GF33" s="341">
        <f t="shared" si="243"/>
        <v>0.77018701875534035</v>
      </c>
      <c r="GG33" s="285">
        <f t="shared" si="46"/>
        <v>6.086034115766812E-2</v>
      </c>
      <c r="GH33" s="286">
        <f t="shared" si="47"/>
        <v>0.74205140065871367</v>
      </c>
      <c r="GI33" s="281">
        <f t="shared" si="48"/>
        <v>0.19708825818361828</v>
      </c>
      <c r="GJ33" s="167">
        <f t="shared" si="220"/>
        <v>4.2831999999999999</v>
      </c>
      <c r="GK33" s="174">
        <f t="shared" si="49"/>
        <v>2.2427147500264972</v>
      </c>
      <c r="GL33" s="174">
        <f t="shared" si="221"/>
        <v>2.63E-2</v>
      </c>
      <c r="GM33" s="177">
        <f t="shared" si="244"/>
        <v>0.70780077510836259</v>
      </c>
      <c r="GN33" s="280">
        <f t="shared" si="222"/>
        <v>3.921248735186824E-2</v>
      </c>
      <c r="GO33" s="4">
        <f t="shared" si="223"/>
        <v>4.6886958971677792</v>
      </c>
      <c r="GP33" s="8">
        <f t="shared" si="245"/>
        <v>14.826720839618194</v>
      </c>
      <c r="GQ33" s="177">
        <f t="shared" si="224"/>
        <v>15.487413450514595</v>
      </c>
      <c r="GR33" s="371">
        <f t="shared" si="246"/>
        <v>2384.608311769417</v>
      </c>
      <c r="GS33" s="342">
        <f t="shared" si="51"/>
        <v>145.12807538169776</v>
      </c>
      <c r="GT33" s="343">
        <f t="shared" si="52"/>
        <v>64.710893518662189</v>
      </c>
      <c r="GU33" s="344">
        <f t="shared" si="53"/>
        <v>1769.5019377709064</v>
      </c>
      <c r="GV33" s="343">
        <f t="shared" si="253"/>
        <v>789</v>
      </c>
      <c r="GW33" s="345">
        <f t="shared" si="129"/>
        <v>30000</v>
      </c>
      <c r="GX33" s="346">
        <f t="shared" si="54"/>
        <v>281.62040000000002</v>
      </c>
      <c r="GY33" s="344">
        <f t="shared" si="55"/>
        <v>469.97829861681294</v>
      </c>
      <c r="GZ33" s="345">
        <f t="shared" si="56"/>
        <v>209.55776859774977</v>
      </c>
      <c r="HA33" s="342">
        <f t="shared" si="57"/>
        <v>145.12807538169776</v>
      </c>
      <c r="HB33" s="5">
        <f t="shared" si="225"/>
        <v>126.56921951290644</v>
      </c>
      <c r="HC33" s="343">
        <f t="shared" si="226"/>
        <v>-86.466363786430833</v>
      </c>
      <c r="HD33" s="363">
        <f t="shared" si="227"/>
        <v>116.55782340773332</v>
      </c>
      <c r="HE33" s="344">
        <f t="shared" si="58"/>
        <v>789</v>
      </c>
      <c r="HF33" s="5">
        <f t="shared" si="59"/>
        <v>216.56921951290644</v>
      </c>
      <c r="HG33" s="343">
        <f t="shared" si="228"/>
        <v>-633.67561670496252</v>
      </c>
      <c r="HH33" s="349">
        <f t="shared" si="229"/>
        <v>-470.08107044805104</v>
      </c>
      <c r="HI33" s="317">
        <f t="shared" si="60"/>
        <v>3.125</v>
      </c>
      <c r="HJ33" s="336"/>
      <c r="HK33" s="310">
        <f t="shared" si="130"/>
        <v>25</v>
      </c>
      <c r="HL33" s="348">
        <f t="shared" si="61"/>
        <v>3.125</v>
      </c>
      <c r="HM33" s="935">
        <f t="shared" si="62"/>
        <v>4.6886958971677792</v>
      </c>
      <c r="HN33" s="936">
        <f t="shared" si="63"/>
        <v>16.099997675447952</v>
      </c>
      <c r="HO33" s="937"/>
      <c r="HP33" s="938"/>
      <c r="HQ33" s="936">
        <f t="shared" si="64"/>
        <v>15.487413450514595</v>
      </c>
      <c r="HR33" s="939">
        <f t="shared" si="65"/>
        <v>14.826720839618194</v>
      </c>
      <c r="HS33" s="940">
        <f t="shared" si="249"/>
        <v>4.2831999999999999</v>
      </c>
      <c r="HT33" s="941">
        <f t="shared" si="66"/>
        <v>2.63E-2</v>
      </c>
      <c r="HU33" s="942">
        <f t="shared" si="67"/>
        <v>0.70780077510836259</v>
      </c>
      <c r="HV33" s="943">
        <f t="shared" si="68"/>
        <v>3.921248735186824E-2</v>
      </c>
      <c r="HW33" s="944">
        <f t="shared" si="69"/>
        <v>30000</v>
      </c>
      <c r="HX33" s="947">
        <f t="shared" si="70"/>
        <v>281.62040000000002</v>
      </c>
      <c r="HY33" s="952">
        <f t="shared" si="71"/>
        <v>145.12807538169776</v>
      </c>
      <c r="HZ33" s="953">
        <f t="shared" si="72"/>
        <v>1769.5019377709064</v>
      </c>
      <c r="IA33" s="954">
        <f t="shared" si="73"/>
        <v>469.97829861681294</v>
      </c>
      <c r="IB33" s="955">
        <f t="shared" si="74"/>
        <v>2384.608311769417</v>
      </c>
      <c r="IC33" s="842">
        <f t="shared" si="75"/>
        <v>64.710893518662189</v>
      </c>
      <c r="ID33" s="351">
        <f t="shared" si="76"/>
        <v>789</v>
      </c>
      <c r="IE33" s="844">
        <f t="shared" si="77"/>
        <v>209.55776859774977</v>
      </c>
      <c r="IF33" s="845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0"/>
        <v>3.125</v>
      </c>
      <c r="IJ33" s="96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8"/>
        <v>1613</v>
      </c>
      <c r="IM33" s="482" t="str">
        <f t="shared" si="231"/>
        <v/>
      </c>
      <c r="IN33" s="670" t="str">
        <f t="shared" si="80"/>
        <v/>
      </c>
      <c r="IO33" s="702"/>
      <c r="IP33" s="5" t="str">
        <f t="shared" si="81"/>
        <v/>
      </c>
      <c r="IQ33" s="714"/>
      <c r="IR33" s="9" t="str">
        <f t="shared" si="131"/>
        <v/>
      </c>
      <c r="IS33" s="5" t="str">
        <f t="shared" si="82"/>
        <v/>
      </c>
      <c r="IT33" s="5" t="str">
        <f t="shared" si="83"/>
        <v/>
      </c>
      <c r="IU33" s="5" t="str">
        <f t="shared" si="84"/>
        <v/>
      </c>
      <c r="IV33" s="670" t="str">
        <f t="shared" si="85"/>
        <v/>
      </c>
      <c r="IW33" s="9" t="str">
        <f t="shared" si="86"/>
        <v/>
      </c>
      <c r="IX33" s="5" t="str">
        <f t="shared" si="87"/>
        <v/>
      </c>
      <c r="IY33" s="5" t="str">
        <f t="shared" si="88"/>
        <v/>
      </c>
      <c r="IZ33" s="5" t="str">
        <f t="shared" si="89"/>
        <v/>
      </c>
      <c r="JA33" s="705" t="str">
        <f t="shared" si="90"/>
        <v/>
      </c>
    </row>
    <row r="34" spans="1:269" ht="15" customHeight="1" x14ac:dyDescent="0.25">
      <c r="A34" s="75">
        <f t="shared" si="1"/>
        <v>0</v>
      </c>
      <c r="B34" s="578">
        <f t="shared" ref="B34:D34" si="294">IFERROR(O189+($A34*-E34),"")</f>
        <v>3.8917115587408078</v>
      </c>
      <c r="C34" s="572">
        <f t="shared" si="294"/>
        <v>-2.8618847626898156</v>
      </c>
      <c r="D34" s="576">
        <f t="shared" si="294"/>
        <v>-0.57580173661803769</v>
      </c>
      <c r="E34" s="580">
        <f t="shared" ref="E34:K34" si="295">R189</f>
        <v>0.70396656964695659</v>
      </c>
      <c r="F34" s="572">
        <f t="shared" si="295"/>
        <v>0.66614989186895235</v>
      </c>
      <c r="G34" s="579">
        <f t="shared" si="295"/>
        <v>0.24632375115380101</v>
      </c>
      <c r="H34" s="580">
        <f t="shared" si="295"/>
        <v>0.3125</v>
      </c>
      <c r="I34" s="572">
        <f t="shared" si="295"/>
        <v>0.52</v>
      </c>
      <c r="J34" s="483">
        <f t="shared" si="92"/>
        <v>3.1309999999999998</v>
      </c>
      <c r="K34" s="806">
        <f t="shared" si="295"/>
        <v>1613</v>
      </c>
      <c r="L34" s="309"/>
      <c r="M34" s="164">
        <f t="shared" si="4"/>
        <v>3.1309999999999998</v>
      </c>
      <c r="N34" s="575">
        <f t="shared" si="5"/>
        <v>3.8917115587408078</v>
      </c>
      <c r="O34" s="572">
        <f t="shared" si="6"/>
        <v>-2.8618847626898156</v>
      </c>
      <c r="P34" s="576">
        <f t="shared" si="7"/>
        <v>-0.57580173661803769</v>
      </c>
      <c r="Q34" s="528">
        <f t="shared" si="134"/>
        <v>323.67000019202817</v>
      </c>
      <c r="R34" s="572">
        <f>IF(M34="","",SQRT(N34^2+O34^2))</f>
        <v>4.8307145694351421</v>
      </c>
      <c r="S34" s="577">
        <f>IF(M34="","",P34)</f>
        <v>-0.57580173661803769</v>
      </c>
      <c r="T34" s="578">
        <f>IF(M34="","",X34*COS(RADIANS(W34)))</f>
        <v>-2.861205487399971</v>
      </c>
      <c r="U34" s="572">
        <f>IF(M34="","",X34*SIN(RADIANS(W34)))</f>
        <v>-3.8922109925112292</v>
      </c>
      <c r="V34" s="579">
        <f>IF(M34="","",Y34)</f>
        <v>-0.57580173661803769</v>
      </c>
      <c r="W34" s="528">
        <f t="shared" si="256"/>
        <v>233.68000019058434</v>
      </c>
      <c r="X34" s="572">
        <f>IF(M34="","",R34)</f>
        <v>4.8307145694351421</v>
      </c>
      <c r="Y34" s="573">
        <f t="shared" si="259"/>
        <v>-0.57580173661803769</v>
      </c>
      <c r="Z34" s="575">
        <f t="shared" si="10"/>
        <v>-0.70396656964695659</v>
      </c>
      <c r="AA34" s="572">
        <f t="shared" si="11"/>
        <v>-0.66614989186895235</v>
      </c>
      <c r="AB34" s="572">
        <f t="shared" si="12"/>
        <v>-0.24632375115380101</v>
      </c>
      <c r="AC34" s="579">
        <f>IF(M34="","",SQRT(Z34^2+AA34^2+AB34^2))</f>
        <v>1</v>
      </c>
      <c r="AD34" s="580">
        <f>IF(M34="","",Z34*(1/SQRT(Z34^2+AA34^2+AB34^2)))</f>
        <v>-0.70396656964695659</v>
      </c>
      <c r="AE34" s="572">
        <f>IF(M34="","",AA34*(1/SQRT(Z34^2+AA34^2+AB34^2)))</f>
        <v>-0.66614989186895235</v>
      </c>
      <c r="AF34" s="576">
        <f>IF(M34="","",AB34*(1/SQRT(Z34^2+AA34^2+AB34^2)))</f>
        <v>-0.24632375115380101</v>
      </c>
      <c r="AG34" s="545">
        <f>IF(M34="","",DEGREES(ATAN2(-AF34,AE34)))</f>
        <v>-69.707004428764179</v>
      </c>
      <c r="AH34" s="546">
        <f>IF(M34="","",DEGREES(ACOS(AD34)))</f>
        <v>134.7461151345905</v>
      </c>
      <c r="AI34" s="528">
        <f>IF(M34="","",DEGREES(-ACOS(-AF34)))</f>
        <v>-75.739923196619799</v>
      </c>
      <c r="AJ34" s="529">
        <f>IF(M34="","",DEGREES(ATAN2(-AE34,AD34)))</f>
        <v>-46.581023309986165</v>
      </c>
      <c r="AK34" s="578">
        <f>IF(M34="","",(COS(RADIANS((90-$Q$8)-W34))*AD34)+(-SIN(RADIANS((90-$Q$8)-W34))*AE34))</f>
        <v>0.95371696400905348</v>
      </c>
      <c r="AL34" s="572">
        <f>IF(M34="","",(SIN(RADIANS((90-$Q$8)-W34))*AD34)+(COS(RADIANS((90-$Q$8)-W34))*AE34))</f>
        <v>-0.17247771502102566</v>
      </c>
      <c r="AM34" s="577">
        <f>IF(M34="","",AF34)</f>
        <v>-0.24632375115380101</v>
      </c>
      <c r="AN34" s="524">
        <f>IF(M34="","",DEGREES(ATAN2(-AM34,AL34)))</f>
        <v>-34.999994946625819</v>
      </c>
      <c r="AO34" s="525">
        <f t="shared" si="108"/>
        <v>17.499997473312952</v>
      </c>
      <c r="AP34" s="528">
        <f>IF(M34="","",DEGREES(ATAN2(AK34,AL34)))</f>
        <v>-10.251023502014323</v>
      </c>
      <c r="AQ34" s="529">
        <f t="shared" si="13"/>
        <v>0.28973647016400211</v>
      </c>
      <c r="AS34" s="900">
        <f t="shared" si="137"/>
        <v>-126.31999980941566</v>
      </c>
      <c r="AT34" s="896">
        <f t="shared" si="14"/>
        <v>-0.5219401087929334</v>
      </c>
      <c r="AU34" s="418"/>
      <c r="AV34" s="164">
        <f t="shared" si="15"/>
        <v>3.1309999999999998</v>
      </c>
      <c r="AW34" s="829">
        <f>IFERROR(INDEX(MassProp!C$9:C$150,MATCH($M34,MassProp!$B$9:$B$150,0)),"")</f>
        <v>4.9903000000000004</v>
      </c>
      <c r="AX34" s="830">
        <f>IFERROR(INDEX(MassProp!D$9:D$150,MATCH($M34,MassProp!$B$9:$B$150,0)),"")</f>
        <v>-0.17580000000000001</v>
      </c>
      <c r="AY34" s="831">
        <f>IFERROR(INDEX(MassProp!E$9:E$150,MATCH($M34,MassProp!$B$9:$B$150,0)),"")</f>
        <v>2.2100000000000002E-2</v>
      </c>
      <c r="AZ34" s="297">
        <f t="shared" si="138"/>
        <v>0.6929533524178344</v>
      </c>
      <c r="BA34" s="296">
        <f t="shared" si="16"/>
        <v>3.8389933329698589E-2</v>
      </c>
      <c r="BB34" s="190">
        <f t="shared" si="139"/>
        <v>0.19265173669991015</v>
      </c>
      <c r="BC34" s="9"/>
      <c r="BD34" s="5">
        <f t="shared" si="235"/>
        <v>4.9903000000000004</v>
      </c>
      <c r="BE34" s="6">
        <f t="shared" si="17"/>
        <v>-0.38314999991812754</v>
      </c>
      <c r="BF34" s="4">
        <f t="shared" si="18"/>
        <v>3.8917115587408078</v>
      </c>
      <c r="BG34" s="5">
        <f t="shared" si="19"/>
        <v>-2.8618847626898156</v>
      </c>
      <c r="BH34" s="10">
        <f t="shared" si="20"/>
        <v>-0.57580173661803769</v>
      </c>
      <c r="BI34" s="9">
        <f t="shared" si="140"/>
        <v>3.8917115587408078</v>
      </c>
      <c r="BJ34" s="5">
        <f t="shared" si="21"/>
        <v>-2.5150637709538128</v>
      </c>
      <c r="BK34" s="8">
        <f t="shared" si="22"/>
        <v>-1.5137330772241908</v>
      </c>
      <c r="BL34" s="173">
        <f t="shared" si="23"/>
        <v>4.6019446675293914</v>
      </c>
      <c r="BM34" s="5">
        <f t="shared" si="24"/>
        <v>-3.5221570711007009</v>
      </c>
      <c r="BN34" s="6">
        <f t="shared" si="25"/>
        <v>-0.81995212045198718</v>
      </c>
      <c r="BO34" s="4">
        <f t="shared" si="141"/>
        <v>-0.70396656964695703</v>
      </c>
      <c r="BP34" s="5">
        <f t="shared" si="142"/>
        <v>-0.66614989186895235</v>
      </c>
      <c r="BQ34" s="5">
        <f t="shared" si="143"/>
        <v>-0.24632375115380079</v>
      </c>
      <c r="BR34" s="6">
        <f t="shared" si="144"/>
        <v>0.69135696717032746</v>
      </c>
      <c r="BS34" s="4">
        <f t="shared" si="110"/>
        <v>0</v>
      </c>
      <c r="BT34" s="5">
        <f t="shared" si="110"/>
        <v>0</v>
      </c>
      <c r="BU34" s="10">
        <f t="shared" si="111"/>
        <v>-0.38314999991812754</v>
      </c>
      <c r="BV34" s="9">
        <f t="shared" si="112"/>
        <v>0</v>
      </c>
      <c r="BW34" s="5">
        <f t="shared" si="113"/>
        <v>1</v>
      </c>
      <c r="BX34" s="8">
        <f t="shared" si="114"/>
        <v>-0.38314999991812754</v>
      </c>
      <c r="BY34" s="173">
        <f t="shared" si="115"/>
        <v>1</v>
      </c>
      <c r="BZ34" s="5">
        <f t="shared" si="116"/>
        <v>0</v>
      </c>
      <c r="CA34" s="6">
        <f t="shared" si="117"/>
        <v>-0.38314999991812754</v>
      </c>
      <c r="CB34" s="4">
        <f t="shared" si="145"/>
        <v>0</v>
      </c>
      <c r="CC34" s="5">
        <f t="shared" si="146"/>
        <v>0</v>
      </c>
      <c r="CD34" s="5">
        <f t="shared" si="147"/>
        <v>-1</v>
      </c>
      <c r="CE34" s="6">
        <f t="shared" si="148"/>
        <v>-0.38314999991812754</v>
      </c>
      <c r="CF34" s="4">
        <f t="shared" si="149"/>
        <v>0.66614989186895235</v>
      </c>
      <c r="CG34" s="5">
        <f t="shared" si="150"/>
        <v>-0.70396656964695703</v>
      </c>
      <c r="CH34" s="5">
        <f t="shared" si="151"/>
        <v>0</v>
      </c>
      <c r="CI34" s="4">
        <f t="shared" si="118"/>
        <v>0</v>
      </c>
      <c r="CJ34" s="5">
        <f t="shared" si="119"/>
        <v>1.1795181865154638</v>
      </c>
      <c r="CK34" s="8">
        <f t="shared" si="120"/>
        <v>-0.38314999991812754</v>
      </c>
      <c r="CL34" s="173">
        <f t="shared" si="121"/>
        <v>0.66614989186895235</v>
      </c>
      <c r="CM34" s="5">
        <f t="shared" si="122"/>
        <v>0.47555161686850678</v>
      </c>
      <c r="CN34" s="6">
        <f t="shared" si="123"/>
        <v>-0.38314999991812754</v>
      </c>
      <c r="CO34" s="167">
        <f t="shared" si="26"/>
        <v>0.3125</v>
      </c>
      <c r="CP34" s="4">
        <f t="shared" si="236"/>
        <v>0.93932460961752096</v>
      </c>
      <c r="CQ34" s="5">
        <f t="shared" si="237"/>
        <v>-10.874951609506954</v>
      </c>
      <c r="CR34" s="5">
        <f t="shared" si="152"/>
        <v>31.417815095935431</v>
      </c>
      <c r="CS34" s="8">
        <f t="shared" si="153"/>
        <v>0.21846490901786808</v>
      </c>
      <c r="CT34" s="9">
        <f t="shared" si="154"/>
        <v>6.0375049223006707</v>
      </c>
      <c r="CU34" s="6">
        <f t="shared" si="155"/>
        <v>5.539910912609769</v>
      </c>
      <c r="CV34" s="4">
        <f t="shared" si="238"/>
        <v>4.0218832511488589</v>
      </c>
      <c r="CW34" s="5">
        <f t="shared" si="156"/>
        <v>-3.0706834428631571</v>
      </c>
      <c r="CX34" s="8">
        <f t="shared" si="157"/>
        <v>-0.38314999991812754</v>
      </c>
      <c r="CY34" s="9">
        <f t="shared" si="158"/>
        <v>3.6904110553986267</v>
      </c>
      <c r="CZ34" s="5">
        <f t="shared" si="159"/>
        <v>-2.7203938947841784</v>
      </c>
      <c r="DA34" s="6">
        <f t="shared" si="160"/>
        <v>-0.38314999991812754</v>
      </c>
      <c r="DB34" s="4">
        <f t="shared" si="161"/>
        <v>0</v>
      </c>
      <c r="DC34" s="5">
        <f t="shared" si="161"/>
        <v>0</v>
      </c>
      <c r="DD34" s="10">
        <f t="shared" si="162"/>
        <v>-10</v>
      </c>
      <c r="DE34" s="9">
        <f t="shared" si="163"/>
        <v>0</v>
      </c>
      <c r="DF34" s="5">
        <f t="shared" si="163"/>
        <v>0</v>
      </c>
      <c r="DG34" s="10">
        <f t="shared" si="164"/>
        <v>10</v>
      </c>
      <c r="DH34" s="70">
        <f t="shared" si="165"/>
        <v>4.9903000000000004</v>
      </c>
      <c r="DI34" s="4">
        <f t="shared" si="166"/>
        <v>0</v>
      </c>
      <c r="DJ34" s="5">
        <f t="shared" si="167"/>
        <v>0</v>
      </c>
      <c r="DK34" s="10">
        <f t="shared" si="168"/>
        <v>20</v>
      </c>
      <c r="DL34" s="9">
        <f t="shared" si="169"/>
        <v>4.0218832511488589</v>
      </c>
      <c r="DM34" s="173">
        <f t="shared" si="170"/>
        <v>-3.0706834428631571</v>
      </c>
      <c r="DN34" s="178">
        <f t="shared" si="171"/>
        <v>9.6168500000818717</v>
      </c>
      <c r="DO34" s="9">
        <f t="shared" si="172"/>
        <v>-0.33147219575023223</v>
      </c>
      <c r="DP34" s="173">
        <f t="shared" si="173"/>
        <v>0.35028954807897872</v>
      </c>
      <c r="DQ34" s="11">
        <f t="shared" si="174"/>
        <v>0</v>
      </c>
      <c r="DR34" s="173">
        <f t="shared" si="175"/>
        <v>192.33700000163742</v>
      </c>
      <c r="DS34" s="5">
        <f t="shared" si="176"/>
        <v>0</v>
      </c>
      <c r="DT34" s="5">
        <f t="shared" si="177"/>
        <v>400</v>
      </c>
      <c r="DU34" s="5">
        <f t="shared" si="178"/>
        <v>0.23257658404885539</v>
      </c>
      <c r="DV34" s="5">
        <f t="shared" si="179"/>
        <v>-2.4087707878035327</v>
      </c>
      <c r="DW34" s="5">
        <f t="shared" si="180"/>
        <v>118.08844561622034</v>
      </c>
      <c r="DX34" s="167">
        <f t="shared" si="181"/>
        <v>93.18535152622033</v>
      </c>
      <c r="DY34" s="9">
        <f t="shared" si="182"/>
        <v>93.030633619542158</v>
      </c>
      <c r="DZ34" s="5">
        <f t="shared" si="183"/>
        <v>-963.50831512141303</v>
      </c>
      <c r="EA34" s="10">
        <f t="shared" si="184"/>
        <v>280.61904085825518</v>
      </c>
      <c r="EB34" s="6">
        <f t="shared" si="185"/>
        <v>902242.10613135248</v>
      </c>
      <c r="EC34" s="173">
        <f t="shared" si="186"/>
        <v>20.567123939338458</v>
      </c>
      <c r="ED34" s="5">
        <f t="shared" si="187"/>
        <v>0.14666199620131679</v>
      </c>
      <c r="EE34" s="4">
        <f t="shared" si="188"/>
        <v>-2.7955464812908257</v>
      </c>
      <c r="EF34" s="5">
        <f t="shared" si="189"/>
        <v>4.1337651071320565</v>
      </c>
      <c r="EG34" s="10">
        <f t="shared" si="190"/>
        <v>-0.38314999991812754</v>
      </c>
      <c r="EH34" s="9">
        <f t="shared" si="191"/>
        <v>3.9732688772348963</v>
      </c>
      <c r="EI34" s="5">
        <f t="shared" si="192"/>
        <v>-3.019309278493437</v>
      </c>
      <c r="EJ34" s="6">
        <f t="shared" si="193"/>
        <v>-0.38314999991812754</v>
      </c>
      <c r="EK34" s="236" t="b">
        <f t="shared" si="194"/>
        <v>0</v>
      </c>
      <c r="EL34" s="238" t="b">
        <f t="shared" si="195"/>
        <v>1</v>
      </c>
      <c r="EM34" s="4">
        <f t="shared" si="196"/>
        <v>3.9732688772348963</v>
      </c>
      <c r="EN34" s="5">
        <f t="shared" si="197"/>
        <v>-3.019309278493437</v>
      </c>
      <c r="EO34" s="10">
        <f t="shared" si="198"/>
        <v>-0.38314999991812754</v>
      </c>
      <c r="EP34" s="9">
        <f t="shared" si="199"/>
        <v>322.76859454704635</v>
      </c>
      <c r="EQ34" s="5">
        <f t="shared" si="200"/>
        <v>4.9903000000000013</v>
      </c>
      <c r="ER34" s="7">
        <f t="shared" si="201"/>
        <v>-0.38314999991812754</v>
      </c>
      <c r="ES34" s="21">
        <f t="shared" si="124"/>
        <v>-0.70396656964695659</v>
      </c>
      <c r="ET34" s="5">
        <f t="shared" si="35"/>
        <v>-0.66614989186895235</v>
      </c>
      <c r="EU34" s="10">
        <f t="shared" si="36"/>
        <v>-0.24632375115380101</v>
      </c>
      <c r="EV34" s="174">
        <f t="shared" si="252"/>
        <v>127.23140545295365</v>
      </c>
      <c r="EW34" s="9">
        <f t="shared" si="125"/>
        <v>0.95631233160742868</v>
      </c>
      <c r="EX34" s="5">
        <f t="shared" si="37"/>
        <v>-0.15745264060371811</v>
      </c>
      <c r="EY34" s="6">
        <f t="shared" si="202"/>
        <v>-0.24632375115380101</v>
      </c>
      <c r="EZ34" s="51">
        <f t="shared" si="203"/>
        <v>0.28047110164928679</v>
      </c>
      <c r="FA34" s="266">
        <f t="shared" si="126"/>
        <v>-0.60502837576141166</v>
      </c>
      <c r="FB34" s="267">
        <f t="shared" si="127"/>
        <v>-0.79618886093587071</v>
      </c>
      <c r="FC34" s="269">
        <f t="shared" si="38"/>
        <v>-4.8951246305688739E-3</v>
      </c>
      <c r="FD34" s="4">
        <f t="shared" si="128"/>
        <v>0.99998801880565102</v>
      </c>
      <c r="FE34" s="5">
        <f t="shared" si="39"/>
        <v>1.6653345369377348E-16</v>
      </c>
      <c r="FF34" s="7">
        <f t="shared" si="204"/>
        <v>-4.8951246305688739E-3</v>
      </c>
      <c r="FG34" s="173">
        <f t="shared" si="205"/>
        <v>-4.3675687198222346E-2</v>
      </c>
      <c r="FH34" s="5">
        <f t="shared" si="40"/>
        <v>-0.15745264060371827</v>
      </c>
      <c r="FI34" s="10">
        <f t="shared" si="41"/>
        <v>-0.24142862652323213</v>
      </c>
      <c r="FJ34" s="279">
        <f t="shared" si="206"/>
        <v>16.762858394378249</v>
      </c>
      <c r="FK34" s="4">
        <f t="shared" si="42"/>
        <v>0.96918760290127537</v>
      </c>
      <c r="FL34" s="5">
        <f t="shared" si="207"/>
        <v>0.99998801880565114</v>
      </c>
      <c r="FM34" s="8">
        <f t="shared" si="208"/>
        <v>0.16339797944075268</v>
      </c>
      <c r="FN34" s="9">
        <f t="shared" si="209"/>
        <v>9.3496178570324844</v>
      </c>
      <c r="FO34" s="10">
        <f t="shared" si="43"/>
        <v>1</v>
      </c>
      <c r="FP34" s="277">
        <f t="shared" si="44"/>
        <v>9.3496178570324844</v>
      </c>
      <c r="FQ34" s="173">
        <f t="shared" si="239"/>
        <v>0.16245837248885708</v>
      </c>
      <c r="FR34" s="10">
        <f t="shared" si="210"/>
        <v>0.98671539828274279</v>
      </c>
      <c r="FS34" s="9">
        <f t="shared" si="211"/>
        <v>0.14136971850634586</v>
      </c>
      <c r="FT34" s="6">
        <f t="shared" si="212"/>
        <v>0.85863028149365417</v>
      </c>
      <c r="FU34" s="4">
        <f t="shared" si="213"/>
        <v>0.98752653937345725</v>
      </c>
      <c r="FV34" s="5">
        <f t="shared" si="214"/>
        <v>1</v>
      </c>
      <c r="FW34" s="8">
        <f t="shared" si="240"/>
        <v>0.24534740136616745</v>
      </c>
      <c r="FX34" s="9">
        <f t="shared" si="241"/>
        <v>14.163613945978495</v>
      </c>
      <c r="FY34" s="10">
        <f t="shared" si="45"/>
        <v>1</v>
      </c>
      <c r="FZ34" s="277">
        <f t="shared" si="242"/>
        <v>14.163613945978495</v>
      </c>
      <c r="GA34" s="177">
        <f t="shared" si="215"/>
        <v>13.98625216881705</v>
      </c>
      <c r="GB34" s="4">
        <f t="shared" si="216"/>
        <v>-0.15751979042164097</v>
      </c>
      <c r="GC34" s="5">
        <f t="shared" si="217"/>
        <v>0.95672017614213356</v>
      </c>
      <c r="GD34" s="10">
        <f t="shared" si="218"/>
        <v>-0.24469168393733215</v>
      </c>
      <c r="GE34" s="311">
        <f t="shared" si="219"/>
        <v>1.3589316505011066</v>
      </c>
      <c r="GF34" s="341">
        <f t="shared" si="243"/>
        <v>0.73587218285132261</v>
      </c>
      <c r="GG34" s="285">
        <f t="shared" si="46"/>
        <v>0.1159144320198558</v>
      </c>
      <c r="GH34" s="286">
        <f t="shared" si="47"/>
        <v>0.70402376439561365</v>
      </c>
      <c r="GI34" s="281">
        <f t="shared" si="48"/>
        <v>0.18006180358453053</v>
      </c>
      <c r="GJ34" s="167">
        <f t="shared" si="220"/>
        <v>4.9903000000000004</v>
      </c>
      <c r="GK34" s="174">
        <f t="shared" si="49"/>
        <v>2.6129462760853479</v>
      </c>
      <c r="GL34" s="174">
        <f t="shared" si="221"/>
        <v>2.2100000000000002E-2</v>
      </c>
      <c r="GM34" s="177">
        <f t="shared" si="244"/>
        <v>0.6929533524178344</v>
      </c>
      <c r="GN34" s="280">
        <f t="shared" si="222"/>
        <v>3.8389933329698589E-2</v>
      </c>
      <c r="GO34" s="4">
        <f t="shared" si="223"/>
        <v>9.3496178570324844</v>
      </c>
      <c r="GP34" s="8">
        <f t="shared" si="245"/>
        <v>14.163613945978495</v>
      </c>
      <c r="GQ34" s="177">
        <f t="shared" si="224"/>
        <v>16.762858394378249</v>
      </c>
      <c r="GR34" s="371">
        <f t="shared" si="246"/>
        <v>2460.6887844642461</v>
      </c>
      <c r="GS34" s="342">
        <f t="shared" si="51"/>
        <v>285.22934282880249</v>
      </c>
      <c r="GT34" s="343">
        <f t="shared" si="52"/>
        <v>109.16004873093912</v>
      </c>
      <c r="GU34" s="344">
        <f t="shared" si="53"/>
        <v>1732.3833810445856</v>
      </c>
      <c r="GV34" s="343">
        <f t="shared" si="253"/>
        <v>663</v>
      </c>
      <c r="GW34" s="345">
        <f t="shared" si="129"/>
        <v>30000</v>
      </c>
      <c r="GX34" s="346">
        <f t="shared" si="54"/>
        <v>275.71407500000004</v>
      </c>
      <c r="GY34" s="344">
        <f t="shared" si="55"/>
        <v>443.07606059085833</v>
      </c>
      <c r="GZ34" s="345">
        <f t="shared" si="56"/>
        <v>169.56952565234675</v>
      </c>
      <c r="HA34" s="342">
        <f t="shared" si="57"/>
        <v>285.22934282880249</v>
      </c>
      <c r="HB34" s="5">
        <f t="shared" si="225"/>
        <v>127.23140545295365</v>
      </c>
      <c r="HC34" s="343">
        <f t="shared" si="226"/>
        <v>-172.57391365280426</v>
      </c>
      <c r="HD34" s="363">
        <f t="shared" si="227"/>
        <v>227.09914649136178</v>
      </c>
      <c r="HE34" s="344">
        <f t="shared" si="58"/>
        <v>663</v>
      </c>
      <c r="HF34" s="5">
        <f t="shared" si="59"/>
        <v>217.23140545295365</v>
      </c>
      <c r="HG34" s="343">
        <f t="shared" si="228"/>
        <v>-527.87953942783702</v>
      </c>
      <c r="HH34" s="349">
        <f t="shared" si="229"/>
        <v>-401.13861924957399</v>
      </c>
      <c r="HI34" s="317">
        <f t="shared" si="60"/>
        <v>3.1309999999999998</v>
      </c>
      <c r="HJ34" s="336"/>
      <c r="HK34" s="310">
        <f t="shared" si="130"/>
        <v>26</v>
      </c>
      <c r="HL34" s="348">
        <f t="shared" si="61"/>
        <v>6.1260000000000003</v>
      </c>
      <c r="HM34" s="935">
        <f t="shared" si="62"/>
        <v>5.3702309237068588</v>
      </c>
      <c r="HN34" s="936">
        <f t="shared" si="63"/>
        <v>16.299997646571494</v>
      </c>
      <c r="HO34" s="937"/>
      <c r="HP34" s="938"/>
      <c r="HQ34" s="936">
        <f t="shared" si="64"/>
        <v>15.636980288788092</v>
      </c>
      <c r="HR34" s="939">
        <f t="shared" si="65"/>
        <v>14.772240507697314</v>
      </c>
      <c r="HS34" s="940">
        <f t="shared" si="249"/>
        <v>4.3784999999999998</v>
      </c>
      <c r="HT34" s="941">
        <f t="shared" si="66"/>
        <v>1.29E-2</v>
      </c>
      <c r="HU34" s="942">
        <f t="shared" si="67"/>
        <v>0.35489647993431511</v>
      </c>
      <c r="HV34" s="943">
        <f t="shared" si="68"/>
        <v>1.9661427650338938E-2</v>
      </c>
      <c r="HW34" s="944">
        <f t="shared" si="69"/>
        <v>30000</v>
      </c>
      <c r="HX34" s="947">
        <f t="shared" si="70"/>
        <v>141.206625</v>
      </c>
      <c r="HY34" s="952">
        <f t="shared" si="71"/>
        <v>83.403907551642689</v>
      </c>
      <c r="HZ34" s="953">
        <f t="shared" si="72"/>
        <v>887.24119983578794</v>
      </c>
      <c r="IA34" s="954">
        <f t="shared" si="73"/>
        <v>234.99086352760767</v>
      </c>
      <c r="IB34" s="955">
        <f t="shared" si="74"/>
        <v>1205.6359709150383</v>
      </c>
      <c r="IC34" s="842">
        <f t="shared" si="75"/>
        <v>36.379410952128531</v>
      </c>
      <c r="ID34" s="351">
        <f t="shared" si="76"/>
        <v>387</v>
      </c>
      <c r="IE34" s="844">
        <f t="shared" si="77"/>
        <v>102.49914476696503</v>
      </c>
      <c r="IF34" s="845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0"/>
        <v>3.1309999999999998</v>
      </c>
      <c r="IJ34" s="96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8"/>
        <v>1613</v>
      </c>
      <c r="IM34" s="482" t="str">
        <f t="shared" si="231"/>
        <v/>
      </c>
      <c r="IN34" s="670" t="str">
        <f t="shared" si="80"/>
        <v/>
      </c>
      <c r="IO34" s="702"/>
      <c r="IP34" s="5" t="str">
        <f t="shared" si="81"/>
        <v/>
      </c>
      <c r="IQ34" s="714"/>
      <c r="IR34" s="9" t="str">
        <f t="shared" si="131"/>
        <v/>
      </c>
      <c r="IS34" s="5" t="str">
        <f t="shared" si="82"/>
        <v/>
      </c>
      <c r="IT34" s="5" t="str">
        <f t="shared" si="83"/>
        <v/>
      </c>
      <c r="IU34" s="5" t="str">
        <f t="shared" si="84"/>
        <v/>
      </c>
      <c r="IV34" s="670" t="str">
        <f t="shared" si="85"/>
        <v/>
      </c>
      <c r="IW34" s="9" t="str">
        <f t="shared" si="86"/>
        <v/>
      </c>
      <c r="IX34" s="5" t="str">
        <f t="shared" si="87"/>
        <v/>
      </c>
      <c r="IY34" s="5" t="str">
        <f t="shared" si="88"/>
        <v/>
      </c>
      <c r="IZ34" s="5" t="str">
        <f t="shared" si="89"/>
        <v/>
      </c>
      <c r="JA34" s="705" t="str">
        <f t="shared" si="90"/>
        <v/>
      </c>
      <c r="JI34" s="419"/>
    </row>
    <row r="35" spans="1:269" ht="15" customHeight="1" x14ac:dyDescent="0.25">
      <c r="A35" s="75">
        <f t="shared" si="1"/>
        <v>0</v>
      </c>
      <c r="B35" s="578">
        <f t="shared" ref="B35:D35" si="296">IFERROR(O190+($A35*-E35),"")</f>
        <v>4.2660043229391542</v>
      </c>
      <c r="C35" s="572">
        <f t="shared" si="296"/>
        <v>-3.2146648015979111</v>
      </c>
      <c r="D35" s="576">
        <f t="shared" si="296"/>
        <v>-1.1217033830574032</v>
      </c>
      <c r="E35" s="580">
        <f t="shared" ref="E35:K35" si="297">R190</f>
        <v>0.76953726710793535</v>
      </c>
      <c r="F35" s="572">
        <f t="shared" si="297"/>
        <v>0.60259942507347497</v>
      </c>
      <c r="G35" s="579">
        <f t="shared" si="297"/>
        <v>0.21139140813469137</v>
      </c>
      <c r="H35" s="580">
        <f t="shared" si="297"/>
        <v>0.3125</v>
      </c>
      <c r="I35" s="572">
        <f t="shared" si="297"/>
        <v>0.52</v>
      </c>
      <c r="J35" s="483">
        <f t="shared" si="92"/>
        <v>3.137</v>
      </c>
      <c r="K35" s="806">
        <f t="shared" si="297"/>
        <v>1613</v>
      </c>
      <c r="L35" s="309"/>
      <c r="M35" s="164">
        <f t="shared" si="4"/>
        <v>3.137</v>
      </c>
      <c r="N35" s="575">
        <f t="shared" si="5"/>
        <v>4.2660043229391542</v>
      </c>
      <c r="O35" s="572">
        <f t="shared" si="6"/>
        <v>-3.2146648015979111</v>
      </c>
      <c r="P35" s="576">
        <f t="shared" si="7"/>
        <v>-1.1217033830574032</v>
      </c>
      <c r="Q35" s="528">
        <f t="shared" si="134"/>
        <v>323.00000028876423</v>
      </c>
      <c r="R35" s="572">
        <f>IF(M35="","",SQRT(N35^2+O35^2))</f>
        <v>5.341616110314189</v>
      </c>
      <c r="S35" s="577">
        <f>IF(M35="","",P35)</f>
        <v>-1.1217033830574032</v>
      </c>
      <c r="T35" s="578">
        <f>IF(M35="","",X35*COS(RADIANS(W35)))</f>
        <v>-3.2139201945336668</v>
      </c>
      <c r="U35" s="572">
        <f>IF(M35="","",X35*SIN(RADIANS(W35)))</f>
        <v>-4.2665653227317124</v>
      </c>
      <c r="V35" s="579">
        <f>IF(M35="","",Y35)</f>
        <v>-1.1217033830574032</v>
      </c>
      <c r="W35" s="528">
        <f t="shared" si="256"/>
        <v>233.01000028732039</v>
      </c>
      <c r="X35" s="572">
        <f>IF(M35="","",R35)</f>
        <v>5.341616110314189</v>
      </c>
      <c r="Y35" s="573">
        <f t="shared" si="259"/>
        <v>-1.1217033830574032</v>
      </c>
      <c r="Z35" s="575">
        <f t="shared" si="10"/>
        <v>-0.76953726710793535</v>
      </c>
      <c r="AA35" s="572">
        <f t="shared" si="11"/>
        <v>-0.60259942507347497</v>
      </c>
      <c r="AB35" s="572">
        <f t="shared" si="12"/>
        <v>-0.21139140813469137</v>
      </c>
      <c r="AC35" s="579">
        <f>IF(M35="","",SQRT(Z35^2+AA35^2+AB35^2))</f>
        <v>1</v>
      </c>
      <c r="AD35" s="580">
        <f>IF(M35="","",Z35*(1/SQRT(Z35^2+AA35^2+AB35^2)))</f>
        <v>-0.76953726710793535</v>
      </c>
      <c r="AE35" s="572">
        <f>IF(M35="","",AA35*(1/SQRT(Z35^2+AA35^2+AB35^2)))</f>
        <v>-0.60259942507347497</v>
      </c>
      <c r="AF35" s="576">
        <f>IF(M35="","",AB35*(1/SQRT(Z35^2+AA35^2+AB35^2)))</f>
        <v>-0.21139140813469137</v>
      </c>
      <c r="AG35" s="545">
        <f>IF(M35="","",DEGREES(ATAN2(-AF35,AE35)))</f>
        <v>-70.669169369165061</v>
      </c>
      <c r="AH35" s="546">
        <f>IF(M35="","",DEGREES(ACOS(AD35)))</f>
        <v>140.31235401107284</v>
      </c>
      <c r="AI35" s="528">
        <f>IF(M35="","",DEGREES(-ACOS(-AF35)))</f>
        <v>-77.796095217773669</v>
      </c>
      <c r="AJ35" s="529">
        <f>IF(M35="","",DEGREES(ATAN2(-AE35,AD35)))</f>
        <v>-51.936667677937727</v>
      </c>
      <c r="AK35" s="578">
        <f>IF(M35="","",(COS(RADIANS((90-$Q$8)-W35))*AD35)+(-SIN(RADIANS((90-$Q$8)-W35))*AE35))</f>
        <v>0.94437638614900554</v>
      </c>
      <c r="AL35" s="572">
        <f>IF(M35="","",(SIN(RADIANS((90-$Q$8)-W35))*AD35)+(COS(RADIANS((90-$Q$8)-W35))*AE35))</f>
        <v>-0.25192640562469154</v>
      </c>
      <c r="AM35" s="577">
        <f>IF(M35="","",AF35)</f>
        <v>-0.21139140813469137</v>
      </c>
      <c r="AN35" s="524">
        <f>IF(M35="","",DEGREES(ATAN2(-AM35,AL35)))</f>
        <v>-49.999992780894246</v>
      </c>
      <c r="AO35" s="525">
        <f t="shared" si="108"/>
        <v>19.199997227863413</v>
      </c>
      <c r="AP35" s="528">
        <f>IF(M35="","",DEGREES(ATAN2(AK35,AL35)))</f>
        <v>-14.936667966701966</v>
      </c>
      <c r="AQ35" s="529">
        <f t="shared" si="13"/>
        <v>0.26202488757010728</v>
      </c>
      <c r="AS35" s="900">
        <f t="shared" si="137"/>
        <v>-126.98999971267961</v>
      </c>
      <c r="AT35" s="896">
        <f t="shared" si="14"/>
        <v>-1.0675560963588144</v>
      </c>
      <c r="AU35" s="418"/>
      <c r="AV35" s="164">
        <f t="shared" si="15"/>
        <v>3.137</v>
      </c>
      <c r="AW35" s="829">
        <f>IFERROR(INDEX(MassProp!C$9:C$150,MATCH($M35,MassProp!$B$9:$B$150,0)),"")</f>
        <v>5.5541999999999998</v>
      </c>
      <c r="AX35" s="830">
        <f>IFERROR(INDEX(MassProp!D$9:D$150,MATCH($M35,MassProp!$B$9:$B$150,0)),"")</f>
        <v>-0.77049999999999996</v>
      </c>
      <c r="AY35" s="831">
        <f>IFERROR(INDEX(MassProp!E$9:E$150,MATCH($M35,MassProp!$B$9:$B$150,0)),"")</f>
        <v>1.6299999999999999E-2</v>
      </c>
      <c r="AZ35" s="297">
        <f t="shared" si="138"/>
        <v>0.56884400748376618</v>
      </c>
      <c r="BA35" s="296">
        <f t="shared" si="16"/>
        <v>3.1514218736519835E-2</v>
      </c>
      <c r="BB35" s="190">
        <f t="shared" si="139"/>
        <v>0.14356772426579123</v>
      </c>
      <c r="BC35" s="9"/>
      <c r="BD35" s="5">
        <f t="shared" si="235"/>
        <v>5.5541999999999998</v>
      </c>
      <c r="BE35" s="6">
        <f t="shared" si="17"/>
        <v>-0.97813565879161202</v>
      </c>
      <c r="BF35" s="4">
        <f t="shared" si="18"/>
        <v>4.2660043229391542</v>
      </c>
      <c r="BG35" s="5">
        <f t="shared" si="19"/>
        <v>-3.2146648015979111</v>
      </c>
      <c r="BH35" s="10">
        <f t="shared" si="20"/>
        <v>-1.1217033830574032</v>
      </c>
      <c r="BI35" s="9">
        <f t="shared" si="140"/>
        <v>4.2660043229391542</v>
      </c>
      <c r="BJ35" s="5">
        <f t="shared" si="21"/>
        <v>-2.8836426012246363</v>
      </c>
      <c r="BK35" s="8">
        <f t="shared" si="22"/>
        <v>-2.0653263495329099</v>
      </c>
      <c r="BL35" s="173">
        <f t="shared" si="23"/>
        <v>4.9046062290841714</v>
      </c>
      <c r="BM35" s="5">
        <f t="shared" si="24"/>
        <v>-3.940817840399756</v>
      </c>
      <c r="BN35" s="6">
        <f t="shared" si="25"/>
        <v>-1.3764373024847087</v>
      </c>
      <c r="BO35" s="4">
        <f t="shared" si="141"/>
        <v>-0.76953726710793657</v>
      </c>
      <c r="BP35" s="5">
        <f t="shared" si="142"/>
        <v>-0.60259942507347464</v>
      </c>
      <c r="BQ35" s="5">
        <f t="shared" si="143"/>
        <v>-0.21139140813469215</v>
      </c>
      <c r="BR35" s="6">
        <f t="shared" si="144"/>
        <v>1.1085756892444509</v>
      </c>
      <c r="BS35" s="4">
        <f t="shared" si="110"/>
        <v>0</v>
      </c>
      <c r="BT35" s="5">
        <f t="shared" si="110"/>
        <v>0</v>
      </c>
      <c r="BU35" s="10">
        <f t="shared" si="111"/>
        <v>-0.97813565879161202</v>
      </c>
      <c r="BV35" s="9">
        <f t="shared" si="112"/>
        <v>0</v>
      </c>
      <c r="BW35" s="5">
        <f t="shared" si="113"/>
        <v>1</v>
      </c>
      <c r="BX35" s="8">
        <f t="shared" si="114"/>
        <v>-0.97813565879161202</v>
      </c>
      <c r="BY35" s="173">
        <f t="shared" si="115"/>
        <v>1</v>
      </c>
      <c r="BZ35" s="5">
        <f t="shared" si="116"/>
        <v>0</v>
      </c>
      <c r="CA35" s="6">
        <f t="shared" si="117"/>
        <v>-0.97813565879161202</v>
      </c>
      <c r="CB35" s="4">
        <f t="shared" si="145"/>
        <v>0</v>
      </c>
      <c r="CC35" s="5">
        <f t="shared" si="146"/>
        <v>0</v>
      </c>
      <c r="CD35" s="5">
        <f t="shared" si="147"/>
        <v>-1</v>
      </c>
      <c r="CE35" s="6">
        <f t="shared" si="148"/>
        <v>-0.97813565879161202</v>
      </c>
      <c r="CF35" s="4">
        <f t="shared" si="149"/>
        <v>0.60259942507347464</v>
      </c>
      <c r="CG35" s="5">
        <f t="shared" si="150"/>
        <v>-0.76953726710793657</v>
      </c>
      <c r="CH35" s="5">
        <f t="shared" si="151"/>
        <v>0</v>
      </c>
      <c r="CI35" s="4">
        <f t="shared" si="118"/>
        <v>0</v>
      </c>
      <c r="CJ35" s="5">
        <f t="shared" si="119"/>
        <v>2.1827852944645363</v>
      </c>
      <c r="CK35" s="8">
        <f t="shared" si="120"/>
        <v>-0.97813565879161202</v>
      </c>
      <c r="CL35" s="173">
        <f t="shared" si="121"/>
        <v>0.60259942507347464</v>
      </c>
      <c r="CM35" s="5">
        <f t="shared" si="122"/>
        <v>1.4132480273565997</v>
      </c>
      <c r="CN35" s="6">
        <f t="shared" si="123"/>
        <v>-0.97813565879161202</v>
      </c>
      <c r="CO35" s="167">
        <f t="shared" si="26"/>
        <v>0.3125</v>
      </c>
      <c r="CP35" s="4">
        <f t="shared" si="236"/>
        <v>0.95531367256683386</v>
      </c>
      <c r="CQ35" s="5">
        <f t="shared" si="237"/>
        <v>-13.448461497278915</v>
      </c>
      <c r="CR35" s="5">
        <f t="shared" si="152"/>
        <v>47.254215864270932</v>
      </c>
      <c r="CS35" s="8">
        <f t="shared" si="153"/>
        <v>0.29072263754298433</v>
      </c>
      <c r="CT35" s="9">
        <f t="shared" si="154"/>
        <v>7.3209715899202514</v>
      </c>
      <c r="CU35" s="6">
        <f t="shared" si="155"/>
        <v>6.7565632381370317</v>
      </c>
      <c r="CV35" s="4">
        <f t="shared" si="238"/>
        <v>4.4116132710651854</v>
      </c>
      <c r="CW35" s="5">
        <f t="shared" si="156"/>
        <v>-3.4509751754175397</v>
      </c>
      <c r="CX35" s="8">
        <f t="shared" si="157"/>
        <v>-0.97813565879161202</v>
      </c>
      <c r="CY35" s="9">
        <f t="shared" si="158"/>
        <v>4.0715011227739497</v>
      </c>
      <c r="CZ35" s="5">
        <f t="shared" si="159"/>
        <v>-3.0166419148533858</v>
      </c>
      <c r="DA35" s="6">
        <f t="shared" si="160"/>
        <v>-0.97813565879161202</v>
      </c>
      <c r="DB35" s="4">
        <f t="shared" si="161"/>
        <v>0</v>
      </c>
      <c r="DC35" s="5">
        <f t="shared" si="161"/>
        <v>0</v>
      </c>
      <c r="DD35" s="10">
        <f t="shared" si="162"/>
        <v>-10</v>
      </c>
      <c r="DE35" s="9">
        <f t="shared" si="163"/>
        <v>0</v>
      </c>
      <c r="DF35" s="5">
        <f t="shared" si="163"/>
        <v>0</v>
      </c>
      <c r="DG35" s="10">
        <f t="shared" si="164"/>
        <v>10</v>
      </c>
      <c r="DH35" s="70">
        <f t="shared" si="165"/>
        <v>5.5541999999999998</v>
      </c>
      <c r="DI35" s="4">
        <f t="shared" si="166"/>
        <v>0</v>
      </c>
      <c r="DJ35" s="5">
        <f t="shared" si="167"/>
        <v>0</v>
      </c>
      <c r="DK35" s="10">
        <f t="shared" si="168"/>
        <v>20</v>
      </c>
      <c r="DL35" s="9">
        <f t="shared" si="169"/>
        <v>4.4116132710651854</v>
      </c>
      <c r="DM35" s="173">
        <f t="shared" si="170"/>
        <v>-3.4509751754175397</v>
      </c>
      <c r="DN35" s="178">
        <f t="shared" si="171"/>
        <v>9.0218643412083885</v>
      </c>
      <c r="DO35" s="9">
        <f t="shared" si="172"/>
        <v>-0.34011214829123571</v>
      </c>
      <c r="DP35" s="173">
        <f t="shared" si="173"/>
        <v>0.43433326056415389</v>
      </c>
      <c r="DQ35" s="11">
        <f t="shared" si="174"/>
        <v>0</v>
      </c>
      <c r="DR35" s="173">
        <f t="shared" si="175"/>
        <v>180.43728682416776</v>
      </c>
      <c r="DS35" s="5">
        <f t="shared" si="176"/>
        <v>0</v>
      </c>
      <c r="DT35" s="5">
        <f t="shared" si="177"/>
        <v>400</v>
      </c>
      <c r="DU35" s="5">
        <f t="shared" si="178"/>
        <v>0.30432165464756866</v>
      </c>
      <c r="DV35" s="5">
        <f t="shared" si="179"/>
        <v>-2.9993165671171589</v>
      </c>
      <c r="DW35" s="5">
        <f t="shared" si="180"/>
        <v>112.76559750595405</v>
      </c>
      <c r="DX35" s="167">
        <f t="shared" si="181"/>
        <v>81.916459865954053</v>
      </c>
      <c r="DY35" s="9">
        <f t="shared" si="182"/>
        <v>121.72866185902747</v>
      </c>
      <c r="DZ35" s="5">
        <f t="shared" si="183"/>
        <v>-1199.7266268468636</v>
      </c>
      <c r="EA35" s="10">
        <f t="shared" si="184"/>
        <v>208.96946991463847</v>
      </c>
      <c r="EB35" s="6">
        <f t="shared" si="185"/>
        <v>1413906.4052232543</v>
      </c>
      <c r="EC35" s="173">
        <f t="shared" si="186"/>
        <v>19.624010932855622</v>
      </c>
      <c r="ED35" s="5">
        <f t="shared" si="187"/>
        <v>8.7478678954172245E-2</v>
      </c>
      <c r="EE35" s="4">
        <f t="shared" si="188"/>
        <v>-2.2627512453990368</v>
      </c>
      <c r="EF35" s="5">
        <f t="shared" si="189"/>
        <v>5.0723854783962459</v>
      </c>
      <c r="EG35" s="10">
        <f t="shared" si="190"/>
        <v>-0.97813565879161202</v>
      </c>
      <c r="EH35" s="9">
        <f t="shared" si="191"/>
        <v>4.3818607096364026</v>
      </c>
      <c r="EI35" s="5">
        <f t="shared" si="192"/>
        <v>-3.4129802755575294</v>
      </c>
      <c r="EJ35" s="6">
        <f t="shared" si="193"/>
        <v>-0.97813565879161202</v>
      </c>
      <c r="EK35" s="236" t="b">
        <f t="shared" si="194"/>
        <v>0</v>
      </c>
      <c r="EL35" s="238" t="b">
        <f t="shared" si="195"/>
        <v>1</v>
      </c>
      <c r="EM35" s="4">
        <f t="shared" si="196"/>
        <v>4.3818607096364026</v>
      </c>
      <c r="EN35" s="5">
        <f t="shared" si="197"/>
        <v>-3.4129802755575294</v>
      </c>
      <c r="EO35" s="10">
        <f t="shared" si="198"/>
        <v>-0.97813565879161202</v>
      </c>
      <c r="EP35" s="9">
        <f t="shared" si="199"/>
        <v>322.08539046866287</v>
      </c>
      <c r="EQ35" s="5">
        <f t="shared" si="200"/>
        <v>5.5541999999999989</v>
      </c>
      <c r="ER35" s="7">
        <f t="shared" si="201"/>
        <v>-0.97813565879161202</v>
      </c>
      <c r="ES35" s="21">
        <f t="shared" si="124"/>
        <v>-0.76953726710793535</v>
      </c>
      <c r="ET35" s="5">
        <f t="shared" si="35"/>
        <v>-0.60259942507347497</v>
      </c>
      <c r="EU35" s="10">
        <f t="shared" si="36"/>
        <v>-0.21139140813469137</v>
      </c>
      <c r="EV35" s="174">
        <f t="shared" si="252"/>
        <v>127.91460953133713</v>
      </c>
      <c r="EW35" s="9">
        <f t="shared" si="125"/>
        <v>0.9482773861806878</v>
      </c>
      <c r="EX35" s="5">
        <f t="shared" si="37"/>
        <v>-0.2368199134894598</v>
      </c>
      <c r="EY35" s="6">
        <f t="shared" si="202"/>
        <v>-0.21139140813469137</v>
      </c>
      <c r="EZ35" s="51">
        <f t="shared" si="203"/>
        <v>0.25199616387038926</v>
      </c>
      <c r="FA35" s="266">
        <f t="shared" si="126"/>
        <v>-0.61448044102587707</v>
      </c>
      <c r="FB35" s="267">
        <f t="shared" si="127"/>
        <v>-0.78891979559755687</v>
      </c>
      <c r="FC35" s="269">
        <f t="shared" si="38"/>
        <v>-4.3981485823908909E-3</v>
      </c>
      <c r="FD35" s="4">
        <f t="shared" si="128"/>
        <v>0.99999032809775079</v>
      </c>
      <c r="FE35" s="5">
        <f t="shared" si="39"/>
        <v>2.2204460492503131E-16</v>
      </c>
      <c r="FF35" s="7">
        <f t="shared" si="204"/>
        <v>-4.3981485823908909E-3</v>
      </c>
      <c r="FG35" s="173">
        <f t="shared" si="205"/>
        <v>-5.1712941917062993E-2</v>
      </c>
      <c r="FH35" s="5">
        <f t="shared" si="40"/>
        <v>-0.23681991348946002</v>
      </c>
      <c r="FI35" s="10">
        <f t="shared" si="41"/>
        <v>-0.20699325955230047</v>
      </c>
      <c r="FJ35" s="279">
        <f t="shared" si="206"/>
        <v>18.341473574774298</v>
      </c>
      <c r="FK35" s="4">
        <f t="shared" si="42"/>
        <v>0.97740148995529585</v>
      </c>
      <c r="FL35" s="5">
        <f t="shared" si="207"/>
        <v>0.99999032809775079</v>
      </c>
      <c r="FM35" s="8">
        <f t="shared" si="208"/>
        <v>0.24240028833908772</v>
      </c>
      <c r="FN35" s="9">
        <f t="shared" si="209"/>
        <v>14.022058146600569</v>
      </c>
      <c r="FO35" s="10">
        <f t="shared" si="43"/>
        <v>1</v>
      </c>
      <c r="FP35" s="277">
        <f t="shared" si="44"/>
        <v>14.022058146600569</v>
      </c>
      <c r="FQ35" s="173">
        <f t="shared" si="239"/>
        <v>0.24229542917955965</v>
      </c>
      <c r="FR35" s="10">
        <f t="shared" si="210"/>
        <v>0.97020251751822051</v>
      </c>
      <c r="FS35" s="9">
        <f t="shared" si="211"/>
        <v>0.19983162020145898</v>
      </c>
      <c r="FT35" s="6">
        <f t="shared" si="212"/>
        <v>0.80016837979854105</v>
      </c>
      <c r="FU35" s="4">
        <f t="shared" si="213"/>
        <v>0.97155356443936991</v>
      </c>
      <c r="FV35" s="5">
        <f t="shared" si="214"/>
        <v>1</v>
      </c>
      <c r="FW35" s="8">
        <f t="shared" si="240"/>
        <v>0.21335519178544393</v>
      </c>
      <c r="FX35" s="9">
        <f t="shared" si="241"/>
        <v>12.31498557888748</v>
      </c>
      <c r="FY35" s="10">
        <f t="shared" si="45"/>
        <v>1</v>
      </c>
      <c r="FZ35" s="277">
        <f t="shared" si="242"/>
        <v>12.31498557888748</v>
      </c>
      <c r="GA35" s="177">
        <f t="shared" si="215"/>
        <v>11.964094769899317</v>
      </c>
      <c r="GB35" s="4">
        <f t="shared" si="216"/>
        <v>-0.2367201685675733</v>
      </c>
      <c r="GC35" s="5">
        <f t="shared" si="217"/>
        <v>0.94787798626360609</v>
      </c>
      <c r="GD35" s="10">
        <f t="shared" si="218"/>
        <v>-0.21328592300053595</v>
      </c>
      <c r="GE35" s="311">
        <f t="shared" si="219"/>
        <v>1.3978840778317154</v>
      </c>
      <c r="GF35" s="341">
        <f t="shared" si="243"/>
        <v>0.71536690048799967</v>
      </c>
      <c r="GG35" s="285">
        <f t="shared" si="46"/>
        <v>0.16934177327118172</v>
      </c>
      <c r="GH35" s="286">
        <f t="shared" si="47"/>
        <v>0.67808053707420268</v>
      </c>
      <c r="GI35" s="281">
        <f t="shared" si="48"/>
        <v>0.15257768965461557</v>
      </c>
      <c r="GJ35" s="167">
        <f t="shared" si="220"/>
        <v>5.5541999999999998</v>
      </c>
      <c r="GK35" s="174">
        <f t="shared" si="49"/>
        <v>2.9082004472585186</v>
      </c>
      <c r="GL35" s="174">
        <f t="shared" si="221"/>
        <v>1.6299999999999999E-2</v>
      </c>
      <c r="GM35" s="177">
        <f t="shared" si="244"/>
        <v>0.56884400748376618</v>
      </c>
      <c r="GN35" s="280">
        <f t="shared" si="222"/>
        <v>3.1514218736519835E-2</v>
      </c>
      <c r="GO35" s="4">
        <f t="shared" si="223"/>
        <v>14.022058146600569</v>
      </c>
      <c r="GP35" s="8">
        <f t="shared" si="245"/>
        <v>12.31498557888748</v>
      </c>
      <c r="GQ35" s="177">
        <f t="shared" si="224"/>
        <v>18.341473574774298</v>
      </c>
      <c r="GR35" s="371">
        <f t="shared" si="246"/>
        <v>2097.2582767904946</v>
      </c>
      <c r="GS35" s="342">
        <f t="shared" si="51"/>
        <v>355.1534355993652</v>
      </c>
      <c r="GT35" s="343">
        <f t="shared" si="52"/>
        <v>122.12137438262162</v>
      </c>
      <c r="GU35" s="344">
        <f t="shared" si="53"/>
        <v>1422.1100187094155</v>
      </c>
      <c r="GV35" s="343">
        <f t="shared" si="253"/>
        <v>488.99999999999994</v>
      </c>
      <c r="GW35" s="345">
        <f t="shared" si="129"/>
        <v>30000</v>
      </c>
      <c r="GX35" s="346">
        <f t="shared" si="54"/>
        <v>226.33364999999998</v>
      </c>
      <c r="GY35" s="344">
        <f t="shared" si="55"/>
        <v>319.99482248171392</v>
      </c>
      <c r="GZ35" s="345">
        <f t="shared" si="56"/>
        <v>110.03190058077473</v>
      </c>
      <c r="HA35" s="342">
        <f t="shared" si="57"/>
        <v>355.1534355993652</v>
      </c>
      <c r="HB35" s="5">
        <f t="shared" si="225"/>
        <v>127.91460953133713</v>
      </c>
      <c r="HC35" s="343">
        <f t="shared" si="226"/>
        <v>-218.23695050540584</v>
      </c>
      <c r="HD35" s="363">
        <f t="shared" si="227"/>
        <v>280.19028579187659</v>
      </c>
      <c r="HE35" s="344">
        <f t="shared" si="58"/>
        <v>488.99999999999994</v>
      </c>
      <c r="HF35" s="5">
        <f t="shared" si="59"/>
        <v>217.91460953133713</v>
      </c>
      <c r="HG35" s="343">
        <f t="shared" si="228"/>
        <v>-385.78551132695992</v>
      </c>
      <c r="HH35" s="349">
        <f t="shared" si="229"/>
        <v>-300.48384191200034</v>
      </c>
      <c r="HI35" s="317">
        <f t="shared" si="60"/>
        <v>3.137</v>
      </c>
      <c r="HJ35" s="336"/>
      <c r="HK35" s="310">
        <f t="shared" si="130"/>
        <v>27</v>
      </c>
      <c r="HL35" s="348">
        <f t="shared" si="61"/>
        <v>5.1269999999999998</v>
      </c>
      <c r="HM35" s="935">
        <f t="shared" si="62"/>
        <v>6.2115455144658362</v>
      </c>
      <c r="HN35" s="936">
        <f t="shared" si="63"/>
        <v>16.499997617695097</v>
      </c>
      <c r="HO35" s="937"/>
      <c r="HP35" s="938"/>
      <c r="HQ35" s="936">
        <f t="shared" si="64"/>
        <v>15.845017917507278</v>
      </c>
      <c r="HR35" s="939">
        <f t="shared" si="65"/>
        <v>14.691512521860616</v>
      </c>
      <c r="HS35" s="940">
        <f t="shared" si="249"/>
        <v>4.5328999999999997</v>
      </c>
      <c r="HT35" s="941">
        <f t="shared" si="66"/>
        <v>2.4899999999999999E-2</v>
      </c>
      <c r="HU35" s="942">
        <f t="shared" si="67"/>
        <v>0.70918846010092584</v>
      </c>
      <c r="HV35" s="943">
        <f t="shared" si="68"/>
        <v>3.9289365736482798E-2</v>
      </c>
      <c r="HW35" s="944">
        <f t="shared" si="69"/>
        <v>30000</v>
      </c>
      <c r="HX35" s="947">
        <f t="shared" si="70"/>
        <v>282.173025</v>
      </c>
      <c r="HY35" s="952">
        <f t="shared" si="71"/>
        <v>192.9677938474176</v>
      </c>
      <c r="HZ35" s="953">
        <f t="shared" si="72"/>
        <v>1772.9711502523146</v>
      </c>
      <c r="IA35" s="954">
        <f t="shared" si="73"/>
        <v>467.59473477466275</v>
      </c>
      <c r="IB35" s="955">
        <f t="shared" si="74"/>
        <v>2433.5336788743948</v>
      </c>
      <c r="IC35" s="842">
        <f t="shared" si="75"/>
        <v>81.302474653074384</v>
      </c>
      <c r="ID35" s="351">
        <f t="shared" si="76"/>
        <v>747</v>
      </c>
      <c r="IE35" s="844">
        <f t="shared" si="77"/>
        <v>197.01012440442958</v>
      </c>
      <c r="IF35" s="845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0"/>
        <v>3.137</v>
      </c>
      <c r="IJ35" s="96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8"/>
        <v>1613</v>
      </c>
      <c r="IM35" s="482" t="str">
        <f t="shared" si="231"/>
        <v/>
      </c>
      <c r="IN35" s="670" t="str">
        <f t="shared" si="80"/>
        <v/>
      </c>
      <c r="IO35" s="702"/>
      <c r="IP35" s="5" t="str">
        <f t="shared" si="81"/>
        <v/>
      </c>
      <c r="IQ35" s="714"/>
      <c r="IR35" s="9" t="str">
        <f t="shared" si="131"/>
        <v/>
      </c>
      <c r="IS35" s="5" t="str">
        <f t="shared" si="82"/>
        <v/>
      </c>
      <c r="IT35" s="5" t="str">
        <f t="shared" si="83"/>
        <v/>
      </c>
      <c r="IU35" s="5" t="str">
        <f t="shared" si="84"/>
        <v/>
      </c>
      <c r="IV35" s="670" t="str">
        <f t="shared" si="85"/>
        <v/>
      </c>
      <c r="IW35" s="9" t="str">
        <f t="shared" si="86"/>
        <v/>
      </c>
      <c r="IX35" s="5" t="str">
        <f t="shared" si="87"/>
        <v/>
      </c>
      <c r="IY35" s="5" t="str">
        <f t="shared" si="88"/>
        <v/>
      </c>
      <c r="IZ35" s="5" t="str">
        <f t="shared" si="89"/>
        <v/>
      </c>
      <c r="JA35" s="705" t="str">
        <f t="shared" si="90"/>
        <v/>
      </c>
    </row>
    <row r="36" spans="1:269" ht="15" customHeight="1" x14ac:dyDescent="0.25">
      <c r="A36" s="75">
        <f t="shared" si="1"/>
        <v>0</v>
      </c>
      <c r="B36" s="578">
        <f t="shared" ref="B36:D36" si="298">IFERROR(O191+($A36*-E36),"")</f>
        <v>4.5118628228722111</v>
      </c>
      <c r="C36" s="572">
        <f t="shared" si="298"/>
        <v>-3.4608231097818862</v>
      </c>
      <c r="D36" s="576">
        <f t="shared" si="298"/>
        <v>-1.7854053847826401</v>
      </c>
      <c r="E36" s="580">
        <f t="shared" ref="E36:K36" si="299">R191</f>
        <v>0.83748901257473329</v>
      </c>
      <c r="F36" s="572">
        <f t="shared" si="299"/>
        <v>0.52197305572426267</v>
      </c>
      <c r="G36" s="579">
        <f t="shared" si="299"/>
        <v>0.16172904165447216</v>
      </c>
      <c r="H36" s="580">
        <f t="shared" si="299"/>
        <v>0.3125</v>
      </c>
      <c r="I36" s="572">
        <f t="shared" si="299"/>
        <v>0.52</v>
      </c>
      <c r="J36" s="483">
        <f t="shared" si="92"/>
        <v>3.1429999999999998</v>
      </c>
      <c r="K36" s="806">
        <f t="shared" si="299"/>
        <v>1613</v>
      </c>
      <c r="L36" s="309"/>
      <c r="M36" s="164">
        <f t="shared" si="4"/>
        <v>3.1429999999999998</v>
      </c>
      <c r="N36" s="575">
        <f t="shared" si="5"/>
        <v>4.5118628228722111</v>
      </c>
      <c r="O36" s="572">
        <f t="shared" si="6"/>
        <v>-3.4608231097818862</v>
      </c>
      <c r="P36" s="576">
        <f t="shared" si="7"/>
        <v>-1.7854053847826401</v>
      </c>
      <c r="Q36" s="528">
        <f t="shared" si="134"/>
        <v>322.51000035951142</v>
      </c>
      <c r="R36" s="572">
        <f>IF(M36="","",SQRT(N36^2+O36^2))</f>
        <v>5.6863171499325258</v>
      </c>
      <c r="S36" s="577">
        <f>IF(M36="","",P36)</f>
        <v>-1.7854053847826401</v>
      </c>
      <c r="T36" s="578">
        <f>IF(M36="","",X36*COS(RADIANS(W36)))</f>
        <v>-3.4600355885716736</v>
      </c>
      <c r="U36" s="572">
        <f>IF(M36="","",X36*SIN(RADIANS(W36)))</f>
        <v>-4.5124667816432993</v>
      </c>
      <c r="V36" s="579">
        <f>IF(M36="","",Y36)</f>
        <v>-1.7854053847826401</v>
      </c>
      <c r="W36" s="528">
        <f t="shared" si="256"/>
        <v>232.52000035806759</v>
      </c>
      <c r="X36" s="572">
        <f>IF(M36="","",R36)</f>
        <v>5.6863171499325258</v>
      </c>
      <c r="Y36" s="573">
        <f t="shared" si="259"/>
        <v>-1.7854053847826401</v>
      </c>
      <c r="Z36" s="575">
        <f t="shared" si="10"/>
        <v>-0.83748901257473329</v>
      </c>
      <c r="AA36" s="572">
        <f t="shared" si="11"/>
        <v>-0.52197305572426267</v>
      </c>
      <c r="AB36" s="572">
        <f t="shared" si="12"/>
        <v>-0.16172904165447216</v>
      </c>
      <c r="AC36" s="579">
        <f>IF(M36="","",SQRT(Z36^2+AA36^2+AB36^2))</f>
        <v>1</v>
      </c>
      <c r="AD36" s="580">
        <f>IF(M36="","",Z36*(1/SQRT(Z36^2+AA36^2+AB36^2)))</f>
        <v>-0.83748901257473329</v>
      </c>
      <c r="AE36" s="572">
        <f>IF(M36="","",AA36*(1/SQRT(Z36^2+AA36^2+AB36^2)))</f>
        <v>-0.52197305572426267</v>
      </c>
      <c r="AF36" s="576">
        <f>IF(M36="","",AB36*(1/SQRT(Z36^2+AA36^2+AB36^2)))</f>
        <v>-0.16172904165447216</v>
      </c>
      <c r="AG36" s="545">
        <f>IF(M36="","",DEGREES(ATAN2(-AF36,AE36)))</f>
        <v>-72.784836625543164</v>
      </c>
      <c r="AH36" s="546">
        <f>IF(M36="","",DEGREES(ACOS(AD36)))</f>
        <v>146.87590774175231</v>
      </c>
      <c r="AI36" s="528">
        <f>IF(M36="","",DEGREES(-ACOS(-AF36)))</f>
        <v>-80.692729754179581</v>
      </c>
      <c r="AJ36" s="529">
        <f>IF(M36="","",DEGREES(ATAN2(-AE36,AD36)))</f>
        <v>-58.06638046236661</v>
      </c>
      <c r="AK36" s="578">
        <f>IF(M36="","",(COS(RADIANS((90-$Q$8)-W36))*AD36)+(-SIN(RADIANS((90-$Q$8)-W36))*AE36))</f>
        <v>0.92387955420894785</v>
      </c>
      <c r="AL36" s="572">
        <f>IF(M36="","",(SIN(RADIANS((90-$Q$8)-W36))*AD36)+(COS(RADIANS((90-$Q$8)-W36))*AE36))</f>
        <v>-0.34682890075684558</v>
      </c>
      <c r="AM36" s="577">
        <f>IF(M36="","",AF36)</f>
        <v>-0.16172904165447216</v>
      </c>
      <c r="AN36" s="524">
        <f>IF(M36="","",DEGREES(ATAN2(-AM36,AL36)))</f>
        <v>-64.999990615162488</v>
      </c>
      <c r="AO36" s="525">
        <f t="shared" si="108"/>
        <v>22.499996751402364</v>
      </c>
      <c r="AP36" s="528">
        <f>IF(M36="","",DEGREES(ATAN2(AK36,AL36)))</f>
        <v>-20.576380821878022</v>
      </c>
      <c r="AQ36" s="529">
        <f t="shared" si="13"/>
        <v>0.24614130217480454</v>
      </c>
      <c r="AS36" s="900">
        <f t="shared" si="137"/>
        <v>-127.47999964193241</v>
      </c>
      <c r="AT36" s="896">
        <f t="shared" si="14"/>
        <v>-1.7310491833855326</v>
      </c>
      <c r="AU36" s="418"/>
      <c r="AV36" s="164">
        <f t="shared" si="15"/>
        <v>3.1429999999999998</v>
      </c>
      <c r="AW36" s="829">
        <f>IFERROR(INDEX(MassProp!C$9:C$150,MATCH($M36,MassProp!$B$9:$B$150,0)),"")</f>
        <v>5.9362000000000004</v>
      </c>
      <c r="AX36" s="830">
        <f>IFERROR(INDEX(MassProp!D$9:D$150,MATCH($M36,MassProp!$B$9:$B$150,0)),"")</f>
        <v>-1.4961</v>
      </c>
      <c r="AY36" s="831">
        <f>IFERROR(INDEX(MassProp!E$9:E$150,MATCH($M36,MassProp!$B$9:$B$150,0)),"")</f>
        <v>9.4999999999999998E-3</v>
      </c>
      <c r="AZ36" s="297">
        <f t="shared" si="138"/>
        <v>0.35433632412309457</v>
      </c>
      <c r="BA36" s="296">
        <f t="shared" si="16"/>
        <v>1.9630394761657517E-2</v>
      </c>
      <c r="BB36" s="190">
        <f t="shared" si="139"/>
        <v>8.1460811292509261E-2</v>
      </c>
      <c r="BC36" s="9"/>
      <c r="BD36" s="5">
        <f t="shared" si="235"/>
        <v>5.9362000000000004</v>
      </c>
      <c r="BE36" s="6">
        <f t="shared" si="17"/>
        <v>-1.7039445734901308</v>
      </c>
      <c r="BF36" s="4">
        <f t="shared" si="18"/>
        <v>4.5118628228722111</v>
      </c>
      <c r="BG36" s="5">
        <f t="shared" si="19"/>
        <v>-3.4608231097818862</v>
      </c>
      <c r="BH36" s="10">
        <f t="shared" si="20"/>
        <v>-1.7854053847826401</v>
      </c>
      <c r="BI36" s="9">
        <f t="shared" si="140"/>
        <v>4.5118628228722111</v>
      </c>
      <c r="BJ36" s="5">
        <f t="shared" si="21"/>
        <v>-3.1648622549041976</v>
      </c>
      <c r="BK36" s="8">
        <f t="shared" si="22"/>
        <v>-2.7406054540770617</v>
      </c>
      <c r="BL36" s="173">
        <f t="shared" si="23"/>
        <v>5.0583169872964548</v>
      </c>
      <c r="BM36" s="5">
        <f t="shared" si="24"/>
        <v>-4.2607926726265886</v>
      </c>
      <c r="BN36" s="6">
        <f t="shared" si="25"/>
        <v>-2.0332693488949296</v>
      </c>
      <c r="BO36" s="4">
        <f t="shared" si="141"/>
        <v>-0.83748901257473474</v>
      </c>
      <c r="BP36" s="5">
        <f t="shared" si="142"/>
        <v>-0.52197305572426267</v>
      </c>
      <c r="BQ36" s="5">
        <f t="shared" si="143"/>
        <v>-0.16172904165447344</v>
      </c>
      <c r="BR36" s="6">
        <f t="shared" si="144"/>
        <v>1.6834272246202753</v>
      </c>
      <c r="BS36" s="4">
        <f t="shared" si="110"/>
        <v>0</v>
      </c>
      <c r="BT36" s="5">
        <f t="shared" si="110"/>
        <v>0</v>
      </c>
      <c r="BU36" s="10">
        <f t="shared" si="111"/>
        <v>-1.7039445734901308</v>
      </c>
      <c r="BV36" s="9">
        <f t="shared" si="112"/>
        <v>0</v>
      </c>
      <c r="BW36" s="5">
        <f t="shared" si="113"/>
        <v>1</v>
      </c>
      <c r="BX36" s="8">
        <f t="shared" si="114"/>
        <v>-1.7039445734901308</v>
      </c>
      <c r="BY36" s="173">
        <f t="shared" si="115"/>
        <v>1</v>
      </c>
      <c r="BZ36" s="5">
        <f t="shared" si="116"/>
        <v>0</v>
      </c>
      <c r="CA36" s="6">
        <f t="shared" si="117"/>
        <v>-1.7039445734901308</v>
      </c>
      <c r="CB36" s="4">
        <f t="shared" si="145"/>
        <v>0</v>
      </c>
      <c r="CC36" s="5">
        <f t="shared" si="146"/>
        <v>0</v>
      </c>
      <c r="CD36" s="5">
        <f t="shared" si="147"/>
        <v>-1</v>
      </c>
      <c r="CE36" s="6">
        <f t="shared" si="148"/>
        <v>-1.7039445734901308</v>
      </c>
      <c r="CF36" s="4">
        <f t="shared" si="149"/>
        <v>0.52197305572426267</v>
      </c>
      <c r="CG36" s="5">
        <f t="shared" si="150"/>
        <v>-0.83748901257473474</v>
      </c>
      <c r="CH36" s="5">
        <f t="shared" si="151"/>
        <v>0</v>
      </c>
      <c r="CI36" s="4">
        <f t="shared" si="118"/>
        <v>0</v>
      </c>
      <c r="CJ36" s="5">
        <f t="shared" si="119"/>
        <v>3.7530759989228977</v>
      </c>
      <c r="CK36" s="8">
        <f t="shared" si="120"/>
        <v>-1.7039445734901308</v>
      </c>
      <c r="CL36" s="173">
        <f t="shared" si="121"/>
        <v>0.52197305572426267</v>
      </c>
      <c r="CM36" s="5">
        <f t="shared" si="122"/>
        <v>2.9155869863481629</v>
      </c>
      <c r="CN36" s="6">
        <f t="shared" si="123"/>
        <v>-1.7039445734901308</v>
      </c>
      <c r="CO36" s="167">
        <f t="shared" si="26"/>
        <v>0.3125</v>
      </c>
      <c r="CP36" s="4">
        <f t="shared" si="236"/>
        <v>0.97384371708552842</v>
      </c>
      <c r="CQ36" s="5">
        <f t="shared" si="237"/>
        <v>-16.793264132052467</v>
      </c>
      <c r="CR36" s="5">
        <f t="shared" si="152"/>
        <v>72.306226096764505</v>
      </c>
      <c r="CS36" s="8">
        <f t="shared" si="153"/>
        <v>0.35386424688078932</v>
      </c>
      <c r="CT36" s="9">
        <f t="shared" si="154"/>
        <v>8.9275767379275859</v>
      </c>
      <c r="CU36" s="6">
        <f t="shared" si="155"/>
        <v>8.3167344769257809</v>
      </c>
      <c r="CV36" s="4">
        <f t="shared" si="238"/>
        <v>4.659954510108907</v>
      </c>
      <c r="CW36" s="5">
        <f t="shared" si="156"/>
        <v>-3.7236714280092476</v>
      </c>
      <c r="CX36" s="8">
        <f t="shared" si="157"/>
        <v>-1.7039445734901308</v>
      </c>
      <c r="CY36" s="9">
        <f t="shared" si="158"/>
        <v>4.3411113085682773</v>
      </c>
      <c r="CZ36" s="5">
        <f t="shared" si="159"/>
        <v>-3.2120977460039275</v>
      </c>
      <c r="DA36" s="6">
        <f t="shared" si="160"/>
        <v>-1.7039445734901308</v>
      </c>
      <c r="DB36" s="4">
        <f t="shared" si="161"/>
        <v>0</v>
      </c>
      <c r="DC36" s="5">
        <f t="shared" si="161"/>
        <v>0</v>
      </c>
      <c r="DD36" s="10">
        <f t="shared" si="162"/>
        <v>-10</v>
      </c>
      <c r="DE36" s="9">
        <f t="shared" si="163"/>
        <v>0</v>
      </c>
      <c r="DF36" s="5">
        <f t="shared" si="163"/>
        <v>0</v>
      </c>
      <c r="DG36" s="10">
        <f t="shared" si="164"/>
        <v>10</v>
      </c>
      <c r="DH36" s="70">
        <f t="shared" si="165"/>
        <v>5.9362000000000004</v>
      </c>
      <c r="DI36" s="4">
        <f t="shared" si="166"/>
        <v>0</v>
      </c>
      <c r="DJ36" s="5">
        <f t="shared" si="167"/>
        <v>0</v>
      </c>
      <c r="DK36" s="10">
        <f t="shared" si="168"/>
        <v>20</v>
      </c>
      <c r="DL36" s="9">
        <f t="shared" si="169"/>
        <v>4.659954510108907</v>
      </c>
      <c r="DM36" s="173">
        <f t="shared" si="170"/>
        <v>-3.7236714280092476</v>
      </c>
      <c r="DN36" s="178">
        <f t="shared" si="171"/>
        <v>8.29605542650987</v>
      </c>
      <c r="DO36" s="9">
        <f t="shared" si="172"/>
        <v>-0.31884320154062973</v>
      </c>
      <c r="DP36" s="173">
        <f t="shared" si="173"/>
        <v>0.51157368200532005</v>
      </c>
      <c r="DQ36" s="11">
        <f t="shared" si="174"/>
        <v>0</v>
      </c>
      <c r="DR36" s="173">
        <f t="shared" si="175"/>
        <v>165.92110853019739</v>
      </c>
      <c r="DS36" s="5">
        <f t="shared" si="176"/>
        <v>0</v>
      </c>
      <c r="DT36" s="5">
        <f t="shared" si="177"/>
        <v>400</v>
      </c>
      <c r="DU36" s="5">
        <f t="shared" si="178"/>
        <v>0.36336861928915892</v>
      </c>
      <c r="DV36" s="5">
        <f t="shared" si="179"/>
        <v>-3.3907271180415197</v>
      </c>
      <c r="DW36" s="5">
        <f t="shared" si="180"/>
        <v>104.40544057978063</v>
      </c>
      <c r="DX36" s="167">
        <f t="shared" si="181"/>
        <v>69.166970139780631</v>
      </c>
      <c r="DY36" s="9">
        <f t="shared" si="182"/>
        <v>145.34744771566358</v>
      </c>
      <c r="DZ36" s="5">
        <f t="shared" si="183"/>
        <v>-1356.290847216608</v>
      </c>
      <c r="EA36" s="10">
        <f t="shared" si="184"/>
        <v>136.97380002271166</v>
      </c>
      <c r="EB36" s="6">
        <f t="shared" si="185"/>
        <v>1819616.0700063275</v>
      </c>
      <c r="EC36" s="173">
        <f t="shared" si="186"/>
        <v>18.612107364995826</v>
      </c>
      <c r="ED36" s="5">
        <f t="shared" si="187"/>
        <v>5.0633103207736944E-2</v>
      </c>
      <c r="EE36" s="4">
        <f t="shared" si="188"/>
        <v>-1.2743893895642957</v>
      </c>
      <c r="EF36" s="5">
        <f t="shared" si="189"/>
        <v>5.7977928665800018</v>
      </c>
      <c r="EG36" s="10">
        <f t="shared" si="190"/>
        <v>-1.7039445734901308</v>
      </c>
      <c r="EH36" s="9">
        <f t="shared" si="191"/>
        <v>4.6438104893782155</v>
      </c>
      <c r="EI36" s="5">
        <f t="shared" si="192"/>
        <v>-3.6977688649699103</v>
      </c>
      <c r="EJ36" s="6">
        <f t="shared" si="193"/>
        <v>-1.7039445734901308</v>
      </c>
      <c r="EK36" s="236" t="b">
        <f t="shared" si="194"/>
        <v>0</v>
      </c>
      <c r="EL36" s="238" t="b">
        <f t="shared" si="195"/>
        <v>1</v>
      </c>
      <c r="EM36" s="4">
        <f t="shared" si="196"/>
        <v>4.6438104893782155</v>
      </c>
      <c r="EN36" s="5">
        <f t="shared" si="197"/>
        <v>-3.6977688649699103</v>
      </c>
      <c r="EO36" s="10">
        <f t="shared" si="198"/>
        <v>-1.7039445734901308</v>
      </c>
      <c r="EP36" s="9">
        <f t="shared" si="199"/>
        <v>321.4704257508684</v>
      </c>
      <c r="EQ36" s="5">
        <f t="shared" si="200"/>
        <v>5.9362000000000004</v>
      </c>
      <c r="ER36" s="7">
        <f t="shared" si="201"/>
        <v>-1.7039445734901308</v>
      </c>
      <c r="ES36" s="21">
        <f t="shared" si="124"/>
        <v>-0.83748901257473329</v>
      </c>
      <c r="ET36" s="5">
        <f t="shared" si="35"/>
        <v>-0.52197305572426267</v>
      </c>
      <c r="EU36" s="10">
        <f t="shared" si="36"/>
        <v>-0.16172904165447216</v>
      </c>
      <c r="EV36" s="174">
        <f t="shared" si="252"/>
        <v>128.5295742491316</v>
      </c>
      <c r="EW36" s="9">
        <f t="shared" si="125"/>
        <v>0.93002000384056704</v>
      </c>
      <c r="EX36" s="5">
        <f t="shared" si="37"/>
        <v>-0.33000986279491384</v>
      </c>
      <c r="EY36" s="6">
        <f t="shared" si="202"/>
        <v>-0.16172904165447216</v>
      </c>
      <c r="EZ36" s="51">
        <f t="shared" si="203"/>
        <v>0.23578016534156679</v>
      </c>
      <c r="FA36" s="266">
        <f t="shared" si="126"/>
        <v>-0.62291323663365428</v>
      </c>
      <c r="FB36" s="267">
        <f t="shared" si="127"/>
        <v>-0.78228010670305437</v>
      </c>
      <c r="FC36" s="269">
        <f t="shared" si="38"/>
        <v>-4.1151285815596234E-3</v>
      </c>
      <c r="FD36" s="4">
        <f t="shared" si="128"/>
        <v>0.99999153282253195</v>
      </c>
      <c r="FE36" s="5">
        <f t="shared" si="39"/>
        <v>-7.2164496600635175E-16</v>
      </c>
      <c r="FF36" s="7">
        <f t="shared" si="204"/>
        <v>-4.1151285815596234E-3</v>
      </c>
      <c r="FG36" s="173">
        <f t="shared" si="205"/>
        <v>-6.9971528981964903E-2</v>
      </c>
      <c r="FH36" s="5">
        <f t="shared" si="40"/>
        <v>-0.33000986279491312</v>
      </c>
      <c r="FI36" s="10">
        <f t="shared" si="41"/>
        <v>-0.15761391307291253</v>
      </c>
      <c r="FJ36" s="279">
        <f t="shared" si="206"/>
        <v>21.459301879652063</v>
      </c>
      <c r="FK36" s="4">
        <f t="shared" si="42"/>
        <v>0.98683520259743773</v>
      </c>
      <c r="FL36" s="5">
        <f t="shared" si="207"/>
        <v>0.99999153282253206</v>
      </c>
      <c r="FM36" s="8">
        <f t="shared" si="208"/>
        <v>0.33734629746003042</v>
      </c>
      <c r="FN36" s="9">
        <f t="shared" si="209"/>
        <v>19.536806213234968</v>
      </c>
      <c r="FO36" s="10">
        <f t="shared" si="43"/>
        <v>1</v>
      </c>
      <c r="FP36" s="277">
        <f t="shared" si="44"/>
        <v>19.536806213234968</v>
      </c>
      <c r="FQ36" s="173">
        <f t="shared" si="239"/>
        <v>0.33441233341321613</v>
      </c>
      <c r="FR36" s="10">
        <f t="shared" si="210"/>
        <v>0.94242686255280728</v>
      </c>
      <c r="FS36" s="9">
        <f t="shared" si="211"/>
        <v>0.2619063813749925</v>
      </c>
      <c r="FT36" s="6">
        <f t="shared" si="212"/>
        <v>0.73809361862500744</v>
      </c>
      <c r="FU36" s="4">
        <f t="shared" si="213"/>
        <v>0.94397748408427751</v>
      </c>
      <c r="FV36" s="5">
        <f t="shared" si="214"/>
        <v>0.99999999999999989</v>
      </c>
      <c r="FW36" s="8">
        <f t="shared" si="240"/>
        <v>0.17244755858587729</v>
      </c>
      <c r="FX36" s="9">
        <f t="shared" si="241"/>
        <v>9.6292154485451658</v>
      </c>
      <c r="FY36" s="10">
        <f t="shared" si="45"/>
        <v>1</v>
      </c>
      <c r="FZ36" s="277">
        <f t="shared" si="242"/>
        <v>9.6292154485451658</v>
      </c>
      <c r="GA36" s="177">
        <f t="shared" si="215"/>
        <v>9.0893513536068156</v>
      </c>
      <c r="GB36" s="4">
        <f t="shared" si="216"/>
        <v>-0.32970075542578681</v>
      </c>
      <c r="GC36" s="5">
        <f t="shared" si="217"/>
        <v>0.92914889037084514</v>
      </c>
      <c r="GD36" s="10">
        <f t="shared" si="218"/>
        <v>-0.16727149008211983</v>
      </c>
      <c r="GE36" s="311">
        <f t="shared" si="219"/>
        <v>1.4261211358787516</v>
      </c>
      <c r="GF36" s="341">
        <f t="shared" si="243"/>
        <v>0.70120270630714487</v>
      </c>
      <c r="GG36" s="285">
        <f t="shared" si="46"/>
        <v>0.23118706197607178</v>
      </c>
      <c r="GH36" s="286">
        <f t="shared" si="47"/>
        <v>0.6515217164903172</v>
      </c>
      <c r="GI36" s="281">
        <f t="shared" si="48"/>
        <v>0.11729122153361116</v>
      </c>
      <c r="GJ36" s="167">
        <f t="shared" si="220"/>
        <v>5.9362000000000004</v>
      </c>
      <c r="GK36" s="174">
        <f t="shared" si="49"/>
        <v>3.1082133695008296</v>
      </c>
      <c r="GL36" s="174">
        <f t="shared" si="221"/>
        <v>9.4999999999999998E-3</v>
      </c>
      <c r="GM36" s="177">
        <f t="shared" si="244"/>
        <v>0.35433632412309457</v>
      </c>
      <c r="GN36" s="280">
        <f t="shared" si="222"/>
        <v>1.9630394761657517E-2</v>
      </c>
      <c r="GO36" s="4">
        <f t="shared" si="223"/>
        <v>19.536806213234968</v>
      </c>
      <c r="GP36" s="8">
        <f t="shared" si="245"/>
        <v>9.6292154485451658</v>
      </c>
      <c r="GQ36" s="177">
        <f t="shared" si="224"/>
        <v>21.459301879652063</v>
      </c>
      <c r="GR36" s="371">
        <f t="shared" si="246"/>
        <v>1359.6489386104781</v>
      </c>
      <c r="GS36" s="342">
        <f t="shared" si="51"/>
        <v>314.33324343624076</v>
      </c>
      <c r="GT36" s="343">
        <f t="shared" si="52"/>
        <v>101.12987947372538</v>
      </c>
      <c r="GU36" s="344">
        <f t="shared" si="53"/>
        <v>885.84081030773643</v>
      </c>
      <c r="GV36" s="343">
        <f t="shared" si="253"/>
        <v>285</v>
      </c>
      <c r="GW36" s="345">
        <f t="shared" si="129"/>
        <v>30000</v>
      </c>
      <c r="GX36" s="346">
        <f t="shared" si="54"/>
        <v>140.98475000000002</v>
      </c>
      <c r="GY36" s="344">
        <f t="shared" si="55"/>
        <v>159.47488486650084</v>
      </c>
      <c r="GZ36" s="345">
        <f t="shared" si="56"/>
        <v>51.307573164487117</v>
      </c>
      <c r="HA36" s="342">
        <f t="shared" si="57"/>
        <v>314.33324343624076</v>
      </c>
      <c r="HB36" s="5">
        <f t="shared" si="225"/>
        <v>128.5295742491316</v>
      </c>
      <c r="HC36" s="343">
        <f t="shared" si="226"/>
        <v>-195.80399595760565</v>
      </c>
      <c r="HD36" s="363">
        <f t="shared" si="227"/>
        <v>245.89872528376586</v>
      </c>
      <c r="HE36" s="344">
        <f t="shared" si="58"/>
        <v>285</v>
      </c>
      <c r="HF36" s="5">
        <f t="shared" si="59"/>
        <v>218.5295742491316</v>
      </c>
      <c r="HG36" s="343">
        <f t="shared" si="228"/>
        <v>-222.95171818213529</v>
      </c>
      <c r="HH36" s="349">
        <f t="shared" si="229"/>
        <v>-177.53177563364179</v>
      </c>
      <c r="HI36" s="317">
        <f t="shared" si="60"/>
        <v>3.1429999999999998</v>
      </c>
      <c r="HJ36" s="336"/>
      <c r="HK36" s="310">
        <f t="shared" si="130"/>
        <v>28</v>
      </c>
      <c r="HL36" s="348">
        <f t="shared" si="61"/>
        <v>2.1280000000000001</v>
      </c>
      <c r="HM36" s="935">
        <f t="shared" si="62"/>
        <v>6.9438765658393882</v>
      </c>
      <c r="HN36" s="936">
        <f t="shared" si="63"/>
        <v>16.799997574380441</v>
      </c>
      <c r="HO36" s="937"/>
      <c r="HP36" s="938"/>
      <c r="HQ36" s="936">
        <f t="shared" si="64"/>
        <v>16.089925610598435</v>
      </c>
      <c r="HR36" s="939">
        <f t="shared" si="65"/>
        <v>14.65741029865012</v>
      </c>
      <c r="HS36" s="940">
        <f t="shared" si="249"/>
        <v>4.6271000000000004</v>
      </c>
      <c r="HT36" s="941">
        <f t="shared" si="66"/>
        <v>1.2699999999999999E-2</v>
      </c>
      <c r="HU36" s="942">
        <f t="shared" si="67"/>
        <v>0.36923131509566648</v>
      </c>
      <c r="HV36" s="943">
        <f t="shared" si="68"/>
        <v>2.0455584088454663E-2</v>
      </c>
      <c r="HW36" s="944">
        <f t="shared" si="69"/>
        <v>30000</v>
      </c>
      <c r="HX36" s="947">
        <f t="shared" si="70"/>
        <v>146.91042500000003</v>
      </c>
      <c r="HY36" s="952">
        <f t="shared" si="71"/>
        <v>112.42204977627156</v>
      </c>
      <c r="HZ36" s="953">
        <f t="shared" si="72"/>
        <v>923.07828773916617</v>
      </c>
      <c r="IA36" s="954">
        <f t="shared" si="73"/>
        <v>243.21579707322445</v>
      </c>
      <c r="IB36" s="955">
        <f t="shared" si="74"/>
        <v>1278.716134588662</v>
      </c>
      <c r="IC36" s="842">
        <f t="shared" si="75"/>
        <v>46.402132444981433</v>
      </c>
      <c r="ID36" s="351">
        <f t="shared" si="76"/>
        <v>381</v>
      </c>
      <c r="IE36" s="844">
        <f t="shared" si="77"/>
        <v>100.38717183117505</v>
      </c>
      <c r="IF36" s="845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0"/>
        <v>3.1429999999999998</v>
      </c>
      <c r="IJ36" s="96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8"/>
        <v>1613</v>
      </c>
      <c r="IM36" s="482" t="str">
        <f t="shared" si="231"/>
        <v/>
      </c>
      <c r="IN36" s="670" t="str">
        <f t="shared" si="80"/>
        <v/>
      </c>
      <c r="IO36" s="702"/>
      <c r="IP36" s="5" t="str">
        <f t="shared" si="81"/>
        <v/>
      </c>
      <c r="IQ36" s="714"/>
      <c r="IR36" s="9" t="str">
        <f t="shared" si="131"/>
        <v/>
      </c>
      <c r="IS36" s="5" t="str">
        <f t="shared" si="82"/>
        <v/>
      </c>
      <c r="IT36" s="5" t="str">
        <f t="shared" si="83"/>
        <v/>
      </c>
      <c r="IU36" s="5" t="str">
        <f t="shared" si="84"/>
        <v/>
      </c>
      <c r="IV36" s="670" t="str">
        <f t="shared" si="85"/>
        <v/>
      </c>
      <c r="IW36" s="9" t="str">
        <f t="shared" si="86"/>
        <v/>
      </c>
      <c r="IX36" s="5" t="str">
        <f t="shared" si="87"/>
        <v/>
      </c>
      <c r="IY36" s="5" t="str">
        <f t="shared" si="88"/>
        <v/>
      </c>
      <c r="IZ36" s="5" t="str">
        <f t="shared" si="89"/>
        <v/>
      </c>
      <c r="JA36" s="705" t="str">
        <f t="shared" si="90"/>
        <v/>
      </c>
    </row>
    <row r="37" spans="1:269" ht="15" customHeight="1" x14ac:dyDescent="0.25">
      <c r="A37" s="75">
        <f t="shared" si="1"/>
        <v>0</v>
      </c>
      <c r="B37" s="578">
        <f t="shared" ref="B37:D37" si="300">IFERROR(O192+($A37*-E37),"")</f>
        <v>4.6230720387095259</v>
      </c>
      <c r="C37" s="572">
        <f t="shared" si="300"/>
        <v>-3.5756945084804932</v>
      </c>
      <c r="D37" s="576">
        <f t="shared" si="300"/>
        <v>-2.5163075891836892</v>
      </c>
      <c r="E37" s="580">
        <f t="shared" ref="E37:K37" si="301">R192</f>
        <v>0.90729786536106705</v>
      </c>
      <c r="F37" s="572">
        <f t="shared" si="301"/>
        <v>0.41240407805847851</v>
      </c>
      <c r="G37" s="579">
        <f t="shared" si="301"/>
        <v>8.2057662116267915E-2</v>
      </c>
      <c r="H37" s="580">
        <f t="shared" si="301"/>
        <v>0.3125</v>
      </c>
      <c r="I37" s="572">
        <f t="shared" si="301"/>
        <v>0.52</v>
      </c>
      <c r="J37" s="483">
        <f t="shared" si="92"/>
        <v>3.149</v>
      </c>
      <c r="K37" s="806">
        <f t="shared" si="301"/>
        <v>1613</v>
      </c>
      <c r="L37" s="309"/>
      <c r="M37" s="164">
        <f t="shared" si="4"/>
        <v>3.149</v>
      </c>
      <c r="N37" s="575">
        <f t="shared" si="5"/>
        <v>4.6230720387095259</v>
      </c>
      <c r="O37" s="572">
        <f t="shared" si="6"/>
        <v>-3.5756945084804932</v>
      </c>
      <c r="P37" s="576">
        <f t="shared" si="7"/>
        <v>-2.5163075891836892</v>
      </c>
      <c r="Q37" s="528">
        <f t="shared" si="134"/>
        <v>322.28000039271933</v>
      </c>
      <c r="R37" s="572">
        <f t="shared" si="93"/>
        <v>5.8445176270651631</v>
      </c>
      <c r="S37" s="577">
        <f t="shared" si="94"/>
        <v>-2.5163075891836892</v>
      </c>
      <c r="T37" s="578">
        <f t="shared" si="95"/>
        <v>-3.5748875758538405</v>
      </c>
      <c r="U37" s="572">
        <f t="shared" si="96"/>
        <v>-4.6236960446250421</v>
      </c>
      <c r="V37" s="579">
        <f t="shared" si="135"/>
        <v>-2.5163075891836892</v>
      </c>
      <c r="W37" s="528">
        <f t="shared" si="256"/>
        <v>232.2900003912755</v>
      </c>
      <c r="X37" s="572">
        <f t="shared" si="97"/>
        <v>5.8445176270651631</v>
      </c>
      <c r="Y37" s="573">
        <f t="shared" si="259"/>
        <v>-2.5163075891836892</v>
      </c>
      <c r="Z37" s="575">
        <f t="shared" si="10"/>
        <v>-0.90729786536106705</v>
      </c>
      <c r="AA37" s="572">
        <f t="shared" si="11"/>
        <v>-0.41240407805847851</v>
      </c>
      <c r="AB37" s="572">
        <f t="shared" si="12"/>
        <v>-8.2057662116267915E-2</v>
      </c>
      <c r="AC37" s="579">
        <f t="shared" si="98"/>
        <v>1</v>
      </c>
      <c r="AD37" s="580">
        <f t="shared" si="136"/>
        <v>-0.90729786536106705</v>
      </c>
      <c r="AE37" s="572">
        <f t="shared" si="99"/>
        <v>-0.41240407805847851</v>
      </c>
      <c r="AF37" s="576">
        <f t="shared" si="100"/>
        <v>-8.2057662116267915E-2</v>
      </c>
      <c r="AG37" s="545">
        <f t="shared" si="101"/>
        <v>-78.746606749160975</v>
      </c>
      <c r="AH37" s="546">
        <f t="shared" si="102"/>
        <v>155.13456725881974</v>
      </c>
      <c r="AI37" s="528">
        <f t="shared" si="103"/>
        <v>-85.293149940455692</v>
      </c>
      <c r="AJ37" s="529">
        <f t="shared" si="104"/>
        <v>-65.556256793673413</v>
      </c>
      <c r="AK37" s="578">
        <f t="shared" si="234"/>
        <v>0.88130348564558214</v>
      </c>
      <c r="AL37" s="572">
        <f t="shared" si="105"/>
        <v>-0.4653715787163627</v>
      </c>
      <c r="AM37" s="577">
        <f t="shared" si="106"/>
        <v>-8.2057662116267915E-2</v>
      </c>
      <c r="AN37" s="524">
        <f t="shared" si="107"/>
        <v>-79.999988449430759</v>
      </c>
      <c r="AO37" s="525">
        <f t="shared" si="108"/>
        <v>28.199995928424311</v>
      </c>
      <c r="AP37" s="528">
        <f t="shared" si="109"/>
        <v>-27.836257186392725</v>
      </c>
      <c r="AQ37" s="529">
        <f t="shared" si="13"/>
        <v>0.23947878285143923</v>
      </c>
      <c r="AS37" s="900">
        <f t="shared" si="137"/>
        <v>-127.7099996087245</v>
      </c>
      <c r="AT37" s="896">
        <f t="shared" si="14"/>
        <v>-2.4618533257852362</v>
      </c>
      <c r="AU37" s="418"/>
      <c r="AV37" s="164">
        <f t="shared" si="15"/>
        <v>3.149</v>
      </c>
      <c r="AW37" s="797">
        <f>IFERROR(INDEX(MassProp!C$9:C$150,MATCH($M37,MassProp!$B$9:$B$150,0)),"")</f>
        <v>6.1096000000000004</v>
      </c>
      <c r="AX37" s="744">
        <f>IFERROR(INDEX(MassProp!D$9:D$150,MATCH($M37,MassProp!$B$9:$B$150,0)),"")</f>
        <v>-2.2854999999999999</v>
      </c>
      <c r="AY37" s="731">
        <f>IFERROR(INDEX(MassProp!E$9:E$150,MATCH($M37,MassProp!$B$9:$B$150,0)),"")</f>
        <v>2E-3</v>
      </c>
      <c r="AZ37" s="297">
        <f t="shared" si="138"/>
        <v>7.6776111606131681E-2</v>
      </c>
      <c r="BA37" s="296">
        <f t="shared" si="16"/>
        <v>4.2534317722669208E-3</v>
      </c>
      <c r="BB37" s="177">
        <f t="shared" si="139"/>
        <v>2.2864953692212975E-2</v>
      </c>
      <c r="BC37" s="9"/>
      <c r="BD37" s="5">
        <f t="shared" si="235"/>
        <v>6.1096000000000004</v>
      </c>
      <c r="BE37" s="6">
        <f t="shared" si="17"/>
        <v>-2.4934426354914763</v>
      </c>
      <c r="BF37" s="4">
        <f t="shared" si="18"/>
        <v>4.6230720387095259</v>
      </c>
      <c r="BG37" s="5">
        <f t="shared" si="19"/>
        <v>-3.5756945084804932</v>
      </c>
      <c r="BH37" s="10">
        <f t="shared" si="20"/>
        <v>-2.5163075891836892</v>
      </c>
      <c r="BI37" s="9">
        <f t="shared" si="140"/>
        <v>4.6230720387095259</v>
      </c>
      <c r="BJ37" s="5">
        <f t="shared" si="21"/>
        <v>-3.3805461013680578</v>
      </c>
      <c r="BK37" s="8">
        <f t="shared" si="22"/>
        <v>-3.4970813139548413</v>
      </c>
      <c r="BL37" s="173">
        <f t="shared" si="23"/>
        <v>5.0435605445111129</v>
      </c>
      <c r="BM37" s="5">
        <f t="shared" si="24"/>
        <v>-4.4655484153675822</v>
      </c>
      <c r="BN37" s="6">
        <f t="shared" si="25"/>
        <v>-2.6933653223854144</v>
      </c>
      <c r="BO37" s="4">
        <f t="shared" si="141"/>
        <v>-0.90729786536106749</v>
      </c>
      <c r="BP37" s="5">
        <f t="shared" si="142"/>
        <v>-0.41240407805847901</v>
      </c>
      <c r="BQ37" s="5">
        <f t="shared" si="143"/>
        <v>-8.2057662116267416E-2</v>
      </c>
      <c r="BR37" s="6">
        <f t="shared" si="144"/>
        <v>2.5133900770090882</v>
      </c>
      <c r="BS37" s="4">
        <f t="shared" si="110"/>
        <v>0</v>
      </c>
      <c r="BT37" s="5">
        <f t="shared" si="110"/>
        <v>0</v>
      </c>
      <c r="BU37" s="10">
        <f t="shared" si="111"/>
        <v>-2.4934426354914763</v>
      </c>
      <c r="BV37" s="9">
        <f t="shared" si="112"/>
        <v>0</v>
      </c>
      <c r="BW37" s="5">
        <f t="shared" si="113"/>
        <v>1</v>
      </c>
      <c r="BX37" s="8">
        <f t="shared" si="114"/>
        <v>-2.4934426354914763</v>
      </c>
      <c r="BY37" s="173">
        <f t="shared" si="115"/>
        <v>1</v>
      </c>
      <c r="BZ37" s="5">
        <f t="shared" si="116"/>
        <v>0</v>
      </c>
      <c r="CA37" s="6">
        <f t="shared" si="117"/>
        <v>-2.4934426354914763</v>
      </c>
      <c r="CB37" s="4">
        <f t="shared" si="145"/>
        <v>0</v>
      </c>
      <c r="CC37" s="5">
        <f t="shared" si="146"/>
        <v>0</v>
      </c>
      <c r="CD37" s="5">
        <f t="shared" si="147"/>
        <v>-1</v>
      </c>
      <c r="CE37" s="6">
        <f t="shared" si="148"/>
        <v>-2.4934426354914763</v>
      </c>
      <c r="CF37" s="4">
        <f t="shared" si="149"/>
        <v>0.41240407805847901</v>
      </c>
      <c r="CG37" s="5">
        <f t="shared" si="150"/>
        <v>-0.90729786536106749</v>
      </c>
      <c r="CH37" s="5">
        <f t="shared" si="151"/>
        <v>0</v>
      </c>
      <c r="CI37" s="4">
        <f t="shared" si="118"/>
        <v>0</v>
      </c>
      <c r="CJ37" s="5">
        <f t="shared" si="119"/>
        <v>6.5906141449773221</v>
      </c>
      <c r="CK37" s="8">
        <f t="shared" si="120"/>
        <v>-2.4934426354914763</v>
      </c>
      <c r="CL37" s="173">
        <f t="shared" si="121"/>
        <v>0.41240407805847901</v>
      </c>
      <c r="CM37" s="5">
        <f t="shared" si="122"/>
        <v>5.6833162796162551</v>
      </c>
      <c r="CN37" s="6">
        <f t="shared" si="123"/>
        <v>-2.4934426354914763</v>
      </c>
      <c r="CO37" s="167">
        <f t="shared" si="26"/>
        <v>0.3125</v>
      </c>
      <c r="CP37" s="4">
        <f t="shared" si="236"/>
        <v>0.99326654008801307</v>
      </c>
      <c r="CQ37" s="5">
        <f t="shared" si="237"/>
        <v>-22.260887803611908</v>
      </c>
      <c r="CR37" s="5">
        <f t="shared" si="152"/>
        <v>124.62949326857645</v>
      </c>
      <c r="CS37" s="8">
        <f t="shared" si="153"/>
        <v>0.38590351779237153</v>
      </c>
      <c r="CT37" s="9">
        <f t="shared" si="154"/>
        <v>11.518609663730413</v>
      </c>
      <c r="CU37" s="6">
        <f t="shared" si="155"/>
        <v>10.893187074775827</v>
      </c>
      <c r="CV37" s="4">
        <f t="shared" si="238"/>
        <v>4.7503215988862273</v>
      </c>
      <c r="CW37" s="5">
        <f t="shared" si="156"/>
        <v>-3.8601958148526387</v>
      </c>
      <c r="CX37" s="8">
        <f t="shared" si="157"/>
        <v>-2.4934426354914763</v>
      </c>
      <c r="CY37" s="9">
        <f t="shared" si="158"/>
        <v>4.4923947726914646</v>
      </c>
      <c r="CZ37" s="5">
        <f t="shared" si="159"/>
        <v>-3.2927512349455528</v>
      </c>
      <c r="DA37" s="6">
        <f t="shared" si="160"/>
        <v>-2.4934426354914763</v>
      </c>
      <c r="DB37" s="4">
        <f t="shared" si="161"/>
        <v>0</v>
      </c>
      <c r="DC37" s="5">
        <f t="shared" si="161"/>
        <v>0</v>
      </c>
      <c r="DD37" s="10">
        <f t="shared" si="162"/>
        <v>-10</v>
      </c>
      <c r="DE37" s="9">
        <f t="shared" si="163"/>
        <v>0</v>
      </c>
      <c r="DF37" s="5">
        <f t="shared" si="163"/>
        <v>0</v>
      </c>
      <c r="DG37" s="10">
        <f t="shared" si="164"/>
        <v>10</v>
      </c>
      <c r="DH37" s="70">
        <f t="shared" si="165"/>
        <v>6.1096000000000004</v>
      </c>
      <c r="DI37" s="4">
        <f t="shared" si="166"/>
        <v>0</v>
      </c>
      <c r="DJ37" s="5">
        <f t="shared" si="167"/>
        <v>0</v>
      </c>
      <c r="DK37" s="10">
        <f t="shared" si="168"/>
        <v>20</v>
      </c>
      <c r="DL37" s="9">
        <f t="shared" si="169"/>
        <v>4.7503215988862273</v>
      </c>
      <c r="DM37" s="173">
        <f t="shared" si="170"/>
        <v>-3.8601958148526387</v>
      </c>
      <c r="DN37" s="178">
        <f t="shared" si="171"/>
        <v>7.5065573645085237</v>
      </c>
      <c r="DO37" s="9">
        <f t="shared" si="172"/>
        <v>-0.2579268261947627</v>
      </c>
      <c r="DP37" s="173">
        <f t="shared" si="173"/>
        <v>0.56744457990708597</v>
      </c>
      <c r="DQ37" s="11">
        <f t="shared" si="174"/>
        <v>0</v>
      </c>
      <c r="DR37" s="173">
        <f t="shared" si="175"/>
        <v>150.13114729017047</v>
      </c>
      <c r="DS37" s="5">
        <f t="shared" si="176"/>
        <v>0</v>
      </c>
      <c r="DT37" s="5">
        <f t="shared" si="177"/>
        <v>400</v>
      </c>
      <c r="DU37" s="5">
        <f t="shared" si="178"/>
        <v>0.38851959893683258</v>
      </c>
      <c r="DV37" s="5">
        <f t="shared" si="179"/>
        <v>-3.4156825659233023</v>
      </c>
      <c r="DW37" s="5">
        <f t="shared" si="180"/>
        <v>93.815070488507985</v>
      </c>
      <c r="DX37" s="167">
        <f t="shared" si="181"/>
        <v>56.487858328507983</v>
      </c>
      <c r="DY37" s="9">
        <f t="shared" si="182"/>
        <v>155.40783957473303</v>
      </c>
      <c r="DZ37" s="5">
        <f t="shared" si="183"/>
        <v>-1366.2730263693209</v>
      </c>
      <c r="EA37" s="10">
        <f t="shared" si="184"/>
        <v>55.7819447403308</v>
      </c>
      <c r="EB37" s="6">
        <f t="shared" si="185"/>
        <v>1858033.0310650109</v>
      </c>
      <c r="EC37" s="173">
        <f t="shared" si="186"/>
        <v>17.562626743845343</v>
      </c>
      <c r="ED37" s="5">
        <f t="shared" si="187"/>
        <v>2.043766407731204E-2</v>
      </c>
      <c r="EE37" s="4">
        <f t="shared" si="188"/>
        <v>0.22044902320293858</v>
      </c>
      <c r="EF37" s="5">
        <f t="shared" si="189"/>
        <v>6.105621539873634</v>
      </c>
      <c r="EG37" s="10">
        <f t="shared" si="190"/>
        <v>-2.4934426354914763</v>
      </c>
      <c r="EH37" s="9">
        <f t="shared" si="191"/>
        <v>4.7450501770559317</v>
      </c>
      <c r="EI37" s="5">
        <f t="shared" si="192"/>
        <v>-3.8485985731460062</v>
      </c>
      <c r="EJ37" s="6">
        <f t="shared" si="193"/>
        <v>-2.4934426354914763</v>
      </c>
      <c r="EK37" s="236" t="b">
        <f t="shared" si="194"/>
        <v>0</v>
      </c>
      <c r="EL37" s="238" t="b">
        <f t="shared" si="195"/>
        <v>1</v>
      </c>
      <c r="EM37" s="4">
        <f t="shared" si="196"/>
        <v>4.7450501770559317</v>
      </c>
      <c r="EN37" s="5">
        <f t="shared" si="197"/>
        <v>-3.8485985731460062</v>
      </c>
      <c r="EO37" s="10">
        <f t="shared" si="198"/>
        <v>-2.4934426354914763</v>
      </c>
      <c r="EP37" s="9">
        <f t="shared" si="199"/>
        <v>320.95530443514667</v>
      </c>
      <c r="EQ37" s="5">
        <f t="shared" si="200"/>
        <v>6.1096000000000004</v>
      </c>
      <c r="ER37" s="7">
        <f t="shared" si="201"/>
        <v>-2.4934426354914763</v>
      </c>
      <c r="ES37" s="21">
        <f t="shared" si="124"/>
        <v>-0.90729786536106705</v>
      </c>
      <c r="ET37" s="5">
        <f t="shared" si="35"/>
        <v>-0.41240407805847851</v>
      </c>
      <c r="EU37" s="10">
        <f t="shared" si="36"/>
        <v>-8.2057662116267915E-2</v>
      </c>
      <c r="EV37" s="174">
        <f t="shared" si="252"/>
        <v>129.04469556485333</v>
      </c>
      <c r="EW37" s="9">
        <f t="shared" si="125"/>
        <v>0.89182652115637562</v>
      </c>
      <c r="EX37" s="5">
        <f t="shared" si="37"/>
        <v>-0.44487301137530194</v>
      </c>
      <c r="EY37" s="6">
        <f t="shared" si="202"/>
        <v>-8.2057662116267915E-2</v>
      </c>
      <c r="EZ37" s="51">
        <f t="shared" si="203"/>
        <v>0.22908842798250093</v>
      </c>
      <c r="FA37" s="266">
        <f t="shared" si="126"/>
        <v>-0.62992140399285534</v>
      </c>
      <c r="FB37" s="267">
        <f t="shared" si="127"/>
        <v>-0.77664859369946648</v>
      </c>
      <c r="FC37" s="269">
        <f t="shared" si="38"/>
        <v>-3.9983366930701663E-3</v>
      </c>
      <c r="FD37" s="4">
        <f t="shared" si="128"/>
        <v>0.99999200661989751</v>
      </c>
      <c r="FE37" s="5">
        <f t="shared" si="39"/>
        <v>5.5511151231257827E-17</v>
      </c>
      <c r="FF37" s="7">
        <f t="shared" si="204"/>
        <v>-3.9983366930701663E-3</v>
      </c>
      <c r="FG37" s="173">
        <f t="shared" si="205"/>
        <v>-0.10816548546352189</v>
      </c>
      <c r="FH37" s="5">
        <f t="shared" si="40"/>
        <v>-0.444873011375302</v>
      </c>
      <c r="FI37" s="10">
        <f t="shared" si="41"/>
        <v>-7.8059325423197753E-2</v>
      </c>
      <c r="FJ37" s="279">
        <f t="shared" si="206"/>
        <v>26.855648031239472</v>
      </c>
      <c r="FK37" s="4">
        <f t="shared" si="42"/>
        <v>0.99662758344730384</v>
      </c>
      <c r="FL37" s="5">
        <f t="shared" si="207"/>
        <v>0.9999920066198974</v>
      </c>
      <c r="FM37" s="8">
        <f t="shared" si="208"/>
        <v>0.45783377823800742</v>
      </c>
      <c r="FN37" s="9">
        <f t="shared" si="209"/>
        <v>26.511561228820103</v>
      </c>
      <c r="FO37" s="10">
        <f t="shared" si="43"/>
        <v>1</v>
      </c>
      <c r="FP37" s="277">
        <f t="shared" si="44"/>
        <v>26.511561228820103</v>
      </c>
      <c r="FQ37" s="173">
        <f t="shared" si="239"/>
        <v>0.44637838523041917</v>
      </c>
      <c r="FR37" s="10">
        <f t="shared" si="210"/>
        <v>0.8948443089158491</v>
      </c>
      <c r="FS37" s="9">
        <f t="shared" si="211"/>
        <v>0.33281451855730304</v>
      </c>
      <c r="FT37" s="6">
        <f t="shared" si="212"/>
        <v>0.66718548144269707</v>
      </c>
      <c r="FU37" s="4">
        <f t="shared" si="213"/>
        <v>0.89559365995403906</v>
      </c>
      <c r="FV37" s="5">
        <f t="shared" si="214"/>
        <v>1</v>
      </c>
      <c r="FW37" s="8">
        <f t="shared" si="240"/>
        <v>0.13339051889502512</v>
      </c>
      <c r="FX37" s="9">
        <f t="shared" si="241"/>
        <v>5.0279395049485363</v>
      </c>
      <c r="FY37" s="10">
        <f t="shared" si="45"/>
        <v>1</v>
      </c>
      <c r="FZ37" s="277">
        <f t="shared" si="242"/>
        <v>5.0279395049485363</v>
      </c>
      <c r="GA37" s="177">
        <f t="shared" si="215"/>
        <v>4.5028073762328296</v>
      </c>
      <c r="GB37" s="4">
        <f t="shared" si="216"/>
        <v>-0.44466075662093774</v>
      </c>
      <c r="GC37" s="5">
        <f t="shared" si="217"/>
        <v>0.89140101901454305</v>
      </c>
      <c r="GD37" s="10">
        <f t="shared" si="218"/>
        <v>-8.7641513115244055E-2</v>
      </c>
      <c r="GE37" s="311">
        <f t="shared" si="219"/>
        <v>1.4237032887507248</v>
      </c>
      <c r="GF37" s="341">
        <f t="shared" si="243"/>
        <v>0.70239354499032081</v>
      </c>
      <c r="GG37" s="285">
        <f t="shared" si="46"/>
        <v>0.31232684516105874</v>
      </c>
      <c r="GH37" s="286">
        <f t="shared" si="47"/>
        <v>0.62611432175360926</v>
      </c>
      <c r="GI37" s="281">
        <f t="shared" si="48"/>
        <v>6.1558833085331971E-2</v>
      </c>
      <c r="GJ37" s="167">
        <f t="shared" si="220"/>
        <v>6.1096000000000004</v>
      </c>
      <c r="GK37" s="174">
        <f t="shared" si="49"/>
        <v>3.1990046502554867</v>
      </c>
      <c r="GL37" s="174">
        <f t="shared" si="221"/>
        <v>2E-3</v>
      </c>
      <c r="GM37" s="177">
        <f t="shared" si="244"/>
        <v>7.6776111606131681E-2</v>
      </c>
      <c r="GN37" s="280">
        <f t="shared" si="222"/>
        <v>4.2534317722669208E-3</v>
      </c>
      <c r="GO37" s="4">
        <f t="shared" si="223"/>
        <v>26.511561228820103</v>
      </c>
      <c r="GP37" s="8">
        <f t="shared" si="245"/>
        <v>5.0279395049485363</v>
      </c>
      <c r="GQ37" s="177">
        <f t="shared" si="224"/>
        <v>26.855648031239472</v>
      </c>
      <c r="GR37" s="371">
        <f t="shared" si="246"/>
        <v>306.55787984172997</v>
      </c>
      <c r="GS37" s="342">
        <f t="shared" si="51"/>
        <v>95.746255470230452</v>
      </c>
      <c r="GT37" s="343">
        <f t="shared" si="52"/>
        <v>29.930014469526867</v>
      </c>
      <c r="GU37" s="344">
        <f t="shared" si="53"/>
        <v>191.9402790153292</v>
      </c>
      <c r="GV37" s="343">
        <f t="shared" si="253"/>
        <v>60</v>
      </c>
      <c r="GW37" s="345">
        <f t="shared" si="129"/>
        <v>30000</v>
      </c>
      <c r="GX37" s="346">
        <f t="shared" si="54"/>
        <v>30.547999999999998</v>
      </c>
      <c r="GY37" s="344">
        <f t="shared" si="55"/>
        <v>18.871345356170309</v>
      </c>
      <c r="GZ37" s="345">
        <f t="shared" si="56"/>
        <v>5.899130329386411</v>
      </c>
      <c r="HA37" s="342">
        <f t="shared" si="57"/>
        <v>95.746255470230452</v>
      </c>
      <c r="HB37" s="5">
        <f t="shared" si="225"/>
        <v>129.04469556485333</v>
      </c>
      <c r="HC37" s="343">
        <f t="shared" si="226"/>
        <v>-60.313097778381888</v>
      </c>
      <c r="HD37" s="363">
        <f t="shared" si="227"/>
        <v>74.361789064989438</v>
      </c>
      <c r="HE37" s="344">
        <f t="shared" si="58"/>
        <v>60</v>
      </c>
      <c r="HF37" s="5">
        <f t="shared" si="59"/>
        <v>219.04469556485333</v>
      </c>
      <c r="HG37" s="343">
        <f t="shared" si="228"/>
        <v>-46.599288107790343</v>
      </c>
      <c r="HH37" s="349">
        <f t="shared" si="229"/>
        <v>-37.795586354059246</v>
      </c>
      <c r="HI37" s="317">
        <f t="shared" si="60"/>
        <v>3.149</v>
      </c>
      <c r="HJ37" s="336"/>
      <c r="HK37" s="310">
        <f t="shared" si="130"/>
        <v>29</v>
      </c>
      <c r="HL37" s="348">
        <f t="shared" si="61"/>
        <v>1.129</v>
      </c>
      <c r="HM37" s="935">
        <f t="shared" si="62"/>
        <v>7.7769562944542496</v>
      </c>
      <c r="HN37" s="936">
        <f t="shared" si="63"/>
        <v>16.999997545504019</v>
      </c>
      <c r="HO37" s="937"/>
      <c r="HP37" s="938"/>
      <c r="HQ37" s="936">
        <f t="shared" si="64"/>
        <v>16.301044650752733</v>
      </c>
      <c r="HR37" s="939">
        <f t="shared" si="65"/>
        <v>14.503725580887384</v>
      </c>
      <c r="HS37" s="940">
        <f t="shared" si="249"/>
        <v>4.7686000000000002</v>
      </c>
      <c r="HT37" s="941">
        <f t="shared" si="66"/>
        <v>2.2700000000000001E-2</v>
      </c>
      <c r="HU37" s="942">
        <f t="shared" si="67"/>
        <v>0.68014626652747923</v>
      </c>
      <c r="HV37" s="943">
        <f t="shared" si="68"/>
        <v>3.7680414901419171E-2</v>
      </c>
      <c r="HW37" s="944">
        <f t="shared" si="69"/>
        <v>30000</v>
      </c>
      <c r="HX37" s="947">
        <f t="shared" si="70"/>
        <v>270.61805000000004</v>
      </c>
      <c r="HY37" s="952">
        <f t="shared" si="71"/>
        <v>232.22446159270382</v>
      </c>
      <c r="HZ37" s="953">
        <f t="shared" si="72"/>
        <v>1700.365666318698</v>
      </c>
      <c r="IA37" s="954">
        <f t="shared" si="73"/>
        <v>443.94568182038893</v>
      </c>
      <c r="IB37" s="955">
        <f t="shared" si="74"/>
        <v>2376.5358097317908</v>
      </c>
      <c r="IC37" s="842">
        <f t="shared" si="75"/>
        <v>93.006381790227437</v>
      </c>
      <c r="ID37" s="351">
        <f t="shared" si="76"/>
        <v>681</v>
      </c>
      <c r="IE37" s="844">
        <f t="shared" si="77"/>
        <v>177.80117259967068</v>
      </c>
      <c r="IF37" s="845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0"/>
        <v>3.149</v>
      </c>
      <c r="IJ37" s="96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8"/>
        <v>1613</v>
      </c>
      <c r="IM37" s="482" t="str">
        <f t="shared" si="231"/>
        <v/>
      </c>
      <c r="IN37" s="670" t="str">
        <f t="shared" si="80"/>
        <v/>
      </c>
      <c r="IO37" s="702"/>
      <c r="IP37" s="5" t="str">
        <f t="shared" si="81"/>
        <v/>
      </c>
      <c r="IQ37" s="714"/>
      <c r="IR37" s="9" t="str">
        <f t="shared" si="131"/>
        <v/>
      </c>
      <c r="IS37" s="5" t="str">
        <f t="shared" si="82"/>
        <v/>
      </c>
      <c r="IT37" s="5" t="str">
        <f t="shared" si="83"/>
        <v/>
      </c>
      <c r="IU37" s="5" t="str">
        <f t="shared" si="84"/>
        <v/>
      </c>
      <c r="IV37" s="670" t="str">
        <f t="shared" si="85"/>
        <v/>
      </c>
      <c r="IW37" s="9" t="str">
        <f t="shared" si="86"/>
        <v/>
      </c>
      <c r="IX37" s="5" t="str">
        <f t="shared" si="87"/>
        <v/>
      </c>
      <c r="IY37" s="5" t="str">
        <f t="shared" si="88"/>
        <v/>
      </c>
      <c r="IZ37" s="5" t="str">
        <f t="shared" si="89"/>
        <v/>
      </c>
      <c r="JA37" s="705" t="str">
        <f t="shared" si="90"/>
        <v/>
      </c>
    </row>
    <row r="38" spans="1:269" ht="15" customHeight="1" x14ac:dyDescent="0.25">
      <c r="A38" s="75">
        <f t="shared" si="1"/>
        <v>0</v>
      </c>
      <c r="B38" s="578">
        <f t="shared" ref="B38:D38" si="302">IFERROR(O193+($A38*-E38),"")</f>
        <v>4.6465928562730943</v>
      </c>
      <c r="C38" s="572">
        <f t="shared" si="302"/>
        <v>-3.6016696559825601</v>
      </c>
      <c r="D38" s="576">
        <f t="shared" si="302"/>
        <v>-3.2792098900970283</v>
      </c>
      <c r="E38" s="580">
        <f t="shared" ref="E38:K38" si="303">R193</f>
        <v>0.92423480250426637</v>
      </c>
      <c r="F38" s="572">
        <f t="shared" si="303"/>
        <v>0.37932965895785797</v>
      </c>
      <c r="G38" s="579">
        <f t="shared" si="303"/>
        <v>4.357797235777406E-2</v>
      </c>
      <c r="H38" s="580">
        <f t="shared" si="303"/>
        <v>0.3125</v>
      </c>
      <c r="I38" s="572">
        <f t="shared" si="303"/>
        <v>0.52</v>
      </c>
      <c r="J38" s="483">
        <f t="shared" si="92"/>
        <v>3.1549999999999998</v>
      </c>
      <c r="K38" s="806">
        <f t="shared" si="303"/>
        <v>1613</v>
      </c>
      <c r="L38" s="309"/>
      <c r="M38" s="164">
        <f t="shared" si="4"/>
        <v>3.1549999999999998</v>
      </c>
      <c r="N38" s="575">
        <f t="shared" si="5"/>
        <v>4.6465928562730943</v>
      </c>
      <c r="O38" s="572">
        <f t="shared" si="6"/>
        <v>-3.6016696559825601</v>
      </c>
      <c r="P38" s="576">
        <f t="shared" si="7"/>
        <v>-3.2792098900970283</v>
      </c>
      <c r="Q38" s="528">
        <f t="shared" si="134"/>
        <v>322.22000040138226</v>
      </c>
      <c r="R38" s="572">
        <f t="shared" si="93"/>
        <v>5.8790177311174761</v>
      </c>
      <c r="S38" s="577">
        <f t="shared" si="94"/>
        <v>-3.2792098900970283</v>
      </c>
      <c r="T38" s="578">
        <f t="shared" si="95"/>
        <v>-3.6008586178038042</v>
      </c>
      <c r="U38" s="572">
        <f t="shared" si="96"/>
        <v>-4.6472213953481658</v>
      </c>
      <c r="V38" s="579">
        <f t="shared" si="135"/>
        <v>-3.2792098900970283</v>
      </c>
      <c r="W38" s="528">
        <f t="shared" si="256"/>
        <v>232.23000039993843</v>
      </c>
      <c r="X38" s="572">
        <f t="shared" si="97"/>
        <v>5.8790177311174761</v>
      </c>
      <c r="Y38" s="573">
        <f t="shared" si="259"/>
        <v>-3.2792098900970283</v>
      </c>
      <c r="Z38" s="575">
        <f t="shared" si="10"/>
        <v>-0.92423480250426637</v>
      </c>
      <c r="AA38" s="572">
        <f t="shared" si="11"/>
        <v>-0.37932965895785797</v>
      </c>
      <c r="AB38" s="572">
        <f t="shared" si="12"/>
        <v>-4.357797235777406E-2</v>
      </c>
      <c r="AC38" s="579">
        <f t="shared" si="98"/>
        <v>1</v>
      </c>
      <c r="AD38" s="580">
        <f t="shared" si="136"/>
        <v>-0.92423480250426637</v>
      </c>
      <c r="AE38" s="572">
        <f t="shared" si="99"/>
        <v>-0.37932965895785797</v>
      </c>
      <c r="AF38" s="576">
        <f t="shared" si="100"/>
        <v>-4.357797235777406E-2</v>
      </c>
      <c r="AG38" s="545">
        <f t="shared" si="101"/>
        <v>-83.446502809468669</v>
      </c>
      <c r="AH38" s="546">
        <f t="shared" si="102"/>
        <v>157.55325115942642</v>
      </c>
      <c r="AI38" s="528">
        <f t="shared" si="103"/>
        <v>-87.502375163624549</v>
      </c>
      <c r="AJ38" s="529">
        <f t="shared" si="104"/>
        <v>-67.685496217670064</v>
      </c>
      <c r="AK38" s="578">
        <f t="shared" si="234"/>
        <v>0.86602544158358541</v>
      </c>
      <c r="AL38" s="572">
        <f t="shared" si="105"/>
        <v>-0.49809727449077768</v>
      </c>
      <c r="AM38" s="577">
        <f t="shared" si="106"/>
        <v>-4.357797235777406E-2</v>
      </c>
      <c r="AN38" s="524">
        <f t="shared" si="107"/>
        <v>-84.999987727520278</v>
      </c>
      <c r="AO38" s="525">
        <f t="shared" si="108"/>
        <v>29.99999566853656</v>
      </c>
      <c r="AP38" s="528">
        <f t="shared" si="109"/>
        <v>-29.905496619052343</v>
      </c>
      <c r="AQ38" s="529">
        <f t="shared" si="13"/>
        <v>0.23807345496744725</v>
      </c>
      <c r="AS38" s="900">
        <f t="shared" si="137"/>
        <v>-127.76999960006157</v>
      </c>
      <c r="AT38" s="896">
        <f t="shared" si="14"/>
        <v>-3.2247300453069201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38"/>
        <v/>
      </c>
      <c r="BA38" s="296" t="str">
        <f t="shared" si="16"/>
        <v/>
      </c>
      <c r="BB38" s="190" t="str">
        <f t="shared" si="139"/>
        <v/>
      </c>
      <c r="BC38" s="9"/>
      <c r="BD38" s="5" t="str">
        <f t="shared" si="235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40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41"/>
        <v/>
      </c>
      <c r="BP38" s="5" t="str">
        <f t="shared" si="142"/>
        <v/>
      </c>
      <c r="BQ38" s="5" t="str">
        <f t="shared" si="143"/>
        <v/>
      </c>
      <c r="BR38" s="6" t="str">
        <f t="shared" si="144"/>
        <v/>
      </c>
      <c r="BS38" s="4" t="str">
        <f t="shared" si="110"/>
        <v/>
      </c>
      <c r="BT38" s="5" t="str">
        <f t="shared" si="110"/>
        <v/>
      </c>
      <c r="BU38" s="10" t="str">
        <f t="shared" si="111"/>
        <v/>
      </c>
      <c r="BV38" s="9" t="str">
        <f t="shared" si="112"/>
        <v/>
      </c>
      <c r="BW38" s="5" t="str">
        <f t="shared" si="113"/>
        <v/>
      </c>
      <c r="BX38" s="8" t="str">
        <f t="shared" si="114"/>
        <v/>
      </c>
      <c r="BY38" s="173" t="str">
        <f t="shared" si="115"/>
        <v/>
      </c>
      <c r="BZ38" s="5" t="str">
        <f t="shared" si="116"/>
        <v/>
      </c>
      <c r="CA38" s="6" t="str">
        <f t="shared" si="117"/>
        <v/>
      </c>
      <c r="CB38" s="4" t="str">
        <f t="shared" si="145"/>
        <v/>
      </c>
      <c r="CC38" s="5" t="str">
        <f t="shared" si="146"/>
        <v/>
      </c>
      <c r="CD38" s="5" t="str">
        <f t="shared" si="147"/>
        <v/>
      </c>
      <c r="CE38" s="6" t="str">
        <f t="shared" si="148"/>
        <v/>
      </c>
      <c r="CF38" s="4" t="str">
        <f t="shared" si="149"/>
        <v/>
      </c>
      <c r="CG38" s="5" t="str">
        <f t="shared" si="150"/>
        <v/>
      </c>
      <c r="CH38" s="5" t="str">
        <f t="shared" si="151"/>
        <v/>
      </c>
      <c r="CI38" s="4" t="str">
        <f t="shared" si="118"/>
        <v/>
      </c>
      <c r="CJ38" s="5" t="str">
        <f t="shared" si="119"/>
        <v/>
      </c>
      <c r="CK38" s="8" t="str">
        <f t="shared" si="120"/>
        <v/>
      </c>
      <c r="CL38" s="173" t="str">
        <f t="shared" si="121"/>
        <v/>
      </c>
      <c r="CM38" s="5" t="str">
        <f t="shared" si="122"/>
        <v/>
      </c>
      <c r="CN38" s="6" t="str">
        <f t="shared" si="123"/>
        <v/>
      </c>
      <c r="CO38" s="167" t="str">
        <f t="shared" si="26"/>
        <v/>
      </c>
      <c r="CP38" s="4" t="str">
        <f t="shared" si="236"/>
        <v/>
      </c>
      <c r="CQ38" s="5" t="str">
        <f t="shared" si="237"/>
        <v/>
      </c>
      <c r="CR38" s="5" t="str">
        <f t="shared" si="152"/>
        <v/>
      </c>
      <c r="CS38" s="8" t="str">
        <f t="shared" si="153"/>
        <v/>
      </c>
      <c r="CT38" s="9" t="str">
        <f t="shared" si="154"/>
        <v/>
      </c>
      <c r="CU38" s="6" t="str">
        <f t="shared" si="155"/>
        <v/>
      </c>
      <c r="CV38" s="4" t="str">
        <f t="shared" si="238"/>
        <v/>
      </c>
      <c r="CW38" s="5" t="str">
        <f t="shared" si="156"/>
        <v/>
      </c>
      <c r="CX38" s="8" t="str">
        <f t="shared" si="157"/>
        <v/>
      </c>
      <c r="CY38" s="9" t="str">
        <f t="shared" si="158"/>
        <v/>
      </c>
      <c r="CZ38" s="5" t="str">
        <f t="shared" si="159"/>
        <v/>
      </c>
      <c r="DA38" s="6" t="str">
        <f t="shared" si="160"/>
        <v/>
      </c>
      <c r="DB38" s="4" t="str">
        <f t="shared" si="161"/>
        <v/>
      </c>
      <c r="DC38" s="5" t="str">
        <f t="shared" si="161"/>
        <v/>
      </c>
      <c r="DD38" s="10" t="str">
        <f t="shared" si="162"/>
        <v/>
      </c>
      <c r="DE38" s="9" t="str">
        <f t="shared" si="163"/>
        <v/>
      </c>
      <c r="DF38" s="5" t="str">
        <f t="shared" si="163"/>
        <v/>
      </c>
      <c r="DG38" s="10" t="str">
        <f t="shared" si="164"/>
        <v/>
      </c>
      <c r="DH38" s="70" t="str">
        <f t="shared" si="165"/>
        <v/>
      </c>
      <c r="DI38" s="4" t="str">
        <f t="shared" si="166"/>
        <v/>
      </c>
      <c r="DJ38" s="5" t="str">
        <f t="shared" si="167"/>
        <v/>
      </c>
      <c r="DK38" s="10" t="str">
        <f t="shared" si="168"/>
        <v/>
      </c>
      <c r="DL38" s="9" t="str">
        <f t="shared" si="169"/>
        <v/>
      </c>
      <c r="DM38" s="173" t="str">
        <f t="shared" si="170"/>
        <v/>
      </c>
      <c r="DN38" s="178" t="str">
        <f t="shared" si="171"/>
        <v/>
      </c>
      <c r="DO38" s="9" t="str">
        <f t="shared" si="172"/>
        <v/>
      </c>
      <c r="DP38" s="173" t="str">
        <f t="shared" si="173"/>
        <v/>
      </c>
      <c r="DQ38" s="11" t="str">
        <f t="shared" si="174"/>
        <v/>
      </c>
      <c r="DR38" s="173" t="str">
        <f t="shared" si="175"/>
        <v/>
      </c>
      <c r="DS38" s="5" t="str">
        <f t="shared" si="176"/>
        <v/>
      </c>
      <c r="DT38" s="5" t="str">
        <f t="shared" si="177"/>
        <v/>
      </c>
      <c r="DU38" s="5" t="str">
        <f t="shared" si="178"/>
        <v/>
      </c>
      <c r="DV38" s="5" t="str">
        <f t="shared" si="179"/>
        <v/>
      </c>
      <c r="DW38" s="5" t="str">
        <f t="shared" si="180"/>
        <v/>
      </c>
      <c r="DX38" s="167" t="str">
        <f t="shared" si="181"/>
        <v/>
      </c>
      <c r="DY38" s="9" t="str">
        <f t="shared" si="182"/>
        <v/>
      </c>
      <c r="DZ38" s="5" t="str">
        <f t="shared" si="183"/>
        <v/>
      </c>
      <c r="EA38" s="10" t="str">
        <f t="shared" si="184"/>
        <v/>
      </c>
      <c r="EB38" s="6" t="str">
        <f t="shared" si="185"/>
        <v/>
      </c>
      <c r="EC38" s="173" t="str">
        <f t="shared" si="186"/>
        <v/>
      </c>
      <c r="ED38" s="5" t="str">
        <f t="shared" si="187"/>
        <v/>
      </c>
      <c r="EE38" s="4" t="str">
        <f t="shared" si="188"/>
        <v/>
      </c>
      <c r="EF38" s="5" t="str">
        <f t="shared" si="189"/>
        <v/>
      </c>
      <c r="EG38" s="10" t="str">
        <f t="shared" si="190"/>
        <v/>
      </c>
      <c r="EH38" s="9" t="str">
        <f t="shared" si="191"/>
        <v/>
      </c>
      <c r="EI38" s="5" t="str">
        <f t="shared" si="192"/>
        <v/>
      </c>
      <c r="EJ38" s="6" t="str">
        <f t="shared" si="193"/>
        <v/>
      </c>
      <c r="EK38" s="236" t="str">
        <f t="shared" si="194"/>
        <v/>
      </c>
      <c r="EL38" s="238" t="str">
        <f t="shared" si="195"/>
        <v/>
      </c>
      <c r="EM38" s="4" t="str">
        <f t="shared" si="196"/>
        <v/>
      </c>
      <c r="EN38" s="5" t="str">
        <f t="shared" si="197"/>
        <v/>
      </c>
      <c r="EO38" s="10" t="str">
        <f t="shared" si="198"/>
        <v/>
      </c>
      <c r="EP38" s="9" t="str">
        <f t="shared" si="199"/>
        <v/>
      </c>
      <c r="EQ38" s="5" t="str">
        <f t="shared" si="200"/>
        <v/>
      </c>
      <c r="ER38" s="7" t="str">
        <f t="shared" si="201"/>
        <v/>
      </c>
      <c r="ES38" s="21" t="str">
        <f t="shared" si="124"/>
        <v/>
      </c>
      <c r="ET38" s="5" t="str">
        <f t="shared" si="35"/>
        <v/>
      </c>
      <c r="EU38" s="10" t="str">
        <f t="shared" si="36"/>
        <v/>
      </c>
      <c r="EV38" s="174" t="str">
        <f t="shared" si="252"/>
        <v/>
      </c>
      <c r="EW38" s="9" t="str">
        <f t="shared" si="125"/>
        <v/>
      </c>
      <c r="EX38" s="5" t="str">
        <f t="shared" si="37"/>
        <v/>
      </c>
      <c r="EY38" s="6" t="str">
        <f t="shared" si="202"/>
        <v/>
      </c>
      <c r="EZ38" s="51" t="str">
        <f t="shared" si="203"/>
        <v/>
      </c>
      <c r="FA38" s="266" t="str">
        <f t="shared" si="126"/>
        <v/>
      </c>
      <c r="FB38" s="267" t="str">
        <f t="shared" si="127"/>
        <v/>
      </c>
      <c r="FC38" s="269" t="str">
        <f t="shared" si="38"/>
        <v/>
      </c>
      <c r="FD38" s="4" t="str">
        <f t="shared" si="128"/>
        <v/>
      </c>
      <c r="FE38" s="5" t="str">
        <f t="shared" si="39"/>
        <v/>
      </c>
      <c r="FF38" s="7" t="str">
        <f t="shared" si="204"/>
        <v/>
      </c>
      <c r="FG38" s="173" t="str">
        <f t="shared" si="205"/>
        <v/>
      </c>
      <c r="FH38" s="5" t="str">
        <f t="shared" si="40"/>
        <v/>
      </c>
      <c r="FI38" s="10" t="str">
        <f t="shared" si="41"/>
        <v/>
      </c>
      <c r="FJ38" s="279" t="str">
        <f t="shared" si="206"/>
        <v/>
      </c>
      <c r="FK38" s="4" t="str">
        <f t="shared" si="42"/>
        <v/>
      </c>
      <c r="FL38" s="5" t="str">
        <f t="shared" si="207"/>
        <v/>
      </c>
      <c r="FM38" s="8" t="str">
        <f t="shared" si="208"/>
        <v/>
      </c>
      <c r="FN38" s="9" t="str">
        <f t="shared" si="209"/>
        <v/>
      </c>
      <c r="FO38" s="10" t="str">
        <f t="shared" si="43"/>
        <v/>
      </c>
      <c r="FP38" s="277" t="str">
        <f t="shared" si="44"/>
        <v/>
      </c>
      <c r="FQ38" s="173" t="str">
        <f t="shared" si="239"/>
        <v/>
      </c>
      <c r="FR38" s="10" t="str">
        <f t="shared" si="210"/>
        <v/>
      </c>
      <c r="FS38" s="9" t="str">
        <f t="shared" si="211"/>
        <v/>
      </c>
      <c r="FT38" s="6" t="str">
        <f t="shared" si="212"/>
        <v/>
      </c>
      <c r="FU38" s="4" t="str">
        <f t="shared" si="213"/>
        <v/>
      </c>
      <c r="FV38" s="5" t="str">
        <f t="shared" si="214"/>
        <v/>
      </c>
      <c r="FW38" s="8" t="str">
        <f t="shared" si="240"/>
        <v/>
      </c>
      <c r="FX38" s="9" t="str">
        <f t="shared" si="241"/>
        <v/>
      </c>
      <c r="FY38" s="10" t="str">
        <f t="shared" si="45"/>
        <v/>
      </c>
      <c r="FZ38" s="277" t="str">
        <f t="shared" si="242"/>
        <v/>
      </c>
      <c r="GA38" s="177" t="str">
        <f t="shared" si="215"/>
        <v/>
      </c>
      <c r="GB38" s="4" t="str">
        <f t="shared" si="216"/>
        <v/>
      </c>
      <c r="GC38" s="5" t="str">
        <f t="shared" si="217"/>
        <v/>
      </c>
      <c r="GD38" s="10" t="str">
        <f t="shared" si="218"/>
        <v/>
      </c>
      <c r="GE38" s="311" t="str">
        <f t="shared" si="219"/>
        <v/>
      </c>
      <c r="GF38" s="341" t="str">
        <f t="shared" si="243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20"/>
        <v/>
      </c>
      <c r="GK38" s="174" t="str">
        <f t="shared" si="49"/>
        <v/>
      </c>
      <c r="GL38" s="174" t="str">
        <f t="shared" si="221"/>
        <v/>
      </c>
      <c r="GM38" s="177" t="str">
        <f t="shared" si="244"/>
        <v/>
      </c>
      <c r="GN38" s="280" t="str">
        <f t="shared" si="222"/>
        <v/>
      </c>
      <c r="GO38" s="4" t="str">
        <f t="shared" si="223"/>
        <v/>
      </c>
      <c r="GP38" s="8" t="str">
        <f t="shared" si="245"/>
        <v/>
      </c>
      <c r="GQ38" s="177" t="str">
        <f t="shared" si="224"/>
        <v/>
      </c>
      <c r="GR38" s="371" t="str">
        <f t="shared" si="246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53"/>
        <v/>
      </c>
      <c r="GW38" s="345" t="str">
        <f t="shared" si="129"/>
        <v/>
      </c>
      <c r="GX38" s="346" t="str">
        <f t="shared" si="54"/>
        <v/>
      </c>
      <c r="GY38" s="344" t="str">
        <f t="shared" si="55"/>
        <v/>
      </c>
      <c r="GZ38" s="345" t="str">
        <f t="shared" si="56"/>
        <v/>
      </c>
      <c r="HA38" s="342" t="str">
        <f t="shared" si="57"/>
        <v/>
      </c>
      <c r="HB38" s="5" t="str">
        <f t="shared" si="225"/>
        <v/>
      </c>
      <c r="HC38" s="343" t="str">
        <f t="shared" si="226"/>
        <v/>
      </c>
      <c r="HD38" s="363" t="str">
        <f t="shared" si="227"/>
        <v/>
      </c>
      <c r="HE38" s="344" t="str">
        <f t="shared" si="58"/>
        <v/>
      </c>
      <c r="HF38" s="5" t="str">
        <f t="shared" si="59"/>
        <v/>
      </c>
      <c r="HG38" s="343" t="str">
        <f t="shared" si="228"/>
        <v/>
      </c>
      <c r="HH38" s="349" t="str">
        <f t="shared" si="229"/>
        <v/>
      </c>
      <c r="HI38" s="317" t="str">
        <f t="shared" si="60"/>
        <v/>
      </c>
      <c r="HJ38" s="336"/>
      <c r="HK38" s="310">
        <f t="shared" si="130"/>
        <v>30</v>
      </c>
      <c r="HL38" s="348">
        <f t="shared" si="61"/>
        <v>4.13</v>
      </c>
      <c r="HM38" s="935">
        <f t="shared" si="62"/>
        <v>8.523761775384159</v>
      </c>
      <c r="HN38" s="936">
        <f t="shared" si="63"/>
        <v>17.299997502189399</v>
      </c>
      <c r="HO38" s="937"/>
      <c r="HP38" s="938"/>
      <c r="HQ38" s="936">
        <f t="shared" si="64"/>
        <v>16.545392218312063</v>
      </c>
      <c r="HR38" s="939">
        <f t="shared" si="65"/>
        <v>14.392248268552377</v>
      </c>
      <c r="HS38" s="940">
        <f t="shared" si="249"/>
        <v>4.8586999999999998</v>
      </c>
      <c r="HT38" s="941">
        <f t="shared" si="66"/>
        <v>1.2E-2</v>
      </c>
      <c r="HU38" s="942">
        <f t="shared" si="67"/>
        <v>0.36634197962138776</v>
      </c>
      <c r="HV38" s="943">
        <f t="shared" si="68"/>
        <v>2.0295513578891977E-2</v>
      </c>
      <c r="HW38" s="944">
        <f t="shared" si="69"/>
        <v>30000</v>
      </c>
      <c r="HX38" s="947">
        <f t="shared" si="70"/>
        <v>145.761</v>
      </c>
      <c r="HY38" s="952">
        <f t="shared" si="71"/>
        <v>137.26377140486892</v>
      </c>
      <c r="HZ38" s="953">
        <f t="shared" si="72"/>
        <v>915.85494905346934</v>
      </c>
      <c r="IA38" s="954">
        <f t="shared" si="73"/>
        <v>237.64441688551557</v>
      </c>
      <c r="IB38" s="955">
        <f t="shared" si="74"/>
        <v>1290.7631373438537</v>
      </c>
      <c r="IC38" s="842">
        <f t="shared" si="75"/>
        <v>53.955004290606148</v>
      </c>
      <c r="ID38" s="351">
        <f t="shared" si="76"/>
        <v>360</v>
      </c>
      <c r="IE38" s="844">
        <f t="shared" si="77"/>
        <v>93.412161136654973</v>
      </c>
      <c r="IF38" s="846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0"/>
        <v>3.1549999999999998</v>
      </c>
      <c r="IJ38" s="96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8"/>
        <v>1613</v>
      </c>
      <c r="IM38" s="482" t="str">
        <f t="shared" si="231"/>
        <v/>
      </c>
      <c r="IN38" s="670" t="str">
        <f t="shared" si="80"/>
        <v/>
      </c>
      <c r="IO38" s="702"/>
      <c r="IP38" s="5" t="str">
        <f t="shared" si="81"/>
        <v/>
      </c>
      <c r="IQ38" s="714"/>
      <c r="IR38" s="9" t="str">
        <f t="shared" si="131"/>
        <v/>
      </c>
      <c r="IS38" s="5" t="str">
        <f t="shared" si="82"/>
        <v/>
      </c>
      <c r="IT38" s="5" t="str">
        <f t="shared" si="83"/>
        <v/>
      </c>
      <c r="IU38" s="5" t="str">
        <f t="shared" si="84"/>
        <v/>
      </c>
      <c r="IV38" s="670" t="str">
        <f t="shared" si="85"/>
        <v/>
      </c>
      <c r="IW38" s="9" t="str">
        <f t="shared" si="86"/>
        <v/>
      </c>
      <c r="IX38" s="5" t="str">
        <f t="shared" si="87"/>
        <v/>
      </c>
      <c r="IY38" s="5" t="str">
        <f t="shared" si="88"/>
        <v/>
      </c>
      <c r="IZ38" s="5" t="str">
        <f t="shared" si="89"/>
        <v/>
      </c>
      <c r="JA38" s="705" t="str">
        <f t="shared" si="90"/>
        <v/>
      </c>
    </row>
    <row r="39" spans="1:269" ht="15" customHeight="1" x14ac:dyDescent="0.25">
      <c r="A39" s="75">
        <f t="shared" si="1"/>
        <v>0</v>
      </c>
      <c r="B39" s="578">
        <f t="shared" ref="B39:D39" si="304">IFERROR(O194+($A39*-E39),"")</f>
        <v>-0.33855883738036974</v>
      </c>
      <c r="C39" s="572">
        <f t="shared" si="304"/>
        <v>-2.5716096814313891</v>
      </c>
      <c r="D39" s="576">
        <f t="shared" si="304"/>
        <v>-7.0999999999999994E-2</v>
      </c>
      <c r="E39" s="580">
        <f t="shared" ref="E39:K39" si="305">R194</f>
        <v>0.96060655015305019</v>
      </c>
      <c r="F39" s="572">
        <f t="shared" si="305"/>
        <v>-0.10371403706453673</v>
      </c>
      <c r="G39" s="579">
        <f t="shared" si="305"/>
        <v>0.25783416049629954</v>
      </c>
      <c r="H39" s="580">
        <f t="shared" si="305"/>
        <v>0.3125</v>
      </c>
      <c r="I39" s="572">
        <f t="shared" si="305"/>
        <v>0.52</v>
      </c>
      <c r="J39" s="483">
        <f t="shared" si="92"/>
        <v>4.1120000000000001</v>
      </c>
      <c r="K39" s="806">
        <f t="shared" si="305"/>
        <v>1613</v>
      </c>
      <c r="L39" s="309"/>
      <c r="M39" s="164">
        <f t="shared" si="4"/>
        <v>4.1120000000000001</v>
      </c>
      <c r="N39" s="575">
        <f t="shared" si="5"/>
        <v>-0.33855883738036974</v>
      </c>
      <c r="O39" s="572">
        <f t="shared" si="6"/>
        <v>-2.5716096814313891</v>
      </c>
      <c r="P39" s="576">
        <f t="shared" si="7"/>
        <v>-7.0999999999999994E-2</v>
      </c>
      <c r="Q39" s="528">
        <f t="shared" si="134"/>
        <v>262.5</v>
      </c>
      <c r="R39" s="572">
        <f t="shared" si="93"/>
        <v>2.5937999999999994</v>
      </c>
      <c r="S39" s="577">
        <f t="shared" si="94"/>
        <v>-7.0999999999999994E-2</v>
      </c>
      <c r="T39" s="578">
        <f t="shared" si="95"/>
        <v>-2.5716687319189533</v>
      </c>
      <c r="U39" s="572">
        <f t="shared" si="96"/>
        <v>0.33811000173073669</v>
      </c>
      <c r="V39" s="579">
        <f t="shared" si="135"/>
        <v>-7.0999999999999994E-2</v>
      </c>
      <c r="W39" s="528">
        <f t="shared" si="256"/>
        <v>172.50999999855617</v>
      </c>
      <c r="X39" s="572">
        <f t="shared" si="97"/>
        <v>2.5937999999999994</v>
      </c>
      <c r="Y39" s="573">
        <f t="shared" si="259"/>
        <v>-7.0999999999999994E-2</v>
      </c>
      <c r="Z39" s="575">
        <f t="shared" si="10"/>
        <v>-0.96060655015305019</v>
      </c>
      <c r="AA39" s="572">
        <f t="shared" si="11"/>
        <v>0.10371403706453673</v>
      </c>
      <c r="AB39" s="572">
        <f t="shared" si="12"/>
        <v>-0.25783416049629954</v>
      </c>
      <c r="AC39" s="579">
        <f t="shared" si="98"/>
        <v>1</v>
      </c>
      <c r="AD39" s="580">
        <f t="shared" si="136"/>
        <v>-0.96060655015305019</v>
      </c>
      <c r="AE39" s="572">
        <f t="shared" si="99"/>
        <v>0.10371403706453673</v>
      </c>
      <c r="AF39" s="576">
        <f t="shared" si="100"/>
        <v>-0.25783416049629954</v>
      </c>
      <c r="AG39" s="545">
        <f t="shared" si="101"/>
        <v>21.912504298107134</v>
      </c>
      <c r="AH39" s="546">
        <f t="shared" si="102"/>
        <v>163.86437677702526</v>
      </c>
      <c r="AI39" s="528">
        <f t="shared" si="103"/>
        <v>-75.058412388454158</v>
      </c>
      <c r="AJ39" s="529">
        <f t="shared" si="104"/>
        <v>-96.162197015658265</v>
      </c>
      <c r="AK39" s="578">
        <f t="shared" si="234"/>
        <v>0.96592582628906842</v>
      </c>
      <c r="AL39" s="572">
        <f t="shared" si="105"/>
        <v>2.2557566113149782E-2</v>
      </c>
      <c r="AM39" s="577">
        <f t="shared" si="106"/>
        <v>-0.25783416049629954</v>
      </c>
      <c r="AN39" s="524">
        <f t="shared" si="107"/>
        <v>4.9999999999999885</v>
      </c>
      <c r="AO39" s="525">
        <f t="shared" si="108"/>
        <v>14.99999999999997</v>
      </c>
      <c r="AP39" s="528">
        <f t="shared" si="109"/>
        <v>1.3378029843417374</v>
      </c>
      <c r="AQ39" s="529">
        <f t="shared" si="13"/>
        <v>0.53959624414587848</v>
      </c>
      <c r="AS39" s="900">
        <f t="shared" si="137"/>
        <v>-187.49000000144383</v>
      </c>
      <c r="AT39" s="896">
        <f t="shared" si="14"/>
        <v>8.9418604651162886E-3</v>
      </c>
      <c r="AU39" s="418"/>
      <c r="AV39" s="164">
        <f t="shared" si="15"/>
        <v>4.1120000000000001</v>
      </c>
      <c r="AW39" s="829">
        <f>IFERROR(INDEX(MassProp!C$9:C$150,MATCH($M39,MassProp!$B$9:$B$150,0)),"")</f>
        <v>2.4817</v>
      </c>
      <c r="AX39" s="830">
        <f>IFERROR(INDEX(MassProp!D$9:D$150,MATCH($M39,MassProp!$B$9:$B$150,0)),"")</f>
        <v>0.4052</v>
      </c>
      <c r="AY39" s="831">
        <f>IFERROR(INDEX(MassProp!E$9:E$150,MATCH($M39,MassProp!$B$9:$B$150,0)),"")</f>
        <v>1.43E-2</v>
      </c>
      <c r="AZ39" s="297">
        <f t="shared" si="138"/>
        <v>0.2229904302959636</v>
      </c>
      <c r="BA39" s="296">
        <f t="shared" si="16"/>
        <v>1.2353772043029258E-2</v>
      </c>
      <c r="BB39" s="190">
        <f t="shared" si="139"/>
        <v>0.24276976744186046</v>
      </c>
      <c r="BC39" s="9"/>
      <c r="BD39" s="5">
        <f t="shared" si="235"/>
        <v>2.4817</v>
      </c>
      <c r="BE39" s="6">
        <f t="shared" si="17"/>
        <v>0.17176976744186045</v>
      </c>
      <c r="BF39" s="4">
        <f t="shared" si="18"/>
        <v>-0.33855883738036974</v>
      </c>
      <c r="BG39" s="5">
        <f t="shared" si="19"/>
        <v>-2.5716096814313891</v>
      </c>
      <c r="BH39" s="10">
        <f t="shared" si="20"/>
        <v>-7.0999999999999994E-2</v>
      </c>
      <c r="BI39" s="9">
        <f t="shared" si="140"/>
        <v>-0.33855883738036974</v>
      </c>
      <c r="BJ39" s="5">
        <f t="shared" si="21"/>
        <v>-1.643854850918919</v>
      </c>
      <c r="BK39" s="8">
        <f t="shared" si="22"/>
        <v>0.30219026576369551</v>
      </c>
      <c r="BL39" s="173">
        <f t="shared" si="23"/>
        <v>-6.0646880453259944E-2</v>
      </c>
      <c r="BM39" s="5">
        <f t="shared" si="24"/>
        <v>-2.2131206676854256</v>
      </c>
      <c r="BN39" s="6">
        <f t="shared" si="25"/>
        <v>-0.96220736712641164</v>
      </c>
      <c r="BO39" s="4">
        <f t="shared" si="141"/>
        <v>-0.96060655015304997</v>
      </c>
      <c r="BP39" s="5">
        <f t="shared" si="142"/>
        <v>0.10371403706453682</v>
      </c>
      <c r="BQ39" s="5">
        <f t="shared" si="143"/>
        <v>-0.2578341604962997</v>
      </c>
      <c r="BR39" s="6">
        <f t="shared" si="144"/>
        <v>-7.6816040379524997E-2</v>
      </c>
      <c r="BS39" s="4">
        <f t="shared" si="110"/>
        <v>0</v>
      </c>
      <c r="BT39" s="5">
        <f t="shared" si="110"/>
        <v>0</v>
      </c>
      <c r="BU39" s="10">
        <f t="shared" si="111"/>
        <v>0.17176976744186045</v>
      </c>
      <c r="BV39" s="9">
        <f t="shared" si="112"/>
        <v>0</v>
      </c>
      <c r="BW39" s="5">
        <f t="shared" si="113"/>
        <v>1</v>
      </c>
      <c r="BX39" s="8">
        <f t="shared" si="114"/>
        <v>0.17176976744186045</v>
      </c>
      <c r="BY39" s="173">
        <f t="shared" si="115"/>
        <v>1</v>
      </c>
      <c r="BZ39" s="5">
        <f t="shared" si="116"/>
        <v>0</v>
      </c>
      <c r="CA39" s="6">
        <f t="shared" si="117"/>
        <v>0.17176976744186045</v>
      </c>
      <c r="CB39" s="4">
        <f t="shared" si="145"/>
        <v>0</v>
      </c>
      <c r="CC39" s="5">
        <f t="shared" si="146"/>
        <v>0</v>
      </c>
      <c r="CD39" s="5">
        <f t="shared" si="147"/>
        <v>-1</v>
      </c>
      <c r="CE39" s="6">
        <f t="shared" si="148"/>
        <v>0.17176976744186045</v>
      </c>
      <c r="CF39" s="4">
        <f t="shared" si="149"/>
        <v>-0.10371403706453682</v>
      </c>
      <c r="CG39" s="5">
        <f t="shared" si="150"/>
        <v>-0.96060655015304997</v>
      </c>
      <c r="CH39" s="5">
        <f t="shared" si="151"/>
        <v>0</v>
      </c>
      <c r="CI39" s="4">
        <f t="shared" si="118"/>
        <v>0</v>
      </c>
      <c r="CJ39" s="5">
        <f t="shared" si="119"/>
        <v>1.1676737073804559</v>
      </c>
      <c r="CK39" s="8">
        <f t="shared" si="120"/>
        <v>0.17176976744186045</v>
      </c>
      <c r="CL39" s="173">
        <f t="shared" si="121"/>
        <v>-0.10371403706453682</v>
      </c>
      <c r="CM39" s="5">
        <f t="shared" si="122"/>
        <v>0.20706715722740598</v>
      </c>
      <c r="CN39" s="6">
        <f t="shared" si="123"/>
        <v>0.17176976744186045</v>
      </c>
      <c r="CO39" s="167">
        <f t="shared" si="26"/>
        <v>0.3125</v>
      </c>
      <c r="CP39" s="4">
        <f t="shared" si="236"/>
        <v>0.93352154568116819</v>
      </c>
      <c r="CQ39" s="5">
        <f t="shared" si="237"/>
        <v>-7.2541868399594938</v>
      </c>
      <c r="CR39" s="5">
        <f t="shared" si="152"/>
        <v>14.058143258196321</v>
      </c>
      <c r="CS39" s="8">
        <f t="shared" si="153"/>
        <v>0.12890821384661422</v>
      </c>
      <c r="CT39" s="9">
        <f t="shared" si="154"/>
        <v>4.077690962503195</v>
      </c>
      <c r="CU39" s="6">
        <f t="shared" si="155"/>
        <v>3.6930850560259629</v>
      </c>
      <c r="CV39" s="4">
        <f t="shared" si="238"/>
        <v>-0.42291379162278314</v>
      </c>
      <c r="CW39" s="5">
        <f t="shared" si="156"/>
        <v>-2.7493829407000083</v>
      </c>
      <c r="CX39" s="8">
        <f t="shared" si="157"/>
        <v>0.17176976744186045</v>
      </c>
      <c r="CY39" s="9">
        <f t="shared" si="158"/>
        <v>-0.38302476038316374</v>
      </c>
      <c r="CZ39" s="5">
        <f t="shared" si="159"/>
        <v>-2.3799279877104276</v>
      </c>
      <c r="DA39" s="6">
        <f t="shared" si="160"/>
        <v>0.17176976744186045</v>
      </c>
      <c r="DB39" s="4">
        <f t="shared" si="161"/>
        <v>0</v>
      </c>
      <c r="DC39" s="5">
        <f t="shared" si="161"/>
        <v>0</v>
      </c>
      <c r="DD39" s="10">
        <f t="shared" si="162"/>
        <v>-10</v>
      </c>
      <c r="DE39" s="9">
        <f t="shared" si="163"/>
        <v>0</v>
      </c>
      <c r="DF39" s="5">
        <f t="shared" si="163"/>
        <v>0</v>
      </c>
      <c r="DG39" s="10">
        <f t="shared" si="164"/>
        <v>10</v>
      </c>
      <c r="DH39" s="70">
        <f t="shared" si="165"/>
        <v>2.4817</v>
      </c>
      <c r="DI39" s="4">
        <f t="shared" si="166"/>
        <v>0</v>
      </c>
      <c r="DJ39" s="5">
        <f t="shared" si="167"/>
        <v>0</v>
      </c>
      <c r="DK39" s="10">
        <f t="shared" si="168"/>
        <v>20</v>
      </c>
      <c r="DL39" s="9">
        <f t="shared" si="169"/>
        <v>-0.42291379162278314</v>
      </c>
      <c r="DM39" s="173">
        <f t="shared" si="170"/>
        <v>-2.7493829407000083</v>
      </c>
      <c r="DN39" s="178">
        <f t="shared" si="171"/>
        <v>10.171769767441861</v>
      </c>
      <c r="DO39" s="9">
        <f t="shared" si="172"/>
        <v>3.9889031239619399E-2</v>
      </c>
      <c r="DP39" s="173">
        <f t="shared" si="173"/>
        <v>0.36945495298958075</v>
      </c>
      <c r="DQ39" s="11">
        <f t="shared" si="174"/>
        <v>0</v>
      </c>
      <c r="DR39" s="173">
        <f t="shared" si="175"/>
        <v>203.4353953488372</v>
      </c>
      <c r="DS39" s="5">
        <f t="shared" si="176"/>
        <v>0</v>
      </c>
      <c r="DT39" s="5">
        <f t="shared" si="177"/>
        <v>400</v>
      </c>
      <c r="DU39" s="5">
        <f t="shared" si="178"/>
        <v>0.13808809710176867</v>
      </c>
      <c r="DV39" s="5">
        <f t="shared" si="179"/>
        <v>-1.0326427665523841</v>
      </c>
      <c r="DW39" s="5">
        <f t="shared" si="180"/>
        <v>111.20286283160122</v>
      </c>
      <c r="DX39" s="167">
        <f t="shared" si="181"/>
        <v>105.04402794160123</v>
      </c>
      <c r="DY39" s="9">
        <f t="shared" si="182"/>
        <v>55.235238840707467</v>
      </c>
      <c r="DZ39" s="5">
        <f t="shared" si="183"/>
        <v>-413.05710662095362</v>
      </c>
      <c r="EA39" s="10">
        <f t="shared" si="184"/>
        <v>631.6510959028019</v>
      </c>
      <c r="EB39" s="6">
        <f t="shared" si="185"/>
        <v>135726.77418388799</v>
      </c>
      <c r="EC39" s="173">
        <f t="shared" si="186"/>
        <v>14.148001734254992</v>
      </c>
      <c r="ED39" s="5">
        <f t="shared" si="187"/>
        <v>0.80828759445294418</v>
      </c>
      <c r="EE39" s="4">
        <f t="shared" si="188"/>
        <v>0.14143629153310361</v>
      </c>
      <c r="EF39" s="5">
        <f t="shared" si="189"/>
        <v>2.4776663749256764</v>
      </c>
      <c r="EG39" s="10">
        <f t="shared" si="190"/>
        <v>0.17176976744186045</v>
      </c>
      <c r="EH39" s="9">
        <f t="shared" si="191"/>
        <v>-0.39067198251705282</v>
      </c>
      <c r="EI39" s="5">
        <f t="shared" si="192"/>
        <v>-2.4507570854893346</v>
      </c>
      <c r="EJ39" s="6">
        <f t="shared" si="193"/>
        <v>0.17176976744186045</v>
      </c>
      <c r="EK39" s="236" t="b">
        <f t="shared" si="194"/>
        <v>0</v>
      </c>
      <c r="EL39" s="238" t="b">
        <f t="shared" si="195"/>
        <v>1</v>
      </c>
      <c r="EM39" s="4">
        <f t="shared" si="196"/>
        <v>-0.39067198251705282</v>
      </c>
      <c r="EN39" s="5">
        <f t="shared" si="197"/>
        <v>-2.4507570854893346</v>
      </c>
      <c r="EO39" s="10">
        <f t="shared" si="198"/>
        <v>0.17176976744186045</v>
      </c>
      <c r="EP39" s="9">
        <f t="shared" si="199"/>
        <v>260.94275988561856</v>
      </c>
      <c r="EQ39" s="5">
        <f t="shared" si="200"/>
        <v>2.4816999999999965</v>
      </c>
      <c r="ER39" s="7">
        <f t="shared" si="201"/>
        <v>0.17176976744186045</v>
      </c>
      <c r="ES39" s="21">
        <f t="shared" si="124"/>
        <v>-0.96060655015305019</v>
      </c>
      <c r="ET39" s="5">
        <f t="shared" si="35"/>
        <v>0.10371403706453673</v>
      </c>
      <c r="EU39" s="10">
        <f t="shared" si="36"/>
        <v>-0.25783416049629954</v>
      </c>
      <c r="EV39" s="174">
        <f t="shared" si="252"/>
        <v>189.05724011438144</v>
      </c>
      <c r="EW39" s="9">
        <f t="shared" si="125"/>
        <v>0.96495606948056034</v>
      </c>
      <c r="EX39" s="5">
        <f t="shared" si="37"/>
        <v>4.8798869390556165E-2</v>
      </c>
      <c r="EY39" s="6">
        <f t="shared" si="202"/>
        <v>-0.25783416049629954</v>
      </c>
      <c r="EZ39" s="51">
        <f t="shared" si="203"/>
        <v>0.56396861648031071</v>
      </c>
      <c r="FA39" s="266">
        <f t="shared" si="126"/>
        <v>-0.98748372625329639</v>
      </c>
      <c r="FB39" s="267">
        <f t="shared" si="127"/>
        <v>0.1574134896203615</v>
      </c>
      <c r="FC39" s="269">
        <f t="shared" si="38"/>
        <v>-9.8429502917101921E-3</v>
      </c>
      <c r="FD39" s="4">
        <f t="shared" si="128"/>
        <v>0.99995155699141491</v>
      </c>
      <c r="FE39" s="5">
        <f t="shared" si="39"/>
        <v>1.1102230246251565E-16</v>
      </c>
      <c r="FF39" s="7">
        <f t="shared" si="204"/>
        <v>-9.8429502917101921E-3</v>
      </c>
      <c r="FG39" s="173">
        <f t="shared" si="205"/>
        <v>-3.4995487510854573E-2</v>
      </c>
      <c r="FH39" s="5">
        <f t="shared" si="40"/>
        <v>4.8798869390556054E-2</v>
      </c>
      <c r="FI39" s="10">
        <f t="shared" si="41"/>
        <v>-0.24799121020458934</v>
      </c>
      <c r="FJ39" s="279">
        <f t="shared" si="206"/>
        <v>14.659434141353779</v>
      </c>
      <c r="FK39" s="4">
        <f t="shared" si="42"/>
        <v>0.96618918731331738</v>
      </c>
      <c r="FL39" s="5">
        <f t="shared" si="207"/>
        <v>0.99995155699141491</v>
      </c>
      <c r="FM39" s="8">
        <f t="shared" si="208"/>
        <v>6.0050094087511031E-2</v>
      </c>
      <c r="FN39" s="9">
        <f t="shared" si="209"/>
        <v>2.8950430987232494</v>
      </c>
      <c r="FO39" s="10">
        <f t="shared" si="43"/>
        <v>-1</v>
      </c>
      <c r="FP39" s="277">
        <f t="shared" si="44"/>
        <v>-2.8950430987232494</v>
      </c>
      <c r="FQ39" s="173">
        <f t="shared" si="239"/>
        <v>5.0506536433358756E-2</v>
      </c>
      <c r="FR39" s="10">
        <f t="shared" si="210"/>
        <v>0.99872373045677942</v>
      </c>
      <c r="FS39" s="9">
        <f t="shared" si="211"/>
        <v>4.8136751318714248E-2</v>
      </c>
      <c r="FT39" s="6">
        <f t="shared" si="212"/>
        <v>0.9518632486812858</v>
      </c>
      <c r="FU39" s="4">
        <f t="shared" si="213"/>
        <v>0.99880862548648608</v>
      </c>
      <c r="FV39" s="5">
        <f t="shared" si="214"/>
        <v>1</v>
      </c>
      <c r="FW39" s="8">
        <f t="shared" si="240"/>
        <v>0.25044824711875946</v>
      </c>
      <c r="FX39" s="9">
        <f t="shared" si="241"/>
        <v>14.395857338548444</v>
      </c>
      <c r="FY39" s="10">
        <f t="shared" si="45"/>
        <v>1</v>
      </c>
      <c r="FZ39" s="277">
        <f t="shared" si="242"/>
        <v>14.395857338548444</v>
      </c>
      <c r="GA39" s="177">
        <f t="shared" si="215"/>
        <v>14.377978229708425</v>
      </c>
      <c r="GB39" s="4">
        <f t="shared" si="216"/>
        <v>4.8920688748731768E-2</v>
      </c>
      <c r="GC39" s="5">
        <f t="shared" si="217"/>
        <v>0.96736494350814828</v>
      </c>
      <c r="GD39" s="10">
        <f t="shared" si="218"/>
        <v>-0.24861985496702921</v>
      </c>
      <c r="GE39" s="311">
        <f t="shared" si="219"/>
        <v>1.2649054872239094</v>
      </c>
      <c r="GF39" s="341">
        <f t="shared" si="243"/>
        <v>0.7905729005846136</v>
      </c>
      <c r="GG39" s="285">
        <f t="shared" si="46"/>
        <v>3.8675370802681949E-2</v>
      </c>
      <c r="GH39" s="286">
        <f t="shared" si="47"/>
        <v>0.7647725093131077</v>
      </c>
      <c r="GI39" s="281">
        <f t="shared" si="48"/>
        <v>0.19655211988421026</v>
      </c>
      <c r="GJ39" s="167">
        <f t="shared" si="220"/>
        <v>2.4817</v>
      </c>
      <c r="GK39" s="174">
        <f t="shared" si="49"/>
        <v>1.2994780320277599</v>
      </c>
      <c r="GL39" s="174">
        <f t="shared" si="221"/>
        <v>1.43E-2</v>
      </c>
      <c r="GM39" s="177">
        <f t="shared" si="244"/>
        <v>0.2229904302959636</v>
      </c>
      <c r="GN39" s="280">
        <f t="shared" si="222"/>
        <v>1.2353772043029258E-2</v>
      </c>
      <c r="GO39" s="4">
        <f t="shared" si="223"/>
        <v>-2.8950430987232494</v>
      </c>
      <c r="GP39" s="8">
        <f t="shared" si="245"/>
        <v>14.395857338548444</v>
      </c>
      <c r="GQ39" s="177">
        <f t="shared" si="224"/>
        <v>14.659434141353779</v>
      </c>
      <c r="GR39" s="371">
        <f t="shared" si="246"/>
        <v>728.94366488227297</v>
      </c>
      <c r="GS39" s="342">
        <f t="shared" si="51"/>
        <v>28.192166533587834</v>
      </c>
      <c r="GT39" s="343">
        <f t="shared" si="52"/>
        <v>21.694992788447216</v>
      </c>
      <c r="GU39" s="344">
        <f t="shared" si="53"/>
        <v>557.47607573990899</v>
      </c>
      <c r="GV39" s="343">
        <f t="shared" si="253"/>
        <v>429</v>
      </c>
      <c r="GW39" s="345">
        <f t="shared" si="129"/>
        <v>30000</v>
      </c>
      <c r="GX39" s="346">
        <f t="shared" si="54"/>
        <v>88.720775000000003</v>
      </c>
      <c r="GY39" s="344">
        <f t="shared" si="55"/>
        <v>143.2754226087761</v>
      </c>
      <c r="GZ39" s="345">
        <f t="shared" si="56"/>
        <v>110.25613290684348</v>
      </c>
      <c r="HA39" s="342">
        <f t="shared" si="57"/>
        <v>-28.192166533587834</v>
      </c>
      <c r="HB39" s="5">
        <f t="shared" si="225"/>
        <v>189.05724011438144</v>
      </c>
      <c r="HC39" s="343">
        <f t="shared" si="226"/>
        <v>27.840654344798232</v>
      </c>
      <c r="HD39" s="363">
        <f t="shared" si="227"/>
        <v>4.4380423061319716</v>
      </c>
      <c r="HE39" s="344">
        <f t="shared" si="58"/>
        <v>429</v>
      </c>
      <c r="HF39" s="5">
        <f t="shared" si="59"/>
        <v>279.05724011438144</v>
      </c>
      <c r="HG39" s="343">
        <f t="shared" si="228"/>
        <v>67.533658580737708</v>
      </c>
      <c r="HH39" s="349">
        <f t="shared" si="229"/>
        <v>-423.65104149370427</v>
      </c>
      <c r="HI39" s="317">
        <f t="shared" si="60"/>
        <v>4.1120000000000001</v>
      </c>
      <c r="HJ39" s="336"/>
      <c r="HK39" s="310">
        <f t="shared" si="130"/>
        <v>31</v>
      </c>
      <c r="HL39" s="348">
        <f t="shared" si="61"/>
        <v>3.1309999999999998</v>
      </c>
      <c r="HM39" s="935">
        <f t="shared" si="62"/>
        <v>9.3496178570324844</v>
      </c>
      <c r="HN39" s="936">
        <f t="shared" si="63"/>
        <v>17.499997473312952</v>
      </c>
      <c r="HO39" s="937"/>
      <c r="HP39" s="938"/>
      <c r="HQ39" s="936">
        <f t="shared" si="64"/>
        <v>16.762858394378249</v>
      </c>
      <c r="HR39" s="939">
        <f t="shared" si="65"/>
        <v>14.163613945978495</v>
      </c>
      <c r="HS39" s="940">
        <f t="shared" si="249"/>
        <v>4.9903000000000004</v>
      </c>
      <c r="HT39" s="941">
        <f t="shared" si="66"/>
        <v>2.2100000000000002E-2</v>
      </c>
      <c r="HU39" s="942">
        <f t="shared" si="67"/>
        <v>0.6929533524178344</v>
      </c>
      <c r="HV39" s="943">
        <f t="shared" si="68"/>
        <v>3.8389933329698589E-2</v>
      </c>
      <c r="HW39" s="944">
        <f t="shared" si="69"/>
        <v>30000</v>
      </c>
      <c r="HX39" s="947">
        <f t="shared" si="70"/>
        <v>275.71407500000004</v>
      </c>
      <c r="HY39" s="952">
        <f t="shared" si="71"/>
        <v>285.22934282880249</v>
      </c>
      <c r="HZ39" s="953">
        <f t="shared" si="72"/>
        <v>1732.3833810445856</v>
      </c>
      <c r="IA39" s="954">
        <f t="shared" si="73"/>
        <v>443.07606059085833</v>
      </c>
      <c r="IB39" s="955">
        <f t="shared" si="74"/>
        <v>2460.6887844642461</v>
      </c>
      <c r="IC39" s="842">
        <f t="shared" si="75"/>
        <v>109.16004873093912</v>
      </c>
      <c r="ID39" s="351">
        <f t="shared" si="76"/>
        <v>663</v>
      </c>
      <c r="IE39" s="844">
        <f t="shared" si="77"/>
        <v>169.56952565234675</v>
      </c>
      <c r="IF39" s="846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0"/>
        <v>4.1120000000000001</v>
      </c>
      <c r="IJ39" s="96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8"/>
        <v>1613</v>
      </c>
      <c r="IM39" s="482" t="str">
        <f t="shared" si="231"/>
        <v/>
      </c>
      <c r="IN39" s="670" t="str">
        <f t="shared" si="80"/>
        <v/>
      </c>
      <c r="IO39" s="702"/>
      <c r="IP39" s="5" t="str">
        <f t="shared" si="81"/>
        <v/>
      </c>
      <c r="IQ39" s="714"/>
      <c r="IR39" s="9" t="str">
        <f t="shared" si="131"/>
        <v/>
      </c>
      <c r="IS39" s="5" t="str">
        <f t="shared" si="82"/>
        <v/>
      </c>
      <c r="IT39" s="5" t="str">
        <f t="shared" si="83"/>
        <v/>
      </c>
      <c r="IU39" s="5" t="str">
        <f t="shared" si="84"/>
        <v/>
      </c>
      <c r="IV39" s="670" t="str">
        <f t="shared" si="85"/>
        <v/>
      </c>
      <c r="IW39" s="9" t="str">
        <f t="shared" si="86"/>
        <v/>
      </c>
      <c r="IX39" s="5" t="str">
        <f t="shared" si="87"/>
        <v/>
      </c>
      <c r="IY39" s="5" t="str">
        <f t="shared" si="88"/>
        <v/>
      </c>
      <c r="IZ39" s="5" t="str">
        <f t="shared" si="89"/>
        <v/>
      </c>
      <c r="JA39" s="705" t="str">
        <f t="shared" si="90"/>
        <v/>
      </c>
    </row>
    <row r="40" spans="1:269" ht="15" customHeight="1" x14ac:dyDescent="0.25">
      <c r="A40" s="75">
        <f t="shared" si="1"/>
        <v>0</v>
      </c>
      <c r="B40" s="578">
        <f t="shared" ref="B40:D40" si="306">IFERROR(O195+($A40*-E40),"")</f>
        <v>-0.43865131538092078</v>
      </c>
      <c r="C40" s="572">
        <f t="shared" si="306"/>
        <v>-3.3095671173086774</v>
      </c>
      <c r="D40" s="576">
        <f t="shared" si="306"/>
        <v>-3.0000090480272893E-3</v>
      </c>
      <c r="E40" s="580">
        <f t="shared" ref="E40:K40" si="307">R195</f>
        <v>0.95560954576038415</v>
      </c>
      <c r="F40" s="572">
        <f t="shared" si="307"/>
        <v>-0.13811927792335815</v>
      </c>
      <c r="G40" s="579">
        <f t="shared" si="307"/>
        <v>0.26025652944270683</v>
      </c>
      <c r="H40" s="580">
        <f t="shared" si="307"/>
        <v>0.3125</v>
      </c>
      <c r="I40" s="572">
        <f t="shared" si="307"/>
        <v>0.52</v>
      </c>
      <c r="J40" s="483">
        <f t="shared" si="92"/>
        <v>4.1180000000000003</v>
      </c>
      <c r="K40" s="806">
        <f t="shared" si="307"/>
        <v>1613</v>
      </c>
      <c r="L40" s="309"/>
      <c r="M40" s="164">
        <f t="shared" si="4"/>
        <v>4.1180000000000003</v>
      </c>
      <c r="N40" s="575">
        <f t="shared" si="5"/>
        <v>-0.43865131538092078</v>
      </c>
      <c r="O40" s="572">
        <f t="shared" si="6"/>
        <v>-3.3095671173086774</v>
      </c>
      <c r="P40" s="576">
        <f t="shared" si="7"/>
        <v>-3.0000090480272893E-3</v>
      </c>
      <c r="Q40" s="528">
        <f t="shared" si="134"/>
        <v>262.4500000072191</v>
      </c>
      <c r="R40" s="572">
        <f t="shared" si="93"/>
        <v>3.3385100689463676</v>
      </c>
      <c r="S40" s="577">
        <f t="shared" si="94"/>
        <v>-3.0000090480272893E-3</v>
      </c>
      <c r="T40" s="578">
        <f t="shared" si="95"/>
        <v>-3.3096436259868756</v>
      </c>
      <c r="U40" s="572">
        <f t="shared" si="96"/>
        <v>0.43807368035608685</v>
      </c>
      <c r="V40" s="579">
        <f t="shared" si="135"/>
        <v>-3.0000090480272893E-3</v>
      </c>
      <c r="W40" s="528">
        <f t="shared" si="256"/>
        <v>172.46000000577527</v>
      </c>
      <c r="X40" s="572">
        <f t="shared" si="97"/>
        <v>3.3385100689463676</v>
      </c>
      <c r="Y40" s="573">
        <f t="shared" si="259"/>
        <v>-3.0000090480272893E-3</v>
      </c>
      <c r="Z40" s="575">
        <f t="shared" si="10"/>
        <v>-0.95560954576038415</v>
      </c>
      <c r="AA40" s="572">
        <f t="shared" si="11"/>
        <v>0.13811927792335815</v>
      </c>
      <c r="AB40" s="572">
        <f t="shared" si="12"/>
        <v>-0.26025652944270683</v>
      </c>
      <c r="AC40" s="579">
        <f t="shared" si="98"/>
        <v>1</v>
      </c>
      <c r="AD40" s="580">
        <f t="shared" si="136"/>
        <v>-0.95560954576038415</v>
      </c>
      <c r="AE40" s="572">
        <f t="shared" si="99"/>
        <v>0.13811927792335815</v>
      </c>
      <c r="AF40" s="576">
        <f t="shared" si="100"/>
        <v>-0.26025652944270683</v>
      </c>
      <c r="AG40" s="545">
        <f t="shared" si="101"/>
        <v>27.955087692687499</v>
      </c>
      <c r="AH40" s="546">
        <f t="shared" si="102"/>
        <v>162.86428597502268</v>
      </c>
      <c r="AI40" s="528">
        <f t="shared" si="103"/>
        <v>-74.914715766109921</v>
      </c>
      <c r="AJ40" s="529">
        <f t="shared" si="104"/>
        <v>-98.224306407877677</v>
      </c>
      <c r="AK40" s="578">
        <f t="shared" si="234"/>
        <v>0.96547264079171891</v>
      </c>
      <c r="AL40" s="572">
        <f t="shared" si="105"/>
        <v>-1.1363043830860758E-2</v>
      </c>
      <c r="AM40" s="577">
        <f t="shared" si="106"/>
        <v>-0.26025652944270683</v>
      </c>
      <c r="AN40" s="524">
        <f t="shared" si="107"/>
        <v>-2.4999996390447072</v>
      </c>
      <c r="AO40" s="525">
        <f t="shared" si="108"/>
        <v>15.099997819830044</v>
      </c>
      <c r="AP40" s="528">
        <f t="shared" si="109"/>
        <v>-0.67430641509678213</v>
      </c>
      <c r="AQ40" s="529">
        <f t="shared" si="13"/>
        <v>0.41923526084152596</v>
      </c>
      <c r="AS40" s="900">
        <f t="shared" si="137"/>
        <v>-187.53999999422473</v>
      </c>
      <c r="AT40" s="896">
        <f t="shared" si="14"/>
        <v>7.6963169243468452E-2</v>
      </c>
      <c r="AU40" s="418"/>
      <c r="AV40" s="164">
        <f t="shared" si="15"/>
        <v>4.1180000000000003</v>
      </c>
      <c r="AW40" s="829">
        <f>IFERROR(INDEX(MassProp!C$9:C$150,MATCH($M40,MassProp!$B$9:$B$150,0)),"")</f>
        <v>3.3029000000000002</v>
      </c>
      <c r="AX40" s="830">
        <f>IFERROR(INDEX(MassProp!D$9:D$150,MATCH($M40,MassProp!$B$9:$B$150,0)),"")</f>
        <v>0.49370000000000003</v>
      </c>
      <c r="AY40" s="831">
        <f>IFERROR(INDEX(MassProp!E$9:E$150,MATCH($M40,MassProp!$B$9:$B$150,0)),"")</f>
        <v>1.47E-2</v>
      </c>
      <c r="AZ40" s="297">
        <f t="shared" si="138"/>
        <v>0.30507351510992026</v>
      </c>
      <c r="BA40" s="296">
        <f t="shared" si="16"/>
        <v>1.690121256338872E-2</v>
      </c>
      <c r="BB40" s="190">
        <f t="shared" si="139"/>
        <v>0.26324845866350832</v>
      </c>
      <c r="BC40" s="9"/>
      <c r="BD40" s="5">
        <f t="shared" si="235"/>
        <v>3.3029000000000002</v>
      </c>
      <c r="BE40" s="6">
        <f t="shared" si="17"/>
        <v>0.26024844961548105</v>
      </c>
      <c r="BF40" s="4">
        <f t="shared" si="18"/>
        <v>-0.43865131538092078</v>
      </c>
      <c r="BG40" s="5">
        <f t="shared" si="19"/>
        <v>-3.3095671173086774</v>
      </c>
      <c r="BH40" s="10">
        <f t="shared" si="20"/>
        <v>-3.0000090480272893E-3</v>
      </c>
      <c r="BI40" s="9">
        <f t="shared" si="140"/>
        <v>-0.43865131538092078</v>
      </c>
      <c r="BJ40" s="5">
        <f t="shared" si="21"/>
        <v>-2.4262517921856364</v>
      </c>
      <c r="BK40" s="8">
        <f t="shared" si="22"/>
        <v>0.46577929553225844</v>
      </c>
      <c r="BL40" s="173">
        <f t="shared" si="23"/>
        <v>-0.14401527540679926</v>
      </c>
      <c r="BM40" s="5">
        <f t="shared" si="24"/>
        <v>-2.8615971389968418</v>
      </c>
      <c r="BN40" s="6">
        <f t="shared" si="25"/>
        <v>-0.84710456565204273</v>
      </c>
      <c r="BO40" s="4">
        <f t="shared" si="141"/>
        <v>-0.95560954576038415</v>
      </c>
      <c r="BP40" s="5">
        <f t="shared" si="142"/>
        <v>0.13811927792335799</v>
      </c>
      <c r="BQ40" s="5">
        <f t="shared" si="143"/>
        <v>-0.26025652944270639</v>
      </c>
      <c r="BR40" s="6">
        <f t="shared" si="144"/>
        <v>3.7154864300070797E-2</v>
      </c>
      <c r="BS40" s="4">
        <f t="shared" si="110"/>
        <v>0</v>
      </c>
      <c r="BT40" s="5">
        <f t="shared" si="110"/>
        <v>0</v>
      </c>
      <c r="BU40" s="10">
        <f t="shared" si="111"/>
        <v>0.26024844961548105</v>
      </c>
      <c r="BV40" s="9">
        <f t="shared" si="112"/>
        <v>0</v>
      </c>
      <c r="BW40" s="5">
        <f t="shared" si="113"/>
        <v>1</v>
      </c>
      <c r="BX40" s="8">
        <f t="shared" si="114"/>
        <v>0.26024844961548105</v>
      </c>
      <c r="BY40" s="173">
        <f t="shared" si="115"/>
        <v>1</v>
      </c>
      <c r="BZ40" s="5">
        <f t="shared" si="116"/>
        <v>0</v>
      </c>
      <c r="CA40" s="6">
        <f t="shared" si="117"/>
        <v>0.26024844961548105</v>
      </c>
      <c r="CB40" s="4">
        <f t="shared" si="145"/>
        <v>0</v>
      </c>
      <c r="CC40" s="5">
        <f t="shared" si="146"/>
        <v>0</v>
      </c>
      <c r="CD40" s="5">
        <f t="shared" si="147"/>
        <v>-1</v>
      </c>
      <c r="CE40" s="6">
        <f t="shared" si="148"/>
        <v>0.26024844961548105</v>
      </c>
      <c r="CF40" s="4">
        <f t="shared" si="149"/>
        <v>-0.13811927792335799</v>
      </c>
      <c r="CG40" s="5">
        <f t="shared" si="150"/>
        <v>-0.95560954576038415</v>
      </c>
      <c r="CH40" s="5">
        <f t="shared" si="151"/>
        <v>0</v>
      </c>
      <c r="CI40" s="4">
        <f t="shared" si="118"/>
        <v>0</v>
      </c>
      <c r="CJ40" s="5">
        <f t="shared" si="119"/>
        <v>0.22137745323767291</v>
      </c>
      <c r="CK40" s="8">
        <f t="shared" si="120"/>
        <v>0.26024844961548105</v>
      </c>
      <c r="CL40" s="173">
        <f t="shared" si="121"/>
        <v>-0.13811927792335799</v>
      </c>
      <c r="CM40" s="5">
        <f t="shared" si="122"/>
        <v>-0.73423209252271127</v>
      </c>
      <c r="CN40" s="6">
        <f t="shared" si="123"/>
        <v>0.26024844961548105</v>
      </c>
      <c r="CO40" s="167">
        <f t="shared" si="26"/>
        <v>0.3125</v>
      </c>
      <c r="CP40" s="4">
        <f t="shared" si="236"/>
        <v>0.93226653888243749</v>
      </c>
      <c r="CQ40" s="5">
        <f t="shared" si="237"/>
        <v>-6.8695810802108728</v>
      </c>
      <c r="CR40" s="5">
        <f t="shared" si="152"/>
        <v>12.631628037744875</v>
      </c>
      <c r="CS40" s="8">
        <f t="shared" si="153"/>
        <v>8.6967612796101434E-2</v>
      </c>
      <c r="CT40" s="9">
        <f t="shared" si="154"/>
        <v>3.8425082843322871</v>
      </c>
      <c r="CU40" s="6">
        <f t="shared" si="155"/>
        <v>3.5261795251066768</v>
      </c>
      <c r="CV40" s="4">
        <f t="shared" si="238"/>
        <v>-0.53072446964649667</v>
      </c>
      <c r="CW40" s="5">
        <f t="shared" si="156"/>
        <v>-3.4505601429336168</v>
      </c>
      <c r="CX40" s="8">
        <f t="shared" si="157"/>
        <v>0.26024844961548105</v>
      </c>
      <c r="CY40" s="9">
        <f t="shared" si="158"/>
        <v>-0.48703336983586354</v>
      </c>
      <c r="CZ40" s="5">
        <f t="shared" si="159"/>
        <v>-3.1482733610190854</v>
      </c>
      <c r="DA40" s="6">
        <f t="shared" si="160"/>
        <v>0.26024844961548105</v>
      </c>
      <c r="DB40" s="4">
        <f t="shared" si="161"/>
        <v>0</v>
      </c>
      <c r="DC40" s="5">
        <f t="shared" si="161"/>
        <v>0</v>
      </c>
      <c r="DD40" s="10">
        <f t="shared" si="162"/>
        <v>-10</v>
      </c>
      <c r="DE40" s="9">
        <f t="shared" si="163"/>
        <v>0</v>
      </c>
      <c r="DF40" s="5">
        <f t="shared" si="163"/>
        <v>0</v>
      </c>
      <c r="DG40" s="10">
        <f t="shared" si="164"/>
        <v>10</v>
      </c>
      <c r="DH40" s="70">
        <f t="shared" si="165"/>
        <v>3.3029000000000002</v>
      </c>
      <c r="DI40" s="4">
        <f t="shared" si="166"/>
        <v>0</v>
      </c>
      <c r="DJ40" s="5">
        <f t="shared" si="167"/>
        <v>0</v>
      </c>
      <c r="DK40" s="10">
        <f t="shared" si="168"/>
        <v>20</v>
      </c>
      <c r="DL40" s="9">
        <f t="shared" si="169"/>
        <v>-0.53072446964649667</v>
      </c>
      <c r="DM40" s="173">
        <f t="shared" si="170"/>
        <v>-3.4505601429336168</v>
      </c>
      <c r="DN40" s="178">
        <f t="shared" si="171"/>
        <v>10.260248449615482</v>
      </c>
      <c r="DO40" s="9">
        <f t="shared" si="172"/>
        <v>4.3691099810633127E-2</v>
      </c>
      <c r="DP40" s="173">
        <f t="shared" si="173"/>
        <v>0.3022867819145314</v>
      </c>
      <c r="DQ40" s="11">
        <f t="shared" si="174"/>
        <v>0</v>
      </c>
      <c r="DR40" s="173">
        <f t="shared" si="175"/>
        <v>205.20496899230963</v>
      </c>
      <c r="DS40" s="5">
        <f t="shared" si="176"/>
        <v>0</v>
      </c>
      <c r="DT40" s="5">
        <f t="shared" si="177"/>
        <v>400</v>
      </c>
      <c r="DU40" s="5">
        <f t="shared" si="178"/>
        <v>9.3286210722906174E-2</v>
      </c>
      <c r="DV40" s="5">
        <f t="shared" si="179"/>
        <v>-1.0662466571852189</v>
      </c>
      <c r="DW40" s="5">
        <f t="shared" si="180"/>
        <v>117.46073201052052</v>
      </c>
      <c r="DX40" s="167">
        <f t="shared" si="181"/>
        <v>106.55158360052052</v>
      </c>
      <c r="DY40" s="9">
        <f t="shared" si="182"/>
        <v>37.314484289162472</v>
      </c>
      <c r="DZ40" s="5">
        <f t="shared" si="183"/>
        <v>-426.49866287408759</v>
      </c>
      <c r="EA40" s="10">
        <f t="shared" si="184"/>
        <v>511.55414107345132</v>
      </c>
      <c r="EB40" s="6">
        <f t="shared" si="185"/>
        <v>162812.73047324331</v>
      </c>
      <c r="EC40" s="173">
        <f t="shared" si="186"/>
        <v>22.243353326919042</v>
      </c>
      <c r="ED40" s="5">
        <f t="shared" si="187"/>
        <v>0.61633084124505433</v>
      </c>
      <c r="EE40" s="4">
        <f t="shared" si="188"/>
        <v>0.44111210068310158</v>
      </c>
      <c r="EF40" s="5">
        <f t="shared" si="189"/>
        <v>3.2733115532486265</v>
      </c>
      <c r="EG40" s="10">
        <f t="shared" si="190"/>
        <v>0.26024844961548105</v>
      </c>
      <c r="EH40" s="9">
        <f t="shared" si="191"/>
        <v>-0.50379629734528752</v>
      </c>
      <c r="EI40" s="5">
        <f t="shared" si="192"/>
        <v>-3.2642514763389734</v>
      </c>
      <c r="EJ40" s="6">
        <f t="shared" si="193"/>
        <v>0.26024844961548105</v>
      </c>
      <c r="EK40" s="236" t="b">
        <f t="shared" si="194"/>
        <v>0</v>
      </c>
      <c r="EL40" s="238" t="b">
        <f t="shared" si="195"/>
        <v>1</v>
      </c>
      <c r="EM40" s="4">
        <f t="shared" si="196"/>
        <v>-0.50379629734528752</v>
      </c>
      <c r="EN40" s="5">
        <f t="shared" si="197"/>
        <v>-3.2642514763389734</v>
      </c>
      <c r="EO40" s="10">
        <f t="shared" si="198"/>
        <v>0.26024844961548105</v>
      </c>
      <c r="EP40" s="9">
        <f t="shared" si="199"/>
        <v>261.22634059359552</v>
      </c>
      <c r="EQ40" s="5">
        <f t="shared" si="200"/>
        <v>3.3028999999999984</v>
      </c>
      <c r="ER40" s="7">
        <f t="shared" si="201"/>
        <v>0.26024844961548105</v>
      </c>
      <c r="ES40" s="21">
        <f t="shared" si="124"/>
        <v>-0.95560954576038415</v>
      </c>
      <c r="ET40" s="5">
        <f t="shared" si="35"/>
        <v>0.13811927792335815</v>
      </c>
      <c r="EU40" s="10">
        <f t="shared" si="36"/>
        <v>-0.26025652944270683</v>
      </c>
      <c r="EV40" s="174">
        <f t="shared" si="252"/>
        <v>188.77365940640448</v>
      </c>
      <c r="EW40" s="9">
        <f t="shared" si="125"/>
        <v>0.96549512590806386</v>
      </c>
      <c r="EX40" s="5">
        <f t="shared" si="37"/>
        <v>9.2574688878553357E-3</v>
      </c>
      <c r="EY40" s="6">
        <f t="shared" si="202"/>
        <v>-0.26025652944270683</v>
      </c>
      <c r="EZ40" s="51">
        <f t="shared" si="203"/>
        <v>0.42375506315018729</v>
      </c>
      <c r="FA40" s="266">
        <f t="shared" si="126"/>
        <v>-0.98827157953364808</v>
      </c>
      <c r="FB40" s="267">
        <f t="shared" si="127"/>
        <v>0.15252733012440434</v>
      </c>
      <c r="FC40" s="269">
        <f t="shared" si="38"/>
        <v>-7.3958536484377843E-3</v>
      </c>
      <c r="FD40" s="4">
        <f t="shared" si="128"/>
        <v>0.99997265030040228</v>
      </c>
      <c r="FE40" s="5">
        <f t="shared" si="39"/>
        <v>1.1102230246251565E-16</v>
      </c>
      <c r="FF40" s="7">
        <f t="shared" si="204"/>
        <v>-7.3958536484377843E-3</v>
      </c>
      <c r="FG40" s="173">
        <f t="shared" si="205"/>
        <v>-3.4477524392338421E-2</v>
      </c>
      <c r="FH40" s="5">
        <f t="shared" si="40"/>
        <v>9.2574688878552247E-3</v>
      </c>
      <c r="FI40" s="10">
        <f t="shared" si="41"/>
        <v>-0.25286067579426902</v>
      </c>
      <c r="FJ40" s="279">
        <f t="shared" si="206"/>
        <v>14.671571932584248</v>
      </c>
      <c r="FK40" s="4">
        <f t="shared" si="42"/>
        <v>0.96553950663990828</v>
      </c>
      <c r="FL40" s="5">
        <f t="shared" si="207"/>
        <v>0.99997265030040239</v>
      </c>
      <c r="FM40" s="8">
        <f t="shared" si="208"/>
        <v>3.5698745334169633E-2</v>
      </c>
      <c r="FN40" s="9">
        <f t="shared" si="209"/>
        <v>0.54935299852702435</v>
      </c>
      <c r="FO40" s="10">
        <f t="shared" si="43"/>
        <v>-1</v>
      </c>
      <c r="FP40" s="277">
        <f t="shared" si="44"/>
        <v>-0.54935299852702435</v>
      </c>
      <c r="FQ40" s="173">
        <f t="shared" si="239"/>
        <v>9.5878716760904401E-3</v>
      </c>
      <c r="FR40" s="10">
        <f t="shared" si="210"/>
        <v>0.99995403530198468</v>
      </c>
      <c r="FS40" s="9">
        <f t="shared" si="211"/>
        <v>9.4972498019328545E-3</v>
      </c>
      <c r="FT40" s="6">
        <f t="shared" si="212"/>
        <v>0.99050275019806711</v>
      </c>
      <c r="FU40" s="4">
        <f t="shared" si="213"/>
        <v>0.9999571487167791</v>
      </c>
      <c r="FV40" s="5">
        <f t="shared" si="214"/>
        <v>0.99999999999999989</v>
      </c>
      <c r="FW40" s="8">
        <f t="shared" si="240"/>
        <v>0.25520035472420233</v>
      </c>
      <c r="FX40" s="9">
        <f t="shared" si="241"/>
        <v>14.662190986852824</v>
      </c>
      <c r="FY40" s="10">
        <f t="shared" si="45"/>
        <v>1</v>
      </c>
      <c r="FZ40" s="277">
        <f t="shared" si="242"/>
        <v>14.662190986852824</v>
      </c>
      <c r="GA40" s="177">
        <f t="shared" si="215"/>
        <v>14.660818407048813</v>
      </c>
      <c r="GB40" s="4">
        <f t="shared" si="216"/>
        <v>9.2756425864457277E-3</v>
      </c>
      <c r="GC40" s="5">
        <f t="shared" si="217"/>
        <v>0.96739052708279016</v>
      </c>
      <c r="GD40" s="10">
        <f t="shared" si="218"/>
        <v>-0.25311959735486683</v>
      </c>
      <c r="GE40" s="311">
        <f t="shared" si="219"/>
        <v>1.2297857670241028</v>
      </c>
      <c r="GF40" s="341">
        <f t="shared" si="243"/>
        <v>0.81314975893716035</v>
      </c>
      <c r="GG40" s="285">
        <f t="shared" si="46"/>
        <v>7.5424865331556014E-3</v>
      </c>
      <c r="GH40" s="286">
        <f t="shared" si="47"/>
        <v>0.78663337389546328</v>
      </c>
      <c r="GI40" s="281">
        <f t="shared" si="48"/>
        <v>0.20582413957138104</v>
      </c>
      <c r="GJ40" s="167">
        <f t="shared" si="220"/>
        <v>3.3029000000000002</v>
      </c>
      <c r="GK40" s="174">
        <f t="shared" si="49"/>
        <v>1.7294416956344687</v>
      </c>
      <c r="GL40" s="174">
        <f t="shared" si="221"/>
        <v>1.47E-2</v>
      </c>
      <c r="GM40" s="177">
        <f t="shared" si="244"/>
        <v>0.30507351510992026</v>
      </c>
      <c r="GN40" s="280">
        <f t="shared" si="222"/>
        <v>1.690121256338872E-2</v>
      </c>
      <c r="GO40" s="4">
        <f t="shared" si="223"/>
        <v>-0.54935299852702435</v>
      </c>
      <c r="GP40" s="8">
        <f t="shared" si="245"/>
        <v>14.662190986852824</v>
      </c>
      <c r="GQ40" s="177">
        <f t="shared" si="224"/>
        <v>14.671571932584248</v>
      </c>
      <c r="GR40" s="371">
        <f t="shared" si="246"/>
        <v>969.55432236231911</v>
      </c>
      <c r="GS40" s="342">
        <f t="shared" si="51"/>
        <v>7.312850419580597</v>
      </c>
      <c r="GT40" s="343">
        <f t="shared" si="52"/>
        <v>4.2284457683887284</v>
      </c>
      <c r="GU40" s="344">
        <f t="shared" si="53"/>
        <v>762.68378777480075</v>
      </c>
      <c r="GV40" s="343">
        <f t="shared" si="253"/>
        <v>441</v>
      </c>
      <c r="GW40" s="345">
        <f t="shared" si="129"/>
        <v>30000</v>
      </c>
      <c r="GX40" s="346">
        <f t="shared" si="54"/>
        <v>121.381575</v>
      </c>
      <c r="GY40" s="344">
        <f t="shared" si="55"/>
        <v>199.55768416793774</v>
      </c>
      <c r="GZ40" s="345">
        <f t="shared" si="56"/>
        <v>115.38850061940211</v>
      </c>
      <c r="HA40" s="342">
        <f t="shared" si="57"/>
        <v>-7.312850419580597</v>
      </c>
      <c r="HB40" s="5">
        <f t="shared" si="225"/>
        <v>188.77365940640448</v>
      </c>
      <c r="HC40" s="343">
        <f t="shared" si="226"/>
        <v>7.2272798989863629</v>
      </c>
      <c r="HD40" s="363">
        <f t="shared" si="227"/>
        <v>1.1154400570482388</v>
      </c>
      <c r="HE40" s="344">
        <f t="shared" si="58"/>
        <v>441</v>
      </c>
      <c r="HF40" s="5">
        <f t="shared" si="59"/>
        <v>278.77365940640448</v>
      </c>
      <c r="HG40" s="343">
        <f t="shared" si="228"/>
        <v>67.266392300484583</v>
      </c>
      <c r="HH40" s="349">
        <f t="shared" si="229"/>
        <v>-435.83968665884169</v>
      </c>
      <c r="HI40" s="317">
        <f t="shared" si="60"/>
        <v>4.1180000000000003</v>
      </c>
      <c r="HJ40" s="336"/>
      <c r="HK40" s="310">
        <f t="shared" si="130"/>
        <v>32</v>
      </c>
      <c r="HL40" s="348">
        <f t="shared" si="61"/>
        <v>6.1319999999999997</v>
      </c>
      <c r="HM40" s="935">
        <f t="shared" si="62"/>
        <v>10.089186096929181</v>
      </c>
      <c r="HN40" s="936">
        <f t="shared" si="63"/>
        <v>17.79999742999836</v>
      </c>
      <c r="HO40" s="937"/>
      <c r="HP40" s="938"/>
      <c r="HQ40" s="936">
        <f t="shared" si="64"/>
        <v>17.001166532461014</v>
      </c>
      <c r="HR40" s="939">
        <f t="shared" si="65"/>
        <v>13.971509084123479</v>
      </c>
      <c r="HS40" s="940">
        <f t="shared" si="249"/>
        <v>5.0782999999999996</v>
      </c>
      <c r="HT40" s="941">
        <f t="shared" si="66"/>
        <v>1.0699999999999999E-2</v>
      </c>
      <c r="HU40" s="942">
        <f t="shared" si="67"/>
        <v>0.34141847947918663</v>
      </c>
      <c r="HV40" s="943">
        <f t="shared" si="68"/>
        <v>1.8914740247666501E-2</v>
      </c>
      <c r="HW40" s="944">
        <f t="shared" si="69"/>
        <v>30000</v>
      </c>
      <c r="HX40" s="947">
        <f t="shared" si="70"/>
        <v>135.84452499999998</v>
      </c>
      <c r="HY40" s="952">
        <f t="shared" si="71"/>
        <v>151.87353215830376</v>
      </c>
      <c r="HZ40" s="953">
        <f t="shared" si="72"/>
        <v>853.54619869796659</v>
      </c>
      <c r="IA40" s="954">
        <f t="shared" si="73"/>
        <v>215.69769847494234</v>
      </c>
      <c r="IB40" s="955">
        <f t="shared" si="74"/>
        <v>1221.1174293312126</v>
      </c>
      <c r="IC40" s="842">
        <f t="shared" si="75"/>
        <v>57.11630360158928</v>
      </c>
      <c r="ID40" s="351">
        <f t="shared" si="76"/>
        <v>321</v>
      </c>
      <c r="IE40" s="844">
        <f t="shared" si="77"/>
        <v>81.119172361234064</v>
      </c>
      <c r="IF40" s="846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0"/>
        <v>4.1180000000000003</v>
      </c>
      <c r="IJ40" s="96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8"/>
        <v>1613</v>
      </c>
      <c r="IM40" s="482" t="str">
        <f t="shared" si="231"/>
        <v/>
      </c>
      <c r="IN40" s="670" t="str">
        <f t="shared" si="80"/>
        <v/>
      </c>
      <c r="IO40" s="702"/>
      <c r="IP40" s="5" t="str">
        <f t="shared" si="81"/>
        <v/>
      </c>
      <c r="IQ40" s="714"/>
      <c r="IR40" s="9" t="str">
        <f t="shared" si="131"/>
        <v/>
      </c>
      <c r="IS40" s="5" t="str">
        <f t="shared" si="82"/>
        <v/>
      </c>
      <c r="IT40" s="5" t="str">
        <f t="shared" si="83"/>
        <v/>
      </c>
      <c r="IU40" s="5" t="str">
        <f t="shared" si="84"/>
        <v/>
      </c>
      <c r="IV40" s="670" t="str">
        <f t="shared" si="85"/>
        <v/>
      </c>
      <c r="IW40" s="9" t="str">
        <f t="shared" si="86"/>
        <v/>
      </c>
      <c r="IX40" s="5" t="str">
        <f t="shared" si="87"/>
        <v/>
      </c>
      <c r="IY40" s="5" t="str">
        <f t="shared" si="88"/>
        <v/>
      </c>
      <c r="IZ40" s="5" t="str">
        <f t="shared" si="89"/>
        <v/>
      </c>
      <c r="JA40" s="705" t="str">
        <f t="shared" si="90"/>
        <v/>
      </c>
    </row>
    <row r="41" spans="1:269" ht="15" customHeight="1" x14ac:dyDescent="0.25">
      <c r="A41" s="75">
        <f t="shared" ref="A41:A72" si="308">IF($K41="","",IF(AND($A$8="Y",ISNUMBER($K41)),$A$5,0))</f>
        <v>0</v>
      </c>
      <c r="B41" s="578">
        <f t="shared" ref="B41:D41" si="309">IFERROR(O196+($A41*-E41),"")</f>
        <v>-0.56734867305638159</v>
      </c>
      <c r="C41" s="572">
        <f t="shared" si="309"/>
        <v>-4.0317896431702183</v>
      </c>
      <c r="D41" s="576">
        <f t="shared" si="309"/>
        <v>-0.14900044938535537</v>
      </c>
      <c r="E41" s="580">
        <f t="shared" ref="E41:K41" si="310">R196</f>
        <v>0.94087887325714337</v>
      </c>
      <c r="F41" s="572">
        <f t="shared" si="310"/>
        <v>-0.21559211386423405</v>
      </c>
      <c r="G41" s="579">
        <f t="shared" si="310"/>
        <v>0.26127951756293416</v>
      </c>
      <c r="H41" s="580">
        <f t="shared" si="310"/>
        <v>0.3125</v>
      </c>
      <c r="I41" s="572">
        <f t="shared" si="310"/>
        <v>0.52</v>
      </c>
      <c r="J41" s="483">
        <f t="shared" si="92"/>
        <v>4.1239999999999997</v>
      </c>
      <c r="K41" s="806">
        <f t="shared" si="310"/>
        <v>1613</v>
      </c>
      <c r="L41" s="309"/>
      <c r="M41" s="164">
        <f t="shared" ref="M41:M72" si="311">IF(J41="","",VALUE(J41))</f>
        <v>4.1239999999999997</v>
      </c>
      <c r="N41" s="575">
        <f t="shared" ref="N41:N72" si="312">IF(M41="","",B41)</f>
        <v>-0.56734867305638159</v>
      </c>
      <c r="O41" s="572">
        <f t="shared" ref="O41:O72" si="313">IF(M41="","",C41)</f>
        <v>-4.0317896431702183</v>
      </c>
      <c r="P41" s="576">
        <f t="shared" ref="P41:P72" si="314">IF(M41="","",D41)</f>
        <v>-0.14900044938535537</v>
      </c>
      <c r="Q41" s="528">
        <f t="shared" si="134"/>
        <v>261.99000007363486</v>
      </c>
      <c r="R41" s="572">
        <f t="shared" si="93"/>
        <v>4.0715122796810368</v>
      </c>
      <c r="S41" s="577">
        <f t="shared" si="94"/>
        <v>-0.14900044938535537</v>
      </c>
      <c r="T41" s="578">
        <f t="shared" si="95"/>
        <v>-4.0318886027712848</v>
      </c>
      <c r="U41" s="572">
        <f t="shared" si="96"/>
        <v>0.56664498448013279</v>
      </c>
      <c r="V41" s="579">
        <f t="shared" si="135"/>
        <v>-0.14900044938535537</v>
      </c>
      <c r="W41" s="528">
        <f t="shared" si="256"/>
        <v>172.00000007219103</v>
      </c>
      <c r="X41" s="572">
        <f t="shared" si="97"/>
        <v>4.0715122796810368</v>
      </c>
      <c r="Y41" s="573">
        <f t="shared" si="259"/>
        <v>-0.14900044938535537</v>
      </c>
      <c r="Z41" s="575">
        <f t="shared" ref="Z41:Z72" si="315">IF(M41="","",-E41)</f>
        <v>-0.94087887325714337</v>
      </c>
      <c r="AA41" s="572">
        <f t="shared" ref="AA41:AA72" si="316">IF(M41="","",-F41)</f>
        <v>0.21559211386423405</v>
      </c>
      <c r="AB41" s="572">
        <f t="shared" ref="AB41:AB72" si="317">IF(M41="","",-G41)</f>
        <v>-0.26127951756293416</v>
      </c>
      <c r="AC41" s="579">
        <f t="shared" si="98"/>
        <v>1</v>
      </c>
      <c r="AD41" s="580">
        <f t="shared" si="136"/>
        <v>-0.94087887325714337</v>
      </c>
      <c r="AE41" s="572">
        <f t="shared" si="99"/>
        <v>0.21559211386423405</v>
      </c>
      <c r="AF41" s="576">
        <f t="shared" si="100"/>
        <v>-0.26127951756293416</v>
      </c>
      <c r="AG41" s="545">
        <f t="shared" si="101"/>
        <v>39.527395041217112</v>
      </c>
      <c r="AH41" s="546">
        <f t="shared" si="102"/>
        <v>160.19967935506662</v>
      </c>
      <c r="AI41" s="528">
        <f t="shared" si="103"/>
        <v>-74.85400226431976</v>
      </c>
      <c r="AJ41" s="529">
        <f t="shared" si="104"/>
        <v>-102.90590660886167</v>
      </c>
      <c r="AK41" s="578">
        <f t="shared" si="234"/>
        <v>0.96174132052596162</v>
      </c>
      <c r="AL41" s="572">
        <f t="shared" si="105"/>
        <v>-8.2381102778853632E-2</v>
      </c>
      <c r="AM41" s="577">
        <f t="shared" si="106"/>
        <v>-0.26127951756293416</v>
      </c>
      <c r="AN41" s="524">
        <f t="shared" si="107"/>
        <v>-17.499997473312909</v>
      </c>
      <c r="AO41" s="525">
        <f t="shared" si="108"/>
        <v>15.899997704324347</v>
      </c>
      <c r="AP41" s="528">
        <f t="shared" si="109"/>
        <v>-4.8959066824965252</v>
      </c>
      <c r="AQ41" s="529">
        <f t="shared" ref="AQ41:AQ72" si="318">IF(M41="","",DEGREES(ATAN(($AS$5*SIN(RADIANS(90)))/(($X41*2*PI())-($AS$5*COS(RADIANS(90)))))))</f>
        <v>0.34376153811374949</v>
      </c>
      <c r="AS41" s="900">
        <f t="shared" si="137"/>
        <v>-187.99999992780897</v>
      </c>
      <c r="AT41" s="896">
        <f t="shared" ref="AT41:AT72" si="319">IF(M41="","",Y41+(((AS41-$AS$9)*$AS$6)*-1))</f>
        <v>-6.8841147091168675E-2</v>
      </c>
      <c r="AU41" s="418"/>
      <c r="AV41" s="164">
        <f t="shared" ref="AV41:AV72" si="320">IF(AND(ISNUMBER(VALUE(K41)),ISNUMBER(AW41),ISNUMBER(AX41),ISNUMBER(AY41),AY41&gt;=0.0001),$M41,"")</f>
        <v>4.1239999999999997</v>
      </c>
      <c r="AW41" s="829">
        <f>IFERROR(INDEX(MassProp!C$9:C$150,MATCH($M41,MassProp!$B$9:$B$150,0)),"")</f>
        <v>4.1193</v>
      </c>
      <c r="AX41" s="830">
        <f>IFERROR(INDEX(MassProp!D$9:D$150,MATCH($M41,MassProp!$B$9:$B$150,0)),"")</f>
        <v>0.34599999999999997</v>
      </c>
      <c r="AY41" s="831">
        <f>IFERROR(INDEX(MassProp!E$9:E$150,MATCH($M41,MassProp!$B$9:$B$150,0)),"")</f>
        <v>1.4E-2</v>
      </c>
      <c r="AZ41" s="297">
        <f t="shared" ref="AZ41:AZ53" si="321">IF(ISNUMBER(AV41),$AY41*SQRT((2*PI()*$AW41)^2+$AS$5^2),"")</f>
        <v>0.36235892480510151</v>
      </c>
      <c r="BA41" s="296">
        <f t="shared" ref="BA41:BA72" si="322">IF(ISNUMBER(AV41),AZ41/$AZ$151,"")</f>
        <v>2.0074850516490682E-2</v>
      </c>
      <c r="BB41" s="190">
        <f t="shared" si="139"/>
        <v>0.26135277499814535</v>
      </c>
      <c r="BC41" s="9"/>
      <c r="BD41" s="5">
        <f t="shared" ref="BD41:BD53" si="323">IF(ISNUMBER(AV41),AW41,"")</f>
        <v>4.1193</v>
      </c>
      <c r="BE41" s="6">
        <f t="shared" ref="BE41:BE72" si="324">IF(ISNUMBER(AV41),Y41+BB41,"")</f>
        <v>0.11235232561278999</v>
      </c>
      <c r="BF41" s="4">
        <f t="shared" ref="BF41:BF72" si="325">IF(ISNUMBER($AV41),N41,"")</f>
        <v>-0.56734867305638159</v>
      </c>
      <c r="BG41" s="5">
        <f t="shared" ref="BG41:BG72" si="326">IF(ISNUMBER($AV41),O41,"")</f>
        <v>-4.0317896431702183</v>
      </c>
      <c r="BH41" s="10">
        <f t="shared" ref="BH41:BH72" si="327">IF(ISNUMBER($AV41),P41,"")</f>
        <v>-0.14900044938535537</v>
      </c>
      <c r="BI41" s="9">
        <f t="shared" ref="BI41:BI53" si="328">IF(ISNUMBER($AV41),BF41+0,"")</f>
        <v>-0.56734867305638159</v>
      </c>
      <c r="BJ41" s="5">
        <f t="shared" ref="BJ41:BJ72" si="329">IF(ISNUMBER($AV41),BG41+COS(RADIANS($AG41)),"")</f>
        <v>-3.2604692783847224</v>
      </c>
      <c r="BK41" s="8">
        <f t="shared" ref="BK41:BK72" si="330">IF(ISNUMBER($AV41),BH41+SIN(RADIANS($AG41)),"")</f>
        <v>0.48744663786319964</v>
      </c>
      <c r="BL41" s="173">
        <f t="shared" ref="BL41:BL72" si="331">IF(ISNUMBER($AV41),BF41+SIN(RADIANS($AH41)),"")</f>
        <v>-0.22860548735611047</v>
      </c>
      <c r="BM41" s="5">
        <f t="shared" ref="BM41:BM72" si="332">IF(ISNUMBER($AV41),BG41-SIN(RADIANS($AG41))*COS(RADIANS($AH41)),"")</f>
        <v>-3.4329700248320068</v>
      </c>
      <c r="BN41" s="6">
        <f t="shared" ref="BN41:BN72" si="333">IF(ISNUMBER($AV41),BH41+COS(RADIANS($AG41))*COS(RADIANS($AH41)),"")</f>
        <v>-0.8747194851250214</v>
      </c>
      <c r="BO41" s="4">
        <f t="shared" ref="BO41:BO53" si="334">IF(ISNUMBER($AV41),BJ41*BN41-BM41*BK41-BG41*(BN41-BK41)+BH41*(BM41-BJ41),"")</f>
        <v>-0.9408788732571437</v>
      </c>
      <c r="BP41" s="5">
        <f t="shared" ref="BP41:BP53" si="335">IF(ISNUMBER($AV41),BF41*(BN41-BK41)-(BI41*BN41-BL41*BK41)+BH41*(BI41-BL41),"")</f>
        <v>0.21559211386423405</v>
      </c>
      <c r="BQ41" s="5">
        <f t="shared" ref="BQ41:BQ53" si="336">IF(ISNUMBER($AV41),BF41*(BJ41-BM41)-BG41*(BI41-BL41)+(BI41*BM41-BL41*BJ41),"")</f>
        <v>-0.26127951756293388</v>
      </c>
      <c r="BR41" s="6">
        <f t="shared" ref="BR41:BR53" si="337">IF(ISNUMBER($AV41),-(BF41*(BJ41*BN41-BM41*BK41)-BG41*(BI41*BN41-BL41*BK41)+BH41*(BI41*BM41-BL41*BJ41)),"")</f>
        <v>0.29648490604570343</v>
      </c>
      <c r="BS41" s="4">
        <f t="shared" si="110"/>
        <v>0</v>
      </c>
      <c r="BT41" s="5">
        <f t="shared" si="110"/>
        <v>0</v>
      </c>
      <c r="BU41" s="10">
        <f t="shared" si="111"/>
        <v>0.11235232561278999</v>
      </c>
      <c r="BV41" s="9">
        <f t="shared" si="112"/>
        <v>0</v>
      </c>
      <c r="BW41" s="5">
        <f t="shared" si="113"/>
        <v>1</v>
      </c>
      <c r="BX41" s="8">
        <f t="shared" si="114"/>
        <v>0.11235232561278999</v>
      </c>
      <c r="BY41" s="173">
        <f t="shared" si="115"/>
        <v>1</v>
      </c>
      <c r="BZ41" s="5">
        <f t="shared" si="116"/>
        <v>0</v>
      </c>
      <c r="CA41" s="6">
        <f t="shared" si="117"/>
        <v>0.11235232561278999</v>
      </c>
      <c r="CB41" s="4">
        <f t="shared" ref="CB41:CB53" si="338">IF(ISNUMBER($AV41),BW41*CA41-BZ41*BX41-BT41*(CA41-BX41)+BU41*(BZ41-BW41),"")</f>
        <v>0</v>
      </c>
      <c r="CC41" s="5">
        <f t="shared" ref="CC41:CC53" si="339">IF(ISNUMBER($AV41),BS41*(CA41-BX41)-(BV41*CA41-BY41*BX41)+BU41*(BV41-BY41),"")</f>
        <v>0</v>
      </c>
      <c r="CD41" s="5">
        <f t="shared" ref="CD41:CD53" si="340">IF(ISNUMBER($AV41),BS41*(BW41-BZ41)-BT41*(BV41-BY41)+(BV41*BZ41-BY41*BW41),"")</f>
        <v>-1</v>
      </c>
      <c r="CE41" s="6">
        <f t="shared" ref="CE41:CE53" si="341">IF(ISNUMBER($AV41),-(BS41*(BW41*CA41-BZ41*BX41)-BT41*(BV41*CA41-BY41*BX41)+BU41*(BV41*BZ41-BY41*BW41)),"")</f>
        <v>0.11235232561278999</v>
      </c>
      <c r="CF41" s="4">
        <f t="shared" ref="CF41:CF53" si="342">IF(ISNUMBER($AV41),(BP41*CD41)-(BQ41*CC41),"")</f>
        <v>-0.21559211386423405</v>
      </c>
      <c r="CG41" s="5">
        <f t="shared" ref="CG41:CG53" si="343">IF(ISNUMBER($AV41),(BQ41*CB41)-(BO41*CD41),"")</f>
        <v>-0.9408788732571437</v>
      </c>
      <c r="CH41" s="5">
        <f t="shared" ref="CH41:CH53" si="344">IF(ISNUMBER($AV41),(BO41*CC41)-(BP41*CB41),"")</f>
        <v>0</v>
      </c>
      <c r="CI41" s="4">
        <f t="shared" si="118"/>
        <v>0</v>
      </c>
      <c r="CJ41" s="5">
        <f t="shared" ref="CJ41:CJ53" si="345">IF(ISNUMBER($AV41),(CD41*BR41-BQ41*CE41)/(BQ41*CC41-CD41*BP41),"")</f>
        <v>-1.2390506304917115</v>
      </c>
      <c r="CK41" s="8">
        <f t="shared" ref="CK41:CK53" si="346">IF(ISNUMBER($AV41),(CC41*BR41-BP41*CE41)/(-CC41*BQ41+BP41*CD41),"")</f>
        <v>0.11235232561278999</v>
      </c>
      <c r="CL41" s="173">
        <f t="shared" ref="CL41:CL53" si="347">IF(ISNUMBER($AV41),CI41+CF41,"")</f>
        <v>-0.21559211386423405</v>
      </c>
      <c r="CM41" s="5">
        <f t="shared" ref="CM41:CM53" si="348">IF(ISNUMBER($AV41),CJ41+CG41,"")</f>
        <v>-2.1799295037488551</v>
      </c>
      <c r="CN41" s="6">
        <f t="shared" ref="CN41:CN53" si="349">IF(ISNUMBER($AV41),CK41+CH41,"")</f>
        <v>0.11235232561278999</v>
      </c>
      <c r="CO41" s="167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>0.3125</v>
      </c>
      <c r="CP41" s="4">
        <f t="shared" ref="CP41:CP53" si="351">IF(ISNUMBER($AV41),(CL41-CI41)^2+(CM41-CJ41)^2+(CN41-CK41)^2,"")</f>
        <v>0.93173301370208084</v>
      </c>
      <c r="CQ41" s="5">
        <f t="shared" ref="CQ41:CQ53" si="352">IF(ISNUMBER($AV41),2*((CL41-CI41)*(CI41-BF41)+(CM41-CJ41)*(CJ41-BG41)+(CN41-CK41)*(CK41-BH41)),"")</f>
        <v>-5.4998900705450291</v>
      </c>
      <c r="CR41" s="5">
        <f t="shared" ref="CR41:CR53" si="353">IF(ISNUMBER($AV41),BF41^2+BG41^2+BH41^2+CI41^2+CJ41^2+CK41^2-2*(BF41*CI41+BG41*CJ41+BH41*CK41)-CO41^2,"")</f>
        <v>8.0919247327545865</v>
      </c>
      <c r="CS41" s="8">
        <f t="shared" ref="CS41:CS53" si="354">IF(ISNUMBER($AV41),CQ41^2-(4*CP41*CR41),"")</f>
        <v>9.0737116480461566E-2</v>
      </c>
      <c r="CT41" s="9">
        <f t="shared" si="154"/>
        <v>3.1130785361705353</v>
      </c>
      <c r="CU41" s="6">
        <f t="shared" ref="CU41:CU53" si="355">IF(ISNUMBER($AV41),(-CQ41-SQRT(CS41))/(CP41*2),"")</f>
        <v>2.7897820361860912</v>
      </c>
      <c r="CV41" s="4">
        <f t="shared" ref="CV41:CV53" si="356">IF(ISNUMBER($AV41),CI41+($CT41*(CL41-CI41)),"")</f>
        <v>-0.67115518223838111</v>
      </c>
      <c r="CW41" s="5">
        <f t="shared" ref="CW41:CW53" si="357">IF(ISNUMBER($AV41),CJ41+($CT41*(CM41-CJ41)),"")</f>
        <v>-4.1680804559648426</v>
      </c>
      <c r="CX41" s="8">
        <f t="shared" ref="CX41:CX53" si="358">IF(ISNUMBER($AV41),CK41+($CT41*(CN41-CK41)),"")</f>
        <v>0.11235232561278999</v>
      </c>
      <c r="CY41" s="9">
        <f t="shared" ref="CY41:CY53" si="359">IF(ISNUMBER($AV41),CI41+($CU41*(CL41-CI41)),"")</f>
        <v>-0.60145500640182648</v>
      </c>
      <c r="CZ41" s="5">
        <f t="shared" ref="CZ41:CZ53" si="360">IF(ISNUMBER($AV41),CJ41+($CU41*(CM41-CJ41)),"")</f>
        <v>-3.8638976093315009</v>
      </c>
      <c r="DA41" s="6">
        <f t="shared" ref="DA41:DA53" si="361">IF(ISNUMBER($AV41),CK41+($CU41*(CN41-CK41)),"")</f>
        <v>0.11235232561278999</v>
      </c>
      <c r="DB41" s="4">
        <f t="shared" si="161"/>
        <v>0</v>
      </c>
      <c r="DC41" s="5">
        <f t="shared" si="161"/>
        <v>0</v>
      </c>
      <c r="DD41" s="10">
        <f t="shared" si="162"/>
        <v>-10</v>
      </c>
      <c r="DE41" s="9">
        <f t="shared" si="163"/>
        <v>0</v>
      </c>
      <c r="DF41" s="5">
        <f t="shared" si="163"/>
        <v>0</v>
      </c>
      <c r="DG41" s="10">
        <f t="shared" si="164"/>
        <v>10</v>
      </c>
      <c r="DH41" s="70">
        <f t="shared" ref="DH41:DH53" si="362">IF(ISNUMBER($AV41),BD41,"")</f>
        <v>4.1193</v>
      </c>
      <c r="DI41" s="4">
        <f t="shared" ref="DI41:DI53" si="363">IF(ISNUMBER($AV41),DE41-DB41,"")</f>
        <v>0</v>
      </c>
      <c r="DJ41" s="5">
        <f t="shared" ref="DJ41:DJ53" si="364">IF(ISNUMBER($AV41),DF41-DC41,"")</f>
        <v>0</v>
      </c>
      <c r="DK41" s="10">
        <f t="shared" ref="DK41:DK53" si="365">IF(ISNUMBER($AV41),DG41-DD41,"")</f>
        <v>20</v>
      </c>
      <c r="DL41" s="9">
        <f t="shared" ref="DL41:DL53" si="366">IF(ISNUMBER($AV41),CV41-DB41,"")</f>
        <v>-0.67115518223838111</v>
      </c>
      <c r="DM41" s="173">
        <f t="shared" ref="DM41:DM53" si="367">IF(ISNUMBER($AV41),CW41-DC41,"")</f>
        <v>-4.1680804559648426</v>
      </c>
      <c r="DN41" s="178">
        <f t="shared" ref="DN41:DN53" si="368">IF(ISNUMBER($AV41),CX41-DD41,"")</f>
        <v>10.11235232561279</v>
      </c>
      <c r="DO41" s="9">
        <f t="shared" ref="DO41:DO53" si="369">IF(ISNUMBER($AV41),CY41-CV41,"")</f>
        <v>6.9700175836554634E-2</v>
      </c>
      <c r="DP41" s="173">
        <f t="shared" ref="DP41:DP53" si="370">IF(ISNUMBER($AV41),CZ41-CW41,"")</f>
        <v>0.30418284663334161</v>
      </c>
      <c r="DQ41" s="11">
        <f t="shared" ref="DQ41:DQ53" si="371">IF(ISNUMBER($AV41),DA41-CX41,"")</f>
        <v>0</v>
      </c>
      <c r="DR41" s="173">
        <f t="shared" ref="DR41:DR53" si="372">IF(ISNUMBER($AV41),SUMPRODUCT(DI41:DK41,DL41:DN41),"")</f>
        <v>202.24704651225579</v>
      </c>
      <c r="DS41" s="5">
        <f t="shared" ref="DS41:DS53" si="373">IF(ISNUMBER($AV41),SUMPRODUCT(DO41:DQ41,DI41:DK41),"")</f>
        <v>0</v>
      </c>
      <c r="DT41" s="5">
        <f t="shared" ref="DT41:DT53" si="374">IF(ISNUMBER($AV41),SUMPRODUCT(DI41:DK41,DI41:DK41),"")</f>
        <v>400</v>
      </c>
      <c r="DU41" s="5">
        <f t="shared" ref="DU41:DU53" si="375">IF(ISNUMBER($AV41),SUMPRODUCT(DO41:DQ41,DO41:DQ41),"")</f>
        <v>9.7385318697609663E-2</v>
      </c>
      <c r="DV41" s="5">
        <f t="shared" ref="DV41:DV53" si="376">IF(ISNUMBER($AV41),SUMPRODUCT(DL41:DN41,DO41:DQ41),"")</f>
        <v>-1.3146382123078124</v>
      </c>
      <c r="DW41" s="5">
        <f t="shared" ref="DW41:DW53" si="377">IF(ISNUMBER($AV41),SUMPRODUCT(DL41:DN41,DL41:DN41),"")</f>
        <v>120.08301352336791</v>
      </c>
      <c r="DX41" s="167">
        <f t="shared" ref="DX41:DX53" si="378">IF(ISNUMBER($AV41),DW41-DH41*DH41,"")</f>
        <v>103.11438103336791</v>
      </c>
      <c r="DY41" s="9">
        <f t="shared" ref="DY41:DY53" si="379">IF(ISNUMBER($AV41),DT41*DU41-DS41*DS41,"")</f>
        <v>38.954127479043862</v>
      </c>
      <c r="DZ41" s="5">
        <f t="shared" ref="DZ41:DZ53" si="380">IF(ISNUMBER($AV41),DT41*DV41-DS41*DR41,"")</f>
        <v>-525.85528492312494</v>
      </c>
      <c r="EA41" s="10">
        <f t="shared" ref="EA41:EA53" si="381">IF(ISNUMBER($AV41),DT41*DX41-DR41*DR41,"")</f>
        <v>341.88459041660099</v>
      </c>
      <c r="EB41" s="6">
        <f t="shared" ref="EB41:EB53" si="382">IF(ISNUMBER($AV41),DZ41*DZ41-DY41*EA41,"")</f>
        <v>263205.96476337191</v>
      </c>
      <c r="EC41" s="173">
        <f t="shared" ref="EC41:EC53" si="383">IF(ISNUMBER($AV41),(-DZ41+SQRT(DZ41^2-DY41*EA41))/DY41,"")</f>
        <v>26.669608047348905</v>
      </c>
      <c r="ED41" s="5">
        <f t="shared" ref="ED41:ED53" si="384">IF(ISNUMBER($AV41),(-DZ41-SQRT(DZ41^2-DY41*EA41))/DY41,"")</f>
        <v>0.32908600405907923</v>
      </c>
      <c r="EE41" s="4">
        <f t="shared" ref="EE41:EE53" si="385">IF(ISNUMBER($AV41),CV41+DO41*$EC41,"")</f>
        <v>1.1877211881538301</v>
      </c>
      <c r="EF41" s="5">
        <f t="shared" ref="EF41:EF53" si="386">IF(ISNUMBER($AV41),CW41+DP41*$EC41,"")</f>
        <v>3.9443568384732224</v>
      </c>
      <c r="EG41" s="10">
        <f t="shared" ref="EG41:EG53" si="387">IF(ISNUMBER($AV41),CX41+DQ41*$EC41,"")</f>
        <v>0.11235232561278999</v>
      </c>
      <c r="EH41" s="9">
        <f t="shared" ref="EH41:EH53" si="388">IF(ISNUMBER($AV41),CV41+DO41*$ED41,"")</f>
        <v>-0.64821782989011412</v>
      </c>
      <c r="EI41" s="5">
        <f t="shared" ref="EI41:EI53" si="389">IF(ISNUMBER($AV41),CW41+DP41*$ED41,"")</f>
        <v>-4.0679781384629603</v>
      </c>
      <c r="EJ41" s="6">
        <f t="shared" ref="EJ41:EJ53" si="390">IF(ISNUMBER($AV41),CX41+DQ41*$ED41,"")</f>
        <v>0.11235232561278999</v>
      </c>
      <c r="EK41" s="236" t="b">
        <f t="shared" si="194"/>
        <v>0</v>
      </c>
      <c r="EL41" s="238" t="b">
        <f t="shared" si="195"/>
        <v>1</v>
      </c>
      <c r="EM41" s="4">
        <f t="shared" ref="EM41:EM53" si="391">IF(ISNUMBER($AV41),IF($EK41=TRUE,EE41,IF($EL41=TRUE,EH41,"")),"")</f>
        <v>-0.64821782989011412</v>
      </c>
      <c r="EN41" s="5">
        <f t="shared" ref="EN41:EN53" si="392">IF(ISNUMBER($AV41),IF($EK41=TRUE,EF41,IF($EL41=TRUE,EI41,"")),"")</f>
        <v>-4.0679781384629603</v>
      </c>
      <c r="EO41" s="10">
        <f t="shared" ref="EO41:EO53" si="393">IF(ISNUMBER($AV41),IF($EK41=TRUE,EG41,IF($EL41=TRUE,EJ41,"")),"")</f>
        <v>0.11235232561278999</v>
      </c>
      <c r="EP41" s="9">
        <f t="shared" ref="EP41:EP53" si="394">IF(ISNUMBER($AV41),IF(DEGREES(ATAN2(EM41,EN41))&lt;0,DEGREES(ATAN2(EM41,EN41))+360,IF(DEGREES(ATAN2(EM41,EN41))&gt;360,DEGREES(ATAN2(EM41,EN41))-360,DEGREES(ATAN2(EM41,EN41)))),"")</f>
        <v>260.94623839311117</v>
      </c>
      <c r="EQ41" s="5">
        <f t="shared" ref="EQ41:EQ53" si="395">IF(ISNUMBER($AV41),SQRT(EM41^2+EN41^2),"")</f>
        <v>4.1193000000000026</v>
      </c>
      <c r="ER41" s="7">
        <f t="shared" ref="ER41:ER53" si="396">IF(ISNUMBER($AV41),EO41,"")</f>
        <v>0.11235232561278999</v>
      </c>
      <c r="ES41" s="21">
        <f t="shared" ref="ES41:ES72" si="397">IF(ISNUMBER($AV41),AD41,"")</f>
        <v>-0.94087887325714337</v>
      </c>
      <c r="ET41" s="5">
        <f t="shared" ref="ET41:ET72" si="398">IF(ISNUMBER($AV41),AE41,"")</f>
        <v>0.21559211386423405</v>
      </c>
      <c r="EU41" s="10">
        <f t="shared" ref="EU41:EU72" si="399">IF(ISNUMBER($AV41),AF41,"")</f>
        <v>-0.26127951756293416</v>
      </c>
      <c r="EV41" s="174">
        <f t="shared" ref="EV41:EV53" si="400">IF(ISNUMBER($AV41),IF(($EV$1-EP41)&lt;0,(360+($EV$1-EP41)),($EV$1-EP41)),"")</f>
        <v>189.05376160688883</v>
      </c>
      <c r="EW41" s="9">
        <f t="shared" ref="EW41:EW53" si="401">IF(ISNUMBER($AV41),(COS(RADIANS($EV41))*ES41)+(-SIN(RADIANS($EV41))*ET41),"")</f>
        <v>0.96308240223878216</v>
      </c>
      <c r="EX41" s="5">
        <f t="shared" ref="EX41:EX53" si="402">IF(ISNUMBER($AV41),(SIN(RADIANS($EV41))*ES41)+(COS(RADIANS($EV41))*ET41),"")</f>
        <v>-6.4848286022509E-2</v>
      </c>
      <c r="EY41" s="6">
        <f t="shared" ref="EY41:EY53" si="403">IF(ISNUMBER($AV41),EU41,"")</f>
        <v>-0.26127951756293416</v>
      </c>
      <c r="EZ41" s="51">
        <f t="shared" si="203"/>
        <v>0.33977367783548368</v>
      </c>
      <c r="FA41" s="266">
        <f t="shared" si="126"/>
        <v>-0.98752375635765555</v>
      </c>
      <c r="FB41" s="267">
        <f t="shared" si="127"/>
        <v>0.15735839390546913</v>
      </c>
      <c r="FC41" s="269">
        <f t="shared" si="38"/>
        <v>-5.9301346322795786E-3</v>
      </c>
      <c r="FD41" s="4">
        <f t="shared" ref="FD41:FD53" si="404">IF(ISNUMBER($AV41),(COS(RADIANS($EV41))*FA41)+(-SIN(RADIANS($EV41))*FB41),"")</f>
        <v>0.99998241659703346</v>
      </c>
      <c r="FE41" s="5">
        <f t="shared" ref="FE41:FE53" si="405">IF(ISNUMBER($AV41),(SIN(RADIANS($EV41))*FA41)+(COS(RADIANS($EV41))*FB41),"")</f>
        <v>1.1102230246251565E-16</v>
      </c>
      <c r="FF41" s="7">
        <f t="shared" ref="FF41:FF53" si="406">IF(ISNUMBER($AV41),FC41,"")</f>
        <v>-5.9301346322795786E-3</v>
      </c>
      <c r="FG41" s="173">
        <f t="shared" ref="FG41:FG53" si="407">IF(ISNUMBER($AV41),EW41-FD41,"")</f>
        <v>-3.6900014358251298E-2</v>
      </c>
      <c r="FH41" s="5">
        <f t="shared" ref="FH41:FH53" si="408">IF(ISNUMBER($AV41),EX41-FE41,"")</f>
        <v>-6.4848286022509111E-2</v>
      </c>
      <c r="FI41" s="10">
        <f t="shared" ref="FI41:FI53" si="409">IF(ISNUMBER($AV41),EY41-FF41,"")</f>
        <v>-0.25534938293065457</v>
      </c>
      <c r="FJ41" s="279">
        <f t="shared" ref="FJ41:FJ53" si="410">IF(ISNUMBER($AV41),DEGREES(ACOS((2-SQRT((FG41)^2+(FH41)^2+(FI41)^2)^2)/2)),"")</f>
        <v>15.287515859737962</v>
      </c>
      <c r="FK41" s="4">
        <f t="shared" ref="FK41:FK53" si="411">IF(ISNUMBER($AV41),SQRT(ES41^2+ET41^2),"")</f>
        <v>0.96526318364582853</v>
      </c>
      <c r="FL41" s="5">
        <f t="shared" ref="FL41:FL53" si="412">IF(ISNUMBER($AV41),SQRT(FA41^2+FB41^2),"")</f>
        <v>0.99998241659703346</v>
      </c>
      <c r="FM41" s="8">
        <f t="shared" ref="FM41:FM53" si="413">IF(ISNUMBER($AV41),SQRT(FG41^2+FH41^2),"")</f>
        <v>7.4611736742259946E-2</v>
      </c>
      <c r="FN41" s="9">
        <f t="shared" ref="FN41:FN53" si="414">IF(ISNUMBER($AV41),DEGREES(ACOS((FK41^2+FL41^2-FM41^2)/(2*FK41*FL41))),"")</f>
        <v>3.8521450019728833</v>
      </c>
      <c r="FO41" s="10">
        <f t="shared" ref="FO41:FO53" si="415">IF(ISNUMBER($AV41),IF(SQRT((EM41+(ES41/SQRT(ES41^2+(ET41/SQRT(ES41^2+ET41^2))^2)))^2+(EN41+ET41)^2)&gt;SQRT((EM41+(FA41/SQRT(FA41^2+FB41^2)))^2+(EN41+(FB41/SQRT(FA41^2+FB41^2)))^2),-1,1),"")</f>
        <v>1</v>
      </c>
      <c r="FP41" s="277">
        <f t="shared" ref="FP41:FP53" si="416">IF(ISNUMBER($AV41),FN41*FO41,"")</f>
        <v>3.8521450019728833</v>
      </c>
      <c r="FQ41" s="173">
        <f t="shared" ref="FQ41:FQ53" si="417">IF(ISNUMBER($AV41),SIN(RADIANS(FN41)),"")</f>
        <v>6.7181973912623039E-2</v>
      </c>
      <c r="FR41" s="10">
        <f t="shared" ref="FR41:FR53" si="418">IF(ISNUMBER($AV41),COS(RADIANS(FN41)),"")</f>
        <v>0.99774073906060567</v>
      </c>
      <c r="FS41" s="9">
        <f t="shared" ref="FS41:FS53" si="419">IF(ISNUMBER($AV41),FQ41/(FQ41+FR41),"")</f>
        <v>6.3086243812992979E-2</v>
      </c>
      <c r="FT41" s="6">
        <f t="shared" ref="FT41:FT53" si="420">IF(ISNUMBER($AV41),FR41/(FQ41+FR41),"")</f>
        <v>0.93691375618700712</v>
      </c>
      <c r="FU41" s="4">
        <f t="shared" ref="FU41:FU53" si="421">IF(ISNUMBER($AV41),SQRT(EW41^2+EY41^2),"")</f>
        <v>0.99789513467094482</v>
      </c>
      <c r="FV41" s="5">
        <f t="shared" ref="FV41:FV53" si="422">IF(ISNUMBER($AV41),SQRT(FD41^2+FF41^2),"")</f>
        <v>1</v>
      </c>
      <c r="FW41" s="8">
        <f t="shared" ref="FW41:FW53" si="423">IF(ISNUMBER($AV41),SQRT(FG41^2+FI41^2),"")</f>
        <v>0.25800177988282408</v>
      </c>
      <c r="FX41" s="9">
        <f t="shared" ref="FX41:FX53" si="424">IF(ISNUMBER($AV41),DEGREES(ACOS((FU41^2+FV41^2-FW41^2)/(2*FU41*FV41))),"")</f>
        <v>14.838939685151281</v>
      </c>
      <c r="FY41" s="10">
        <f t="shared" ref="FY41:FY53" si="425">IF(ISNUMBER($AV41),IF(EU41&lt;FC41,1,-1),"")</f>
        <v>1</v>
      </c>
      <c r="FZ41" s="277">
        <f t="shared" ref="FZ41:FZ53" si="426">IF(ISNUMBER($AV41),FX41*FY41,"")</f>
        <v>14.838939685151281</v>
      </c>
      <c r="GA41" s="177">
        <f t="shared" ref="GA41:GA53" si="427">IF(ISNUMBER($AV41),DEGREES(FZ41*SIN(RADIANS(FU41))),"")</f>
        <v>14.806957107454989</v>
      </c>
      <c r="GB41" s="4">
        <f t="shared" ref="GB41:GB53" si="428">IF(ISNUMBER($AV41),COS(RADIANS(FP41+90))*COS(RADIANS(FZ41)),"")</f>
        <v>-6.4941425376665224E-2</v>
      </c>
      <c r="GC41" s="5">
        <f t="shared" ref="GC41:GC53" si="429">IF(ISNUMBER($AV41),SIN(RADIANS(FP41+90))*COS(RADIANS(FZ41)),"")</f>
        <v>0.96446564424015391</v>
      </c>
      <c r="GD41" s="10">
        <f t="shared" ref="GD41:GD53" si="430">IF(ISNUMBER($AV41),-SIN(RADIANS(FZ41)),"")</f>
        <v>-0.25610277692846656</v>
      </c>
      <c r="GE41" s="311">
        <f t="shared" ref="GE41:GE53" si="431">IF(ISNUMBER($AV41),SUM(ABS(GB41),ABS(GC41),ABS(GD41)),"")</f>
        <v>1.2855098465452857</v>
      </c>
      <c r="GF41" s="341">
        <f t="shared" ref="GF41:GF53" si="432">IF(ISNUMBER($AV41),1/GE41,"")</f>
        <v>0.77790147052348713</v>
      </c>
      <c r="GG41" s="285">
        <f t="shared" ref="GG41:GG53" si="433">IF(ISNUMBER($AV41),ABS(GB41)/(ABS($GB41)+ABS($GC41)+ABS($GD41)),"")</f>
        <v>5.0518030298399179E-2</v>
      </c>
      <c r="GH41" s="286">
        <f t="shared" ref="GH41:GH53" si="434">IF(ISNUMBER($AV41),ABS(GC41)/(ABS($GB41)+ABS($GC41)+ABS($GD41)),"")</f>
        <v>0.75025924292379809</v>
      </c>
      <c r="GI41" s="281">
        <f t="shared" ref="GI41:GI53" si="435">IF(ISNUMBER($AV41),ABS(GD41)/(ABS($GB41)+ABS($GC41)+ABS($GD41)),"")</f>
        <v>0.19922272677780273</v>
      </c>
      <c r="GJ41" s="167">
        <f t="shared" ref="GJ41:GJ53" si="436">IF(ISNUMBER($AV41),AW41,"")</f>
        <v>4.1193</v>
      </c>
      <c r="GK41" s="174">
        <f t="shared" si="49"/>
        <v>2.1568983619351281</v>
      </c>
      <c r="GL41" s="174">
        <f t="shared" ref="GL41:GL53" si="437">IF(ISNUMBER($AV41),AY41,"")</f>
        <v>1.4E-2</v>
      </c>
      <c r="GM41" s="177">
        <f t="shared" ref="GM41:GM53" si="438">IF(ISNUMBER($AV41),AZ41,"")</f>
        <v>0.36235892480510151</v>
      </c>
      <c r="GN41" s="280">
        <f t="shared" ref="GN41:GN53" si="439">IF(ISNUMBER($AV41),BA41,"")</f>
        <v>2.0074850516490682E-2</v>
      </c>
      <c r="GO41" s="4">
        <f t="shared" ref="GO41:GO53" si="440">IF(ISNUMBER($AV41),FP41,"")</f>
        <v>3.8521450019728833</v>
      </c>
      <c r="GP41" s="8">
        <f t="shared" ref="GP41:GP53" si="441">IF(ISNUMBER($AV41),FZ41,"")</f>
        <v>14.838939685151281</v>
      </c>
      <c r="GQ41" s="177">
        <f t="shared" ref="GQ41:GQ53" si="442">IF(ISNUMBER($AV41),FJ41,"")</f>
        <v>15.287515859737962</v>
      </c>
      <c r="GR41" s="371">
        <f t="shared" ref="GR41:GR53" si="443">IF(ISNUMBER($AV41),GS41+GU41+GY41,"")</f>
        <v>1207.4457203385143</v>
      </c>
      <c r="GS41" s="342">
        <f t="shared" ref="GS41:GS53" si="444">IF(ISNUMBER($AV41),GU41/GH41*GG41,"")</f>
        <v>60.997779483733488</v>
      </c>
      <c r="GT41" s="343">
        <f t="shared" ref="GT41:GT53" si="445">IF(ISNUMBER($AV41),GS41/$GK41,"")</f>
        <v>28.280321669402838</v>
      </c>
      <c r="GU41" s="344">
        <f t="shared" si="53"/>
        <v>905.89731201275379</v>
      </c>
      <c r="GV41" s="343">
        <f t="shared" ref="GV41:GV53" si="446">IF(ISNUMBER($AV41),GW41*$GL41,"")</f>
        <v>420</v>
      </c>
      <c r="GW41" s="345">
        <f t="shared" si="129"/>
        <v>30000</v>
      </c>
      <c r="GX41" s="346">
        <f t="shared" si="54"/>
        <v>144.1755</v>
      </c>
      <c r="GY41" s="344">
        <f t="shared" ref="GY41:GY53" si="447">IF(ISNUMBER($AV41),GU41/GH41*GI41,"")</f>
        <v>240.55062884202704</v>
      </c>
      <c r="GZ41" s="345">
        <f t="shared" ref="GZ41:GZ53" si="448">IF(ISNUMBER($AV41),GY41/$GK41,"")</f>
        <v>111.52617716590484</v>
      </c>
      <c r="HA41" s="342">
        <f t="shared" si="57"/>
        <v>60.997779483733488</v>
      </c>
      <c r="HB41" s="5">
        <f t="shared" si="225"/>
        <v>189.05376160688883</v>
      </c>
      <c r="HC41" s="343">
        <f t="shared" ref="HC41:HC53" si="449">IF(ISNUMBER($AV41),HA41*COS(RADIANS(HB41)),"")</f>
        <v>-60.237815511036381</v>
      </c>
      <c r="HD41" s="345">
        <f t="shared" ref="HD41:HD53" si="450">IF(ISNUMBER($AV41),HA41*SIN(RADIANS(HB41)),"")</f>
        <v>-9.598681388843092</v>
      </c>
      <c r="HE41" s="344">
        <f t="shared" si="58"/>
        <v>420</v>
      </c>
      <c r="HF41" s="5">
        <f t="shared" si="59"/>
        <v>279.05376160688883</v>
      </c>
      <c r="HG41" s="343">
        <f t="shared" ref="HG41:HG53" si="451">IF(ISNUMBER($AV41),HE41*COS(RADIANS(HF41)),"")</f>
        <v>66.091687557072291</v>
      </c>
      <c r="HH41" s="349">
        <f t="shared" ref="HH41:HH53" si="452">IF(ISNUMBER($AV41),HE41*SIN(RADIANS(HF41)),"")</f>
        <v>-414.76727069027316</v>
      </c>
      <c r="HI41" s="317">
        <f t="shared" ref="HI41:HI72" si="453">IF(ISNUMBER($AV41),$M41,"")</f>
        <v>4.1239999999999997</v>
      </c>
      <c r="HJ41" s="336"/>
      <c r="HK41" s="310">
        <f t="shared" si="130"/>
        <v>33</v>
      </c>
      <c r="HL41" s="348">
        <f t="shared" ref="HL41:HL72" si="454">IF(ISNUMBER($HS41),INDEX(HI$9:HI$150,MATCH($HS41,$GJ$9:$GJ$150,0)),"")</f>
        <v>5.133</v>
      </c>
      <c r="HM41" s="935">
        <f t="shared" ref="HM41:HM72" si="455">IF(ISNUMBER($HL41),INDEX(GO$9:GO$150,MATCH($HL41,$AV$9:$AV$150,0)),"")</f>
        <v>10.899216598741276</v>
      </c>
      <c r="HN41" s="936">
        <f t="shared" ref="HN41:HN72" si="456">IF(ISNUMBER($HL41),INDEX(AO$9:AO$150,MATCH($HL41,$AV$9:$AV$150,0)),"")</f>
        <v>17.999997401121902</v>
      </c>
      <c r="HO41" s="937"/>
      <c r="HP41" s="938"/>
      <c r="HQ41" s="936">
        <f t="shared" ref="HQ41:HQ72" si="457">IF(ISNUMBER($HL41),INDEX(GQ$9:GQ$150,MATCH($HL41,$AV$9:$AV$150,0)),"")</f>
        <v>17.224098311396514</v>
      </c>
      <c r="HR41" s="939">
        <f t="shared" ref="HR41:HR72" si="458">IF(ISNUMBER($HL41),INDEX(GP$9:GP$150,MATCH($HL41,$AV$9:$AV$150,0)),"")</f>
        <v>13.665578068399849</v>
      </c>
      <c r="HS41" s="940">
        <f t="shared" si="249"/>
        <v>5.1969000000000003</v>
      </c>
      <c r="HT41" s="941">
        <f t="shared" ref="HT41:HT72" si="459">IF(ISNUMBER($HL41),INDEX(GL$9:GL$150,MATCH($HL41,$AV$9:$AV$150,0)),"")</f>
        <v>2.0199999999999999E-2</v>
      </c>
      <c r="HU41" s="942">
        <f t="shared" ref="HU41:HU72" si="460">IF(ISNUMBER($HL41),INDEX(GM$9:GM$150,MATCH($HL41,$AV$9:$AV$150,0)),"")</f>
        <v>0.65959961855081051</v>
      </c>
      <c r="HV41" s="943">
        <f t="shared" ref="HV41:HV72" si="461">IF(ISNUMBER($HL41),INDEX(GN$9:GN$150,MATCH($HL41,$AV$9:$AV$150,0)),"")</f>
        <v>3.6542121186234885E-2</v>
      </c>
      <c r="HW41" s="944">
        <f t="shared" ref="HW41:HW72" si="462">IF(ISNUMBER($HL41),INDEX(GW$9:GW$150,MATCH($HL41,$AV$9:$AV$150,0)),"")</f>
        <v>30000</v>
      </c>
      <c r="HX41" s="947">
        <f t="shared" ref="HX41:HX72" si="463">IF(ISNUMBER($HL41),INDEX(GX$9:GX$150,MATCH($HL41,$AV$9:$AV$150,0)),"")</f>
        <v>262.44345000000004</v>
      </c>
      <c r="HY41" s="952">
        <f t="shared" ref="HY41:HY72" si="464">IF(ISNUMBER($HL41),INDEX(GS$9:GS$150,MATCH($HL41,$AV$9:$AV$150,0)),"")</f>
        <v>317.52378210894256</v>
      </c>
      <c r="HZ41" s="953">
        <f t="shared" ref="HZ41:HZ72" si="465">IF(ISNUMBER($HL41),INDEX(GU$9:GU$150,MATCH($HL41,$AV$9:$AV$150,0)),"")</f>
        <v>1648.9990463770262</v>
      </c>
      <c r="IA41" s="954">
        <f t="shared" ref="IA41:IA72" si="466">IF(ISNUMBER($HL41),INDEX(GY$9:GY$150,MATCH($HL41,$AV$9:$AV$150,0)),"")</f>
        <v>408.29841284125035</v>
      </c>
      <c r="IB41" s="955">
        <f t="shared" ref="IB41:IB72" si="467">IF(ISNUMBER($HL41),INDEX(GR$9:GR$150,MATCH($HL41,$AV$9:$AV$150,0)),"")</f>
        <v>2374.821241327219</v>
      </c>
      <c r="IC41" s="842">
        <f t="shared" ref="IC41:IC72" si="468">IF(ISNUMBER($HL41),INDEX(GT$9:GT$150,MATCH($HL41,$AV$9:$AV$150,0)),"")</f>
        <v>116.68861324133508</v>
      </c>
      <c r="ID41" s="351">
        <f t="shared" ref="ID41:ID72" si="469">IF(ISNUMBER($HL41),INDEX(GV$9:GV$150,MATCH($HL41,$AV$9:$AV$150,0)),"")</f>
        <v>606</v>
      </c>
      <c r="IE41" s="844">
        <f t="shared" ref="IE41:IE72" si="470">IF(ISNUMBER($HL41),INDEX(GZ$9:GZ$150,MATCH($HL41,$AV$9:$AV$150,0)),"")</f>
        <v>150.04789646508124</v>
      </c>
      <c r="IF41" s="845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0"/>
        <v>4.1239999999999997</v>
      </c>
      <c r="IJ41" s="96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1613</v>
      </c>
      <c r="IM41" s="482" t="str">
        <f t="shared" si="231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73">IF(ISNUMBER($IK41),(($IQ41*12)/60)/$AS$3,"")</f>
        <v/>
      </c>
      <c r="IQ41" s="714"/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>
        <f t="shared" si="308"/>
        <v>0</v>
      </c>
      <c r="B42" s="578">
        <f t="shared" ref="B42:D42" si="484">IFERROR(O197+($A42*-E42),"")</f>
        <v>-0.71652415096333488</v>
      </c>
      <c r="C42" s="572">
        <f t="shared" si="484"/>
        <v>-4.677046797536434</v>
      </c>
      <c r="D42" s="576">
        <f t="shared" si="484"/>
        <v>-0.49970150709974542</v>
      </c>
      <c r="E42" s="580">
        <f t="shared" ref="E42:K42" si="485">R197</f>
        <v>0.91955408471086775</v>
      </c>
      <c r="F42" s="572">
        <f t="shared" si="485"/>
        <v>-0.30251931896345707</v>
      </c>
      <c r="G42" s="579">
        <f t="shared" si="485"/>
        <v>0.2508034029781982</v>
      </c>
      <c r="H42" s="580">
        <f t="shared" si="485"/>
        <v>0.3125</v>
      </c>
      <c r="I42" s="572">
        <f t="shared" si="485"/>
        <v>0.52</v>
      </c>
      <c r="J42" s="483">
        <f t="shared" si="92"/>
        <v>4.13</v>
      </c>
      <c r="K42" s="806">
        <f t="shared" si="485"/>
        <v>1613</v>
      </c>
      <c r="L42" s="309"/>
      <c r="M42" s="164">
        <f t="shared" si="311"/>
        <v>4.13</v>
      </c>
      <c r="N42" s="575">
        <f t="shared" si="312"/>
        <v>-0.71652415096333488</v>
      </c>
      <c r="O42" s="572">
        <f t="shared" si="313"/>
        <v>-4.677046797536434</v>
      </c>
      <c r="P42" s="576">
        <f t="shared" si="314"/>
        <v>-0.49970150709974542</v>
      </c>
      <c r="Q42" s="528">
        <f t="shared" si="134"/>
        <v>261.29000017470236</v>
      </c>
      <c r="R42" s="572">
        <f t="shared" ref="R42:R47" si="486">IF(M42="","",SQRT(N42^2+O42^2))</f>
        <v>4.7316142705486408</v>
      </c>
      <c r="S42" s="577">
        <f t="shared" ref="S42:S47" si="487">IF(M42="","",P42)</f>
        <v>-0.49970150709974542</v>
      </c>
      <c r="T42" s="578">
        <f t="shared" ref="T42:T47" si="488">IF(M42="","",X42*COS(RADIANS(W42)))</f>
        <v>-4.6771717833383111</v>
      </c>
      <c r="U42" s="572">
        <f t="shared" ref="U42:U47" si="489">IF(M42="","",X42*SIN(RADIANS(W42)))</f>
        <v>0.71570784151318678</v>
      </c>
      <c r="V42" s="579">
        <f t="shared" ref="V42:V47" si="490">IF(M42="","",Y42)</f>
        <v>-0.49970150709974542</v>
      </c>
      <c r="W42" s="528">
        <f t="shared" si="256"/>
        <v>171.30000017325852</v>
      </c>
      <c r="X42" s="572">
        <f t="shared" ref="X42:X47" si="491">IF(M42="","",R42)</f>
        <v>4.7316142705486408</v>
      </c>
      <c r="Y42" s="573">
        <f t="shared" si="259"/>
        <v>-0.49970150709974542</v>
      </c>
      <c r="Z42" s="575">
        <f t="shared" si="315"/>
        <v>-0.91955408471086775</v>
      </c>
      <c r="AA42" s="572">
        <f t="shared" si="316"/>
        <v>0.30251931896345707</v>
      </c>
      <c r="AB42" s="572">
        <f t="shared" si="317"/>
        <v>-0.2508034029781982</v>
      </c>
      <c r="AC42" s="579">
        <f t="shared" ref="AC42:AC47" si="492">IF(M42="","",SQRT(Z42^2+AA42^2+AB42^2))</f>
        <v>1</v>
      </c>
      <c r="AD42" s="580">
        <f t="shared" ref="AD42:AD47" si="493">IF(M42="","",Z42*(1/SQRT(Z42^2+AA42^2+AB42^2)))</f>
        <v>-0.91955408471086775</v>
      </c>
      <c r="AE42" s="572">
        <f t="shared" ref="AE42:AE47" si="494">IF(M42="","",AA42*(1/SQRT(Z42^2+AA42^2+AB42^2)))</f>
        <v>0.30251931896345707</v>
      </c>
      <c r="AF42" s="576">
        <f t="shared" ref="AF42:AF47" si="495">IF(M42="","",AB42*(1/SQRT(Z42^2+AA42^2+AB42^2)))</f>
        <v>-0.2508034029781982</v>
      </c>
      <c r="AG42" s="545">
        <f t="shared" ref="AG42:AG47" si="496">IF(M42="","",DEGREES(ATAN2(-AF42,AE42)))</f>
        <v>50.339597323976776</v>
      </c>
      <c r="AH42" s="546">
        <f t="shared" ref="AH42:AH47" si="497">IF(M42="","",DEGREES(ACOS(AD42)))</f>
        <v>156.86097898372537</v>
      </c>
      <c r="AI42" s="528">
        <f t="shared" ref="AI42:AI47" si="498">IF(M42="","",DEGREES(-ACOS(-AF42)))</f>
        <v>-75.474941482936373</v>
      </c>
      <c r="AJ42" s="529">
        <f t="shared" ref="AJ42:AJ47" si="499">IF(M42="","",DEGREES(ATAN2(-AE42,AD42)))</f>
        <v>-108.21041984291082</v>
      </c>
      <c r="AK42" s="578">
        <f t="shared" ref="AK42:AK47" si="500">IF(M42="","",(COS(RADIANS((90-$Q$8)-W42))*AD42)+(-SIN(RADIANS((90-$Q$8)-W42))*AE42))</f>
        <v>0.95476081246685984</v>
      </c>
      <c r="AL42" s="572">
        <f t="shared" ref="AL42:AL47" si="501">IF(M42="","",(SIN(RADIANS((90-$Q$8)-W42))*AD42)+(COS(RADIANS((90-$Q$8)-W42))*AE42))</f>
        <v>-0.15977936046992189</v>
      </c>
      <c r="AM42" s="577">
        <f t="shared" ref="AM42:AM47" si="502">IF(M42="","",AF42)</f>
        <v>-0.2508034029781982</v>
      </c>
      <c r="AN42" s="524">
        <f t="shared" ref="AN42:AN47" si="503">IF(M42="","",DEGREES(ATAN2(-AM42,AL42)))</f>
        <v>-32.49999530758123</v>
      </c>
      <c r="AO42" s="525">
        <f t="shared" si="108"/>
        <v>17.299997502189399</v>
      </c>
      <c r="AP42" s="528">
        <f t="shared" ref="AP42:AP47" si="504">IF(M42="","",DEGREES(ATAN2(AK42,AL42)))</f>
        <v>-9.5004200176131697</v>
      </c>
      <c r="AQ42" s="529">
        <f t="shared" si="318"/>
        <v>0.29580468793759135</v>
      </c>
      <c r="AS42" s="900">
        <f t="shared" si="137"/>
        <v>-188.69999982674148</v>
      </c>
      <c r="AT42" s="896">
        <f t="shared" si="319"/>
        <v>-0.41924375523624641</v>
      </c>
      <c r="AU42" s="418"/>
      <c r="AV42" s="164">
        <f t="shared" si="320"/>
        <v>4.13</v>
      </c>
      <c r="AW42" s="829">
        <f>IFERROR(INDEX(MassProp!C$9:C$150,MATCH($M42,MassProp!$B$9:$B$150,0)),"")</f>
        <v>4.8586999999999998</v>
      </c>
      <c r="AX42" s="830">
        <f>IFERROR(INDEX(MassProp!D$9:D$150,MATCH($M42,MassProp!$B$9:$B$150,0)),"")</f>
        <v>-3.1E-2</v>
      </c>
      <c r="AY42" s="831">
        <f>IFERROR(INDEX(MassProp!E$9:E$150,MATCH($M42,MassProp!$B$9:$B$150,0)),"")</f>
        <v>1.2E-2</v>
      </c>
      <c r="AZ42" s="297">
        <f t="shared" si="321"/>
        <v>0.36634197962138776</v>
      </c>
      <c r="BA42" s="296">
        <f t="shared" si="322"/>
        <v>2.0295513578891977E-2</v>
      </c>
      <c r="BB42" s="190">
        <f t="shared" si="139"/>
        <v>0.23475538314322311</v>
      </c>
      <c r="BC42" s="9"/>
      <c r="BD42" s="5">
        <f t="shared" si="323"/>
        <v>4.8586999999999998</v>
      </c>
      <c r="BE42" s="6">
        <f t="shared" si="324"/>
        <v>-0.26494612395652228</v>
      </c>
      <c r="BF42" s="4">
        <f t="shared" si="325"/>
        <v>-0.71652415096333488</v>
      </c>
      <c r="BG42" s="5">
        <f t="shared" si="326"/>
        <v>-4.677046797536434</v>
      </c>
      <c r="BH42" s="10">
        <f t="shared" si="327"/>
        <v>-0.49970150709974542</v>
      </c>
      <c r="BI42" s="9">
        <f t="shared" si="328"/>
        <v>-0.71652415096333488</v>
      </c>
      <c r="BJ42" s="5">
        <f t="shared" si="329"/>
        <v>-4.0388108673866476</v>
      </c>
      <c r="BK42" s="8">
        <f t="shared" si="330"/>
        <v>0.27013931895836735</v>
      </c>
      <c r="BL42" s="173">
        <f t="shared" si="331"/>
        <v>-0.32356068536944788</v>
      </c>
      <c r="BM42" s="5">
        <f t="shared" si="332"/>
        <v>-3.9691365213575076</v>
      </c>
      <c r="BN42" s="6">
        <f t="shared" si="333"/>
        <v>-1.0865939636782214</v>
      </c>
      <c r="BO42" s="4">
        <f t="shared" si="334"/>
        <v>-0.91955408471086941</v>
      </c>
      <c r="BP42" s="5">
        <f t="shared" si="335"/>
        <v>0.30251931896345685</v>
      </c>
      <c r="BQ42" s="5">
        <f t="shared" si="336"/>
        <v>-0.25080340297819825</v>
      </c>
      <c r="BR42" s="6">
        <f t="shared" si="337"/>
        <v>0.63068746368466699</v>
      </c>
      <c r="BS42" s="4">
        <f t="shared" ref="BS42:BT53" si="505">IF(ISNUMBER($AV42),0,"")</f>
        <v>0</v>
      </c>
      <c r="BT42" s="5">
        <f t="shared" si="505"/>
        <v>0</v>
      </c>
      <c r="BU42" s="10">
        <f t="shared" si="111"/>
        <v>-0.26494612395652228</v>
      </c>
      <c r="BV42" s="9">
        <f t="shared" si="112"/>
        <v>0</v>
      </c>
      <c r="BW42" s="5">
        <f t="shared" si="113"/>
        <v>1</v>
      </c>
      <c r="BX42" s="8">
        <f t="shared" si="114"/>
        <v>-0.26494612395652228</v>
      </c>
      <c r="BY42" s="173">
        <f t="shared" si="115"/>
        <v>1</v>
      </c>
      <c r="BZ42" s="5">
        <f t="shared" si="116"/>
        <v>0</v>
      </c>
      <c r="CA42" s="6">
        <f t="shared" si="117"/>
        <v>-0.26494612395652228</v>
      </c>
      <c r="CB42" s="4">
        <f t="shared" si="338"/>
        <v>0</v>
      </c>
      <c r="CC42" s="5">
        <f t="shared" si="339"/>
        <v>0</v>
      </c>
      <c r="CD42" s="5">
        <f t="shared" si="340"/>
        <v>-1</v>
      </c>
      <c r="CE42" s="6">
        <f t="shared" si="341"/>
        <v>-0.26494612395652228</v>
      </c>
      <c r="CF42" s="4">
        <f t="shared" si="342"/>
        <v>-0.30251931896345685</v>
      </c>
      <c r="CG42" s="5">
        <f t="shared" si="343"/>
        <v>-0.91955408471086941</v>
      </c>
      <c r="CH42" s="5">
        <f t="shared" si="344"/>
        <v>0</v>
      </c>
      <c r="CI42" s="4">
        <f t="shared" si="118"/>
        <v>0</v>
      </c>
      <c r="CJ42" s="5">
        <f t="shared" si="345"/>
        <v>-2.3044374672252177</v>
      </c>
      <c r="CK42" s="8">
        <f t="shared" si="346"/>
        <v>-0.26494612395652228</v>
      </c>
      <c r="CL42" s="173">
        <f t="shared" si="347"/>
        <v>-0.30251931896345685</v>
      </c>
      <c r="CM42" s="5">
        <f t="shared" si="348"/>
        <v>-3.2239915519360869</v>
      </c>
      <c r="CN42" s="6">
        <f t="shared" si="349"/>
        <v>-0.26494612395652228</v>
      </c>
      <c r="CO42" s="167">
        <f t="shared" si="350"/>
        <v>0.3125</v>
      </c>
      <c r="CP42" s="4">
        <f t="shared" si="351"/>
        <v>0.93709765305455817</v>
      </c>
      <c r="CQ42" s="5">
        <f t="shared" si="352"/>
        <v>-4.7970099985621921</v>
      </c>
      <c r="CR42" s="5">
        <f t="shared" si="353"/>
        <v>6.1001357331082886</v>
      </c>
      <c r="CS42" s="8">
        <f t="shared" si="354"/>
        <v>0.14561341106554693</v>
      </c>
      <c r="CT42" s="9">
        <f t="shared" si="154"/>
        <v>2.7631075774840546</v>
      </c>
      <c r="CU42" s="6">
        <f t="shared" si="355"/>
        <v>2.3559000125209848</v>
      </c>
      <c r="CV42" s="4">
        <f t="shared" si="356"/>
        <v>-0.83589342256324328</v>
      </c>
      <c r="CW42" s="5">
        <f t="shared" si="357"/>
        <v>-4.8452643265962347</v>
      </c>
      <c r="CX42" s="8">
        <f t="shared" si="358"/>
        <v>-0.26494612395652228</v>
      </c>
      <c r="CY42" s="9">
        <f t="shared" si="359"/>
        <v>-0.71270526733384776</v>
      </c>
      <c r="CZ42" s="5">
        <f t="shared" si="360"/>
        <v>-4.4708149469092771</v>
      </c>
      <c r="DA42" s="6">
        <f t="shared" si="361"/>
        <v>-0.26494612395652228</v>
      </c>
      <c r="DB42" s="4">
        <f t="shared" si="161"/>
        <v>0</v>
      </c>
      <c r="DC42" s="5">
        <f t="shared" si="161"/>
        <v>0</v>
      </c>
      <c r="DD42" s="10">
        <f t="shared" si="162"/>
        <v>-10</v>
      </c>
      <c r="DE42" s="9">
        <f t="shared" si="163"/>
        <v>0</v>
      </c>
      <c r="DF42" s="5">
        <f t="shared" si="163"/>
        <v>0</v>
      </c>
      <c r="DG42" s="10">
        <f t="shared" si="164"/>
        <v>10</v>
      </c>
      <c r="DH42" s="70">
        <f t="shared" si="362"/>
        <v>4.8586999999999998</v>
      </c>
      <c r="DI42" s="4">
        <f t="shared" si="363"/>
        <v>0</v>
      </c>
      <c r="DJ42" s="5">
        <f t="shared" si="364"/>
        <v>0</v>
      </c>
      <c r="DK42" s="10">
        <f t="shared" si="365"/>
        <v>20</v>
      </c>
      <c r="DL42" s="9">
        <f t="shared" si="366"/>
        <v>-0.83589342256324328</v>
      </c>
      <c r="DM42" s="173">
        <f t="shared" si="367"/>
        <v>-4.8452643265962347</v>
      </c>
      <c r="DN42" s="178">
        <f t="shared" si="368"/>
        <v>9.7350538760434784</v>
      </c>
      <c r="DO42" s="9">
        <f t="shared" si="369"/>
        <v>0.12318815522939552</v>
      </c>
      <c r="DP42" s="173">
        <f t="shared" si="370"/>
        <v>0.37444937968695768</v>
      </c>
      <c r="DQ42" s="11">
        <f t="shared" si="371"/>
        <v>0</v>
      </c>
      <c r="DR42" s="173">
        <f t="shared" si="372"/>
        <v>194.70107752086957</v>
      </c>
      <c r="DS42" s="5">
        <f t="shared" si="373"/>
        <v>0</v>
      </c>
      <c r="DT42" s="5">
        <f t="shared" si="374"/>
        <v>400</v>
      </c>
      <c r="DU42" s="5">
        <f t="shared" si="375"/>
        <v>0.15538765953676906</v>
      </c>
      <c r="DV42" s="5">
        <f t="shared" si="376"/>
        <v>-1.9172783902072563</v>
      </c>
      <c r="DW42" s="5">
        <f t="shared" si="377"/>
        <v>118.9465781779397</v>
      </c>
      <c r="DX42" s="167">
        <f t="shared" si="378"/>
        <v>95.339612487939704</v>
      </c>
      <c r="DY42" s="9">
        <f t="shared" si="379"/>
        <v>62.155063814707624</v>
      </c>
      <c r="DZ42" s="5">
        <f t="shared" si="380"/>
        <v>-766.91135608290256</v>
      </c>
      <c r="EA42" s="10">
        <f t="shared" si="381"/>
        <v>227.33540738821466</v>
      </c>
      <c r="EB42" s="6">
        <f t="shared" si="382"/>
        <v>574022.98133535951</v>
      </c>
      <c r="EC42" s="173">
        <f t="shared" si="383"/>
        <v>24.528241240471335</v>
      </c>
      <c r="ED42" s="5">
        <f t="shared" si="384"/>
        <v>0.14911596952737444</v>
      </c>
      <c r="EE42" s="4">
        <f t="shared" si="385"/>
        <v>2.1856953668720003</v>
      </c>
      <c r="EF42" s="5">
        <f t="shared" si="386"/>
        <v>4.3393203907103093</v>
      </c>
      <c r="EG42" s="10">
        <f t="shared" si="387"/>
        <v>-0.26494612395652228</v>
      </c>
      <c r="EH42" s="9">
        <f t="shared" si="388"/>
        <v>-0.81752410136192322</v>
      </c>
      <c r="EI42" s="5">
        <f t="shared" si="389"/>
        <v>-4.7894279443052898</v>
      </c>
      <c r="EJ42" s="6">
        <f t="shared" si="390"/>
        <v>-0.26494612395652228</v>
      </c>
      <c r="EK42" s="236" t="b">
        <f t="shared" si="194"/>
        <v>0</v>
      </c>
      <c r="EL42" s="238" t="b">
        <f t="shared" si="195"/>
        <v>1</v>
      </c>
      <c r="EM42" s="4">
        <f t="shared" si="391"/>
        <v>-0.81752410136192322</v>
      </c>
      <c r="EN42" s="5">
        <f t="shared" si="392"/>
        <v>-4.7894279443052898</v>
      </c>
      <c r="EO42" s="10">
        <f t="shared" si="393"/>
        <v>-0.26494612395652228</v>
      </c>
      <c r="EP42" s="9">
        <f t="shared" si="394"/>
        <v>260.31334193247335</v>
      </c>
      <c r="EQ42" s="5">
        <f t="shared" si="395"/>
        <v>4.8587000000000016</v>
      </c>
      <c r="ER42" s="7">
        <f t="shared" si="396"/>
        <v>-0.26494612395652228</v>
      </c>
      <c r="ES42" s="21">
        <f t="shared" si="397"/>
        <v>-0.91955408471086775</v>
      </c>
      <c r="ET42" s="5">
        <f t="shared" si="398"/>
        <v>0.30251931896345707</v>
      </c>
      <c r="EU42" s="10">
        <f t="shared" si="399"/>
        <v>-0.2508034029781982</v>
      </c>
      <c r="EV42" s="174">
        <f t="shared" si="400"/>
        <v>189.68665806752665</v>
      </c>
      <c r="EW42" s="9">
        <f t="shared" si="401"/>
        <v>0.95734555827577816</v>
      </c>
      <c r="EX42" s="5">
        <f t="shared" si="402"/>
        <v>-0.14348217695656229</v>
      </c>
      <c r="EY42" s="6">
        <f t="shared" si="403"/>
        <v>-0.2508034029781982</v>
      </c>
      <c r="EZ42" s="51">
        <f t="shared" si="203"/>
        <v>0.28806765693624453</v>
      </c>
      <c r="FA42" s="266">
        <f t="shared" si="126"/>
        <v>-0.98573021810566541</v>
      </c>
      <c r="FB42" s="267">
        <f t="shared" si="127"/>
        <v>0.16825771681152574</v>
      </c>
      <c r="FC42" s="269">
        <f t="shared" si="38"/>
        <v>-5.0277079001970525E-3</v>
      </c>
      <c r="FD42" s="4">
        <f t="shared" si="404"/>
        <v>0.999987360996763</v>
      </c>
      <c r="FE42" s="5">
        <f t="shared" si="405"/>
        <v>-3.0531133177191805E-16</v>
      </c>
      <c r="FF42" s="7">
        <f t="shared" si="406"/>
        <v>-5.0277079001970525E-3</v>
      </c>
      <c r="FG42" s="173">
        <f t="shared" si="407"/>
        <v>-4.2641802720984834E-2</v>
      </c>
      <c r="FH42" s="5">
        <f t="shared" si="408"/>
        <v>-0.14348217695656199</v>
      </c>
      <c r="FI42" s="10">
        <f t="shared" si="409"/>
        <v>-0.24577569507800115</v>
      </c>
      <c r="FJ42" s="279">
        <f t="shared" si="410"/>
        <v>16.545392218312063</v>
      </c>
      <c r="FK42" s="4">
        <f t="shared" si="411"/>
        <v>0.96803804318557418</v>
      </c>
      <c r="FL42" s="5">
        <f t="shared" si="412"/>
        <v>0.999987360996763</v>
      </c>
      <c r="FM42" s="8">
        <f t="shared" si="413"/>
        <v>0.14968452974001542</v>
      </c>
      <c r="FN42" s="9">
        <f t="shared" si="414"/>
        <v>8.523761775384159</v>
      </c>
      <c r="FO42" s="10">
        <f t="shared" si="415"/>
        <v>1</v>
      </c>
      <c r="FP42" s="277">
        <f t="shared" si="416"/>
        <v>8.523761775384159</v>
      </c>
      <c r="FQ42" s="173">
        <f t="shared" si="417"/>
        <v>0.14821956426877367</v>
      </c>
      <c r="FR42" s="10">
        <f t="shared" si="418"/>
        <v>0.98895447861262797</v>
      </c>
      <c r="FS42" s="9">
        <f t="shared" si="419"/>
        <v>0.13034026338942015</v>
      </c>
      <c r="FT42" s="6">
        <f t="shared" si="420"/>
        <v>0.86965973661057983</v>
      </c>
      <c r="FU42" s="4">
        <f t="shared" si="421"/>
        <v>0.9896529012213352</v>
      </c>
      <c r="FV42" s="5">
        <f t="shared" si="422"/>
        <v>1</v>
      </c>
      <c r="FW42" s="8">
        <f t="shared" si="423"/>
        <v>0.24944742057269301</v>
      </c>
      <c r="FX42" s="9">
        <f t="shared" si="424"/>
        <v>14.392248268552377</v>
      </c>
      <c r="FY42" s="10">
        <f t="shared" si="425"/>
        <v>1</v>
      </c>
      <c r="FZ42" s="277">
        <f t="shared" si="426"/>
        <v>14.392248268552377</v>
      </c>
      <c r="GA42" s="177">
        <f t="shared" si="427"/>
        <v>14.242622024012434</v>
      </c>
      <c r="GB42" s="4">
        <f t="shared" si="428"/>
        <v>-0.1435679597909455</v>
      </c>
      <c r="GC42" s="5">
        <f t="shared" si="429"/>
        <v>0.9579179207615951</v>
      </c>
      <c r="GD42" s="10">
        <f t="shared" si="430"/>
        <v>-0.24855884213853224</v>
      </c>
      <c r="GE42" s="311">
        <f t="shared" si="431"/>
        <v>1.3500447226910728</v>
      </c>
      <c r="GF42" s="341">
        <f t="shared" si="432"/>
        <v>0.74071620235415514</v>
      </c>
      <c r="GG42" s="285">
        <f t="shared" si="433"/>
        <v>0.1063431139560832</v>
      </c>
      <c r="GH42" s="286">
        <f t="shared" si="434"/>
        <v>0.70954532443351725</v>
      </c>
      <c r="GI42" s="281">
        <f t="shared" si="435"/>
        <v>0.18411156161039957</v>
      </c>
      <c r="GJ42" s="167">
        <f t="shared" si="436"/>
        <v>4.8586999999999998</v>
      </c>
      <c r="GK42" s="174">
        <f t="shared" si="49"/>
        <v>2.544041525148526</v>
      </c>
      <c r="GL42" s="174">
        <f t="shared" si="437"/>
        <v>1.2E-2</v>
      </c>
      <c r="GM42" s="177">
        <f t="shared" si="438"/>
        <v>0.36634197962138776</v>
      </c>
      <c r="GN42" s="280">
        <f t="shared" si="439"/>
        <v>2.0295513578891977E-2</v>
      </c>
      <c r="GO42" s="4">
        <f t="shared" si="440"/>
        <v>8.523761775384159</v>
      </c>
      <c r="GP42" s="8">
        <f t="shared" si="441"/>
        <v>14.392248268552377</v>
      </c>
      <c r="GQ42" s="177">
        <f t="shared" si="442"/>
        <v>16.545392218312063</v>
      </c>
      <c r="GR42" s="371">
        <f t="shared" si="443"/>
        <v>1290.7631373438537</v>
      </c>
      <c r="GS42" s="342">
        <f t="shared" si="444"/>
        <v>137.26377140486892</v>
      </c>
      <c r="GT42" s="343">
        <f t="shared" si="445"/>
        <v>53.955004290606148</v>
      </c>
      <c r="GU42" s="344">
        <f t="shared" si="53"/>
        <v>915.85494905346934</v>
      </c>
      <c r="GV42" s="343">
        <f t="shared" si="446"/>
        <v>360</v>
      </c>
      <c r="GW42" s="345">
        <f t="shared" si="129"/>
        <v>30000</v>
      </c>
      <c r="GX42" s="346">
        <f t="shared" si="54"/>
        <v>145.761</v>
      </c>
      <c r="GY42" s="344">
        <f t="shared" si="447"/>
        <v>237.64441688551557</v>
      </c>
      <c r="GZ42" s="345">
        <f t="shared" si="448"/>
        <v>93.412161136654973</v>
      </c>
      <c r="HA42" s="342">
        <f t="shared" si="57"/>
        <v>137.26377140486892</v>
      </c>
      <c r="HB42" s="5">
        <f t="shared" si="225"/>
        <v>189.68665806752665</v>
      </c>
      <c r="HC42" s="343">
        <f t="shared" si="449"/>
        <v>-135.30675746747326</v>
      </c>
      <c r="HD42" s="345">
        <f t="shared" si="450"/>
        <v>-23.095980687697072</v>
      </c>
      <c r="HE42" s="344">
        <f t="shared" si="58"/>
        <v>360</v>
      </c>
      <c r="HF42" s="5">
        <f t="shared" si="59"/>
        <v>279.68665806752665</v>
      </c>
      <c r="HG42" s="343">
        <f t="shared" si="451"/>
        <v>60.573543641363301</v>
      </c>
      <c r="HH42" s="349">
        <f t="shared" si="452"/>
        <v>-354.86736368779793</v>
      </c>
      <c r="HI42" s="317">
        <f t="shared" si="453"/>
        <v>4.13</v>
      </c>
      <c r="HJ42" s="336"/>
      <c r="HK42" s="310">
        <f t="shared" ref="HK42:HK73" si="506">IF(ISNUMBER(HS42),HK41+1,"")</f>
        <v>34</v>
      </c>
      <c r="HL42" s="348">
        <f t="shared" si="454"/>
        <v>2.1339999999999999</v>
      </c>
      <c r="HM42" s="935">
        <f t="shared" si="455"/>
        <v>11.632118100749265</v>
      </c>
      <c r="HN42" s="936">
        <f t="shared" si="456"/>
        <v>18.299997357807271</v>
      </c>
      <c r="HO42" s="937"/>
      <c r="HP42" s="938"/>
      <c r="HQ42" s="936">
        <f t="shared" si="457"/>
        <v>17.462047315449588</v>
      </c>
      <c r="HR42" s="939">
        <f t="shared" si="458"/>
        <v>13.390603957603565</v>
      </c>
      <c r="HS42" s="940">
        <f t="shared" ref="HS42:HS73" si="507">IFERROR(SMALL($GJ$9:$GJ$150,($HK41+1)),"")</f>
        <v>5.2811000000000003</v>
      </c>
      <c r="HT42" s="941">
        <f t="shared" si="459"/>
        <v>1.01E-2</v>
      </c>
      <c r="HU42" s="942">
        <f t="shared" si="460"/>
        <v>0.33514309763469124</v>
      </c>
      <c r="HV42" s="943">
        <f t="shared" si="461"/>
        <v>1.8567081217245481E-2</v>
      </c>
      <c r="HW42" s="944">
        <f t="shared" si="462"/>
        <v>30000</v>
      </c>
      <c r="HX42" s="947">
        <f t="shared" si="463"/>
        <v>133.34777500000001</v>
      </c>
      <c r="HY42" s="952">
        <f t="shared" si="464"/>
        <v>172.47701673077378</v>
      </c>
      <c r="HZ42" s="953">
        <f t="shared" si="465"/>
        <v>837.85774408672819</v>
      </c>
      <c r="IA42" s="954">
        <f t="shared" si="466"/>
        <v>203.64301898827122</v>
      </c>
      <c r="IB42" s="955">
        <f t="shared" si="467"/>
        <v>1213.9777798057733</v>
      </c>
      <c r="IC42" s="842">
        <f t="shared" si="468"/>
        <v>62.373996586244921</v>
      </c>
      <c r="ID42" s="351">
        <f t="shared" si="469"/>
        <v>303</v>
      </c>
      <c r="IE42" s="844">
        <f t="shared" si="470"/>
        <v>73.644762716496544</v>
      </c>
      <c r="IF42" s="845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0"/>
        <v>4.13</v>
      </c>
      <c r="IJ42" s="96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71"/>
        <v>1613</v>
      </c>
      <c r="IM42" s="482" t="str">
        <f t="shared" si="231"/>
        <v/>
      </c>
      <c r="IN42" s="670" t="str">
        <f t="shared" si="472"/>
        <v/>
      </c>
      <c r="IO42" s="702"/>
      <c r="IP42" s="5" t="str">
        <f t="shared" si="473"/>
        <v/>
      </c>
      <c r="IQ42" s="714"/>
      <c r="IR42" s="9" t="str">
        <f t="shared" si="474"/>
        <v/>
      </c>
      <c r="IS42" s="5" t="str">
        <f t="shared" si="475"/>
        <v/>
      </c>
      <c r="IT42" s="5" t="str">
        <f t="shared" si="476"/>
        <v/>
      </c>
      <c r="IU42" s="5" t="str">
        <f t="shared" si="477"/>
        <v/>
      </c>
      <c r="IV42" s="670" t="str">
        <f t="shared" si="478"/>
        <v/>
      </c>
      <c r="IW42" s="9" t="str">
        <f t="shared" si="479"/>
        <v/>
      </c>
      <c r="IX42" s="5" t="str">
        <f t="shared" si="480"/>
        <v/>
      </c>
      <c r="IY42" s="5" t="str">
        <f t="shared" si="481"/>
        <v/>
      </c>
      <c r="IZ42" s="5" t="str">
        <f t="shared" si="482"/>
        <v/>
      </c>
      <c r="JA42" s="705" t="str">
        <f t="shared" si="483"/>
        <v/>
      </c>
    </row>
    <row r="43" spans="1:269" ht="15" customHeight="1" x14ac:dyDescent="0.25">
      <c r="A43" s="75">
        <f t="shared" si="308"/>
        <v>0</v>
      </c>
      <c r="B43" s="578">
        <f t="shared" ref="B43:D43" si="508">IFERROR(O198+($A43*-E43),"")</f>
        <v>-0.86028941066753417</v>
      </c>
      <c r="C43" s="572">
        <f t="shared" si="508"/>
        <v>-5.1965872238584172</v>
      </c>
      <c r="D43" s="576">
        <f t="shared" si="508"/>
        <v>-1.02130308025009</v>
      </c>
      <c r="E43" s="580">
        <f t="shared" ref="E43:K43" si="509">R198</f>
        <v>0.89437649265582309</v>
      </c>
      <c r="F43" s="572">
        <f t="shared" si="509"/>
        <v>-0.39013041695101824</v>
      </c>
      <c r="G43" s="579">
        <f t="shared" si="509"/>
        <v>0.21883543395504557</v>
      </c>
      <c r="H43" s="580">
        <f t="shared" si="509"/>
        <v>0.3125</v>
      </c>
      <c r="I43" s="572">
        <f t="shared" si="509"/>
        <v>0.52</v>
      </c>
      <c r="J43" s="483">
        <f t="shared" si="92"/>
        <v>4.1360000000000001</v>
      </c>
      <c r="K43" s="806">
        <f t="shared" si="509"/>
        <v>1613</v>
      </c>
      <c r="L43" s="309"/>
      <c r="M43" s="164">
        <f t="shared" si="311"/>
        <v>4.1360000000000001</v>
      </c>
      <c r="N43" s="575">
        <f t="shared" si="312"/>
        <v>-0.86028941066753417</v>
      </c>
      <c r="O43" s="572">
        <f t="shared" si="313"/>
        <v>-5.1965872238584172</v>
      </c>
      <c r="P43" s="576">
        <f t="shared" si="314"/>
        <v>-1.02130308025009</v>
      </c>
      <c r="Q43" s="528">
        <f t="shared" si="134"/>
        <v>260.60000027432602</v>
      </c>
      <c r="R43" s="572">
        <f t="shared" si="486"/>
        <v>5.2673158862247123</v>
      </c>
      <c r="S43" s="577">
        <f t="shared" si="487"/>
        <v>-1.02130308025009</v>
      </c>
      <c r="T43" s="578">
        <f t="shared" si="488"/>
        <v>-5.1967372935148113</v>
      </c>
      <c r="U43" s="572">
        <f t="shared" si="489"/>
        <v>0.85938242213090354</v>
      </c>
      <c r="V43" s="579">
        <f t="shared" si="490"/>
        <v>-1.02130308025009</v>
      </c>
      <c r="W43" s="528">
        <f t="shared" si="256"/>
        <v>170.61000027288219</v>
      </c>
      <c r="X43" s="572">
        <f t="shared" si="491"/>
        <v>5.2673158862247123</v>
      </c>
      <c r="Y43" s="573">
        <f t="shared" si="259"/>
        <v>-1.02130308025009</v>
      </c>
      <c r="Z43" s="575">
        <f t="shared" si="315"/>
        <v>-0.89437649265582309</v>
      </c>
      <c r="AA43" s="572">
        <f t="shared" si="316"/>
        <v>0.39013041695101824</v>
      </c>
      <c r="AB43" s="572">
        <f t="shared" si="317"/>
        <v>-0.21883543395504557</v>
      </c>
      <c r="AC43" s="579">
        <f t="shared" si="492"/>
        <v>1</v>
      </c>
      <c r="AD43" s="580">
        <f t="shared" si="493"/>
        <v>-0.89437649265582309</v>
      </c>
      <c r="AE43" s="572">
        <f t="shared" si="494"/>
        <v>0.39013041695101824</v>
      </c>
      <c r="AF43" s="576">
        <f t="shared" si="495"/>
        <v>-0.21883543395504557</v>
      </c>
      <c r="AG43" s="545">
        <f t="shared" si="496"/>
        <v>60.710672602346222</v>
      </c>
      <c r="AH43" s="546">
        <f t="shared" si="497"/>
        <v>153.42845422626331</v>
      </c>
      <c r="AI43" s="528">
        <f t="shared" si="498"/>
        <v>-77.359358357760811</v>
      </c>
      <c r="AJ43" s="529">
        <f t="shared" si="499"/>
        <v>-113.5670122485612</v>
      </c>
      <c r="AK43" s="578">
        <f t="shared" si="500"/>
        <v>0.94608537425473593</v>
      </c>
      <c r="AL43" s="572">
        <f t="shared" si="501"/>
        <v>-0.23881691202044958</v>
      </c>
      <c r="AM43" s="577">
        <f t="shared" si="502"/>
        <v>-0.21883543395504557</v>
      </c>
      <c r="AN43" s="524">
        <f t="shared" si="503"/>
        <v>-47.499993141849473</v>
      </c>
      <c r="AO43" s="525">
        <f t="shared" si="108"/>
        <v>18.899997271178005</v>
      </c>
      <c r="AP43" s="528">
        <f t="shared" si="504"/>
        <v>-14.167012522887221</v>
      </c>
      <c r="AQ43" s="529">
        <f t="shared" si="318"/>
        <v>0.26572093145093395</v>
      </c>
      <c r="AS43" s="900">
        <f t="shared" ref="AS43:AS74" si="510">IF(G43="","",IF(AND(W43&lt;(AS42+180),W43&gt;(AS42-180)),W43,IF(W43&gt;(AS42+180),W43-360,IF(W43&lt;(AS42-180),W43+360,"Error"))))</f>
        <v>-189.38999972711781</v>
      </c>
      <c r="AT43" s="896">
        <f t="shared" si="319"/>
        <v>-0.94055114238255455</v>
      </c>
      <c r="AU43" s="418"/>
      <c r="AV43" s="164">
        <f t="shared" si="320"/>
        <v>4.1360000000000001</v>
      </c>
      <c r="AW43" s="829">
        <f>IFERROR(INDEX(MassProp!C$9:C$150,MATCH($M43,MassProp!$B$9:$B$150,0)),"")</f>
        <v>5.4622999999999999</v>
      </c>
      <c r="AX43" s="830">
        <f>IFERROR(INDEX(MassProp!D$9:D$150,MATCH($M43,MassProp!$B$9:$B$150,0)),"")</f>
        <v>-0.60089999999999999</v>
      </c>
      <c r="AY43" s="831">
        <f>IFERROR(INDEX(MassProp!E$9:E$150,MATCH($M43,MassProp!$B$9:$B$150,0)),"")</f>
        <v>9.1999999999999998E-3</v>
      </c>
      <c r="AZ43" s="297">
        <f t="shared" si="321"/>
        <v>0.31575307410837283</v>
      </c>
      <c r="BA43" s="296">
        <f t="shared" si="322"/>
        <v>1.7492865026733705E-2</v>
      </c>
      <c r="BB43" s="190">
        <f t="shared" si="139"/>
        <v>0.18616277028953132</v>
      </c>
      <c r="BC43" s="9"/>
      <c r="BD43" s="5">
        <f t="shared" si="323"/>
        <v>5.4622999999999999</v>
      </c>
      <c r="BE43" s="6">
        <f t="shared" si="324"/>
        <v>-0.83514030996055866</v>
      </c>
      <c r="BF43" s="4">
        <f t="shared" si="325"/>
        <v>-0.86028941066753417</v>
      </c>
      <c r="BG43" s="5">
        <f t="shared" si="326"/>
        <v>-5.1965872238584172</v>
      </c>
      <c r="BH43" s="10">
        <f t="shared" si="327"/>
        <v>-1.02130308025009</v>
      </c>
      <c r="BI43" s="9">
        <f t="shared" si="328"/>
        <v>-0.86028941066753417</v>
      </c>
      <c r="BJ43" s="5">
        <f t="shared" si="329"/>
        <v>-4.7073672227304773</v>
      </c>
      <c r="BK43" s="8">
        <f t="shared" si="330"/>
        <v>-0.14914266467484838</v>
      </c>
      <c r="BL43" s="173">
        <f t="shared" si="331"/>
        <v>-0.412974432844671</v>
      </c>
      <c r="BM43" s="5">
        <f t="shared" si="332"/>
        <v>-4.4165474503429873</v>
      </c>
      <c r="BN43" s="6">
        <f t="shared" si="333"/>
        <v>-1.458849948995975</v>
      </c>
      <c r="BO43" s="4">
        <f t="shared" si="334"/>
        <v>-0.89437649265582342</v>
      </c>
      <c r="BP43" s="5">
        <f t="shared" si="335"/>
        <v>0.3901304169510183</v>
      </c>
      <c r="BQ43" s="5">
        <f t="shared" si="336"/>
        <v>-0.21883543395504579</v>
      </c>
      <c r="BR43" s="6">
        <f t="shared" si="337"/>
        <v>1.0344268118182907</v>
      </c>
      <c r="BS43" s="4">
        <f t="shared" si="505"/>
        <v>0</v>
      </c>
      <c r="BT43" s="5">
        <f t="shared" si="505"/>
        <v>0</v>
      </c>
      <c r="BU43" s="10">
        <f t="shared" si="111"/>
        <v>-0.83514030996055866</v>
      </c>
      <c r="BV43" s="9">
        <f t="shared" si="112"/>
        <v>0</v>
      </c>
      <c r="BW43" s="5">
        <f t="shared" si="113"/>
        <v>1</v>
      </c>
      <c r="BX43" s="8">
        <f t="shared" si="114"/>
        <v>-0.83514030996055866</v>
      </c>
      <c r="BY43" s="173">
        <f t="shared" si="115"/>
        <v>1</v>
      </c>
      <c r="BZ43" s="5">
        <f t="shared" si="116"/>
        <v>0</v>
      </c>
      <c r="CA43" s="6">
        <f t="shared" si="117"/>
        <v>-0.83514030996055866</v>
      </c>
      <c r="CB43" s="4">
        <f t="shared" si="338"/>
        <v>0</v>
      </c>
      <c r="CC43" s="5">
        <f t="shared" si="339"/>
        <v>0</v>
      </c>
      <c r="CD43" s="5">
        <f t="shared" si="340"/>
        <v>-1</v>
      </c>
      <c r="CE43" s="6">
        <f t="shared" si="341"/>
        <v>-0.83514030996055866</v>
      </c>
      <c r="CF43" s="4">
        <f t="shared" si="342"/>
        <v>-0.3901304169510183</v>
      </c>
      <c r="CG43" s="5">
        <f t="shared" si="343"/>
        <v>-0.89437649265582342</v>
      </c>
      <c r="CH43" s="5">
        <f t="shared" si="344"/>
        <v>0</v>
      </c>
      <c r="CI43" s="4">
        <f t="shared" si="118"/>
        <v>0</v>
      </c>
      <c r="CJ43" s="5">
        <f t="shared" si="345"/>
        <v>-3.1199441291312624</v>
      </c>
      <c r="CK43" s="8">
        <f t="shared" si="346"/>
        <v>-0.83514030996055866</v>
      </c>
      <c r="CL43" s="173">
        <f t="shared" si="347"/>
        <v>-0.3901304169510183</v>
      </c>
      <c r="CM43" s="5">
        <f t="shared" si="348"/>
        <v>-4.0143206217870855</v>
      </c>
      <c r="CN43" s="6">
        <f t="shared" si="349"/>
        <v>-0.83514030996055866</v>
      </c>
      <c r="CO43" s="167">
        <f t="shared" si="350"/>
        <v>0.3125</v>
      </c>
      <c r="CP43" s="4">
        <f t="shared" si="351"/>
        <v>0.95211105284570696</v>
      </c>
      <c r="CQ43" s="5">
        <f t="shared" si="352"/>
        <v>-4.3858516680845554</v>
      </c>
      <c r="CR43" s="5">
        <f t="shared" si="353"/>
        <v>4.9895447400265454</v>
      </c>
      <c r="CS43" s="8">
        <f t="shared" si="354"/>
        <v>0.23329207185034306</v>
      </c>
      <c r="CT43" s="9">
        <f t="shared" si="154"/>
        <v>2.5568733991119847</v>
      </c>
      <c r="CU43" s="6">
        <f t="shared" si="355"/>
        <v>2.0495762949399325</v>
      </c>
      <c r="CV43" s="4">
        <f t="shared" si="356"/>
        <v>-0.99751408528652608</v>
      </c>
      <c r="CW43" s="5">
        <f t="shared" si="357"/>
        <v>-5.4067515919940119</v>
      </c>
      <c r="CX43" s="8">
        <f t="shared" si="358"/>
        <v>-0.83514030996055866</v>
      </c>
      <c r="CY43" s="9">
        <f t="shared" si="359"/>
        <v>-0.79960205451783917</v>
      </c>
      <c r="CZ43" s="5">
        <f t="shared" si="360"/>
        <v>-4.9530369872301563</v>
      </c>
      <c r="DA43" s="6">
        <f t="shared" si="361"/>
        <v>-0.83514030996055866</v>
      </c>
      <c r="DB43" s="4">
        <f t="shared" ref="DB43:DC53" si="511">IF(ISNUMBER($AV43),0,"")</f>
        <v>0</v>
      </c>
      <c r="DC43" s="5">
        <f t="shared" si="511"/>
        <v>0</v>
      </c>
      <c r="DD43" s="10">
        <f t="shared" si="162"/>
        <v>-10</v>
      </c>
      <c r="DE43" s="9">
        <f t="shared" ref="DE43:DF53" si="512">IF(ISNUMBER($AV43),0,"")</f>
        <v>0</v>
      </c>
      <c r="DF43" s="5">
        <f t="shared" si="512"/>
        <v>0</v>
      </c>
      <c r="DG43" s="10">
        <f t="shared" si="164"/>
        <v>10</v>
      </c>
      <c r="DH43" s="70">
        <f t="shared" si="362"/>
        <v>5.4622999999999999</v>
      </c>
      <c r="DI43" s="4">
        <f t="shared" si="363"/>
        <v>0</v>
      </c>
      <c r="DJ43" s="5">
        <f t="shared" si="364"/>
        <v>0</v>
      </c>
      <c r="DK43" s="10">
        <f t="shared" si="365"/>
        <v>20</v>
      </c>
      <c r="DL43" s="9">
        <f t="shared" si="366"/>
        <v>-0.99751408528652608</v>
      </c>
      <c r="DM43" s="173">
        <f t="shared" si="367"/>
        <v>-5.4067515919940119</v>
      </c>
      <c r="DN43" s="178">
        <f t="shared" si="368"/>
        <v>9.1648596900394406</v>
      </c>
      <c r="DO43" s="9">
        <f t="shared" si="369"/>
        <v>0.19791203076868691</v>
      </c>
      <c r="DP43" s="173">
        <f t="shared" si="370"/>
        <v>0.45371460476385561</v>
      </c>
      <c r="DQ43" s="11">
        <f t="shared" si="371"/>
        <v>0</v>
      </c>
      <c r="DR43" s="173">
        <f t="shared" si="372"/>
        <v>183.29719380078882</v>
      </c>
      <c r="DS43" s="5">
        <f t="shared" si="373"/>
        <v>0</v>
      </c>
      <c r="DT43" s="5">
        <f t="shared" si="374"/>
        <v>400</v>
      </c>
      <c r="DU43" s="5">
        <f t="shared" si="375"/>
        <v>0.24502611449900741</v>
      </c>
      <c r="DV43" s="5">
        <f t="shared" si="376"/>
        <v>-2.6505421999573358</v>
      </c>
      <c r="DW43" s="5">
        <f t="shared" si="377"/>
        <v>114.22265026598463</v>
      </c>
      <c r="DX43" s="167">
        <f t="shared" si="378"/>
        <v>84.385928975984626</v>
      </c>
      <c r="DY43" s="9">
        <f t="shared" si="379"/>
        <v>98.010445799602962</v>
      </c>
      <c r="DZ43" s="5">
        <f t="shared" si="380"/>
        <v>-1060.2168799829342</v>
      </c>
      <c r="EA43" s="10">
        <f t="shared" si="381"/>
        <v>156.51033514991286</v>
      </c>
      <c r="EB43" s="6">
        <f t="shared" si="382"/>
        <v>1108720.1848804592</v>
      </c>
      <c r="EC43" s="173">
        <f t="shared" si="383"/>
        <v>21.560709059906433</v>
      </c>
      <c r="ED43" s="5">
        <f t="shared" si="384"/>
        <v>7.4064077452955596E-2</v>
      </c>
      <c r="EE43" s="4">
        <f t="shared" si="385"/>
        <v>3.2696096295723827</v>
      </c>
      <c r="EF43" s="5">
        <f t="shared" si="386"/>
        <v>4.3756569975499167</v>
      </c>
      <c r="EG43" s="10">
        <f t="shared" si="387"/>
        <v>-0.83514030996055866</v>
      </c>
      <c r="EH43" s="9">
        <f t="shared" si="388"/>
        <v>-0.98285591331080235</v>
      </c>
      <c r="EI43" s="5">
        <f t="shared" si="389"/>
        <v>-5.3731476383652446</v>
      </c>
      <c r="EJ43" s="6">
        <f t="shared" si="390"/>
        <v>-0.83514030996055866</v>
      </c>
      <c r="EK43" s="236" t="b">
        <f t="shared" si="194"/>
        <v>0</v>
      </c>
      <c r="EL43" s="238" t="b">
        <f t="shared" si="195"/>
        <v>1</v>
      </c>
      <c r="EM43" s="4">
        <f t="shared" si="391"/>
        <v>-0.98285591331080235</v>
      </c>
      <c r="EN43" s="5">
        <f t="shared" si="392"/>
        <v>-5.3731476383652446</v>
      </c>
      <c r="EO43" s="10">
        <f t="shared" si="393"/>
        <v>-0.83514030996055866</v>
      </c>
      <c r="EP43" s="9">
        <f t="shared" si="394"/>
        <v>259.63405862320599</v>
      </c>
      <c r="EQ43" s="5">
        <f t="shared" si="395"/>
        <v>5.4623000000000017</v>
      </c>
      <c r="ER43" s="7">
        <f t="shared" si="396"/>
        <v>-0.83514030996055866</v>
      </c>
      <c r="ES43" s="21">
        <f t="shared" si="397"/>
        <v>-0.89437649265582309</v>
      </c>
      <c r="ET43" s="5">
        <f t="shared" si="398"/>
        <v>0.39013041695101824</v>
      </c>
      <c r="EU43" s="10">
        <f t="shared" si="399"/>
        <v>-0.21883543395504557</v>
      </c>
      <c r="EV43" s="174">
        <f t="shared" si="400"/>
        <v>190.36594137679401</v>
      </c>
      <c r="EW43" s="9">
        <f t="shared" si="401"/>
        <v>0.94997691935370487</v>
      </c>
      <c r="EX43" s="5">
        <f t="shared" si="402"/>
        <v>-0.22283380699739266</v>
      </c>
      <c r="EY43" s="6">
        <f t="shared" si="403"/>
        <v>-0.21883543395504557</v>
      </c>
      <c r="EZ43" s="51">
        <f t="shared" si="203"/>
        <v>0.2562357957531195</v>
      </c>
      <c r="FA43" s="266">
        <f t="shared" si="126"/>
        <v>-0.9836687670837444</v>
      </c>
      <c r="FB43" s="267">
        <f t="shared" si="127"/>
        <v>0.17993264461304745</v>
      </c>
      <c r="FC43" s="269">
        <f t="shared" si="38"/>
        <v>-4.4721433900312716E-3</v>
      </c>
      <c r="FD43" s="4">
        <f t="shared" si="404"/>
        <v>0.99998999991674875</v>
      </c>
      <c r="FE43" s="5">
        <f t="shared" si="405"/>
        <v>-2.7755575615628914E-16</v>
      </c>
      <c r="FF43" s="7">
        <f t="shared" si="406"/>
        <v>-4.4721433900312716E-3</v>
      </c>
      <c r="FG43" s="173">
        <f t="shared" si="407"/>
        <v>-5.0013080563043877E-2</v>
      </c>
      <c r="FH43" s="5">
        <f t="shared" si="408"/>
        <v>-0.22283380699739239</v>
      </c>
      <c r="FI43" s="10">
        <f t="shared" si="409"/>
        <v>-0.2143632905650143</v>
      </c>
      <c r="FJ43" s="279">
        <f t="shared" si="410"/>
        <v>18.020464535334835</v>
      </c>
      <c r="FK43" s="4">
        <f t="shared" si="411"/>
        <v>0.97576178078755826</v>
      </c>
      <c r="FL43" s="5">
        <f t="shared" si="412"/>
        <v>0.99998999991674864</v>
      </c>
      <c r="FM43" s="8">
        <f t="shared" si="413"/>
        <v>0.2283773495081258</v>
      </c>
      <c r="FN43" s="9">
        <f t="shared" si="414"/>
        <v>13.20107087176719</v>
      </c>
      <c r="FO43" s="10">
        <f t="shared" si="415"/>
        <v>1</v>
      </c>
      <c r="FP43" s="277">
        <f t="shared" si="416"/>
        <v>13.20107087176719</v>
      </c>
      <c r="FQ43" s="173">
        <f t="shared" si="417"/>
        <v>0.22836906649237554</v>
      </c>
      <c r="FR43" s="10">
        <f t="shared" si="418"/>
        <v>0.97357463477095629</v>
      </c>
      <c r="FS43" s="9">
        <f t="shared" si="419"/>
        <v>0.18999980302932887</v>
      </c>
      <c r="FT43" s="6">
        <f t="shared" si="420"/>
        <v>0.81000019697067116</v>
      </c>
      <c r="FU43" s="4">
        <f t="shared" si="421"/>
        <v>0.97485644812918415</v>
      </c>
      <c r="FV43" s="5">
        <f t="shared" si="422"/>
        <v>1</v>
      </c>
      <c r="FW43" s="8">
        <f t="shared" si="423"/>
        <v>0.2201202593339974</v>
      </c>
      <c r="FX43" s="9">
        <f t="shared" si="424"/>
        <v>12.716045792103781</v>
      </c>
      <c r="FY43" s="10">
        <f t="shared" si="425"/>
        <v>1</v>
      </c>
      <c r="FZ43" s="277">
        <f t="shared" si="426"/>
        <v>12.716045792103781</v>
      </c>
      <c r="GA43" s="177">
        <f t="shared" si="427"/>
        <v>12.395721138601543</v>
      </c>
      <c r="GB43" s="4">
        <f t="shared" si="428"/>
        <v>-0.22276784408972566</v>
      </c>
      <c r="GC43" s="5">
        <f t="shared" si="429"/>
        <v>0.9496957087032144</v>
      </c>
      <c r="GD43" s="10">
        <f t="shared" si="430"/>
        <v>-0.22011939603386832</v>
      </c>
      <c r="GE43" s="311">
        <f t="shared" si="431"/>
        <v>1.3925829488268084</v>
      </c>
      <c r="GF43" s="341">
        <f t="shared" si="432"/>
        <v>0.71809007918878887</v>
      </c>
      <c r="GG43" s="285">
        <f t="shared" si="433"/>
        <v>0.15996737880310688</v>
      </c>
      <c r="GH43" s="286">
        <f t="shared" si="434"/>
        <v>0.68196706666794416</v>
      </c>
      <c r="GI43" s="281">
        <f t="shared" si="435"/>
        <v>0.15806555452894888</v>
      </c>
      <c r="GJ43" s="167">
        <f t="shared" si="436"/>
        <v>5.4622999999999999</v>
      </c>
      <c r="GK43" s="174">
        <f t="shared" si="49"/>
        <v>2.8600821930106233</v>
      </c>
      <c r="GL43" s="174">
        <f t="shared" si="437"/>
        <v>9.1999999999999998E-3</v>
      </c>
      <c r="GM43" s="177">
        <f t="shared" si="438"/>
        <v>0.31575307410837283</v>
      </c>
      <c r="GN43" s="280">
        <f t="shared" si="439"/>
        <v>1.7492865026733705E-2</v>
      </c>
      <c r="GO43" s="4">
        <f t="shared" si="440"/>
        <v>13.20107087176719</v>
      </c>
      <c r="GP43" s="8">
        <f t="shared" si="441"/>
        <v>12.716045792103781</v>
      </c>
      <c r="GQ43" s="177">
        <f t="shared" si="442"/>
        <v>18.020464535334835</v>
      </c>
      <c r="GR43" s="371">
        <f t="shared" si="443"/>
        <v>1157.508513025145</v>
      </c>
      <c r="GS43" s="342">
        <f t="shared" si="444"/>
        <v>185.16360277091434</v>
      </c>
      <c r="GT43" s="343">
        <f t="shared" si="445"/>
        <v>64.740657881585079</v>
      </c>
      <c r="GU43" s="344">
        <f t="shared" si="53"/>
        <v>789.38268527093203</v>
      </c>
      <c r="GV43" s="343">
        <f t="shared" si="446"/>
        <v>276</v>
      </c>
      <c r="GW43" s="345">
        <f t="shared" si="129"/>
        <v>30000</v>
      </c>
      <c r="GX43" s="346">
        <f t="shared" si="54"/>
        <v>125.63289999999999</v>
      </c>
      <c r="GY43" s="344">
        <f t="shared" si="447"/>
        <v>182.9622249832986</v>
      </c>
      <c r="GZ43" s="345">
        <f t="shared" si="448"/>
        <v>63.97096748842246</v>
      </c>
      <c r="HA43" s="342">
        <f t="shared" si="57"/>
        <v>185.16360277091434</v>
      </c>
      <c r="HB43" s="5">
        <f t="shared" si="225"/>
        <v>190.36594137679401</v>
      </c>
      <c r="HC43" s="343">
        <f t="shared" si="449"/>
        <v>-182.14147427635581</v>
      </c>
      <c r="HD43" s="345">
        <f t="shared" si="450"/>
        <v>-33.317309908523157</v>
      </c>
      <c r="HE43" s="344">
        <f t="shared" si="58"/>
        <v>276</v>
      </c>
      <c r="HF43" s="5">
        <f t="shared" si="59"/>
        <v>280.36594137679401</v>
      </c>
      <c r="HG43" s="343">
        <f t="shared" si="451"/>
        <v>49.661906536400785</v>
      </c>
      <c r="HH43" s="349">
        <f t="shared" si="452"/>
        <v>-271.49529469066272</v>
      </c>
      <c r="HI43" s="317">
        <f t="shared" si="453"/>
        <v>4.1360000000000001</v>
      </c>
      <c r="HJ43" s="336"/>
      <c r="HK43" s="310">
        <f t="shared" si="506"/>
        <v>35</v>
      </c>
      <c r="HL43" s="348">
        <f t="shared" si="454"/>
        <v>1.135</v>
      </c>
      <c r="HM43" s="935">
        <f t="shared" si="455"/>
        <v>12.478192127779066</v>
      </c>
      <c r="HN43" s="936">
        <f t="shared" si="456"/>
        <v>18.599997314492636</v>
      </c>
      <c r="HO43" s="937"/>
      <c r="HP43" s="938"/>
      <c r="HQ43" s="936">
        <f t="shared" si="457"/>
        <v>17.780273906306054</v>
      </c>
      <c r="HR43" s="939">
        <f t="shared" si="458"/>
        <v>13.078820439146021</v>
      </c>
      <c r="HS43" s="940">
        <f t="shared" si="507"/>
        <v>5.3849999999999998</v>
      </c>
      <c r="HT43" s="941">
        <f t="shared" si="459"/>
        <v>1.77E-2</v>
      </c>
      <c r="HU43" s="942">
        <f t="shared" si="460"/>
        <v>0.59888482802822895</v>
      </c>
      <c r="HV43" s="943">
        <f t="shared" si="461"/>
        <v>3.3178493963484858E-2</v>
      </c>
      <c r="HW43" s="944">
        <f t="shared" si="462"/>
        <v>30000</v>
      </c>
      <c r="HX43" s="947">
        <f t="shared" si="463"/>
        <v>238.28625</v>
      </c>
      <c r="HY43" s="952">
        <f t="shared" si="464"/>
        <v>331.32609942344271</v>
      </c>
      <c r="HZ43" s="953">
        <f t="shared" si="465"/>
        <v>1497.2120700705723</v>
      </c>
      <c r="IA43" s="954">
        <f t="shared" si="466"/>
        <v>356.24387274675075</v>
      </c>
      <c r="IB43" s="955">
        <f t="shared" si="467"/>
        <v>2184.7820422407658</v>
      </c>
      <c r="IC43" s="842">
        <f t="shared" si="468"/>
        <v>117.50784161495257</v>
      </c>
      <c r="ID43" s="351">
        <f t="shared" si="469"/>
        <v>531</v>
      </c>
      <c r="IE43" s="844">
        <f t="shared" si="470"/>
        <v>126.3451585850548</v>
      </c>
      <c r="IF43" s="845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0"/>
        <v>4.1360000000000001</v>
      </c>
      <c r="IJ43" s="96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71"/>
        <v>1613</v>
      </c>
      <c r="IM43" s="482" t="str">
        <f t="shared" si="231"/>
        <v/>
      </c>
      <c r="IN43" s="670" t="str">
        <f t="shared" si="472"/>
        <v/>
      </c>
      <c r="IO43" s="702"/>
      <c r="IP43" s="5" t="str">
        <f t="shared" si="473"/>
        <v/>
      </c>
      <c r="IQ43" s="714"/>
      <c r="IR43" s="9" t="str">
        <f t="shared" si="474"/>
        <v/>
      </c>
      <c r="IS43" s="5" t="str">
        <f t="shared" si="475"/>
        <v/>
      </c>
      <c r="IT43" s="5" t="str">
        <f t="shared" si="476"/>
        <v/>
      </c>
      <c r="IU43" s="5" t="str">
        <f t="shared" si="477"/>
        <v/>
      </c>
      <c r="IV43" s="670" t="str">
        <f t="shared" si="478"/>
        <v/>
      </c>
      <c r="IW43" s="9" t="str">
        <f t="shared" si="479"/>
        <v/>
      </c>
      <c r="IX43" s="5" t="str">
        <f t="shared" si="480"/>
        <v/>
      </c>
      <c r="IY43" s="5" t="str">
        <f t="shared" si="481"/>
        <v/>
      </c>
      <c r="IZ43" s="5" t="str">
        <f t="shared" si="482"/>
        <v/>
      </c>
      <c r="JA43" s="705" t="str">
        <f t="shared" si="483"/>
        <v/>
      </c>
    </row>
    <row r="44" spans="1:269" ht="15" customHeight="1" x14ac:dyDescent="0.25">
      <c r="A44" s="75">
        <f t="shared" si="308"/>
        <v>0</v>
      </c>
      <c r="B44" s="578">
        <f t="shared" ref="B44:D44" si="513">IFERROR(O199+($A44*-E44),"")</f>
        <v>-0.97186356151239295</v>
      </c>
      <c r="C44" s="572">
        <f t="shared" si="513"/>
        <v>-5.5570736138231327</v>
      </c>
      <c r="D44" s="576">
        <f t="shared" si="513"/>
        <v>-1.6687050328143791</v>
      </c>
      <c r="E44" s="580">
        <f t="shared" ref="E44:K44" si="514">R199</f>
        <v>0.85785633561949537</v>
      </c>
      <c r="F44" s="572">
        <f t="shared" si="514"/>
        <v>-0.48443533445850329</v>
      </c>
      <c r="G44" s="579">
        <f t="shared" si="514"/>
        <v>0.17147861139387038</v>
      </c>
      <c r="H44" s="580">
        <f t="shared" si="514"/>
        <v>0.3125</v>
      </c>
      <c r="I44" s="572">
        <f t="shared" si="514"/>
        <v>0.52</v>
      </c>
      <c r="J44" s="483">
        <f t="shared" si="92"/>
        <v>4.1420000000000003</v>
      </c>
      <c r="K44" s="806">
        <f t="shared" si="514"/>
        <v>1613</v>
      </c>
      <c r="L44" s="309"/>
      <c r="M44" s="164">
        <f t="shared" si="311"/>
        <v>4.1420000000000003</v>
      </c>
      <c r="N44" s="575">
        <f t="shared" si="312"/>
        <v>-0.97186356151239295</v>
      </c>
      <c r="O44" s="572">
        <f t="shared" si="313"/>
        <v>-5.5570736138231327</v>
      </c>
      <c r="P44" s="576">
        <f t="shared" si="314"/>
        <v>-1.6687050328143791</v>
      </c>
      <c r="Q44" s="528">
        <f t="shared" si="134"/>
        <v>260.08000034940471</v>
      </c>
      <c r="R44" s="572">
        <f t="shared" si="486"/>
        <v>5.6414170145137152</v>
      </c>
      <c r="S44" s="577">
        <f t="shared" si="487"/>
        <v>-1.6687050328143791</v>
      </c>
      <c r="T44" s="578">
        <f t="shared" si="488"/>
        <v>-5.5572431513490193</v>
      </c>
      <c r="U44" s="572">
        <f t="shared" si="489"/>
        <v>0.97089365454166099</v>
      </c>
      <c r="V44" s="579">
        <f t="shared" si="490"/>
        <v>-1.6687050328143791</v>
      </c>
      <c r="W44" s="528">
        <f t="shared" si="256"/>
        <v>170.09000034796088</v>
      </c>
      <c r="X44" s="572">
        <f t="shared" si="491"/>
        <v>5.6414170145137152</v>
      </c>
      <c r="Y44" s="573">
        <f t="shared" si="259"/>
        <v>-1.6687050328143791</v>
      </c>
      <c r="Z44" s="575">
        <f t="shared" si="315"/>
        <v>-0.85785633561949537</v>
      </c>
      <c r="AA44" s="572">
        <f t="shared" si="316"/>
        <v>0.48443533445850329</v>
      </c>
      <c r="AB44" s="572">
        <f t="shared" si="317"/>
        <v>-0.17147861139387038</v>
      </c>
      <c r="AC44" s="579">
        <f t="shared" si="492"/>
        <v>1</v>
      </c>
      <c r="AD44" s="580">
        <f t="shared" si="493"/>
        <v>-0.85785633561949537</v>
      </c>
      <c r="AE44" s="572">
        <f t="shared" si="494"/>
        <v>0.48443533445850329</v>
      </c>
      <c r="AF44" s="576">
        <f t="shared" si="495"/>
        <v>-0.17147861139387038</v>
      </c>
      <c r="AG44" s="545">
        <f t="shared" si="496"/>
        <v>70.507245299354253</v>
      </c>
      <c r="AH44" s="546">
        <f t="shared" si="497"/>
        <v>149.07673773049424</v>
      </c>
      <c r="AI44" s="528">
        <f t="shared" si="498"/>
        <v>-80.126200221788181</v>
      </c>
      <c r="AJ44" s="529">
        <f t="shared" si="499"/>
        <v>-119.453612744164</v>
      </c>
      <c r="AK44" s="578">
        <f t="shared" si="500"/>
        <v>0.92848584728191663</v>
      </c>
      <c r="AL44" s="572">
        <f t="shared" si="501"/>
        <v>-0.32940722097672925</v>
      </c>
      <c r="AM44" s="577">
        <f t="shared" si="502"/>
        <v>-0.17147861139387038</v>
      </c>
      <c r="AN44" s="524">
        <f t="shared" si="503"/>
        <v>-62.499990976117722</v>
      </c>
      <c r="AO44" s="525">
        <f t="shared" si="108"/>
        <v>21.799996852469864</v>
      </c>
      <c r="AP44" s="528">
        <f t="shared" si="504"/>
        <v>-19.533613093568732</v>
      </c>
      <c r="AQ44" s="529">
        <f t="shared" si="318"/>
        <v>0.2481003206567759</v>
      </c>
      <c r="AS44" s="900">
        <f t="shared" si="510"/>
        <v>-189.90999965203912</v>
      </c>
      <c r="AT44" s="896">
        <f t="shared" si="319"/>
        <v>-1.5877313895524974</v>
      </c>
      <c r="AU44" s="418"/>
      <c r="AV44" s="164">
        <f t="shared" si="320"/>
        <v>4.1420000000000003</v>
      </c>
      <c r="AW44" s="829">
        <f>IFERROR(INDEX(MassProp!C$9:C$150,MATCH($M44,MassProp!$B$9:$B$150,0)),"")</f>
        <v>5.8871000000000002</v>
      </c>
      <c r="AX44" s="830">
        <f>IFERROR(INDEX(MassProp!D$9:D$150,MATCH($M44,MassProp!$B$9:$B$150,0)),"")</f>
        <v>-1.3185</v>
      </c>
      <c r="AY44" s="831">
        <f>IFERROR(INDEX(MassProp!E$9:E$150,MATCH($M44,MassProp!$B$9:$B$150,0)),"")</f>
        <v>5.7000000000000002E-3</v>
      </c>
      <c r="AZ44" s="297">
        <f t="shared" si="321"/>
        <v>0.21084333441543626</v>
      </c>
      <c r="BA44" s="296">
        <f t="shared" si="322"/>
        <v>1.1680817363791748E-2</v>
      </c>
      <c r="BB44" s="190">
        <f t="shared" si="139"/>
        <v>0.11574301745947402</v>
      </c>
      <c r="BC44" s="9"/>
      <c r="BD44" s="5">
        <f t="shared" si="323"/>
        <v>5.8871000000000002</v>
      </c>
      <c r="BE44" s="6">
        <f t="shared" si="324"/>
        <v>-1.5529620153549051</v>
      </c>
      <c r="BF44" s="4">
        <f t="shared" si="325"/>
        <v>-0.97186356151239295</v>
      </c>
      <c r="BG44" s="5">
        <f t="shared" si="326"/>
        <v>-5.5570736138231327</v>
      </c>
      <c r="BH44" s="10">
        <f t="shared" si="327"/>
        <v>-1.6687050328143791</v>
      </c>
      <c r="BI44" s="9">
        <f t="shared" si="328"/>
        <v>-0.97186356151239295</v>
      </c>
      <c r="BJ44" s="5">
        <f t="shared" si="329"/>
        <v>-5.2233859583552125</v>
      </c>
      <c r="BK44" s="8">
        <f t="shared" si="330"/>
        <v>-0.72602133793665247</v>
      </c>
      <c r="BL44" s="173">
        <f t="shared" si="331"/>
        <v>-0.45797397469680856</v>
      </c>
      <c r="BM44" s="5">
        <f t="shared" si="332"/>
        <v>-4.74838643368708</v>
      </c>
      <c r="BN44" s="6">
        <f t="shared" si="333"/>
        <v>-1.9549611021755495</v>
      </c>
      <c r="BO44" s="4">
        <f t="shared" si="334"/>
        <v>-0.8578563356194947</v>
      </c>
      <c r="BP44" s="5">
        <f t="shared" si="335"/>
        <v>0.48443533445850329</v>
      </c>
      <c r="BQ44" s="5">
        <f t="shared" si="336"/>
        <v>-0.17147861139387022</v>
      </c>
      <c r="BR44" s="6">
        <f t="shared" si="337"/>
        <v>1.5721762792688283</v>
      </c>
      <c r="BS44" s="4">
        <f t="shared" si="505"/>
        <v>0</v>
      </c>
      <c r="BT44" s="5">
        <f t="shared" si="505"/>
        <v>0</v>
      </c>
      <c r="BU44" s="10">
        <f t="shared" si="111"/>
        <v>-1.5529620153549051</v>
      </c>
      <c r="BV44" s="9">
        <f t="shared" si="112"/>
        <v>0</v>
      </c>
      <c r="BW44" s="5">
        <f t="shared" si="113"/>
        <v>1</v>
      </c>
      <c r="BX44" s="8">
        <f t="shared" si="114"/>
        <v>-1.5529620153549051</v>
      </c>
      <c r="BY44" s="173">
        <f t="shared" si="115"/>
        <v>1</v>
      </c>
      <c r="BZ44" s="5">
        <f t="shared" si="116"/>
        <v>0</v>
      </c>
      <c r="CA44" s="6">
        <f t="shared" si="117"/>
        <v>-1.5529620153549051</v>
      </c>
      <c r="CB44" s="4">
        <f t="shared" si="338"/>
        <v>0</v>
      </c>
      <c r="CC44" s="5">
        <f t="shared" si="339"/>
        <v>0</v>
      </c>
      <c r="CD44" s="5">
        <f t="shared" si="340"/>
        <v>-1</v>
      </c>
      <c r="CE44" s="6">
        <f t="shared" si="341"/>
        <v>-1.5529620153549051</v>
      </c>
      <c r="CF44" s="4">
        <f t="shared" si="342"/>
        <v>-0.48443533445850329</v>
      </c>
      <c r="CG44" s="5">
        <f t="shared" si="343"/>
        <v>-0.8578563356194947</v>
      </c>
      <c r="CH44" s="5">
        <f t="shared" si="344"/>
        <v>0</v>
      </c>
      <c r="CI44" s="4">
        <f t="shared" si="118"/>
        <v>0</v>
      </c>
      <c r="CJ44" s="5">
        <f t="shared" si="345"/>
        <v>-3.7950907343791154</v>
      </c>
      <c r="CK44" s="8">
        <f t="shared" si="346"/>
        <v>-1.5529620153549051</v>
      </c>
      <c r="CL44" s="173">
        <f t="shared" si="347"/>
        <v>-0.48443533445850329</v>
      </c>
      <c r="CM44" s="5">
        <f t="shared" si="348"/>
        <v>-4.6529470699986097</v>
      </c>
      <c r="CN44" s="6">
        <f t="shared" si="349"/>
        <v>-1.5529620153549051</v>
      </c>
      <c r="CO44" s="167">
        <f t="shared" si="350"/>
        <v>0.3125</v>
      </c>
      <c r="CP44" s="4">
        <f t="shared" si="351"/>
        <v>0.97059508583442855</v>
      </c>
      <c r="CQ44" s="5">
        <f t="shared" si="352"/>
        <v>-3.9646664517068366</v>
      </c>
      <c r="CR44" s="5">
        <f t="shared" si="353"/>
        <v>3.9648426457400063</v>
      </c>
      <c r="CS44" s="8">
        <f t="shared" si="354"/>
        <v>0.32555292104158084</v>
      </c>
      <c r="CT44" s="9">
        <f t="shared" si="154"/>
        <v>2.3363187018961984</v>
      </c>
      <c r="CU44" s="6">
        <f t="shared" si="355"/>
        <v>1.7484603265267413</v>
      </c>
      <c r="CV44" s="4">
        <f t="shared" si="356"/>
        <v>-1.1317953317547411</v>
      </c>
      <c r="CW44" s="5">
        <f t="shared" si="357"/>
        <v>-5.7993165348270814</v>
      </c>
      <c r="CX44" s="8">
        <f t="shared" si="358"/>
        <v>-1.5529620153549051</v>
      </c>
      <c r="CY44" s="9">
        <f t="shared" si="359"/>
        <v>-0.84701596306840576</v>
      </c>
      <c r="CZ44" s="5">
        <f t="shared" si="360"/>
        <v>-5.2950185030694108</v>
      </c>
      <c r="DA44" s="6">
        <f t="shared" si="361"/>
        <v>-1.5529620153549051</v>
      </c>
      <c r="DB44" s="4">
        <f t="shared" si="511"/>
        <v>0</v>
      </c>
      <c r="DC44" s="5">
        <f t="shared" si="511"/>
        <v>0</v>
      </c>
      <c r="DD44" s="10">
        <f t="shared" si="162"/>
        <v>-10</v>
      </c>
      <c r="DE44" s="9">
        <f t="shared" si="512"/>
        <v>0</v>
      </c>
      <c r="DF44" s="5">
        <f t="shared" si="512"/>
        <v>0</v>
      </c>
      <c r="DG44" s="10">
        <f t="shared" si="164"/>
        <v>10</v>
      </c>
      <c r="DH44" s="70">
        <f t="shared" si="362"/>
        <v>5.8871000000000002</v>
      </c>
      <c r="DI44" s="4">
        <f t="shared" si="363"/>
        <v>0</v>
      </c>
      <c r="DJ44" s="5">
        <f t="shared" si="364"/>
        <v>0</v>
      </c>
      <c r="DK44" s="10">
        <f t="shared" si="365"/>
        <v>20</v>
      </c>
      <c r="DL44" s="9">
        <f t="shared" si="366"/>
        <v>-1.1317953317547411</v>
      </c>
      <c r="DM44" s="173">
        <f t="shared" si="367"/>
        <v>-5.7993165348270814</v>
      </c>
      <c r="DN44" s="178">
        <f t="shared" si="368"/>
        <v>8.4470379846450943</v>
      </c>
      <c r="DO44" s="9">
        <f t="shared" si="369"/>
        <v>0.28477936868633535</v>
      </c>
      <c r="DP44" s="173">
        <f t="shared" si="370"/>
        <v>0.50429803175767063</v>
      </c>
      <c r="DQ44" s="11">
        <f t="shared" si="371"/>
        <v>0</v>
      </c>
      <c r="DR44" s="173">
        <f t="shared" si="372"/>
        <v>168.94075969290188</v>
      </c>
      <c r="DS44" s="5">
        <f t="shared" si="373"/>
        <v>0</v>
      </c>
      <c r="DT44" s="5">
        <f t="shared" si="374"/>
        <v>400</v>
      </c>
      <c r="DU44" s="5">
        <f t="shared" si="375"/>
        <v>0.33541579366404828</v>
      </c>
      <c r="DV44" s="5">
        <f t="shared" si="376"/>
        <v>-3.2468958741122687</v>
      </c>
      <c r="DW44" s="5">
        <f t="shared" si="377"/>
        <v>106.26548365813767</v>
      </c>
      <c r="DX44" s="167">
        <f t="shared" si="378"/>
        <v>71.607537248137675</v>
      </c>
      <c r="DY44" s="9">
        <f t="shared" si="379"/>
        <v>134.1663174656193</v>
      </c>
      <c r="DZ44" s="5">
        <f t="shared" si="380"/>
        <v>-1298.7583496449074</v>
      </c>
      <c r="EA44" s="10">
        <f t="shared" si="381"/>
        <v>102.03461364025134</v>
      </c>
      <c r="EB44" s="6">
        <f t="shared" si="382"/>
        <v>1673083.6424062238</v>
      </c>
      <c r="EC44" s="173">
        <f t="shared" si="383"/>
        <v>19.321061677460794</v>
      </c>
      <c r="ED44" s="5">
        <f t="shared" si="384"/>
        <v>3.9361626662762272E-2</v>
      </c>
      <c r="EE44" s="4">
        <f t="shared" si="385"/>
        <v>4.3704444151022912</v>
      </c>
      <c r="EF44" s="5">
        <f t="shared" si="386"/>
        <v>3.9442568405849556</v>
      </c>
      <c r="EG44" s="10">
        <f t="shared" si="387"/>
        <v>-1.5529620153549051</v>
      </c>
      <c r="EH44" s="9">
        <f t="shared" si="388"/>
        <v>-1.1205859525632524</v>
      </c>
      <c r="EI44" s="5">
        <f t="shared" si="389"/>
        <v>-5.7794665439742703</v>
      </c>
      <c r="EJ44" s="6">
        <f t="shared" si="390"/>
        <v>-1.5529620153549051</v>
      </c>
      <c r="EK44" s="236" t="b">
        <f t="shared" si="194"/>
        <v>0</v>
      </c>
      <c r="EL44" s="238" t="b">
        <f t="shared" si="195"/>
        <v>1</v>
      </c>
      <c r="EM44" s="4">
        <f t="shared" si="391"/>
        <v>-1.1205859525632524</v>
      </c>
      <c r="EN44" s="5">
        <f t="shared" si="392"/>
        <v>-5.7794665439742703</v>
      </c>
      <c r="EO44" s="10">
        <f t="shared" si="393"/>
        <v>-1.5529620153549051</v>
      </c>
      <c r="EP44" s="9">
        <f t="shared" si="394"/>
        <v>259.0270227955732</v>
      </c>
      <c r="EQ44" s="5">
        <f t="shared" si="395"/>
        <v>5.8870999999999984</v>
      </c>
      <c r="ER44" s="7">
        <f t="shared" si="396"/>
        <v>-1.5529620153549051</v>
      </c>
      <c r="ES44" s="21">
        <f t="shared" si="397"/>
        <v>-0.85785633561949537</v>
      </c>
      <c r="ET44" s="5">
        <f t="shared" si="398"/>
        <v>0.48443533445850329</v>
      </c>
      <c r="EU44" s="10">
        <f t="shared" si="399"/>
        <v>-0.17147861139387038</v>
      </c>
      <c r="EV44" s="174">
        <f t="shared" si="400"/>
        <v>190.9729772044268</v>
      </c>
      <c r="EW44" s="9">
        <f t="shared" si="401"/>
        <v>0.93438253502891344</v>
      </c>
      <c r="EX44" s="5">
        <f t="shared" si="402"/>
        <v>-0.31228891121423363</v>
      </c>
      <c r="EY44" s="6">
        <f t="shared" si="403"/>
        <v>-0.17147861139387038</v>
      </c>
      <c r="EZ44" s="51">
        <f t="shared" si="203"/>
        <v>0.23774661296123908</v>
      </c>
      <c r="FA44" s="266">
        <f t="shared" si="126"/>
        <v>-0.98170861519882291</v>
      </c>
      <c r="FB44" s="267">
        <f t="shared" si="127"/>
        <v>0.19034436402250396</v>
      </c>
      <c r="FC44" s="269">
        <f t="shared" si="38"/>
        <v>-4.1494492740586295E-3</v>
      </c>
      <c r="FD44" s="4">
        <f t="shared" si="404"/>
        <v>0.99999139099830359</v>
      </c>
      <c r="FE44" s="5">
        <f t="shared" si="405"/>
        <v>1.3877787807814457E-16</v>
      </c>
      <c r="FF44" s="7">
        <f t="shared" si="406"/>
        <v>-4.1494492740586295E-3</v>
      </c>
      <c r="FG44" s="173">
        <f t="shared" si="407"/>
        <v>-6.5608855969390145E-2</v>
      </c>
      <c r="FH44" s="5">
        <f t="shared" si="408"/>
        <v>-0.31228891121423374</v>
      </c>
      <c r="FI44" s="10">
        <f t="shared" si="409"/>
        <v>-0.16732916211981175</v>
      </c>
      <c r="FJ44" s="279">
        <f t="shared" si="410"/>
        <v>20.75795141823075</v>
      </c>
      <c r="FK44" s="4">
        <f t="shared" si="411"/>
        <v>0.9851878429185118</v>
      </c>
      <c r="FL44" s="5">
        <f t="shared" si="412"/>
        <v>0.99999139099830359</v>
      </c>
      <c r="FM44" s="8">
        <f t="shared" si="413"/>
        <v>0.31910638672546771</v>
      </c>
      <c r="FN44" s="9">
        <f t="shared" si="414"/>
        <v>18.480635539737204</v>
      </c>
      <c r="FO44" s="10">
        <f t="shared" si="415"/>
        <v>1</v>
      </c>
      <c r="FP44" s="277">
        <f t="shared" si="416"/>
        <v>18.480635539737204</v>
      </c>
      <c r="FQ44" s="173">
        <f t="shared" si="417"/>
        <v>0.31698412993923242</v>
      </c>
      <c r="FR44" s="10">
        <f t="shared" si="418"/>
        <v>0.94843084163615632</v>
      </c>
      <c r="FS44" s="9">
        <f t="shared" si="419"/>
        <v>0.25049816626130195</v>
      </c>
      <c r="FT44" s="6">
        <f t="shared" si="420"/>
        <v>0.74950183373869794</v>
      </c>
      <c r="FU44" s="4">
        <f t="shared" si="421"/>
        <v>0.94998717672010113</v>
      </c>
      <c r="FV44" s="5">
        <f t="shared" si="422"/>
        <v>1</v>
      </c>
      <c r="FW44" s="8">
        <f t="shared" si="423"/>
        <v>0.17973194061526857</v>
      </c>
      <c r="FX44" s="9">
        <f t="shared" si="424"/>
        <v>10.161501503146129</v>
      </c>
      <c r="FY44" s="10">
        <f t="shared" si="425"/>
        <v>1</v>
      </c>
      <c r="FZ44" s="277">
        <f t="shared" si="426"/>
        <v>10.161501503146129</v>
      </c>
      <c r="GA44" s="177">
        <f t="shared" si="427"/>
        <v>9.6528538326731859</v>
      </c>
      <c r="GB44" s="4">
        <f t="shared" si="428"/>
        <v>-0.31201203528438176</v>
      </c>
      <c r="GC44" s="5">
        <f t="shared" si="429"/>
        <v>0.93355410973447217</v>
      </c>
      <c r="GD44" s="10">
        <f t="shared" si="430"/>
        <v>-0.17642339424116857</v>
      </c>
      <c r="GE44" s="311">
        <f t="shared" si="431"/>
        <v>1.4219895392600226</v>
      </c>
      <c r="GF44" s="341">
        <f t="shared" si="432"/>
        <v>0.70324005373512222</v>
      </c>
      <c r="GG44" s="285">
        <f t="shared" si="433"/>
        <v>0.21941936045939348</v>
      </c>
      <c r="GH44" s="286">
        <f t="shared" si="434"/>
        <v>0.65651264229431439</v>
      </c>
      <c r="GI44" s="281">
        <f t="shared" si="435"/>
        <v>0.12406799724629204</v>
      </c>
      <c r="GJ44" s="167">
        <f t="shared" si="436"/>
        <v>5.8871000000000002</v>
      </c>
      <c r="GK44" s="174">
        <f t="shared" si="49"/>
        <v>3.0825048891145652</v>
      </c>
      <c r="GL44" s="174">
        <f t="shared" si="437"/>
        <v>5.7000000000000002E-3</v>
      </c>
      <c r="GM44" s="177">
        <f t="shared" si="438"/>
        <v>0.21084333441543626</v>
      </c>
      <c r="GN44" s="280">
        <f t="shared" si="439"/>
        <v>1.1680817363791748E-2</v>
      </c>
      <c r="GO44" s="4">
        <f t="shared" si="440"/>
        <v>18.480635539737204</v>
      </c>
      <c r="GP44" s="8">
        <f t="shared" si="441"/>
        <v>10.161501503146129</v>
      </c>
      <c r="GQ44" s="177">
        <f t="shared" si="442"/>
        <v>20.75795141823075</v>
      </c>
      <c r="GR44" s="371">
        <f t="shared" si="443"/>
        <v>802.89137189575717</v>
      </c>
      <c r="GS44" s="342">
        <f t="shared" si="444"/>
        <v>176.1699113397321</v>
      </c>
      <c r="GT44" s="343">
        <f t="shared" si="445"/>
        <v>57.151543201716073</v>
      </c>
      <c r="GU44" s="344">
        <f t="shared" si="53"/>
        <v>527.10833603859066</v>
      </c>
      <c r="GV44" s="343">
        <f t="shared" si="446"/>
        <v>171</v>
      </c>
      <c r="GW44" s="345">
        <f t="shared" si="129"/>
        <v>30000</v>
      </c>
      <c r="GX44" s="346">
        <f t="shared" si="54"/>
        <v>83.891175000000004</v>
      </c>
      <c r="GY44" s="344">
        <f t="shared" si="447"/>
        <v>99.613124517434457</v>
      </c>
      <c r="GZ44" s="345">
        <f t="shared" si="448"/>
        <v>32.315642018672627</v>
      </c>
      <c r="HA44" s="342">
        <f t="shared" si="57"/>
        <v>176.1699113397321</v>
      </c>
      <c r="HB44" s="5">
        <f t="shared" si="225"/>
        <v>190.9729772044268</v>
      </c>
      <c r="HC44" s="343">
        <f t="shared" si="449"/>
        <v>-172.94900861933641</v>
      </c>
      <c r="HD44" s="345">
        <f t="shared" si="450"/>
        <v>-33.533238421568697</v>
      </c>
      <c r="HE44" s="344">
        <f t="shared" si="58"/>
        <v>171</v>
      </c>
      <c r="HF44" s="5">
        <f t="shared" si="59"/>
        <v>280.9729772044268</v>
      </c>
      <c r="HG44" s="343">
        <f t="shared" si="451"/>
        <v>32.549166463677416</v>
      </c>
      <c r="HH44" s="349">
        <f t="shared" si="452"/>
        <v>-167.87361842326453</v>
      </c>
      <c r="HI44" s="317">
        <f t="shared" si="453"/>
        <v>4.1420000000000003</v>
      </c>
      <c r="HJ44" s="336"/>
      <c r="HK44" s="310">
        <f t="shared" si="506"/>
        <v>36</v>
      </c>
      <c r="HL44" s="348">
        <f t="shared" si="454"/>
        <v>4.1360000000000001</v>
      </c>
      <c r="HM44" s="935">
        <f t="shared" si="455"/>
        <v>13.20107087176719</v>
      </c>
      <c r="HN44" s="936">
        <f t="shared" si="456"/>
        <v>18.899997271178005</v>
      </c>
      <c r="HO44" s="937"/>
      <c r="HP44" s="938"/>
      <c r="HQ44" s="936">
        <f t="shared" si="457"/>
        <v>18.020464535334835</v>
      </c>
      <c r="HR44" s="939">
        <f t="shared" si="458"/>
        <v>12.716045792103781</v>
      </c>
      <c r="HS44" s="940">
        <f t="shared" si="507"/>
        <v>5.4622999999999999</v>
      </c>
      <c r="HT44" s="941">
        <f t="shared" si="459"/>
        <v>9.1999999999999998E-3</v>
      </c>
      <c r="HU44" s="942">
        <f t="shared" si="460"/>
        <v>0.31575307410837283</v>
      </c>
      <c r="HV44" s="943">
        <f t="shared" si="461"/>
        <v>1.7492865026733705E-2</v>
      </c>
      <c r="HW44" s="944">
        <f t="shared" si="462"/>
        <v>30000</v>
      </c>
      <c r="HX44" s="947">
        <f t="shared" si="463"/>
        <v>125.63289999999999</v>
      </c>
      <c r="HY44" s="952">
        <f t="shared" si="464"/>
        <v>185.16360277091434</v>
      </c>
      <c r="HZ44" s="953">
        <f t="shared" si="465"/>
        <v>789.38268527093203</v>
      </c>
      <c r="IA44" s="954">
        <f t="shared" si="466"/>
        <v>182.9622249832986</v>
      </c>
      <c r="IB44" s="955">
        <f t="shared" si="467"/>
        <v>1157.508513025145</v>
      </c>
      <c r="IC44" s="842">
        <f t="shared" si="468"/>
        <v>64.740657881585079</v>
      </c>
      <c r="ID44" s="351">
        <f t="shared" si="469"/>
        <v>276</v>
      </c>
      <c r="IE44" s="844">
        <f t="shared" si="470"/>
        <v>63.97096748842246</v>
      </c>
      <c r="IF44" s="845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0"/>
        <v>4.1420000000000003</v>
      </c>
      <c r="IJ44" s="96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71"/>
        <v>1613</v>
      </c>
      <c r="IM44" s="482" t="str">
        <f t="shared" si="231"/>
        <v/>
      </c>
      <c r="IN44" s="670" t="str">
        <f t="shared" si="472"/>
        <v/>
      </c>
      <c r="IO44" s="702"/>
      <c r="IP44" s="5" t="str">
        <f t="shared" si="473"/>
        <v/>
      </c>
      <c r="IQ44" s="714"/>
      <c r="IR44" s="9" t="str">
        <f t="shared" si="474"/>
        <v/>
      </c>
      <c r="IS44" s="5" t="str">
        <f t="shared" si="475"/>
        <v/>
      </c>
      <c r="IT44" s="5" t="str">
        <f t="shared" si="476"/>
        <v/>
      </c>
      <c r="IU44" s="5" t="str">
        <f t="shared" si="477"/>
        <v/>
      </c>
      <c r="IV44" s="670" t="str">
        <f t="shared" si="478"/>
        <v/>
      </c>
      <c r="IW44" s="9" t="str">
        <f t="shared" si="479"/>
        <v/>
      </c>
      <c r="IX44" s="5" t="str">
        <f t="shared" si="480"/>
        <v/>
      </c>
      <c r="IY44" s="5" t="str">
        <f t="shared" si="481"/>
        <v/>
      </c>
      <c r="IZ44" s="5" t="str">
        <f t="shared" si="482"/>
        <v/>
      </c>
      <c r="JA44" s="705" t="str">
        <f t="shared" si="483"/>
        <v/>
      </c>
    </row>
    <row r="45" spans="1:269" ht="15" customHeight="1" x14ac:dyDescent="0.25">
      <c r="A45" s="75">
        <f t="shared" si="308"/>
        <v>0</v>
      </c>
      <c r="B45" s="578">
        <f t="shared" ref="B45:D45" si="515">IFERROR(O200+($A45*-E45),"")</f>
        <v>-1.0336921547340627</v>
      </c>
      <c r="C45" s="572">
        <f t="shared" si="515"/>
        <v>-5.7392720987737214</v>
      </c>
      <c r="D45" s="576">
        <f t="shared" si="515"/>
        <v>-2.3920072142937583</v>
      </c>
      <c r="E45" s="580">
        <f t="shared" ref="E45:K45" si="516">R200</f>
        <v>0.79728180958991157</v>
      </c>
      <c r="F45" s="572">
        <f t="shared" si="516"/>
        <v>-0.59549991023333138</v>
      </c>
      <c r="G45" s="579">
        <f t="shared" si="516"/>
        <v>9.8598037552125803E-2</v>
      </c>
      <c r="H45" s="580">
        <f t="shared" si="516"/>
        <v>0.3125</v>
      </c>
      <c r="I45" s="572">
        <f t="shared" si="516"/>
        <v>0.52</v>
      </c>
      <c r="J45" s="483">
        <f t="shared" si="92"/>
        <v>4.1479999999999997</v>
      </c>
      <c r="K45" s="806">
        <f t="shared" si="516"/>
        <v>1613</v>
      </c>
      <c r="L45" s="309"/>
      <c r="M45" s="164">
        <f t="shared" si="311"/>
        <v>4.1479999999999997</v>
      </c>
      <c r="N45" s="575">
        <f t="shared" si="312"/>
        <v>-1.0336921547340627</v>
      </c>
      <c r="O45" s="572">
        <f t="shared" si="313"/>
        <v>-5.7392720987737214</v>
      </c>
      <c r="P45" s="576">
        <f t="shared" si="314"/>
        <v>-2.3920072142937583</v>
      </c>
      <c r="Q45" s="528">
        <f t="shared" si="134"/>
        <v>259.79000039127556</v>
      </c>
      <c r="R45" s="572">
        <f t="shared" si="486"/>
        <v>5.8316175881586458</v>
      </c>
      <c r="S45" s="577">
        <f t="shared" si="487"/>
        <v>-2.3920072142937583</v>
      </c>
      <c r="T45" s="578">
        <f t="shared" si="488"/>
        <v>-5.7394524246481913</v>
      </c>
      <c r="U45" s="572">
        <f t="shared" si="489"/>
        <v>1.0326904471918317</v>
      </c>
      <c r="V45" s="579">
        <f t="shared" si="490"/>
        <v>-2.3920072142937583</v>
      </c>
      <c r="W45" s="528">
        <f t="shared" si="256"/>
        <v>169.80000038983172</v>
      </c>
      <c r="X45" s="572">
        <f t="shared" si="491"/>
        <v>5.8316175881586458</v>
      </c>
      <c r="Y45" s="573">
        <f t="shared" si="259"/>
        <v>-2.3920072142937583</v>
      </c>
      <c r="Z45" s="575">
        <f t="shared" si="315"/>
        <v>-0.79728180958991157</v>
      </c>
      <c r="AA45" s="572">
        <f t="shared" si="316"/>
        <v>0.59549991023333138</v>
      </c>
      <c r="AB45" s="572">
        <f t="shared" si="317"/>
        <v>-9.8598037552125803E-2</v>
      </c>
      <c r="AC45" s="579">
        <f t="shared" si="492"/>
        <v>1</v>
      </c>
      <c r="AD45" s="580">
        <f t="shared" si="493"/>
        <v>-0.79728180958991157</v>
      </c>
      <c r="AE45" s="572">
        <f t="shared" si="494"/>
        <v>0.59549991023333138</v>
      </c>
      <c r="AF45" s="576">
        <f t="shared" si="495"/>
        <v>-9.8598037552125803E-2</v>
      </c>
      <c r="AG45" s="545">
        <f t="shared" si="496"/>
        <v>80.598720145337083</v>
      </c>
      <c r="AH45" s="546">
        <f t="shared" si="497"/>
        <v>142.87131266469848</v>
      </c>
      <c r="AI45" s="528">
        <f t="shared" si="498"/>
        <v>-84.341555035503177</v>
      </c>
      <c r="AJ45" s="529">
        <f t="shared" si="499"/>
        <v>-126.75652070737715</v>
      </c>
      <c r="AK45" s="578">
        <f t="shared" si="500"/>
        <v>0.89021283572049714</v>
      </c>
      <c r="AL45" s="572">
        <f t="shared" si="501"/>
        <v>-0.44474659538813877</v>
      </c>
      <c r="AM45" s="577">
        <f t="shared" si="502"/>
        <v>-9.8598037552125803E-2</v>
      </c>
      <c r="AN45" s="524">
        <f t="shared" si="503"/>
        <v>-77.499988810385972</v>
      </c>
      <c r="AO45" s="525">
        <f t="shared" si="108"/>
        <v>27.09999608724468</v>
      </c>
      <c r="AP45" s="528">
        <f t="shared" si="504"/>
        <v>-26.546521098652693</v>
      </c>
      <c r="AQ45" s="529">
        <f t="shared" si="318"/>
        <v>0.24000852429461192</v>
      </c>
      <c r="AS45" s="900">
        <f t="shared" si="510"/>
        <v>-190.19999961016828</v>
      </c>
      <c r="AT45" s="896">
        <f t="shared" si="319"/>
        <v>-2.3109099276388756</v>
      </c>
      <c r="AU45" s="418"/>
      <c r="AV45" s="164">
        <f t="shared" si="320"/>
        <v>4.1479999999999997</v>
      </c>
      <c r="AW45" s="829">
        <f>IFERROR(INDEX(MassProp!C$9:C$150,MATCH($M45,MassProp!$B$9:$B$150,0)),"")</f>
        <v>6.1013999999999999</v>
      </c>
      <c r="AX45" s="830">
        <f>IFERROR(INDEX(MassProp!D$9:D$150,MATCH($M45,MassProp!$B$9:$B$150,0)),"")</f>
        <v>-2.1448999999999998</v>
      </c>
      <c r="AY45" s="831">
        <f>IFERROR(INDEX(MassProp!E$9:E$150,MATCH($M45,MassProp!$B$9:$B$150,0)),"")</f>
        <v>1.9E-3</v>
      </c>
      <c r="AZ45" s="297">
        <f t="shared" si="321"/>
        <v>7.2839414782279024E-2</v>
      </c>
      <c r="BA45" s="296">
        <f t="shared" si="322"/>
        <v>4.0353369638940016E-3</v>
      </c>
      <c r="BB45" s="190">
        <f t="shared" si="139"/>
        <v>1.2521555545852436E-2</v>
      </c>
      <c r="BC45" s="9"/>
      <c r="BD45" s="5">
        <f t="shared" si="323"/>
        <v>6.1013999999999999</v>
      </c>
      <c r="BE45" s="6">
        <f t="shared" si="324"/>
        <v>-2.3794856587479059</v>
      </c>
      <c r="BF45" s="4">
        <f t="shared" si="325"/>
        <v>-1.0336921547340627</v>
      </c>
      <c r="BG45" s="5">
        <f t="shared" si="326"/>
        <v>-5.7392720987737214</v>
      </c>
      <c r="BH45" s="10">
        <f t="shared" si="327"/>
        <v>-2.3920072142937583</v>
      </c>
      <c r="BI45" s="9">
        <f t="shared" si="328"/>
        <v>-1.0336921547340627</v>
      </c>
      <c r="BJ45" s="5">
        <f t="shared" si="329"/>
        <v>-5.5759240988417611</v>
      </c>
      <c r="BK45" s="8">
        <f t="shared" si="330"/>
        <v>-1.4054387012556477</v>
      </c>
      <c r="BL45" s="173">
        <f t="shared" si="331"/>
        <v>-0.43008490154948065</v>
      </c>
      <c r="BM45" s="5">
        <f t="shared" si="332"/>
        <v>-4.9526989694142687</v>
      </c>
      <c r="BN45" s="6">
        <f t="shared" si="333"/>
        <v>-2.5222416032724042</v>
      </c>
      <c r="BO45" s="4">
        <f t="shared" si="334"/>
        <v>-0.79728180958991235</v>
      </c>
      <c r="BP45" s="5">
        <f t="shared" si="335"/>
        <v>0.59549991023333182</v>
      </c>
      <c r="BQ45" s="5">
        <f t="shared" si="336"/>
        <v>-9.8598037552125373E-2</v>
      </c>
      <c r="BR45" s="6">
        <f t="shared" si="337"/>
        <v>2.3577448507992562</v>
      </c>
      <c r="BS45" s="4">
        <f t="shared" si="505"/>
        <v>0</v>
      </c>
      <c r="BT45" s="5">
        <f t="shared" si="505"/>
        <v>0</v>
      </c>
      <c r="BU45" s="10">
        <f t="shared" si="111"/>
        <v>-2.3794856587479059</v>
      </c>
      <c r="BV45" s="9">
        <f t="shared" si="112"/>
        <v>0</v>
      </c>
      <c r="BW45" s="5">
        <f t="shared" si="113"/>
        <v>1</v>
      </c>
      <c r="BX45" s="8">
        <f t="shared" si="114"/>
        <v>-2.3794856587479059</v>
      </c>
      <c r="BY45" s="173">
        <f t="shared" si="115"/>
        <v>1</v>
      </c>
      <c r="BZ45" s="5">
        <f t="shared" si="116"/>
        <v>0</v>
      </c>
      <c r="CA45" s="6">
        <f t="shared" si="117"/>
        <v>-2.3794856587479059</v>
      </c>
      <c r="CB45" s="4">
        <f t="shared" si="338"/>
        <v>0</v>
      </c>
      <c r="CC45" s="5">
        <f t="shared" si="339"/>
        <v>0</v>
      </c>
      <c r="CD45" s="5">
        <f t="shared" si="340"/>
        <v>-1</v>
      </c>
      <c r="CE45" s="6">
        <f t="shared" si="341"/>
        <v>-2.3794856587479059</v>
      </c>
      <c r="CF45" s="4">
        <f t="shared" si="342"/>
        <v>-0.59549991023333182</v>
      </c>
      <c r="CG45" s="5">
        <f t="shared" si="343"/>
        <v>-0.79728180958991235</v>
      </c>
      <c r="CH45" s="5">
        <f t="shared" si="344"/>
        <v>0</v>
      </c>
      <c r="CI45" s="4">
        <f t="shared" si="118"/>
        <v>0</v>
      </c>
      <c r="CJ45" s="5">
        <f t="shared" si="345"/>
        <v>-4.3532457731512926</v>
      </c>
      <c r="CK45" s="8">
        <f t="shared" si="346"/>
        <v>-2.3794856587479059</v>
      </c>
      <c r="CL45" s="173">
        <f t="shared" si="347"/>
        <v>-0.59549991023333182</v>
      </c>
      <c r="CM45" s="5">
        <f t="shared" si="348"/>
        <v>-5.1505275827412049</v>
      </c>
      <c r="CN45" s="6">
        <f t="shared" si="349"/>
        <v>-2.3794856587479059</v>
      </c>
      <c r="CO45" s="167">
        <f t="shared" si="350"/>
        <v>0.3125</v>
      </c>
      <c r="CP45" s="4">
        <f t="shared" si="351"/>
        <v>0.99027842699087154</v>
      </c>
      <c r="CQ45" s="5">
        <f t="shared" si="352"/>
        <v>-3.4412343247690815</v>
      </c>
      <c r="CR45" s="5">
        <f t="shared" si="353"/>
        <v>2.8920889854304477</v>
      </c>
      <c r="CS45" s="8">
        <f t="shared" si="354"/>
        <v>0.38620035313016032</v>
      </c>
      <c r="CT45" s="9">
        <f t="shared" si="154"/>
        <v>2.0512839700869279</v>
      </c>
      <c r="CU45" s="6">
        <f t="shared" si="355"/>
        <v>1.4237329857260488</v>
      </c>
      <c r="CV45" s="4">
        <f t="shared" si="356"/>
        <v>-1.221539420049838</v>
      </c>
      <c r="CW45" s="5">
        <f t="shared" si="357"/>
        <v>-5.9886971688049782</v>
      </c>
      <c r="CX45" s="8">
        <f t="shared" si="358"/>
        <v>-2.3794856587479059</v>
      </c>
      <c r="CY45" s="9">
        <f t="shared" si="359"/>
        <v>-0.84783286519609558</v>
      </c>
      <c r="CZ45" s="5">
        <f t="shared" si="360"/>
        <v>-5.4883621843838055</v>
      </c>
      <c r="DA45" s="6">
        <f t="shared" si="361"/>
        <v>-2.3794856587479059</v>
      </c>
      <c r="DB45" s="4">
        <f t="shared" si="511"/>
        <v>0</v>
      </c>
      <c r="DC45" s="5">
        <f t="shared" si="511"/>
        <v>0</v>
      </c>
      <c r="DD45" s="10">
        <f t="shared" si="162"/>
        <v>-10</v>
      </c>
      <c r="DE45" s="9">
        <f t="shared" si="512"/>
        <v>0</v>
      </c>
      <c r="DF45" s="5">
        <f t="shared" si="512"/>
        <v>0</v>
      </c>
      <c r="DG45" s="10">
        <f t="shared" si="164"/>
        <v>10</v>
      </c>
      <c r="DH45" s="70">
        <f t="shared" si="362"/>
        <v>6.1013999999999999</v>
      </c>
      <c r="DI45" s="4">
        <f t="shared" si="363"/>
        <v>0</v>
      </c>
      <c r="DJ45" s="5">
        <f t="shared" si="364"/>
        <v>0</v>
      </c>
      <c r="DK45" s="10">
        <f t="shared" si="365"/>
        <v>20</v>
      </c>
      <c r="DL45" s="9">
        <f t="shared" si="366"/>
        <v>-1.221539420049838</v>
      </c>
      <c r="DM45" s="173">
        <f t="shared" si="367"/>
        <v>-5.9886971688049782</v>
      </c>
      <c r="DN45" s="178">
        <f t="shared" si="368"/>
        <v>7.6205143412520941</v>
      </c>
      <c r="DO45" s="9">
        <f t="shared" si="369"/>
        <v>0.37370655485374238</v>
      </c>
      <c r="DP45" s="173">
        <f t="shared" si="370"/>
        <v>0.50033498442117263</v>
      </c>
      <c r="DQ45" s="11">
        <f t="shared" si="371"/>
        <v>0</v>
      </c>
      <c r="DR45" s="173">
        <f t="shared" si="372"/>
        <v>152.41028682504188</v>
      </c>
      <c r="DS45" s="5">
        <f t="shared" si="373"/>
        <v>0</v>
      </c>
      <c r="DT45" s="5">
        <f t="shared" si="374"/>
        <v>400</v>
      </c>
      <c r="DU45" s="5">
        <f t="shared" si="375"/>
        <v>0.38999168577638821</v>
      </c>
      <c r="DV45" s="5">
        <f t="shared" si="376"/>
        <v>-3.4528519929420227</v>
      </c>
      <c r="DW45" s="5">
        <f t="shared" si="377"/>
        <v>95.428891159617294</v>
      </c>
      <c r="DX45" s="167">
        <f t="shared" si="378"/>
        <v>58.201809199617294</v>
      </c>
      <c r="DY45" s="9">
        <f t="shared" si="379"/>
        <v>155.99667431055528</v>
      </c>
      <c r="DZ45" s="5">
        <f t="shared" si="380"/>
        <v>-1381.140797176809</v>
      </c>
      <c r="EA45" s="10">
        <f t="shared" si="381"/>
        <v>51.828149755383492</v>
      </c>
      <c r="EB45" s="6">
        <f t="shared" si="382"/>
        <v>1899464.8826286821</v>
      </c>
      <c r="EC45" s="173">
        <f t="shared" si="383"/>
        <v>17.688528062794095</v>
      </c>
      <c r="ED45" s="5">
        <f t="shared" si="384"/>
        <v>1.8782728040580662E-2</v>
      </c>
      <c r="EE45" s="4">
        <f t="shared" si="385"/>
        <v>5.3887794627306853</v>
      </c>
      <c r="EF45" s="5">
        <f t="shared" si="386"/>
        <v>2.8614922439265795</v>
      </c>
      <c r="EG45" s="10">
        <f t="shared" si="387"/>
        <v>-2.3794856587479059</v>
      </c>
      <c r="EH45" s="9">
        <f t="shared" si="388"/>
        <v>-1.2145201914630377</v>
      </c>
      <c r="EI45" s="5">
        <f t="shared" si="389"/>
        <v>-5.979299512863407</v>
      </c>
      <c r="EJ45" s="6">
        <f t="shared" si="390"/>
        <v>-2.3794856587479059</v>
      </c>
      <c r="EK45" s="236" t="b">
        <f t="shared" si="194"/>
        <v>0</v>
      </c>
      <c r="EL45" s="238" t="b">
        <f t="shared" si="195"/>
        <v>1</v>
      </c>
      <c r="EM45" s="4">
        <f t="shared" si="391"/>
        <v>-1.2145201914630377</v>
      </c>
      <c r="EN45" s="5">
        <f t="shared" si="392"/>
        <v>-5.979299512863407</v>
      </c>
      <c r="EO45" s="10">
        <f t="shared" si="393"/>
        <v>-2.3794856587479059</v>
      </c>
      <c r="EP45" s="9">
        <f t="shared" si="394"/>
        <v>258.51823891512765</v>
      </c>
      <c r="EQ45" s="5">
        <f t="shared" si="395"/>
        <v>6.101399999999999</v>
      </c>
      <c r="ER45" s="7">
        <f t="shared" si="396"/>
        <v>-2.3794856587479059</v>
      </c>
      <c r="ES45" s="21">
        <f t="shared" si="397"/>
        <v>-0.79728180958991157</v>
      </c>
      <c r="ET45" s="5">
        <f t="shared" si="398"/>
        <v>0.59549991023333138</v>
      </c>
      <c r="EU45" s="10">
        <f t="shared" si="399"/>
        <v>-9.8598037552125803E-2</v>
      </c>
      <c r="EV45" s="174">
        <f t="shared" si="400"/>
        <v>191.48176108487235</v>
      </c>
      <c r="EW45" s="9">
        <f t="shared" si="401"/>
        <v>0.89986452300924746</v>
      </c>
      <c r="EX45" s="5">
        <f t="shared" si="402"/>
        <v>-0.42487912071577411</v>
      </c>
      <c r="EY45" s="6">
        <f t="shared" si="403"/>
        <v>-9.8598037552125803E-2</v>
      </c>
      <c r="EZ45" s="51">
        <f t="shared" si="203"/>
        <v>0.22939630896851973</v>
      </c>
      <c r="FA45" s="266">
        <f t="shared" si="126"/>
        <v>-0.97998026510257064</v>
      </c>
      <c r="FB45" s="267">
        <f t="shared" si="127"/>
        <v>0.19905439034151981</v>
      </c>
      <c r="FC45" s="269">
        <f t="shared" si="38"/>
        <v>-4.0037101869700069E-3</v>
      </c>
      <c r="FD45" s="4">
        <f t="shared" si="404"/>
        <v>0.99999198512025023</v>
      </c>
      <c r="FE45" s="5">
        <f t="shared" si="405"/>
        <v>1.6653345369377348E-16</v>
      </c>
      <c r="FF45" s="7">
        <f t="shared" si="406"/>
        <v>-4.0037101869700069E-3</v>
      </c>
      <c r="FG45" s="173">
        <f t="shared" si="407"/>
        <v>-0.10012746211100276</v>
      </c>
      <c r="FH45" s="5">
        <f t="shared" si="408"/>
        <v>-0.42487912071577427</v>
      </c>
      <c r="FI45" s="10">
        <f t="shared" si="409"/>
        <v>-9.45943273651558E-2</v>
      </c>
      <c r="FJ45" s="279">
        <f t="shared" si="410"/>
        <v>25.808779656143702</v>
      </c>
      <c r="FK45" s="4">
        <f t="shared" si="411"/>
        <v>0.99512734209791953</v>
      </c>
      <c r="FL45" s="5">
        <f t="shared" si="412"/>
        <v>0.99999198512025023</v>
      </c>
      <c r="FM45" s="8">
        <f t="shared" si="413"/>
        <v>0.43651778416119519</v>
      </c>
      <c r="FN45" s="9">
        <f t="shared" si="414"/>
        <v>25.274759622504796</v>
      </c>
      <c r="FO45" s="10">
        <f t="shared" si="415"/>
        <v>1</v>
      </c>
      <c r="FP45" s="277">
        <f t="shared" si="416"/>
        <v>25.274759622504796</v>
      </c>
      <c r="FQ45" s="173">
        <f t="shared" si="417"/>
        <v>0.42695954853380608</v>
      </c>
      <c r="FR45" s="10">
        <f t="shared" si="418"/>
        <v>0.90427072490256399</v>
      </c>
      <c r="FS45" s="9">
        <f t="shared" si="419"/>
        <v>0.3207255401664465</v>
      </c>
      <c r="FT45" s="6">
        <f t="shared" si="420"/>
        <v>0.6792744598335535</v>
      </c>
      <c r="FU45" s="4">
        <f t="shared" si="421"/>
        <v>0.90525009405124668</v>
      </c>
      <c r="FV45" s="5">
        <f t="shared" si="422"/>
        <v>1</v>
      </c>
      <c r="FW45" s="8">
        <f t="shared" si="423"/>
        <v>0.13774467480979641</v>
      </c>
      <c r="FX45" s="9">
        <f t="shared" si="424"/>
        <v>6.0235509663079414</v>
      </c>
      <c r="FY45" s="10">
        <f t="shared" si="425"/>
        <v>1</v>
      </c>
      <c r="FZ45" s="277">
        <f t="shared" si="426"/>
        <v>6.0235509663079414</v>
      </c>
      <c r="GA45" s="177">
        <f t="shared" si="427"/>
        <v>5.4525932195763307</v>
      </c>
      <c r="GB45" s="4">
        <f t="shared" si="428"/>
        <v>-0.42460223901892635</v>
      </c>
      <c r="GC45" s="5">
        <f t="shared" si="429"/>
        <v>0.89927810677009667</v>
      </c>
      <c r="GD45" s="10">
        <f t="shared" si="430"/>
        <v>-0.10493724459935691</v>
      </c>
      <c r="GE45" s="311">
        <f t="shared" si="431"/>
        <v>1.42881759038838</v>
      </c>
      <c r="GF45" s="341">
        <f t="shared" si="432"/>
        <v>0.69987940149041761</v>
      </c>
      <c r="GG45" s="285">
        <f t="shared" si="433"/>
        <v>0.29717036091605742</v>
      </c>
      <c r="GH45" s="286">
        <f t="shared" si="434"/>
        <v>0.62938622313969106</v>
      </c>
      <c r="GI45" s="281">
        <f t="shared" si="435"/>
        <v>7.3443415944251467E-2</v>
      </c>
      <c r="GJ45" s="167">
        <f t="shared" si="436"/>
        <v>6.1013999999999999</v>
      </c>
      <c r="GK45" s="174">
        <f t="shared" si="49"/>
        <v>3.1947111746613608</v>
      </c>
      <c r="GL45" s="174">
        <f t="shared" si="437"/>
        <v>1.9E-3</v>
      </c>
      <c r="GM45" s="177">
        <f t="shared" si="438"/>
        <v>7.2839414782279024E-2</v>
      </c>
      <c r="GN45" s="280">
        <f t="shared" si="439"/>
        <v>4.0353369638940016E-3</v>
      </c>
      <c r="GO45" s="4">
        <f t="shared" si="440"/>
        <v>25.274759622504796</v>
      </c>
      <c r="GP45" s="8">
        <f t="shared" si="441"/>
        <v>6.0235509663079414</v>
      </c>
      <c r="GQ45" s="177">
        <f t="shared" si="442"/>
        <v>25.808779656143702</v>
      </c>
      <c r="GR45" s="371">
        <f t="shared" si="443"/>
        <v>289.32717346004114</v>
      </c>
      <c r="GS45" s="342">
        <f t="shared" si="444"/>
        <v>85.979460559943178</v>
      </c>
      <c r="GT45" s="343">
        <f t="shared" si="445"/>
        <v>26.913062201642376</v>
      </c>
      <c r="GU45" s="344">
        <f t="shared" si="53"/>
        <v>182.09853695569757</v>
      </c>
      <c r="GV45" s="343">
        <f t="shared" si="446"/>
        <v>57</v>
      </c>
      <c r="GW45" s="345">
        <f t="shared" si="129"/>
        <v>30000</v>
      </c>
      <c r="GX45" s="346">
        <f t="shared" si="54"/>
        <v>28.981649999999998</v>
      </c>
      <c r="GY45" s="344">
        <f t="shared" si="447"/>
        <v>21.249175944400395</v>
      </c>
      <c r="GZ45" s="345">
        <f t="shared" si="448"/>
        <v>6.6513605714772659</v>
      </c>
      <c r="HA45" s="342">
        <f t="shared" si="57"/>
        <v>85.979460559943178</v>
      </c>
      <c r="HB45" s="5">
        <f t="shared" si="225"/>
        <v>191.48176108487235</v>
      </c>
      <c r="HC45" s="343">
        <f t="shared" si="449"/>
        <v>-84.258849877458744</v>
      </c>
      <c r="HD45" s="345">
        <f t="shared" si="450"/>
        <v>-17.114726276125303</v>
      </c>
      <c r="HE45" s="344">
        <f t="shared" si="58"/>
        <v>57</v>
      </c>
      <c r="HF45" s="5">
        <f t="shared" si="59"/>
        <v>281.48176108487235</v>
      </c>
      <c r="HG45" s="343">
        <f t="shared" si="451"/>
        <v>11.346191187824598</v>
      </c>
      <c r="HH45" s="349">
        <f t="shared" si="452"/>
        <v>-55.859322816601804</v>
      </c>
      <c r="HI45" s="317">
        <f t="shared" si="453"/>
        <v>4.1479999999999997</v>
      </c>
      <c r="HJ45" s="336"/>
      <c r="HK45" s="310">
        <f t="shared" si="506"/>
        <v>37</v>
      </c>
      <c r="HL45" s="348">
        <f t="shared" si="454"/>
        <v>3.137</v>
      </c>
      <c r="HM45" s="935">
        <f t="shared" si="455"/>
        <v>14.022058146600569</v>
      </c>
      <c r="HN45" s="936">
        <f t="shared" si="456"/>
        <v>19.199997227863413</v>
      </c>
      <c r="HO45" s="937"/>
      <c r="HP45" s="938"/>
      <c r="HQ45" s="936">
        <f t="shared" si="457"/>
        <v>18.341473574774298</v>
      </c>
      <c r="HR45" s="939">
        <f t="shared" si="458"/>
        <v>12.31498557888748</v>
      </c>
      <c r="HS45" s="940">
        <f t="shared" si="507"/>
        <v>5.5541999999999998</v>
      </c>
      <c r="HT45" s="941">
        <f t="shared" si="459"/>
        <v>1.6299999999999999E-2</v>
      </c>
      <c r="HU45" s="942">
        <f t="shared" si="460"/>
        <v>0.56884400748376618</v>
      </c>
      <c r="HV45" s="943">
        <f t="shared" si="461"/>
        <v>3.1514218736519835E-2</v>
      </c>
      <c r="HW45" s="944">
        <f t="shared" si="462"/>
        <v>30000</v>
      </c>
      <c r="HX45" s="947">
        <f t="shared" si="463"/>
        <v>226.33364999999998</v>
      </c>
      <c r="HY45" s="952">
        <f t="shared" si="464"/>
        <v>355.1534355993652</v>
      </c>
      <c r="HZ45" s="953">
        <f t="shared" si="465"/>
        <v>1422.1100187094155</v>
      </c>
      <c r="IA45" s="954">
        <f t="shared" si="466"/>
        <v>319.99482248171392</v>
      </c>
      <c r="IB45" s="955">
        <f t="shared" si="467"/>
        <v>2097.2582767904946</v>
      </c>
      <c r="IC45" s="842">
        <f t="shared" si="468"/>
        <v>122.12137438262162</v>
      </c>
      <c r="ID45" s="351">
        <f t="shared" si="469"/>
        <v>488.99999999999994</v>
      </c>
      <c r="IE45" s="844">
        <f t="shared" si="470"/>
        <v>110.03190058077473</v>
      </c>
      <c r="IF45" s="845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0"/>
        <v>4.1479999999999997</v>
      </c>
      <c r="IJ45" s="96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71"/>
        <v>1613</v>
      </c>
      <c r="IM45" s="482" t="str">
        <f t="shared" si="231"/>
        <v/>
      </c>
      <c r="IN45" s="670" t="str">
        <f t="shared" si="472"/>
        <v/>
      </c>
      <c r="IO45" s="702"/>
      <c r="IP45" s="5" t="str">
        <f t="shared" si="473"/>
        <v/>
      </c>
      <c r="IQ45" s="714"/>
      <c r="IR45" s="9" t="str">
        <f t="shared" si="474"/>
        <v/>
      </c>
      <c r="IS45" s="5" t="str">
        <f t="shared" si="475"/>
        <v/>
      </c>
      <c r="IT45" s="5" t="str">
        <f t="shared" si="476"/>
        <v/>
      </c>
      <c r="IU45" s="5" t="str">
        <f t="shared" si="477"/>
        <v/>
      </c>
      <c r="IV45" s="670" t="str">
        <f t="shared" si="478"/>
        <v/>
      </c>
      <c r="IW45" s="9" t="str">
        <f t="shared" si="479"/>
        <v/>
      </c>
      <c r="IX45" s="5" t="str">
        <f t="shared" si="480"/>
        <v/>
      </c>
      <c r="IY45" s="5" t="str">
        <f t="shared" si="481"/>
        <v/>
      </c>
      <c r="IZ45" s="5" t="str">
        <f t="shared" si="482"/>
        <v/>
      </c>
      <c r="JA45" s="705" t="str">
        <f t="shared" si="483"/>
        <v/>
      </c>
    </row>
    <row r="46" spans="1:269" ht="15" customHeight="1" x14ac:dyDescent="0.25">
      <c r="A46" s="75">
        <f t="shared" si="308"/>
        <v>0</v>
      </c>
      <c r="B46" s="578">
        <f t="shared" ref="B46:D46" si="517">IFERROR(O201+($A46*-E46),"")</f>
        <v>-1.0491621947338907</v>
      </c>
      <c r="C46" s="572">
        <f t="shared" si="517"/>
        <v>-5.7846441698634203</v>
      </c>
      <c r="D46" s="576">
        <f t="shared" si="517"/>
        <v>-3.1542095130958918</v>
      </c>
      <c r="E46" s="580">
        <f t="shared" ref="E46:K46" si="518">R201</f>
        <v>0.76323365520132114</v>
      </c>
      <c r="F46" s="572">
        <f t="shared" si="518"/>
        <v>-0.64465133823890886</v>
      </c>
      <c r="G46" s="579">
        <f t="shared" si="518"/>
        <v>4.3577972357774629E-2</v>
      </c>
      <c r="H46" s="580">
        <f t="shared" si="518"/>
        <v>0.3125</v>
      </c>
      <c r="I46" s="572">
        <f t="shared" si="518"/>
        <v>0.52</v>
      </c>
      <c r="J46" s="483">
        <f t="shared" si="92"/>
        <v>4.1539999999999999</v>
      </c>
      <c r="K46" s="806">
        <f t="shared" si="518"/>
        <v>1613</v>
      </c>
      <c r="L46" s="309"/>
      <c r="M46" s="164">
        <f t="shared" si="311"/>
        <v>4.1539999999999999</v>
      </c>
      <c r="N46" s="575">
        <f t="shared" si="312"/>
        <v>-1.0491621947338907</v>
      </c>
      <c r="O46" s="572">
        <f t="shared" si="313"/>
        <v>-5.7846441698634203</v>
      </c>
      <c r="P46" s="576">
        <f t="shared" si="314"/>
        <v>-3.1542095130958918</v>
      </c>
      <c r="Q46" s="528">
        <f t="shared" si="134"/>
        <v>259.72000040138232</v>
      </c>
      <c r="R46" s="572">
        <f t="shared" si="486"/>
        <v>5.8790177311174778</v>
      </c>
      <c r="S46" s="577">
        <f t="shared" si="487"/>
        <v>-3.1542095130958918</v>
      </c>
      <c r="T46" s="578">
        <f t="shared" si="488"/>
        <v>-5.7848271950777654</v>
      </c>
      <c r="U46" s="572">
        <f t="shared" si="489"/>
        <v>1.0481525680369301</v>
      </c>
      <c r="V46" s="579">
        <f t="shared" si="490"/>
        <v>-3.1542095130958918</v>
      </c>
      <c r="W46" s="528">
        <f t="shared" si="256"/>
        <v>169.73000039993849</v>
      </c>
      <c r="X46" s="572">
        <f t="shared" si="491"/>
        <v>5.8790177311174778</v>
      </c>
      <c r="Y46" s="573">
        <f t="shared" si="259"/>
        <v>-3.1542095130958918</v>
      </c>
      <c r="Z46" s="575">
        <f t="shared" si="315"/>
        <v>-0.76323365520132114</v>
      </c>
      <c r="AA46" s="572">
        <f t="shared" si="316"/>
        <v>0.64465133823890886</v>
      </c>
      <c r="AB46" s="572">
        <f t="shared" si="317"/>
        <v>-4.3577972357774629E-2</v>
      </c>
      <c r="AC46" s="579">
        <f t="shared" si="492"/>
        <v>1</v>
      </c>
      <c r="AD46" s="580">
        <f t="shared" si="493"/>
        <v>-0.76323365520132114</v>
      </c>
      <c r="AE46" s="572">
        <f t="shared" si="494"/>
        <v>0.64465133823890886</v>
      </c>
      <c r="AF46" s="576">
        <f t="shared" si="495"/>
        <v>-4.3577972357774629E-2</v>
      </c>
      <c r="AG46" s="545">
        <f t="shared" si="496"/>
        <v>86.132729568464185</v>
      </c>
      <c r="AH46" s="546">
        <f t="shared" si="497"/>
        <v>139.75010511847495</v>
      </c>
      <c r="AI46" s="528">
        <f t="shared" si="498"/>
        <v>-87.502375163624521</v>
      </c>
      <c r="AJ46" s="529">
        <f t="shared" si="499"/>
        <v>-130.18549621767002</v>
      </c>
      <c r="AK46" s="578">
        <f t="shared" si="500"/>
        <v>0.86602544158358552</v>
      </c>
      <c r="AL46" s="572">
        <f t="shared" si="501"/>
        <v>-0.49809727449077756</v>
      </c>
      <c r="AM46" s="577">
        <f t="shared" si="502"/>
        <v>-4.3577972357774629E-2</v>
      </c>
      <c r="AN46" s="524">
        <f t="shared" si="503"/>
        <v>-84.999987727520207</v>
      </c>
      <c r="AO46" s="525">
        <f t="shared" si="108"/>
        <v>29.999995668536549</v>
      </c>
      <c r="AP46" s="528">
        <f t="shared" si="504"/>
        <v>-29.905496619052336</v>
      </c>
      <c r="AQ46" s="529">
        <f t="shared" si="318"/>
        <v>0.23807345496744717</v>
      </c>
      <c r="AS46" s="900">
        <f t="shared" si="510"/>
        <v>-190.26999960006151</v>
      </c>
      <c r="AT46" s="896">
        <f t="shared" si="319"/>
        <v>-3.073082381484078</v>
      </c>
      <c r="AU46" s="418"/>
      <c r="AV46" s="164" t="str">
        <f t="shared" si="320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21"/>
        <v/>
      </c>
      <c r="BA46" s="296" t="str">
        <f t="shared" si="322"/>
        <v/>
      </c>
      <c r="BB46" s="190" t="str">
        <f t="shared" si="139"/>
        <v/>
      </c>
      <c r="BC46" s="9"/>
      <c r="BD46" s="5" t="str">
        <f t="shared" si="323"/>
        <v/>
      </c>
      <c r="BE46" s="6" t="str">
        <f t="shared" si="324"/>
        <v/>
      </c>
      <c r="BF46" s="4" t="str">
        <f t="shared" si="325"/>
        <v/>
      </c>
      <c r="BG46" s="5" t="str">
        <f t="shared" si="326"/>
        <v/>
      </c>
      <c r="BH46" s="10" t="str">
        <f t="shared" si="327"/>
        <v/>
      </c>
      <c r="BI46" s="9" t="str">
        <f t="shared" si="328"/>
        <v/>
      </c>
      <c r="BJ46" s="5" t="str">
        <f t="shared" si="329"/>
        <v/>
      </c>
      <c r="BK46" s="8" t="str">
        <f t="shared" si="330"/>
        <v/>
      </c>
      <c r="BL46" s="173" t="str">
        <f t="shared" si="331"/>
        <v/>
      </c>
      <c r="BM46" s="5" t="str">
        <f t="shared" si="332"/>
        <v/>
      </c>
      <c r="BN46" s="6" t="str">
        <f t="shared" si="333"/>
        <v/>
      </c>
      <c r="BO46" s="4" t="str">
        <f t="shared" si="334"/>
        <v/>
      </c>
      <c r="BP46" s="5" t="str">
        <f t="shared" si="335"/>
        <v/>
      </c>
      <c r="BQ46" s="5" t="str">
        <f t="shared" si="336"/>
        <v/>
      </c>
      <c r="BR46" s="6" t="str">
        <f t="shared" si="337"/>
        <v/>
      </c>
      <c r="BS46" s="4" t="str">
        <f t="shared" si="505"/>
        <v/>
      </c>
      <c r="BT46" s="5" t="str">
        <f t="shared" si="505"/>
        <v/>
      </c>
      <c r="BU46" s="10" t="str">
        <f t="shared" si="111"/>
        <v/>
      </c>
      <c r="BV46" s="9" t="str">
        <f t="shared" si="112"/>
        <v/>
      </c>
      <c r="BW46" s="5" t="str">
        <f t="shared" si="113"/>
        <v/>
      </c>
      <c r="BX46" s="8" t="str">
        <f t="shared" si="114"/>
        <v/>
      </c>
      <c r="BY46" s="173" t="str">
        <f t="shared" si="115"/>
        <v/>
      </c>
      <c r="BZ46" s="5" t="str">
        <f t="shared" si="116"/>
        <v/>
      </c>
      <c r="CA46" s="6" t="str">
        <f t="shared" si="117"/>
        <v/>
      </c>
      <c r="CB46" s="4" t="str">
        <f t="shared" si="338"/>
        <v/>
      </c>
      <c r="CC46" s="5" t="str">
        <f t="shared" si="339"/>
        <v/>
      </c>
      <c r="CD46" s="5" t="str">
        <f t="shared" si="340"/>
        <v/>
      </c>
      <c r="CE46" s="6" t="str">
        <f t="shared" si="341"/>
        <v/>
      </c>
      <c r="CF46" s="4" t="str">
        <f t="shared" si="342"/>
        <v/>
      </c>
      <c r="CG46" s="5" t="str">
        <f t="shared" si="343"/>
        <v/>
      </c>
      <c r="CH46" s="5" t="str">
        <f t="shared" si="344"/>
        <v/>
      </c>
      <c r="CI46" s="4" t="str">
        <f t="shared" si="118"/>
        <v/>
      </c>
      <c r="CJ46" s="5" t="str">
        <f t="shared" si="345"/>
        <v/>
      </c>
      <c r="CK46" s="8" t="str">
        <f t="shared" si="346"/>
        <v/>
      </c>
      <c r="CL46" s="173" t="str">
        <f t="shared" si="347"/>
        <v/>
      </c>
      <c r="CM46" s="5" t="str">
        <f t="shared" si="348"/>
        <v/>
      </c>
      <c r="CN46" s="6" t="str">
        <f t="shared" si="349"/>
        <v/>
      </c>
      <c r="CO46" s="167" t="str">
        <f t="shared" si="350"/>
        <v/>
      </c>
      <c r="CP46" s="4" t="str">
        <f t="shared" si="351"/>
        <v/>
      </c>
      <c r="CQ46" s="5" t="str">
        <f t="shared" si="352"/>
        <v/>
      </c>
      <c r="CR46" s="5" t="str">
        <f t="shared" si="353"/>
        <v/>
      </c>
      <c r="CS46" s="8" t="str">
        <f t="shared" si="354"/>
        <v/>
      </c>
      <c r="CT46" s="9" t="str">
        <f t="shared" si="154"/>
        <v/>
      </c>
      <c r="CU46" s="6" t="str">
        <f t="shared" si="355"/>
        <v/>
      </c>
      <c r="CV46" s="4" t="str">
        <f t="shared" si="356"/>
        <v/>
      </c>
      <c r="CW46" s="5" t="str">
        <f t="shared" si="357"/>
        <v/>
      </c>
      <c r="CX46" s="8" t="str">
        <f t="shared" si="358"/>
        <v/>
      </c>
      <c r="CY46" s="9" t="str">
        <f t="shared" si="359"/>
        <v/>
      </c>
      <c r="CZ46" s="5" t="str">
        <f t="shared" si="360"/>
        <v/>
      </c>
      <c r="DA46" s="6" t="str">
        <f t="shared" si="361"/>
        <v/>
      </c>
      <c r="DB46" s="4" t="str">
        <f t="shared" si="511"/>
        <v/>
      </c>
      <c r="DC46" s="5" t="str">
        <f t="shared" si="511"/>
        <v/>
      </c>
      <c r="DD46" s="10" t="str">
        <f t="shared" si="162"/>
        <v/>
      </c>
      <c r="DE46" s="9" t="str">
        <f t="shared" si="512"/>
        <v/>
      </c>
      <c r="DF46" s="5" t="str">
        <f t="shared" si="512"/>
        <v/>
      </c>
      <c r="DG46" s="10" t="str">
        <f t="shared" si="164"/>
        <v/>
      </c>
      <c r="DH46" s="70" t="str">
        <f t="shared" si="362"/>
        <v/>
      </c>
      <c r="DI46" s="4" t="str">
        <f t="shared" si="363"/>
        <v/>
      </c>
      <c r="DJ46" s="5" t="str">
        <f t="shared" si="364"/>
        <v/>
      </c>
      <c r="DK46" s="10" t="str">
        <f t="shared" si="365"/>
        <v/>
      </c>
      <c r="DL46" s="9" t="str">
        <f t="shared" si="366"/>
        <v/>
      </c>
      <c r="DM46" s="173" t="str">
        <f t="shared" si="367"/>
        <v/>
      </c>
      <c r="DN46" s="178" t="str">
        <f t="shared" si="368"/>
        <v/>
      </c>
      <c r="DO46" s="9" t="str">
        <f t="shared" si="369"/>
        <v/>
      </c>
      <c r="DP46" s="173" t="str">
        <f t="shared" si="370"/>
        <v/>
      </c>
      <c r="DQ46" s="11" t="str">
        <f t="shared" si="371"/>
        <v/>
      </c>
      <c r="DR46" s="173" t="str">
        <f t="shared" si="372"/>
        <v/>
      </c>
      <c r="DS46" s="5" t="str">
        <f t="shared" si="373"/>
        <v/>
      </c>
      <c r="DT46" s="5" t="str">
        <f t="shared" si="374"/>
        <v/>
      </c>
      <c r="DU46" s="5" t="str">
        <f t="shared" si="375"/>
        <v/>
      </c>
      <c r="DV46" s="5" t="str">
        <f t="shared" si="376"/>
        <v/>
      </c>
      <c r="DW46" s="5" t="str">
        <f t="shared" si="377"/>
        <v/>
      </c>
      <c r="DX46" s="167" t="str">
        <f t="shared" si="378"/>
        <v/>
      </c>
      <c r="DY46" s="9" t="str">
        <f t="shared" si="379"/>
        <v/>
      </c>
      <c r="DZ46" s="5" t="str">
        <f t="shared" si="380"/>
        <v/>
      </c>
      <c r="EA46" s="10" t="str">
        <f t="shared" si="381"/>
        <v/>
      </c>
      <c r="EB46" s="6" t="str">
        <f t="shared" si="382"/>
        <v/>
      </c>
      <c r="EC46" s="173" t="str">
        <f t="shared" si="383"/>
        <v/>
      </c>
      <c r="ED46" s="5" t="str">
        <f t="shared" si="384"/>
        <v/>
      </c>
      <c r="EE46" s="4" t="str">
        <f t="shared" si="385"/>
        <v/>
      </c>
      <c r="EF46" s="5" t="str">
        <f t="shared" si="386"/>
        <v/>
      </c>
      <c r="EG46" s="10" t="str">
        <f t="shared" si="387"/>
        <v/>
      </c>
      <c r="EH46" s="9" t="str">
        <f t="shared" si="388"/>
        <v/>
      </c>
      <c r="EI46" s="5" t="str">
        <f t="shared" si="389"/>
        <v/>
      </c>
      <c r="EJ46" s="6" t="str">
        <f t="shared" si="390"/>
        <v/>
      </c>
      <c r="EK46" s="236" t="str">
        <f t="shared" si="194"/>
        <v/>
      </c>
      <c r="EL46" s="238" t="str">
        <f t="shared" si="195"/>
        <v/>
      </c>
      <c r="EM46" s="4" t="str">
        <f t="shared" si="391"/>
        <v/>
      </c>
      <c r="EN46" s="5" t="str">
        <f t="shared" si="392"/>
        <v/>
      </c>
      <c r="EO46" s="10" t="str">
        <f t="shared" si="393"/>
        <v/>
      </c>
      <c r="EP46" s="9" t="str">
        <f t="shared" si="394"/>
        <v/>
      </c>
      <c r="EQ46" s="5" t="str">
        <f t="shared" si="395"/>
        <v/>
      </c>
      <c r="ER46" s="7" t="str">
        <f t="shared" si="396"/>
        <v/>
      </c>
      <c r="ES46" s="21" t="str">
        <f t="shared" si="397"/>
        <v/>
      </c>
      <c r="ET46" s="5" t="str">
        <f t="shared" si="398"/>
        <v/>
      </c>
      <c r="EU46" s="10" t="str">
        <f t="shared" si="399"/>
        <v/>
      </c>
      <c r="EV46" s="174" t="str">
        <f t="shared" si="400"/>
        <v/>
      </c>
      <c r="EW46" s="9" t="str">
        <f t="shared" si="401"/>
        <v/>
      </c>
      <c r="EX46" s="5" t="str">
        <f t="shared" si="402"/>
        <v/>
      </c>
      <c r="EY46" s="6" t="str">
        <f t="shared" si="403"/>
        <v/>
      </c>
      <c r="EZ46" s="51" t="str">
        <f t="shared" si="203"/>
        <v/>
      </c>
      <c r="FA46" s="266" t="str">
        <f t="shared" si="126"/>
        <v/>
      </c>
      <c r="FB46" s="267" t="str">
        <f t="shared" si="127"/>
        <v/>
      </c>
      <c r="FC46" s="269" t="str">
        <f t="shared" si="38"/>
        <v/>
      </c>
      <c r="FD46" s="4" t="str">
        <f t="shared" si="404"/>
        <v/>
      </c>
      <c r="FE46" s="5" t="str">
        <f t="shared" si="405"/>
        <v/>
      </c>
      <c r="FF46" s="7" t="str">
        <f t="shared" si="406"/>
        <v/>
      </c>
      <c r="FG46" s="173" t="str">
        <f t="shared" si="407"/>
        <v/>
      </c>
      <c r="FH46" s="5" t="str">
        <f t="shared" si="408"/>
        <v/>
      </c>
      <c r="FI46" s="10" t="str">
        <f t="shared" si="409"/>
        <v/>
      </c>
      <c r="FJ46" s="279" t="str">
        <f t="shared" si="410"/>
        <v/>
      </c>
      <c r="FK46" s="4" t="str">
        <f t="shared" si="411"/>
        <v/>
      </c>
      <c r="FL46" s="5" t="str">
        <f t="shared" si="412"/>
        <v/>
      </c>
      <c r="FM46" s="8" t="str">
        <f t="shared" si="413"/>
        <v/>
      </c>
      <c r="FN46" s="9" t="str">
        <f t="shared" si="414"/>
        <v/>
      </c>
      <c r="FO46" s="10" t="str">
        <f t="shared" si="415"/>
        <v/>
      </c>
      <c r="FP46" s="277" t="str">
        <f t="shared" si="416"/>
        <v/>
      </c>
      <c r="FQ46" s="173" t="str">
        <f t="shared" si="417"/>
        <v/>
      </c>
      <c r="FR46" s="10" t="str">
        <f t="shared" si="418"/>
        <v/>
      </c>
      <c r="FS46" s="9" t="str">
        <f t="shared" si="419"/>
        <v/>
      </c>
      <c r="FT46" s="6" t="str">
        <f t="shared" si="420"/>
        <v/>
      </c>
      <c r="FU46" s="4" t="str">
        <f t="shared" si="421"/>
        <v/>
      </c>
      <c r="FV46" s="5" t="str">
        <f t="shared" si="422"/>
        <v/>
      </c>
      <c r="FW46" s="8" t="str">
        <f t="shared" si="423"/>
        <v/>
      </c>
      <c r="FX46" s="9" t="str">
        <f t="shared" si="424"/>
        <v/>
      </c>
      <c r="FY46" s="10" t="str">
        <f t="shared" si="425"/>
        <v/>
      </c>
      <c r="FZ46" s="277" t="str">
        <f t="shared" si="426"/>
        <v/>
      </c>
      <c r="GA46" s="177" t="str">
        <f t="shared" si="427"/>
        <v/>
      </c>
      <c r="GB46" s="4" t="str">
        <f t="shared" si="428"/>
        <v/>
      </c>
      <c r="GC46" s="5" t="str">
        <f t="shared" si="429"/>
        <v/>
      </c>
      <c r="GD46" s="10" t="str">
        <f t="shared" si="430"/>
        <v/>
      </c>
      <c r="GE46" s="311" t="str">
        <f t="shared" si="431"/>
        <v/>
      </c>
      <c r="GF46" s="341" t="str">
        <f t="shared" si="432"/>
        <v/>
      </c>
      <c r="GG46" s="285" t="str">
        <f t="shared" si="433"/>
        <v/>
      </c>
      <c r="GH46" s="286" t="str">
        <f t="shared" si="434"/>
        <v/>
      </c>
      <c r="GI46" s="281" t="str">
        <f t="shared" si="435"/>
        <v/>
      </c>
      <c r="GJ46" s="167" t="str">
        <f t="shared" si="436"/>
        <v/>
      </c>
      <c r="GK46" s="174" t="str">
        <f t="shared" si="49"/>
        <v/>
      </c>
      <c r="GL46" s="174" t="str">
        <f t="shared" si="437"/>
        <v/>
      </c>
      <c r="GM46" s="177" t="str">
        <f t="shared" si="438"/>
        <v/>
      </c>
      <c r="GN46" s="280" t="str">
        <f t="shared" si="439"/>
        <v/>
      </c>
      <c r="GO46" s="4" t="str">
        <f t="shared" si="440"/>
        <v/>
      </c>
      <c r="GP46" s="8" t="str">
        <f t="shared" si="441"/>
        <v/>
      </c>
      <c r="GQ46" s="177" t="str">
        <f t="shared" si="442"/>
        <v/>
      </c>
      <c r="GR46" s="371" t="str">
        <f t="shared" si="443"/>
        <v/>
      </c>
      <c r="GS46" s="342" t="str">
        <f t="shared" si="444"/>
        <v/>
      </c>
      <c r="GT46" s="343" t="str">
        <f t="shared" si="445"/>
        <v/>
      </c>
      <c r="GU46" s="344" t="str">
        <f t="shared" si="53"/>
        <v/>
      </c>
      <c r="GV46" s="343" t="str">
        <f t="shared" si="446"/>
        <v/>
      </c>
      <c r="GW46" s="345" t="str">
        <f t="shared" si="129"/>
        <v/>
      </c>
      <c r="GX46" s="346" t="str">
        <f t="shared" si="54"/>
        <v/>
      </c>
      <c r="GY46" s="344" t="str">
        <f t="shared" si="447"/>
        <v/>
      </c>
      <c r="GZ46" s="345" t="str">
        <f t="shared" si="448"/>
        <v/>
      </c>
      <c r="HA46" s="342" t="str">
        <f t="shared" si="57"/>
        <v/>
      </c>
      <c r="HB46" s="5" t="str">
        <f t="shared" si="225"/>
        <v/>
      </c>
      <c r="HC46" s="343" t="str">
        <f t="shared" si="449"/>
        <v/>
      </c>
      <c r="HD46" s="345" t="str">
        <f t="shared" si="450"/>
        <v/>
      </c>
      <c r="HE46" s="344" t="str">
        <f t="shared" si="58"/>
        <v/>
      </c>
      <c r="HF46" s="5" t="str">
        <f t="shared" si="59"/>
        <v/>
      </c>
      <c r="HG46" s="343" t="str">
        <f t="shared" si="451"/>
        <v/>
      </c>
      <c r="HH46" s="349" t="str">
        <f t="shared" si="452"/>
        <v/>
      </c>
      <c r="HI46" s="317" t="str">
        <f t="shared" si="453"/>
        <v/>
      </c>
      <c r="HJ46" s="336"/>
      <c r="HK46" s="310">
        <f t="shared" si="506"/>
        <v>38</v>
      </c>
      <c r="HL46" s="348">
        <f t="shared" si="454"/>
        <v>6.1379999999999999</v>
      </c>
      <c r="HM46" s="935">
        <f t="shared" si="455"/>
        <v>14.795380149958927</v>
      </c>
      <c r="HN46" s="936">
        <f t="shared" si="456"/>
        <v>19.599997170110559</v>
      </c>
      <c r="HO46" s="937"/>
      <c r="HP46" s="938"/>
      <c r="HQ46" s="936">
        <f t="shared" si="457"/>
        <v>18.675495238899053</v>
      </c>
      <c r="HR46" s="939">
        <f t="shared" si="458"/>
        <v>11.926761185147811</v>
      </c>
      <c r="HS46" s="940">
        <f t="shared" si="507"/>
        <v>5.6275000000000004</v>
      </c>
      <c r="HT46" s="941">
        <f t="shared" si="459"/>
        <v>8.0000000000000002E-3</v>
      </c>
      <c r="HU46" s="942">
        <f t="shared" si="460"/>
        <v>0.2828716676293726</v>
      </c>
      <c r="HV46" s="943">
        <f t="shared" si="461"/>
        <v>1.5671220037051351E-2</v>
      </c>
      <c r="HW46" s="944">
        <f t="shared" si="462"/>
        <v>30000</v>
      </c>
      <c r="HX46" s="947">
        <f t="shared" si="463"/>
        <v>112.55000000000001</v>
      </c>
      <c r="HY46" s="952">
        <f t="shared" si="464"/>
        <v>186.78379584358356</v>
      </c>
      <c r="HZ46" s="953">
        <f t="shared" si="465"/>
        <v>707.17916907343147</v>
      </c>
      <c r="IA46" s="954">
        <f t="shared" si="466"/>
        <v>154.49341637549168</v>
      </c>
      <c r="IB46" s="955">
        <f t="shared" si="467"/>
        <v>1048.4563812925066</v>
      </c>
      <c r="IC46" s="842">
        <f t="shared" si="468"/>
        <v>63.390033195116963</v>
      </c>
      <c r="ID46" s="351">
        <f t="shared" si="469"/>
        <v>240</v>
      </c>
      <c r="IE46" s="844">
        <f t="shared" si="470"/>
        <v>52.431436829084376</v>
      </c>
      <c r="IF46" s="845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0"/>
        <v>4.1539999999999999</v>
      </c>
      <c r="IJ46" s="96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71"/>
        <v>1613</v>
      </c>
      <c r="IM46" s="482" t="str">
        <f t="shared" si="231"/>
        <v/>
      </c>
      <c r="IN46" s="670" t="str">
        <f t="shared" si="472"/>
        <v/>
      </c>
      <c r="IO46" s="702"/>
      <c r="IP46" s="5" t="str">
        <f t="shared" si="473"/>
        <v/>
      </c>
      <c r="IQ46" s="714"/>
      <c r="IR46" s="9" t="str">
        <f t="shared" si="474"/>
        <v/>
      </c>
      <c r="IS46" s="5" t="str">
        <f t="shared" si="475"/>
        <v/>
      </c>
      <c r="IT46" s="5" t="str">
        <f t="shared" si="476"/>
        <v/>
      </c>
      <c r="IU46" s="5" t="str">
        <f t="shared" si="477"/>
        <v/>
      </c>
      <c r="IV46" s="670" t="str">
        <f t="shared" si="478"/>
        <v/>
      </c>
      <c r="IW46" s="9" t="str">
        <f t="shared" si="479"/>
        <v/>
      </c>
      <c r="IX46" s="5" t="str">
        <f t="shared" si="480"/>
        <v/>
      </c>
      <c r="IY46" s="5" t="str">
        <f t="shared" si="481"/>
        <v/>
      </c>
      <c r="IZ46" s="5" t="str">
        <f t="shared" si="482"/>
        <v/>
      </c>
      <c r="JA46" s="705" t="str">
        <f t="shared" si="483"/>
        <v/>
      </c>
    </row>
    <row r="47" spans="1:269" ht="15" customHeight="1" x14ac:dyDescent="0.25">
      <c r="A47" s="75">
        <f t="shared" si="308"/>
        <v>0</v>
      </c>
      <c r="B47" s="578">
        <f t="shared" ref="B47:D47" si="519">IFERROR(O202+($A47*-E47),"")</f>
        <v>-0.74099948153560136</v>
      </c>
      <c r="C47" s="572">
        <f t="shared" si="519"/>
        <v>-0.34553373292893436</v>
      </c>
      <c r="D47" s="576">
        <f t="shared" si="519"/>
        <v>-0.66990202042449376</v>
      </c>
      <c r="E47" s="580">
        <f t="shared" ref="E47:K47" si="520">R202</f>
        <v>0.46898965621450944</v>
      </c>
      <c r="F47" s="572">
        <f t="shared" si="520"/>
        <v>-0.83361677073922924</v>
      </c>
      <c r="G47" s="579">
        <f t="shared" si="520"/>
        <v>0.29177351131673307</v>
      </c>
      <c r="H47" s="580">
        <f t="shared" si="520"/>
        <v>0.3125</v>
      </c>
      <c r="I47" s="572">
        <f t="shared" si="520"/>
        <v>0.52</v>
      </c>
      <c r="J47" s="483">
        <f t="shared" si="92"/>
        <v>5.1029999999999998</v>
      </c>
      <c r="K47" s="806">
        <f t="shared" si="520"/>
        <v>1613</v>
      </c>
      <c r="L47" s="309"/>
      <c r="M47" s="164">
        <f t="shared" si="311"/>
        <v>5.1029999999999998</v>
      </c>
      <c r="N47" s="575">
        <f t="shared" si="312"/>
        <v>-0.74099948153560136</v>
      </c>
      <c r="O47" s="572">
        <f t="shared" si="313"/>
        <v>-0.34553373292893436</v>
      </c>
      <c r="P47" s="576">
        <f t="shared" si="314"/>
        <v>-0.66990202042449376</v>
      </c>
      <c r="Q47" s="528">
        <f t="shared" si="134"/>
        <v>205</v>
      </c>
      <c r="R47" s="572">
        <f t="shared" si="486"/>
        <v>0.81760246588903718</v>
      </c>
      <c r="S47" s="577">
        <f t="shared" si="487"/>
        <v>-0.66990202042449376</v>
      </c>
      <c r="T47" s="578">
        <f t="shared" si="488"/>
        <v>-0.34566305645391043</v>
      </c>
      <c r="U47" s="572">
        <f t="shared" si="489"/>
        <v>0.74093916324538744</v>
      </c>
      <c r="V47" s="579">
        <f t="shared" si="490"/>
        <v>-0.66990202042449376</v>
      </c>
      <c r="W47" s="528">
        <f t="shared" si="256"/>
        <v>115.00999999855618</v>
      </c>
      <c r="X47" s="572">
        <f t="shared" si="491"/>
        <v>0.81760246588903718</v>
      </c>
      <c r="Y47" s="573">
        <f t="shared" si="259"/>
        <v>-0.66990202042449376</v>
      </c>
      <c r="Z47" s="575">
        <f t="shared" si="315"/>
        <v>-0.46898965621450944</v>
      </c>
      <c r="AA47" s="572">
        <f t="shared" si="316"/>
        <v>0.83361677073922924</v>
      </c>
      <c r="AB47" s="572">
        <f t="shared" si="317"/>
        <v>-0.29177351131673307</v>
      </c>
      <c r="AC47" s="579">
        <f t="shared" si="492"/>
        <v>1</v>
      </c>
      <c r="AD47" s="580">
        <f t="shared" si="493"/>
        <v>-0.46898965621450944</v>
      </c>
      <c r="AE47" s="572">
        <f t="shared" si="494"/>
        <v>0.83361677073922924</v>
      </c>
      <c r="AF47" s="576">
        <f t="shared" si="495"/>
        <v>-0.29177351131673307</v>
      </c>
      <c r="AG47" s="545">
        <f t="shared" si="496"/>
        <v>70.709485883540296</v>
      </c>
      <c r="AH47" s="546">
        <f t="shared" si="497"/>
        <v>117.96873290217526</v>
      </c>
      <c r="AI47" s="528">
        <f t="shared" si="498"/>
        <v>-73.035836570743399</v>
      </c>
      <c r="AJ47" s="529">
        <f t="shared" si="499"/>
        <v>-150.63805808251544</v>
      </c>
      <c r="AK47" s="578">
        <f t="shared" si="500"/>
        <v>0.95371696400905348</v>
      </c>
      <c r="AL47" s="572">
        <f t="shared" si="501"/>
        <v>7.2747306859143213E-2</v>
      </c>
      <c r="AM47" s="577">
        <f t="shared" si="502"/>
        <v>-0.29177351131673307</v>
      </c>
      <c r="AN47" s="524">
        <f t="shared" si="503"/>
        <v>13.999999999999996</v>
      </c>
      <c r="AO47" s="525">
        <f t="shared" si="108"/>
        <v>17.499997473312952</v>
      </c>
      <c r="AP47" s="528">
        <f t="shared" si="504"/>
        <v>4.3619419174845602</v>
      </c>
      <c r="AQ47" s="529">
        <f t="shared" si="318"/>
        <v>1.7113816435954876</v>
      </c>
      <c r="AS47" s="900">
        <f t="shared" si="510"/>
        <v>-244.99000000144383</v>
      </c>
      <c r="AT47" s="896">
        <f t="shared" si="319"/>
        <v>-0.56544465608340844</v>
      </c>
      <c r="AU47" s="418"/>
      <c r="AV47" s="164">
        <f>IF(AND(ISNUMBER(VALUE(K47)),ISNUMBER(AW47),ISNUMBER(AX47),ISNUMBER(AY47),AY47&gt;=0.0001),$M47,"")</f>
        <v>5.1029999999999998</v>
      </c>
      <c r="AW47" s="829">
        <f>IFERROR(INDEX(MassProp!C$9:C$150,MATCH($M47,MassProp!$B$9:$B$150,0)),"")</f>
        <v>0.75870000000000004</v>
      </c>
      <c r="AX47" s="830">
        <f>IFERROR(INDEX(MassProp!D$9:D$150,MATCH($M47,MassProp!$B$9:$B$150,0)),"")</f>
        <v>-0.1903</v>
      </c>
      <c r="AY47" s="831">
        <f>IFERROR(INDEX(MassProp!E$9:E$150,MATCH($M47,MassProp!$B$9:$B$150,0)),"")</f>
        <v>3.6600000000000001E-2</v>
      </c>
      <c r="AZ47" s="297">
        <f t="shared" si="321"/>
        <v>0.17456454335951224</v>
      </c>
      <c r="BA47" s="296">
        <f t="shared" si="322"/>
        <v>9.6709557114027719E-3</v>
      </c>
      <c r="BB47" s="190">
        <f t="shared" si="139"/>
        <v>0.2216562839903852</v>
      </c>
      <c r="BC47" s="9"/>
      <c r="BD47" s="5">
        <f t="shared" si="323"/>
        <v>0.75870000000000004</v>
      </c>
      <c r="BE47" s="6">
        <f t="shared" si="324"/>
        <v>-0.44824573643410859</v>
      </c>
      <c r="BF47" s="4">
        <f t="shared" si="325"/>
        <v>-0.74099948153560136</v>
      </c>
      <c r="BG47" s="5">
        <f t="shared" si="326"/>
        <v>-0.34553373292893436</v>
      </c>
      <c r="BH47" s="10">
        <f t="shared" si="327"/>
        <v>-0.66990202042449376</v>
      </c>
      <c r="BI47" s="9">
        <f t="shared" si="328"/>
        <v>-0.74099948153560136</v>
      </c>
      <c r="BJ47" s="5">
        <f t="shared" si="329"/>
        <v>-1.5175600336099992E-2</v>
      </c>
      <c r="BK47" s="8">
        <f t="shared" si="330"/>
        <v>0.27395363815354079</v>
      </c>
      <c r="BL47" s="173">
        <f t="shared" si="331"/>
        <v>0.14220417695081833</v>
      </c>
      <c r="BM47" s="5">
        <f t="shared" si="332"/>
        <v>9.7124807903697374E-2</v>
      </c>
      <c r="BN47" s="6">
        <f t="shared" si="333"/>
        <v>-0.8248365674568745</v>
      </c>
      <c r="BO47" s="4">
        <f t="shared" si="334"/>
        <v>-0.46898965621450933</v>
      </c>
      <c r="BP47" s="5">
        <f t="shared" si="335"/>
        <v>0.83361677073922913</v>
      </c>
      <c r="BQ47" s="5">
        <f t="shared" si="336"/>
        <v>-0.29177351131673301</v>
      </c>
      <c r="BR47" s="6">
        <f t="shared" si="337"/>
        <v>-0.25493804221225025</v>
      </c>
      <c r="BS47" s="4">
        <f t="shared" si="505"/>
        <v>0</v>
      </c>
      <c r="BT47" s="5">
        <f t="shared" si="505"/>
        <v>0</v>
      </c>
      <c r="BU47" s="10">
        <f t="shared" si="111"/>
        <v>-0.44824573643410859</v>
      </c>
      <c r="BV47" s="9">
        <f t="shared" si="112"/>
        <v>0</v>
      </c>
      <c r="BW47" s="5">
        <f t="shared" si="113"/>
        <v>1</v>
      </c>
      <c r="BX47" s="8">
        <f t="shared" si="114"/>
        <v>-0.44824573643410859</v>
      </c>
      <c r="BY47" s="173">
        <f t="shared" si="115"/>
        <v>1</v>
      </c>
      <c r="BZ47" s="5">
        <f t="shared" si="116"/>
        <v>0</v>
      </c>
      <c r="CA47" s="6">
        <f t="shared" si="117"/>
        <v>-0.44824573643410859</v>
      </c>
      <c r="CB47" s="4">
        <f t="shared" si="338"/>
        <v>0</v>
      </c>
      <c r="CC47" s="5">
        <f t="shared" si="339"/>
        <v>0</v>
      </c>
      <c r="CD47" s="5">
        <f t="shared" si="340"/>
        <v>-1</v>
      </c>
      <c r="CE47" s="6">
        <f t="shared" si="341"/>
        <v>-0.44824573643410859</v>
      </c>
      <c r="CF47" s="4">
        <f t="shared" si="342"/>
        <v>-0.83361677073922913</v>
      </c>
      <c r="CG47" s="5">
        <f t="shared" si="343"/>
        <v>-0.46898965621450933</v>
      </c>
      <c r="CH47" s="5">
        <f t="shared" si="344"/>
        <v>0</v>
      </c>
      <c r="CI47" s="4">
        <f t="shared" si="118"/>
        <v>0</v>
      </c>
      <c r="CJ47" s="5">
        <f t="shared" si="345"/>
        <v>0.14893151639694224</v>
      </c>
      <c r="CK47" s="8">
        <f t="shared" si="346"/>
        <v>-0.44824573643410859</v>
      </c>
      <c r="CL47" s="173">
        <f t="shared" si="347"/>
        <v>-0.83361677073922913</v>
      </c>
      <c r="CM47" s="5">
        <f t="shared" si="348"/>
        <v>-0.32005813981756709</v>
      </c>
      <c r="CN47" s="6">
        <f t="shared" si="349"/>
        <v>-0.44824573643410859</v>
      </c>
      <c r="CO47" s="167">
        <f t="shared" si="350"/>
        <v>0.3125</v>
      </c>
      <c r="CP47" s="4">
        <f t="shared" si="351"/>
        <v>0.91486821809390417</v>
      </c>
      <c r="CQ47" s="5">
        <f t="shared" si="352"/>
        <v>-1.6992173644170312</v>
      </c>
      <c r="CR47" s="5">
        <f t="shared" si="353"/>
        <v>0.74505137265935772</v>
      </c>
      <c r="CS47" s="8">
        <f t="shared" si="354"/>
        <v>0.16084436476322583</v>
      </c>
      <c r="CT47" s="9">
        <f t="shared" si="154"/>
        <v>1.1478546254044142</v>
      </c>
      <c r="CU47" s="6">
        <f t="shared" si="355"/>
        <v>0.7094810332298872</v>
      </c>
      <c r="CV47" s="4">
        <f t="shared" si="356"/>
        <v>-0.95687086610771532</v>
      </c>
      <c r="CW47" s="5">
        <f t="shared" si="357"/>
        <v>-0.38940042975570832</v>
      </c>
      <c r="CX47" s="8">
        <f t="shared" si="358"/>
        <v>-0.44824573643410859</v>
      </c>
      <c r="CY47" s="9">
        <f t="shared" si="359"/>
        <v>-0.5914352878218303</v>
      </c>
      <c r="CZ47" s="5">
        <f t="shared" si="360"/>
        <v>-0.18380774946825745</v>
      </c>
      <c r="DA47" s="6">
        <f t="shared" si="361"/>
        <v>-0.44824573643410859</v>
      </c>
      <c r="DB47" s="4">
        <f t="shared" si="511"/>
        <v>0</v>
      </c>
      <c r="DC47" s="5">
        <f t="shared" si="511"/>
        <v>0</v>
      </c>
      <c r="DD47" s="10">
        <f t="shared" si="162"/>
        <v>-10</v>
      </c>
      <c r="DE47" s="9">
        <f t="shared" si="512"/>
        <v>0</v>
      </c>
      <c r="DF47" s="5">
        <f t="shared" si="512"/>
        <v>0</v>
      </c>
      <c r="DG47" s="10">
        <f t="shared" si="164"/>
        <v>10</v>
      </c>
      <c r="DH47" s="70">
        <f t="shared" si="362"/>
        <v>0.75870000000000004</v>
      </c>
      <c r="DI47" s="4">
        <f t="shared" si="363"/>
        <v>0</v>
      </c>
      <c r="DJ47" s="5">
        <f t="shared" si="364"/>
        <v>0</v>
      </c>
      <c r="DK47" s="10">
        <f t="shared" si="365"/>
        <v>20</v>
      </c>
      <c r="DL47" s="9">
        <f t="shared" si="366"/>
        <v>-0.95687086610771532</v>
      </c>
      <c r="DM47" s="173">
        <f t="shared" si="367"/>
        <v>-0.38940042975570832</v>
      </c>
      <c r="DN47" s="178">
        <f t="shared" si="368"/>
        <v>9.5517542635658916</v>
      </c>
      <c r="DO47" s="9">
        <f t="shared" si="369"/>
        <v>0.36543557828588502</v>
      </c>
      <c r="DP47" s="173">
        <f t="shared" si="370"/>
        <v>0.20559268028745087</v>
      </c>
      <c r="DQ47" s="11">
        <f t="shared" si="371"/>
        <v>0</v>
      </c>
      <c r="DR47" s="173">
        <f t="shared" si="372"/>
        <v>191.03508527131783</v>
      </c>
      <c r="DS47" s="5">
        <f t="shared" si="373"/>
        <v>0</v>
      </c>
      <c r="DT47" s="5">
        <f t="shared" si="374"/>
        <v>400</v>
      </c>
      <c r="DU47" s="5">
        <f t="shared" si="375"/>
        <v>0.17581151206491719</v>
      </c>
      <c r="DV47" s="5">
        <f t="shared" si="376"/>
        <v>-0.42973253635954989</v>
      </c>
      <c r="DW47" s="5">
        <f t="shared" si="377"/>
        <v>92.303244060648851</v>
      </c>
      <c r="DX47" s="167">
        <f t="shared" si="378"/>
        <v>91.727618370648855</v>
      </c>
      <c r="DY47" s="9">
        <f t="shared" si="379"/>
        <v>70.324604825966873</v>
      </c>
      <c r="DZ47" s="5">
        <f t="shared" si="380"/>
        <v>-171.89301454381996</v>
      </c>
      <c r="EA47" s="10">
        <f t="shared" si="381"/>
        <v>196.64354363986786</v>
      </c>
      <c r="EB47" s="6">
        <f t="shared" si="382"/>
        <v>15718.328950910423</v>
      </c>
      <c r="EC47" s="173">
        <f t="shared" si="383"/>
        <v>4.2270521858320809</v>
      </c>
      <c r="ED47" s="5">
        <f t="shared" si="384"/>
        <v>0.66150751440955136</v>
      </c>
      <c r="EE47" s="4">
        <f t="shared" si="385"/>
        <v>0.58784439386644538</v>
      </c>
      <c r="EF47" s="5">
        <f t="shared" si="386"/>
        <v>0.47965055884443708</v>
      </c>
      <c r="EG47" s="10">
        <f t="shared" si="387"/>
        <v>-0.44824573643410859</v>
      </c>
      <c r="EH47" s="9">
        <f t="shared" si="388"/>
        <v>-0.71513248503900251</v>
      </c>
      <c r="EI47" s="5">
        <f t="shared" si="389"/>
        <v>-0.25339932683795913</v>
      </c>
      <c r="EJ47" s="6">
        <f t="shared" si="390"/>
        <v>-0.44824573643410859</v>
      </c>
      <c r="EK47" s="236" t="b">
        <f t="shared" si="194"/>
        <v>0</v>
      </c>
      <c r="EL47" s="238" t="b">
        <f t="shared" si="195"/>
        <v>1</v>
      </c>
      <c r="EM47" s="4">
        <f t="shared" si="391"/>
        <v>-0.71513248503900251</v>
      </c>
      <c r="EN47" s="5">
        <f t="shared" si="392"/>
        <v>-0.25339932683795913</v>
      </c>
      <c r="EO47" s="10">
        <f t="shared" si="393"/>
        <v>-0.44824573643410859</v>
      </c>
      <c r="EP47" s="9">
        <f t="shared" si="394"/>
        <v>199.51122131281687</v>
      </c>
      <c r="EQ47" s="5">
        <f t="shared" si="395"/>
        <v>0.75869999999999338</v>
      </c>
      <c r="ER47" s="7">
        <f t="shared" si="396"/>
        <v>-0.44824573643410859</v>
      </c>
      <c r="ES47" s="21">
        <f t="shared" si="397"/>
        <v>-0.46898965621450944</v>
      </c>
      <c r="ET47" s="5">
        <f t="shared" si="398"/>
        <v>0.83361677073922924</v>
      </c>
      <c r="EU47" s="10">
        <f t="shared" si="399"/>
        <v>-0.29177351131673307</v>
      </c>
      <c r="EV47" s="174">
        <f t="shared" si="400"/>
        <v>250.48877868718313</v>
      </c>
      <c r="EW47" s="9">
        <f t="shared" si="401"/>
        <v>0.94238578622335867</v>
      </c>
      <c r="EX47" s="5">
        <f t="shared" si="402"/>
        <v>0.16363755075802933</v>
      </c>
      <c r="EY47" s="6">
        <f t="shared" si="403"/>
        <v>-0.29177351131673307</v>
      </c>
      <c r="EZ47" s="51">
        <f t="shared" si="203"/>
        <v>1.8441580994884634</v>
      </c>
      <c r="FA47" s="266">
        <f t="shared" si="126"/>
        <v>-0.33381847891573146</v>
      </c>
      <c r="FB47" s="267">
        <f t="shared" si="127"/>
        <v>0.94208789485697308</v>
      </c>
      <c r="FC47" s="269">
        <f t="shared" si="38"/>
        <v>-3.2181073604593415E-2</v>
      </c>
      <c r="FD47" s="4">
        <f t="shared" si="404"/>
        <v>0.9994820551173772</v>
      </c>
      <c r="FE47" s="5">
        <f t="shared" si="405"/>
        <v>1.1102230246251565E-16</v>
      </c>
      <c r="FF47" s="7">
        <f t="shared" si="406"/>
        <v>-3.2181073604593415E-2</v>
      </c>
      <c r="FG47" s="173">
        <f t="shared" si="407"/>
        <v>-5.7096268894018531E-2</v>
      </c>
      <c r="FH47" s="5">
        <f t="shared" si="408"/>
        <v>0.16363755075802922</v>
      </c>
      <c r="FI47" s="10">
        <f t="shared" si="409"/>
        <v>-0.25959243771213963</v>
      </c>
      <c r="FJ47" s="279">
        <f t="shared" si="410"/>
        <v>17.957166498821724</v>
      </c>
      <c r="FK47" s="4">
        <f t="shared" si="411"/>
        <v>0.95648743749926191</v>
      </c>
      <c r="FL47" s="5">
        <f t="shared" si="412"/>
        <v>0.9994820551173772</v>
      </c>
      <c r="FM47" s="8">
        <f t="shared" si="413"/>
        <v>0.1733125267824131</v>
      </c>
      <c r="FN47" s="9">
        <f t="shared" si="414"/>
        <v>9.8507206046676998</v>
      </c>
      <c r="FO47" s="10">
        <f t="shared" si="415"/>
        <v>-1</v>
      </c>
      <c r="FP47" s="277">
        <f t="shared" si="416"/>
        <v>-9.8507206046676998</v>
      </c>
      <c r="FQ47" s="173">
        <f t="shared" si="417"/>
        <v>0.17108175637503406</v>
      </c>
      <c r="FR47" s="10">
        <f t="shared" si="418"/>
        <v>0.98525683587358759</v>
      </c>
      <c r="FS47" s="9">
        <f t="shared" si="419"/>
        <v>0.14795126403447942</v>
      </c>
      <c r="FT47" s="6">
        <f t="shared" si="420"/>
        <v>0.85204873596552066</v>
      </c>
      <c r="FU47" s="4">
        <f t="shared" si="421"/>
        <v>0.98652052790700384</v>
      </c>
      <c r="FV47" s="5">
        <f t="shared" si="422"/>
        <v>1</v>
      </c>
      <c r="FW47" s="8">
        <f t="shared" si="423"/>
        <v>0.26579732436378878</v>
      </c>
      <c r="FX47" s="9">
        <f t="shared" si="424"/>
        <v>15.35896994499752</v>
      </c>
      <c r="FY47" s="10">
        <f t="shared" si="425"/>
        <v>1</v>
      </c>
      <c r="FZ47" s="277">
        <f t="shared" si="426"/>
        <v>15.35896994499752</v>
      </c>
      <c r="GA47" s="177">
        <f t="shared" si="427"/>
        <v>15.151190490507004</v>
      </c>
      <c r="GB47" s="4">
        <f t="shared" si="428"/>
        <v>0.16497162692619127</v>
      </c>
      <c r="GC47" s="5">
        <f t="shared" si="429"/>
        <v>0.95006870748923677</v>
      </c>
      <c r="GD47" s="10">
        <f t="shared" si="430"/>
        <v>-0.26486565152744251</v>
      </c>
      <c r="GE47" s="311">
        <f t="shared" si="431"/>
        <v>1.3799059859428706</v>
      </c>
      <c r="GF47" s="341">
        <f t="shared" si="432"/>
        <v>0.72468705128249289</v>
      </c>
      <c r="GG47" s="285">
        <f t="shared" si="433"/>
        <v>0.11955280186241705</v>
      </c>
      <c r="GH47" s="286">
        <f t="shared" si="434"/>
        <v>0.68850249014614429</v>
      </c>
      <c r="GI47" s="281">
        <f t="shared" si="435"/>
        <v>0.19194470799143862</v>
      </c>
      <c r="GJ47" s="167">
        <f t="shared" si="436"/>
        <v>0.75870000000000004</v>
      </c>
      <c r="GK47" s="174">
        <f t="shared" si="49"/>
        <v>0.397460253550802</v>
      </c>
      <c r="GL47" s="174">
        <f t="shared" si="437"/>
        <v>3.6600000000000001E-2</v>
      </c>
      <c r="GM47" s="177">
        <f t="shared" si="438"/>
        <v>0.17456454335951224</v>
      </c>
      <c r="GN47" s="280">
        <f t="shared" si="439"/>
        <v>9.6709557114027719E-3</v>
      </c>
      <c r="GO47" s="4">
        <f t="shared" si="440"/>
        <v>-9.8507206046676998</v>
      </c>
      <c r="GP47" s="8">
        <f t="shared" si="441"/>
        <v>15.35896994499752</v>
      </c>
      <c r="GQ47" s="177">
        <f t="shared" si="442"/>
        <v>17.957166498821724</v>
      </c>
      <c r="GR47" s="371">
        <f t="shared" si="443"/>
        <v>633.85588962233987</v>
      </c>
      <c r="GS47" s="342">
        <f t="shared" si="444"/>
        <v>75.7792475813457</v>
      </c>
      <c r="GT47" s="343">
        <f t="shared" si="445"/>
        <v>190.65868072179413</v>
      </c>
      <c r="GU47" s="344">
        <f t="shared" si="53"/>
        <v>436.41135839878058</v>
      </c>
      <c r="GV47" s="343">
        <f t="shared" si="446"/>
        <v>1098</v>
      </c>
      <c r="GW47" s="345">
        <f t="shared" si="129"/>
        <v>30000</v>
      </c>
      <c r="GX47" s="346">
        <f t="shared" si="54"/>
        <v>69.421050000000008</v>
      </c>
      <c r="GY47" s="344">
        <f t="shared" si="447"/>
        <v>121.66528364221358</v>
      </c>
      <c r="GZ47" s="345">
        <f t="shared" si="448"/>
        <v>306.1067932083497</v>
      </c>
      <c r="HA47" s="342">
        <f t="shared" si="57"/>
        <v>-75.7792475813457</v>
      </c>
      <c r="HB47" s="5">
        <f t="shared" si="225"/>
        <v>250.48877868718313</v>
      </c>
      <c r="HC47" s="343">
        <f t="shared" si="449"/>
        <v>25.30962215025728</v>
      </c>
      <c r="HD47" s="345">
        <f t="shared" si="450"/>
        <v>71.427707443303078</v>
      </c>
      <c r="HE47" s="344">
        <f t="shared" si="58"/>
        <v>1098</v>
      </c>
      <c r="HF47" s="5">
        <f t="shared" si="59"/>
        <v>340.48877868718313</v>
      </c>
      <c r="HG47" s="343">
        <f t="shared" si="451"/>
        <v>1034.9485548607245</v>
      </c>
      <c r="HH47" s="349">
        <f t="shared" si="452"/>
        <v>-366.72263196003877</v>
      </c>
      <c r="HI47" s="317">
        <f t="shared" si="453"/>
        <v>5.1029999999999998</v>
      </c>
      <c r="HJ47" s="336"/>
      <c r="HK47" s="310">
        <f t="shared" si="506"/>
        <v>39</v>
      </c>
      <c r="HL47" s="348">
        <f t="shared" si="454"/>
        <v>5.1390000000000002</v>
      </c>
      <c r="HM47" s="935">
        <f t="shared" si="455"/>
        <v>16.550563126982528</v>
      </c>
      <c r="HN47" s="936">
        <f t="shared" si="456"/>
        <v>21.099996953537374</v>
      </c>
      <c r="HO47" s="937"/>
      <c r="HP47" s="938"/>
      <c r="HQ47" s="936">
        <f t="shared" si="457"/>
        <v>20.151149296424943</v>
      </c>
      <c r="HR47" s="939">
        <f t="shared" si="458"/>
        <v>12.17045099524915</v>
      </c>
      <c r="HS47" s="940">
        <f t="shared" si="507"/>
        <v>5.7027999999999999</v>
      </c>
      <c r="HT47" s="941">
        <f t="shared" si="459"/>
        <v>1.3599999999999999E-2</v>
      </c>
      <c r="HU47" s="942">
        <f t="shared" si="460"/>
        <v>0.48731625955671054</v>
      </c>
      <c r="HV47" s="943">
        <f t="shared" si="461"/>
        <v>2.6997544134225802E-2</v>
      </c>
      <c r="HW47" s="944">
        <f t="shared" si="462"/>
        <v>30000</v>
      </c>
      <c r="HX47" s="947">
        <f t="shared" si="463"/>
        <v>193.89520000000002</v>
      </c>
      <c r="HY47" s="952">
        <f t="shared" si="464"/>
        <v>362.0439048926242</v>
      </c>
      <c r="HZ47" s="953">
        <f t="shared" si="465"/>
        <v>1218.2906488917763</v>
      </c>
      <c r="IA47" s="954">
        <f t="shared" si="466"/>
        <v>274.10257925989407</v>
      </c>
      <c r="IB47" s="955">
        <f t="shared" si="467"/>
        <v>1854.4371330442946</v>
      </c>
      <c r="IC47" s="842">
        <f t="shared" si="468"/>
        <v>121.24685790747824</v>
      </c>
      <c r="ID47" s="351">
        <f t="shared" si="469"/>
        <v>408</v>
      </c>
      <c r="IE47" s="844">
        <f t="shared" si="470"/>
        <v>91.79570773178547</v>
      </c>
      <c r="IF47" s="845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0"/>
        <v>5.1029999999999998</v>
      </c>
      <c r="IJ47" s="96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71"/>
        <v>1613</v>
      </c>
      <c r="IM47" s="482" t="str">
        <f t="shared" si="231"/>
        <v/>
      </c>
      <c r="IN47" s="670" t="str">
        <f t="shared" si="472"/>
        <v/>
      </c>
      <c r="IO47" s="702"/>
      <c r="IP47" s="5" t="str">
        <f t="shared" si="473"/>
        <v/>
      </c>
      <c r="IQ47" s="714"/>
      <c r="IR47" s="9" t="str">
        <f t="shared" si="474"/>
        <v/>
      </c>
      <c r="IS47" s="5" t="str">
        <f t="shared" si="475"/>
        <v/>
      </c>
      <c r="IT47" s="5" t="str">
        <f t="shared" si="476"/>
        <v/>
      </c>
      <c r="IU47" s="5" t="str">
        <f t="shared" si="477"/>
        <v/>
      </c>
      <c r="IV47" s="670" t="str">
        <f t="shared" si="478"/>
        <v/>
      </c>
      <c r="IW47" s="9" t="str">
        <f t="shared" si="479"/>
        <v/>
      </c>
      <c r="IX47" s="5" t="str">
        <f t="shared" si="480"/>
        <v/>
      </c>
      <c r="IY47" s="5" t="str">
        <f t="shared" si="481"/>
        <v/>
      </c>
      <c r="IZ47" s="5" t="str">
        <f t="shared" si="482"/>
        <v/>
      </c>
      <c r="JA47" s="705" t="str">
        <f t="shared" si="483"/>
        <v/>
      </c>
    </row>
    <row r="48" spans="1:269" ht="15" customHeight="1" x14ac:dyDescent="0.25">
      <c r="A48" s="75">
        <f t="shared" si="308"/>
        <v>0</v>
      </c>
      <c r="B48" s="578">
        <f t="shared" ref="B48:D48" si="521">IFERROR(O203+($A48*-E48),"")</f>
        <v>-1.3837549026523435</v>
      </c>
      <c r="C48" s="572">
        <f t="shared" si="521"/>
        <v>-0.64525550811631216</v>
      </c>
      <c r="D48" s="576">
        <f t="shared" si="521"/>
        <v>-0.42670128693108145</v>
      </c>
      <c r="E48" s="580">
        <f t="shared" ref="E48:K48" si="522">R203</f>
        <v>0.45297590335492149</v>
      </c>
      <c r="F48" s="572">
        <f t="shared" si="522"/>
        <v>-0.85455510618337871</v>
      </c>
      <c r="G48" s="579">
        <f t="shared" si="522"/>
        <v>0.25406377442623962</v>
      </c>
      <c r="H48" s="580">
        <f t="shared" si="522"/>
        <v>0.3125</v>
      </c>
      <c r="I48" s="572">
        <f t="shared" si="522"/>
        <v>0.52</v>
      </c>
      <c r="J48" s="483">
        <f t="shared" si="92"/>
        <v>5.1059999999999999</v>
      </c>
      <c r="K48" s="806">
        <f t="shared" si="522"/>
        <v>1613</v>
      </c>
      <c r="L48" s="309"/>
      <c r="M48" s="164">
        <f t="shared" si="311"/>
        <v>5.1059999999999999</v>
      </c>
      <c r="N48" s="575">
        <f t="shared" si="312"/>
        <v>-1.3837549026523435</v>
      </c>
      <c r="O48" s="572">
        <f t="shared" si="313"/>
        <v>-0.64525550811631216</v>
      </c>
      <c r="P48" s="576">
        <f t="shared" si="314"/>
        <v>-0.42670128693108145</v>
      </c>
      <c r="Q48" s="528">
        <f t="shared" si="134"/>
        <v>205</v>
      </c>
      <c r="R48" s="572">
        <f t="shared" si="93"/>
        <v>1.526804604842688</v>
      </c>
      <c r="S48" s="577">
        <f t="shared" si="94"/>
        <v>-0.42670128693108145</v>
      </c>
      <c r="T48" s="578">
        <f t="shared" si="95"/>
        <v>-0.64549700904333451</v>
      </c>
      <c r="U48" s="572">
        <f t="shared" si="96"/>
        <v>1.3836422632620564</v>
      </c>
      <c r="V48" s="579">
        <f t="shared" si="135"/>
        <v>-0.42670128693108145</v>
      </c>
      <c r="W48" s="528">
        <f t="shared" si="256"/>
        <v>115.00999999855618</v>
      </c>
      <c r="X48" s="572">
        <f t="shared" si="97"/>
        <v>1.526804604842688</v>
      </c>
      <c r="Y48" s="573">
        <f t="shared" si="259"/>
        <v>-0.42670128693108145</v>
      </c>
      <c r="Z48" s="575">
        <f t="shared" si="315"/>
        <v>-0.45297590335492149</v>
      </c>
      <c r="AA48" s="572">
        <f t="shared" si="316"/>
        <v>0.85455510618337871</v>
      </c>
      <c r="AB48" s="572">
        <f t="shared" si="317"/>
        <v>-0.25406377442623962</v>
      </c>
      <c r="AC48" s="579">
        <f t="shared" si="98"/>
        <v>1</v>
      </c>
      <c r="AD48" s="580">
        <f t="shared" si="136"/>
        <v>-0.45297590335492149</v>
      </c>
      <c r="AE48" s="572">
        <f t="shared" si="99"/>
        <v>0.85455510618337871</v>
      </c>
      <c r="AF48" s="576">
        <f t="shared" si="100"/>
        <v>-0.25406377442623962</v>
      </c>
      <c r="AG48" s="545">
        <f t="shared" si="101"/>
        <v>73.442506587273428</v>
      </c>
      <c r="AH48" s="546">
        <f t="shared" si="102"/>
        <v>116.93477573131906</v>
      </c>
      <c r="AI48" s="528">
        <f t="shared" si="103"/>
        <v>-75.281883520664749</v>
      </c>
      <c r="AJ48" s="529">
        <f t="shared" si="104"/>
        <v>-152.07318090633368</v>
      </c>
      <c r="AK48" s="578">
        <f t="shared" si="234"/>
        <v>0.96592583607220739</v>
      </c>
      <c r="AL48" s="572">
        <f t="shared" si="105"/>
        <v>4.9384995013668109E-2</v>
      </c>
      <c r="AM48" s="577">
        <f t="shared" si="106"/>
        <v>-0.25406377442623962</v>
      </c>
      <c r="AN48" s="524">
        <f t="shared" si="107"/>
        <v>11.000000000000018</v>
      </c>
      <c r="AO48" s="525">
        <f t="shared" si="108"/>
        <v>14.999997834268255</v>
      </c>
      <c r="AP48" s="528">
        <f t="shared" si="109"/>
        <v>2.926819093666337</v>
      </c>
      <c r="AQ48" s="529">
        <f t="shared" si="318"/>
        <v>0.916637728208895</v>
      </c>
      <c r="AS48" s="900">
        <f t="shared" si="510"/>
        <v>-244.99000000144383</v>
      </c>
      <c r="AT48" s="896">
        <f t="shared" si="319"/>
        <v>-0.32224392258999618</v>
      </c>
      <c r="AU48" s="418"/>
      <c r="AV48" s="164">
        <f t="shared" si="320"/>
        <v>5.1059999999999999</v>
      </c>
      <c r="AW48" s="829">
        <f>IFERROR(INDEX(MassProp!C$9:C$150,MATCH($M48,MassProp!$B$9:$B$150,0)),"")</f>
        <v>1.466</v>
      </c>
      <c r="AX48" s="830">
        <f>IFERROR(INDEX(MassProp!D$9:D$150,MATCH($M48,MassProp!$B$9:$B$150,0)),"")</f>
        <v>5.6099999999999997E-2</v>
      </c>
      <c r="AY48" s="831">
        <f>IFERROR(INDEX(MassProp!E$9:E$150,MATCH($M48,MassProp!$B$9:$B$150,0)),"")</f>
        <v>3.6499999999999998E-2</v>
      </c>
      <c r="AZ48" s="297">
        <f t="shared" si="321"/>
        <v>0.33625363604561481</v>
      </c>
      <c r="BA48" s="296">
        <f t="shared" si="322"/>
        <v>1.8628605554210833E-2</v>
      </c>
      <c r="BB48" s="190">
        <f t="shared" si="139"/>
        <v>0.22485555049697292</v>
      </c>
      <c r="BC48" s="9"/>
      <c r="BD48" s="5">
        <f t="shared" si="323"/>
        <v>1.466</v>
      </c>
      <c r="BE48" s="6">
        <f t="shared" si="324"/>
        <v>-0.20184573643410852</v>
      </c>
      <c r="BF48" s="4">
        <f t="shared" si="325"/>
        <v>-1.3837549026523435</v>
      </c>
      <c r="BG48" s="5">
        <f t="shared" si="326"/>
        <v>-0.64525550811631216</v>
      </c>
      <c r="BH48" s="10">
        <f t="shared" si="327"/>
        <v>-0.42670128693108145</v>
      </c>
      <c r="BI48" s="9">
        <f t="shared" si="328"/>
        <v>-1.3837549026523435</v>
      </c>
      <c r="BJ48" s="5">
        <f t="shared" si="329"/>
        <v>-0.36027817952287494</v>
      </c>
      <c r="BK48" s="8">
        <f t="shared" si="330"/>
        <v>0.53183297024898835</v>
      </c>
      <c r="BL48" s="173">
        <f t="shared" si="331"/>
        <v>-0.49223214299906748</v>
      </c>
      <c r="BM48" s="5">
        <f t="shared" si="332"/>
        <v>-0.21106258707353154</v>
      </c>
      <c r="BN48" s="6">
        <f t="shared" si="333"/>
        <v>-0.55578914978636595</v>
      </c>
      <c r="BO48" s="4">
        <f t="shared" si="334"/>
        <v>-0.45297590335492133</v>
      </c>
      <c r="BP48" s="5">
        <f t="shared" si="335"/>
        <v>0.85455510618337871</v>
      </c>
      <c r="BQ48" s="5">
        <f t="shared" si="336"/>
        <v>-0.25406377442623951</v>
      </c>
      <c r="BR48" s="6">
        <f t="shared" si="337"/>
        <v>-0.18381057730724587</v>
      </c>
      <c r="BS48" s="4">
        <f t="shared" si="505"/>
        <v>0</v>
      </c>
      <c r="BT48" s="5">
        <f t="shared" si="505"/>
        <v>0</v>
      </c>
      <c r="BU48" s="10">
        <f t="shared" si="111"/>
        <v>-0.20184573643410852</v>
      </c>
      <c r="BV48" s="9">
        <f t="shared" si="112"/>
        <v>0</v>
      </c>
      <c r="BW48" s="5">
        <f t="shared" si="113"/>
        <v>1</v>
      </c>
      <c r="BX48" s="8">
        <f t="shared" si="114"/>
        <v>-0.20184573643410852</v>
      </c>
      <c r="BY48" s="173">
        <f t="shared" si="115"/>
        <v>1</v>
      </c>
      <c r="BZ48" s="5">
        <f t="shared" si="116"/>
        <v>0</v>
      </c>
      <c r="CA48" s="6">
        <f t="shared" si="117"/>
        <v>-0.20184573643410852</v>
      </c>
      <c r="CB48" s="4">
        <f t="shared" si="338"/>
        <v>0</v>
      </c>
      <c r="CC48" s="5">
        <f t="shared" si="339"/>
        <v>0</v>
      </c>
      <c r="CD48" s="5">
        <f t="shared" si="340"/>
        <v>-1</v>
      </c>
      <c r="CE48" s="6">
        <f t="shared" si="341"/>
        <v>-0.20184573643410852</v>
      </c>
      <c r="CF48" s="4">
        <f t="shared" si="342"/>
        <v>-0.85455510618337871</v>
      </c>
      <c r="CG48" s="5">
        <f t="shared" si="343"/>
        <v>-0.45297590335492133</v>
      </c>
      <c r="CH48" s="5">
        <f t="shared" si="344"/>
        <v>0</v>
      </c>
      <c r="CI48" s="4">
        <f t="shared" si="118"/>
        <v>0</v>
      </c>
      <c r="CJ48" s="5">
        <f t="shared" si="345"/>
        <v>0.15508524458867723</v>
      </c>
      <c r="CK48" s="8">
        <f t="shared" si="346"/>
        <v>-0.20184573643410852</v>
      </c>
      <c r="CL48" s="173">
        <f t="shared" si="347"/>
        <v>-0.85455510618337871</v>
      </c>
      <c r="CM48" s="5">
        <f t="shared" si="348"/>
        <v>-0.2978906587662441</v>
      </c>
      <c r="CN48" s="6">
        <f t="shared" si="349"/>
        <v>-0.20184573643410852</v>
      </c>
      <c r="CO48" s="167">
        <f t="shared" si="350"/>
        <v>0.3125</v>
      </c>
      <c r="CP48" s="4">
        <f t="shared" si="351"/>
        <v>0.93545159852429272</v>
      </c>
      <c r="CQ48" s="5">
        <f t="shared" si="352"/>
        <v>-3.0900597864322892</v>
      </c>
      <c r="CR48" s="5">
        <f t="shared" si="353"/>
        <v>2.5082267196440822</v>
      </c>
      <c r="CS48" s="8">
        <f t="shared" si="354"/>
        <v>0.16317070631636632</v>
      </c>
      <c r="CT48" s="9">
        <f t="shared" si="154"/>
        <v>1.8675491770581616</v>
      </c>
      <c r="CU48" s="6">
        <f t="shared" si="355"/>
        <v>1.4357321378778174</v>
      </c>
      <c r="CV48" s="4">
        <f t="shared" si="356"/>
        <v>-1.5959236853036187</v>
      </c>
      <c r="CW48" s="5">
        <f t="shared" si="357"/>
        <v>-0.6908695309489834</v>
      </c>
      <c r="CX48" s="8">
        <f t="shared" si="358"/>
        <v>-0.20184573643410852</v>
      </c>
      <c r="CY48" s="9">
        <f t="shared" si="359"/>
        <v>-1.2269122295350676</v>
      </c>
      <c r="CZ48" s="5">
        <f t="shared" si="360"/>
        <v>-0.49526681754221957</v>
      </c>
      <c r="DA48" s="6">
        <f t="shared" si="361"/>
        <v>-0.20184573643410852</v>
      </c>
      <c r="DB48" s="4">
        <f t="shared" si="511"/>
        <v>0</v>
      </c>
      <c r="DC48" s="5">
        <f t="shared" si="511"/>
        <v>0</v>
      </c>
      <c r="DD48" s="10">
        <f t="shared" si="162"/>
        <v>-10</v>
      </c>
      <c r="DE48" s="9">
        <f t="shared" si="512"/>
        <v>0</v>
      </c>
      <c r="DF48" s="5">
        <f t="shared" si="512"/>
        <v>0</v>
      </c>
      <c r="DG48" s="10">
        <f t="shared" si="164"/>
        <v>10</v>
      </c>
      <c r="DH48" s="70">
        <f t="shared" si="362"/>
        <v>1.466</v>
      </c>
      <c r="DI48" s="4">
        <f t="shared" si="363"/>
        <v>0</v>
      </c>
      <c r="DJ48" s="5">
        <f t="shared" si="364"/>
        <v>0</v>
      </c>
      <c r="DK48" s="10">
        <f t="shared" si="365"/>
        <v>20</v>
      </c>
      <c r="DL48" s="9">
        <f t="shared" si="366"/>
        <v>-1.5959236853036187</v>
      </c>
      <c r="DM48" s="173">
        <f t="shared" si="367"/>
        <v>-0.6908695309489834</v>
      </c>
      <c r="DN48" s="178">
        <f t="shared" si="368"/>
        <v>9.7981542635658911</v>
      </c>
      <c r="DO48" s="9">
        <f t="shared" si="369"/>
        <v>0.3690114557685511</v>
      </c>
      <c r="DP48" s="173">
        <f t="shared" si="370"/>
        <v>0.19560271340676383</v>
      </c>
      <c r="DQ48" s="11">
        <f t="shared" si="371"/>
        <v>0</v>
      </c>
      <c r="DR48" s="173">
        <f t="shared" si="372"/>
        <v>195.96308527131782</v>
      </c>
      <c r="DS48" s="5">
        <f t="shared" si="373"/>
        <v>0</v>
      </c>
      <c r="DT48" s="5">
        <f t="shared" si="374"/>
        <v>400</v>
      </c>
      <c r="DU48" s="5">
        <f t="shared" si="375"/>
        <v>0.17442987598051393</v>
      </c>
      <c r="DV48" s="5">
        <f t="shared" si="376"/>
        <v>-0.72405007727307868</v>
      </c>
      <c r="DW48" s="5">
        <f t="shared" si="377"/>
        <v>99.028100090741205</v>
      </c>
      <c r="DX48" s="167">
        <f t="shared" si="378"/>
        <v>96.8789440907412</v>
      </c>
      <c r="DY48" s="9">
        <f t="shared" si="379"/>
        <v>69.771950392205568</v>
      </c>
      <c r="DZ48" s="5">
        <f t="shared" si="380"/>
        <v>-289.62003090923145</v>
      </c>
      <c r="EA48" s="10">
        <f t="shared" si="381"/>
        <v>350.04684724270192</v>
      </c>
      <c r="EB48" s="6">
        <f t="shared" si="382"/>
        <v>59456.311043098416</v>
      </c>
      <c r="EC48" s="173">
        <f t="shared" si="383"/>
        <v>7.6457183178601005</v>
      </c>
      <c r="ED48" s="5">
        <f t="shared" si="384"/>
        <v>0.65618608014525415</v>
      </c>
      <c r="EE48" s="4">
        <f t="shared" si="385"/>
        <v>1.2254339615662149</v>
      </c>
      <c r="EF48" s="5">
        <f t="shared" si="386"/>
        <v>0.80465371796825025</v>
      </c>
      <c r="EG48" s="10">
        <f t="shared" si="387"/>
        <v>-0.20184573643410852</v>
      </c>
      <c r="EH48" s="9">
        <f t="shared" si="388"/>
        <v>-1.3537835046141593</v>
      </c>
      <c r="EI48" s="5">
        <f t="shared" si="389"/>
        <v>-0.56251775317282349</v>
      </c>
      <c r="EJ48" s="6">
        <f t="shared" si="390"/>
        <v>-0.20184573643410852</v>
      </c>
      <c r="EK48" s="236" t="b">
        <f t="shared" si="194"/>
        <v>0</v>
      </c>
      <c r="EL48" s="238" t="b">
        <f t="shared" si="195"/>
        <v>1</v>
      </c>
      <c r="EM48" s="4">
        <f t="shared" si="391"/>
        <v>-1.3537835046141593</v>
      </c>
      <c r="EN48" s="5">
        <f t="shared" si="392"/>
        <v>-0.56251775317282349</v>
      </c>
      <c r="EO48" s="10">
        <f t="shared" si="393"/>
        <v>-0.20184573643410852</v>
      </c>
      <c r="EP48" s="9">
        <f t="shared" si="394"/>
        <v>202.56363196344924</v>
      </c>
      <c r="EQ48" s="5">
        <f t="shared" si="395"/>
        <v>1.4659999999999989</v>
      </c>
      <c r="ER48" s="7">
        <f t="shared" si="396"/>
        <v>-0.20184573643410852</v>
      </c>
      <c r="ES48" s="21">
        <f t="shared" si="397"/>
        <v>-0.45297590335492149</v>
      </c>
      <c r="ET48" s="5">
        <f t="shared" si="398"/>
        <v>0.85455510618337871</v>
      </c>
      <c r="EU48" s="10">
        <f t="shared" si="399"/>
        <v>-0.25406377442623962</v>
      </c>
      <c r="EV48" s="174">
        <f t="shared" si="400"/>
        <v>247.43636803655076</v>
      </c>
      <c r="EW48" s="9">
        <f t="shared" si="401"/>
        <v>0.96295333828888197</v>
      </c>
      <c r="EX48" s="5">
        <f t="shared" si="402"/>
        <v>9.0401696901058759E-2</v>
      </c>
      <c r="EY48" s="6">
        <f t="shared" si="403"/>
        <v>-0.25406377442623962</v>
      </c>
      <c r="EZ48" s="51">
        <f t="shared" si="203"/>
        <v>0.95464979189244015</v>
      </c>
      <c r="FA48" s="266">
        <f t="shared" si="126"/>
        <v>-0.38365598451656568</v>
      </c>
      <c r="FB48" s="267">
        <f t="shared" si="127"/>
        <v>0.92332578012957323</v>
      </c>
      <c r="FC48" s="269">
        <f t="shared" si="38"/>
        <v>-1.6661011155981564E-2</v>
      </c>
      <c r="FD48" s="4">
        <f t="shared" si="404"/>
        <v>0.99986119572031618</v>
      </c>
      <c r="FE48" s="5">
        <f t="shared" si="405"/>
        <v>-3.3306690738754696E-16</v>
      </c>
      <c r="FF48" s="7">
        <f t="shared" si="406"/>
        <v>-1.6661011155981564E-2</v>
      </c>
      <c r="FG48" s="173">
        <f t="shared" si="407"/>
        <v>-3.690785743143421E-2</v>
      </c>
      <c r="FH48" s="5">
        <f t="shared" si="408"/>
        <v>9.0401696901059092E-2</v>
      </c>
      <c r="FI48" s="10">
        <f t="shared" si="409"/>
        <v>-0.23740276327025805</v>
      </c>
      <c r="FJ48" s="279">
        <f t="shared" si="410"/>
        <v>14.748492892851051</v>
      </c>
      <c r="FK48" s="4">
        <f t="shared" si="411"/>
        <v>0.96718746813856771</v>
      </c>
      <c r="FL48" s="5">
        <f t="shared" si="412"/>
        <v>0.99986119572031618</v>
      </c>
      <c r="FM48" s="8">
        <f t="shared" si="413"/>
        <v>9.7645566938648218E-2</v>
      </c>
      <c r="FN48" s="9">
        <f t="shared" si="414"/>
        <v>5.363187130217141</v>
      </c>
      <c r="FO48" s="10">
        <f t="shared" si="415"/>
        <v>-1</v>
      </c>
      <c r="FP48" s="277">
        <f t="shared" si="416"/>
        <v>-5.363187130217141</v>
      </c>
      <c r="FQ48" s="173">
        <f t="shared" si="417"/>
        <v>9.3468639616521854E-2</v>
      </c>
      <c r="FR48" s="10">
        <f t="shared" si="418"/>
        <v>0.99562222424383273</v>
      </c>
      <c r="FS48" s="9">
        <f t="shared" si="419"/>
        <v>8.582262758610984E-2</v>
      </c>
      <c r="FT48" s="6">
        <f t="shared" si="420"/>
        <v>0.9141773724138903</v>
      </c>
      <c r="FU48" s="4">
        <f t="shared" si="421"/>
        <v>0.99590538365720727</v>
      </c>
      <c r="FV48" s="5">
        <f t="shared" si="422"/>
        <v>1</v>
      </c>
      <c r="FW48" s="8">
        <f t="shared" si="423"/>
        <v>0.24025457737269704</v>
      </c>
      <c r="FX48" s="9">
        <f t="shared" si="424"/>
        <v>13.825355415213638</v>
      </c>
      <c r="FY48" s="10">
        <f t="shared" si="425"/>
        <v>1</v>
      </c>
      <c r="FZ48" s="277">
        <f t="shared" si="426"/>
        <v>13.825355415213638</v>
      </c>
      <c r="GA48" s="177">
        <f t="shared" si="427"/>
        <v>13.768052578977855</v>
      </c>
      <c r="GB48" s="4">
        <f t="shared" si="428"/>
        <v>9.0760724635765594E-2</v>
      </c>
      <c r="GC48" s="5">
        <f t="shared" si="429"/>
        <v>0.96677767972852724</v>
      </c>
      <c r="GD48" s="10">
        <f t="shared" si="430"/>
        <v>-0.23896319558106852</v>
      </c>
      <c r="GE48" s="311">
        <f t="shared" si="431"/>
        <v>1.2965015999453613</v>
      </c>
      <c r="GF48" s="341">
        <f t="shared" si="432"/>
        <v>0.77130641415494061</v>
      </c>
      <c r="GG48" s="285">
        <f t="shared" si="433"/>
        <v>7.000432906491634E-2</v>
      </c>
      <c r="GH48" s="286">
        <f t="shared" si="434"/>
        <v>0.74568182543644401</v>
      </c>
      <c r="GI48" s="281">
        <f t="shared" si="435"/>
        <v>0.18431384549863972</v>
      </c>
      <c r="GJ48" s="167">
        <f t="shared" si="436"/>
        <v>1.466</v>
      </c>
      <c r="GK48" s="174">
        <f t="shared" si="49"/>
        <v>0.76770236540094716</v>
      </c>
      <c r="GL48" s="174">
        <f t="shared" si="437"/>
        <v>3.6499999999999998E-2</v>
      </c>
      <c r="GM48" s="177">
        <f t="shared" si="438"/>
        <v>0.33625363604561481</v>
      </c>
      <c r="GN48" s="280">
        <f t="shared" si="439"/>
        <v>1.8628605554210833E-2</v>
      </c>
      <c r="GO48" s="4">
        <f t="shared" si="440"/>
        <v>-5.363187130217141</v>
      </c>
      <c r="GP48" s="8">
        <f t="shared" si="441"/>
        <v>13.825355415213638</v>
      </c>
      <c r="GQ48" s="177">
        <f t="shared" si="442"/>
        <v>14.748492892851051</v>
      </c>
      <c r="GR48" s="371">
        <f t="shared" si="443"/>
        <v>1127.3361659606201</v>
      </c>
      <c r="GS48" s="342">
        <f t="shared" si="444"/>
        <v>78.918411928688386</v>
      </c>
      <c r="GT48" s="343">
        <f t="shared" si="445"/>
        <v>102.79818779439574</v>
      </c>
      <c r="GU48" s="344">
        <f t="shared" si="53"/>
        <v>840.63409011403712</v>
      </c>
      <c r="GV48" s="343">
        <f t="shared" si="446"/>
        <v>1095</v>
      </c>
      <c r="GW48" s="345">
        <f t="shared" si="129"/>
        <v>30000</v>
      </c>
      <c r="GX48" s="346">
        <f t="shared" si="54"/>
        <v>133.77249999999998</v>
      </c>
      <c r="GY48" s="344">
        <f t="shared" si="447"/>
        <v>207.78366391789459</v>
      </c>
      <c r="GZ48" s="345">
        <f t="shared" si="448"/>
        <v>270.65653732794692</v>
      </c>
      <c r="HA48" s="342">
        <f t="shared" si="57"/>
        <v>-78.918411928688386</v>
      </c>
      <c r="HB48" s="5">
        <f t="shared" si="225"/>
        <v>247.43636803655076</v>
      </c>
      <c r="HC48" s="343">
        <f t="shared" si="449"/>
        <v>30.281724257908053</v>
      </c>
      <c r="HD48" s="345">
        <f t="shared" si="450"/>
        <v>72.877519972308122</v>
      </c>
      <c r="HE48" s="344">
        <f t="shared" si="58"/>
        <v>1095</v>
      </c>
      <c r="HF48" s="5">
        <f t="shared" si="59"/>
        <v>337.43636803655079</v>
      </c>
      <c r="HG48" s="343">
        <f t="shared" si="451"/>
        <v>1011.1820856429099</v>
      </c>
      <c r="HH48" s="349">
        <f t="shared" si="452"/>
        <v>-420.16162327710873</v>
      </c>
      <c r="HI48" s="317">
        <f t="shared" si="453"/>
        <v>5.1059999999999999</v>
      </c>
      <c r="HJ48" s="336"/>
      <c r="HK48" s="310">
        <f t="shared" si="506"/>
        <v>40</v>
      </c>
      <c r="HL48" s="348">
        <f t="shared" si="454"/>
        <v>2.14</v>
      </c>
      <c r="HM48" s="935">
        <f t="shared" si="455"/>
        <v>16.580190764617662</v>
      </c>
      <c r="HN48" s="936">
        <f t="shared" si="456"/>
        <v>20.599997025728428</v>
      </c>
      <c r="HO48" s="937"/>
      <c r="HP48" s="938"/>
      <c r="HQ48" s="936">
        <f t="shared" si="457"/>
        <v>19.621455574700015</v>
      </c>
      <c r="HR48" s="939">
        <f t="shared" si="458"/>
        <v>11.115055576660119</v>
      </c>
      <c r="HS48" s="940">
        <f t="shared" si="507"/>
        <v>5.7678000000000003</v>
      </c>
      <c r="HT48" s="941">
        <f t="shared" si="459"/>
        <v>7.1000000000000004E-3</v>
      </c>
      <c r="HU48" s="942">
        <f t="shared" si="460"/>
        <v>0.25730741686699493</v>
      </c>
      <c r="HV48" s="943">
        <f t="shared" si="461"/>
        <v>1.4254948827788758E-2</v>
      </c>
      <c r="HW48" s="944">
        <f t="shared" si="462"/>
        <v>30000</v>
      </c>
      <c r="HX48" s="947">
        <f t="shared" si="463"/>
        <v>102.37845</v>
      </c>
      <c r="HY48" s="952">
        <f t="shared" si="464"/>
        <v>191.52453969822855</v>
      </c>
      <c r="HZ48" s="953">
        <f t="shared" si="465"/>
        <v>643.26854216748734</v>
      </c>
      <c r="IA48" s="954">
        <f t="shared" si="466"/>
        <v>131.86248920643845</v>
      </c>
      <c r="IB48" s="955">
        <f t="shared" si="467"/>
        <v>966.65557107215432</v>
      </c>
      <c r="IC48" s="842">
        <f t="shared" si="468"/>
        <v>63.417879597011272</v>
      </c>
      <c r="ID48" s="351">
        <f t="shared" si="469"/>
        <v>213</v>
      </c>
      <c r="IE48" s="844">
        <f t="shared" si="470"/>
        <v>43.66249608030494</v>
      </c>
      <c r="IF48" s="845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0"/>
        <v>5.1059999999999999</v>
      </c>
      <c r="IJ48" s="96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71"/>
        <v>1613</v>
      </c>
      <c r="IM48" s="482" t="str">
        <f t="shared" si="231"/>
        <v/>
      </c>
      <c r="IN48" s="670" t="str">
        <f t="shared" si="472"/>
        <v/>
      </c>
      <c r="IO48" s="702"/>
      <c r="IP48" s="5" t="str">
        <f t="shared" si="473"/>
        <v/>
      </c>
      <c r="IQ48" s="714"/>
      <c r="IR48" s="9" t="str">
        <f t="shared" si="474"/>
        <v/>
      </c>
      <c r="IS48" s="5" t="str">
        <f t="shared" si="475"/>
        <v/>
      </c>
      <c r="IT48" s="5" t="str">
        <f t="shared" si="476"/>
        <v/>
      </c>
      <c r="IU48" s="5" t="str">
        <f t="shared" si="477"/>
        <v/>
      </c>
      <c r="IV48" s="670" t="str">
        <f t="shared" si="478"/>
        <v/>
      </c>
      <c r="IW48" s="9" t="str">
        <f t="shared" si="479"/>
        <v/>
      </c>
      <c r="IX48" s="5" t="str">
        <f t="shared" si="480"/>
        <v/>
      </c>
      <c r="IY48" s="5" t="str">
        <f t="shared" si="481"/>
        <v/>
      </c>
      <c r="IZ48" s="5" t="str">
        <f t="shared" si="482"/>
        <v/>
      </c>
      <c r="JA48" s="705" t="str">
        <f t="shared" si="483"/>
        <v/>
      </c>
    </row>
    <row r="49" spans="1:261" ht="15" customHeight="1" x14ac:dyDescent="0.25">
      <c r="A49" s="75">
        <f t="shared" si="308"/>
        <v>0</v>
      </c>
      <c r="B49" s="578">
        <f t="shared" ref="B49:D49" si="523">IFERROR(O204+($A49*-E49),"")</f>
        <v>-2.0256040132486164</v>
      </c>
      <c r="C49" s="572">
        <f t="shared" si="523"/>
        <v>-0.94455466376732899</v>
      </c>
      <c r="D49" s="576">
        <f t="shared" si="523"/>
        <v>-0.17990054258003643</v>
      </c>
      <c r="E49" s="580">
        <f t="shared" ref="E49:K49" si="524">R204</f>
        <v>0.44086368797438608</v>
      </c>
      <c r="F49" s="572">
        <f t="shared" si="524"/>
        <v>-0.86020312497254525</v>
      </c>
      <c r="G49" s="579">
        <f t="shared" si="524"/>
        <v>0.25630019979136009</v>
      </c>
      <c r="H49" s="580">
        <f t="shared" si="524"/>
        <v>0.3125</v>
      </c>
      <c r="I49" s="572">
        <f t="shared" si="524"/>
        <v>0.52</v>
      </c>
      <c r="J49" s="483">
        <f t="shared" si="92"/>
        <v>5.109</v>
      </c>
      <c r="K49" s="806">
        <f t="shared" si="524"/>
        <v>1613</v>
      </c>
      <c r="L49" s="309"/>
      <c r="M49" s="164">
        <f t="shared" si="311"/>
        <v>5.109</v>
      </c>
      <c r="N49" s="575">
        <f t="shared" si="312"/>
        <v>-2.0256040132486164</v>
      </c>
      <c r="O49" s="572">
        <f t="shared" si="313"/>
        <v>-0.94455466376732899</v>
      </c>
      <c r="P49" s="576">
        <f t="shared" si="314"/>
        <v>-0.17990054258003643</v>
      </c>
      <c r="Q49" s="528">
        <f t="shared" si="134"/>
        <v>205</v>
      </c>
      <c r="R49" s="572">
        <f t="shared" si="93"/>
        <v>2.2350067407803298</v>
      </c>
      <c r="S49" s="577">
        <f t="shared" si="94"/>
        <v>-0.17990054258003643</v>
      </c>
      <c r="T49" s="578">
        <f t="shared" si="95"/>
        <v>-0.94490818392183173</v>
      </c>
      <c r="U49" s="572">
        <f t="shared" si="96"/>
        <v>2.0254391265330733</v>
      </c>
      <c r="V49" s="579">
        <f t="shared" si="135"/>
        <v>-0.17990054258003643</v>
      </c>
      <c r="W49" s="528">
        <f t="shared" si="256"/>
        <v>115.00999999855618</v>
      </c>
      <c r="X49" s="572">
        <f t="shared" si="97"/>
        <v>2.2350067407803298</v>
      </c>
      <c r="Y49" s="573">
        <f t="shared" si="259"/>
        <v>-0.17990054258003643</v>
      </c>
      <c r="Z49" s="575">
        <f t="shared" si="315"/>
        <v>-0.44086368797438608</v>
      </c>
      <c r="AA49" s="572">
        <f t="shared" si="316"/>
        <v>0.86020312497254525</v>
      </c>
      <c r="AB49" s="572">
        <f t="shared" si="317"/>
        <v>-0.25630019979136009</v>
      </c>
      <c r="AC49" s="579">
        <f t="shared" si="98"/>
        <v>1</v>
      </c>
      <c r="AD49" s="580">
        <f t="shared" si="136"/>
        <v>-0.44086368797438608</v>
      </c>
      <c r="AE49" s="572">
        <f t="shared" si="99"/>
        <v>0.86020312497254525</v>
      </c>
      <c r="AF49" s="576">
        <f t="shared" si="100"/>
        <v>-0.25630019979136009</v>
      </c>
      <c r="AG49" s="545">
        <f t="shared" si="101"/>
        <v>73.408410716408937</v>
      </c>
      <c r="AH49" s="546">
        <f t="shared" si="102"/>
        <v>116.15900081653099</v>
      </c>
      <c r="AI49" s="528">
        <f t="shared" si="103"/>
        <v>-75.149358242617296</v>
      </c>
      <c r="AJ49" s="529">
        <f t="shared" si="104"/>
        <v>-152.86435467991683</v>
      </c>
      <c r="AK49" s="578">
        <f t="shared" si="234"/>
        <v>0.9659258360722075</v>
      </c>
      <c r="AL49" s="572">
        <f t="shared" si="105"/>
        <v>3.6020644013067371E-2</v>
      </c>
      <c r="AM49" s="577">
        <f t="shared" si="106"/>
        <v>-0.25630019979136009</v>
      </c>
      <c r="AN49" s="524">
        <f t="shared" si="107"/>
        <v>7.9999999999999858</v>
      </c>
      <c r="AO49" s="525">
        <f t="shared" si="108"/>
        <v>14.99999783426823</v>
      </c>
      <c r="AP49" s="528">
        <f t="shared" si="109"/>
        <v>2.1356453200831571</v>
      </c>
      <c r="AQ49" s="529">
        <f t="shared" si="318"/>
        <v>0.62621304954232704</v>
      </c>
      <c r="AS49" s="900">
        <f t="shared" si="510"/>
        <v>-244.99000000144383</v>
      </c>
      <c r="AT49" s="896">
        <f t="shared" si="319"/>
        <v>-7.544317823895115E-2</v>
      </c>
      <c r="AU49" s="418"/>
      <c r="AV49" s="164">
        <f t="shared" si="320"/>
        <v>5.109</v>
      </c>
      <c r="AW49" s="829">
        <f>IFERROR(INDEX(MassProp!C$9:C$150,MATCH($M49,MassProp!$B$9:$B$150,0)),"")</f>
        <v>2.1475</v>
      </c>
      <c r="AX49" s="830">
        <f>IFERROR(INDEX(MassProp!D$9:D$150,MATCH($M49,MassProp!$B$9:$B$150,0)),"")</f>
        <v>0.314</v>
      </c>
      <c r="AY49" s="831">
        <f>IFERROR(INDEX(MassProp!E$9:E$150,MATCH($M49,MassProp!$B$9:$B$150,0)),"")</f>
        <v>2.4199999999999999E-2</v>
      </c>
      <c r="AZ49" s="297">
        <f t="shared" si="321"/>
        <v>0.32655512443063883</v>
      </c>
      <c r="BA49" s="296">
        <f t="shared" si="322"/>
        <v>1.8091303565560185E-2</v>
      </c>
      <c r="BB49" s="190">
        <f t="shared" si="139"/>
        <v>0.2359548061459279</v>
      </c>
      <c r="BC49" s="9"/>
      <c r="BD49" s="5">
        <f t="shared" si="323"/>
        <v>2.1475</v>
      </c>
      <c r="BE49" s="6">
        <f t="shared" si="324"/>
        <v>5.6054263565891466E-2</v>
      </c>
      <c r="BF49" s="4">
        <f t="shared" si="325"/>
        <v>-2.0256040132486164</v>
      </c>
      <c r="BG49" s="5">
        <f t="shared" si="326"/>
        <v>-0.94455466376732899</v>
      </c>
      <c r="BH49" s="10">
        <f t="shared" si="327"/>
        <v>-0.17990054258003643</v>
      </c>
      <c r="BI49" s="9">
        <f t="shared" si="328"/>
        <v>-2.0256040132486164</v>
      </c>
      <c r="BJ49" s="5">
        <f t="shared" si="329"/>
        <v>-0.6590069761088222</v>
      </c>
      <c r="BK49" s="8">
        <f t="shared" si="330"/>
        <v>0.77846395909606381</v>
      </c>
      <c r="BL49" s="173">
        <f t="shared" si="331"/>
        <v>-1.1280299446472428</v>
      </c>
      <c r="BM49" s="5">
        <f t="shared" si="332"/>
        <v>-0.52204655513466891</v>
      </c>
      <c r="BN49" s="6">
        <f t="shared" si="333"/>
        <v>-0.30578814925372377</v>
      </c>
      <c r="BO49" s="4">
        <f t="shared" si="334"/>
        <v>-0.4408636879743858</v>
      </c>
      <c r="BP49" s="5">
        <f t="shared" si="335"/>
        <v>0.86020312497254525</v>
      </c>
      <c r="BQ49" s="5">
        <f t="shared" si="336"/>
        <v>-0.25630019979136021</v>
      </c>
      <c r="BR49" s="6">
        <f t="shared" si="337"/>
        <v>-0.12661492718229117</v>
      </c>
      <c r="BS49" s="4">
        <f t="shared" si="505"/>
        <v>0</v>
      </c>
      <c r="BT49" s="5">
        <f t="shared" si="505"/>
        <v>0</v>
      </c>
      <c r="BU49" s="10">
        <f t="shared" si="111"/>
        <v>5.6054263565891466E-2</v>
      </c>
      <c r="BV49" s="9">
        <f t="shared" si="112"/>
        <v>0</v>
      </c>
      <c r="BW49" s="5">
        <f t="shared" si="113"/>
        <v>1</v>
      </c>
      <c r="BX49" s="8">
        <f t="shared" si="114"/>
        <v>5.6054263565891466E-2</v>
      </c>
      <c r="BY49" s="173">
        <f t="shared" si="115"/>
        <v>1</v>
      </c>
      <c r="BZ49" s="5">
        <f t="shared" si="116"/>
        <v>0</v>
      </c>
      <c r="CA49" s="6">
        <f t="shared" si="117"/>
        <v>5.6054263565891466E-2</v>
      </c>
      <c r="CB49" s="4">
        <f t="shared" si="338"/>
        <v>0</v>
      </c>
      <c r="CC49" s="5">
        <f t="shared" si="339"/>
        <v>0</v>
      </c>
      <c r="CD49" s="5">
        <f t="shared" si="340"/>
        <v>-1</v>
      </c>
      <c r="CE49" s="6">
        <f t="shared" si="341"/>
        <v>5.6054263565891466E-2</v>
      </c>
      <c r="CF49" s="4">
        <f t="shared" si="342"/>
        <v>-0.86020312497254525</v>
      </c>
      <c r="CG49" s="5">
        <f t="shared" si="343"/>
        <v>-0.4408636879743858</v>
      </c>
      <c r="CH49" s="5">
        <f t="shared" si="344"/>
        <v>0</v>
      </c>
      <c r="CI49" s="4">
        <f t="shared" si="118"/>
        <v>0</v>
      </c>
      <c r="CJ49" s="5">
        <f t="shared" si="345"/>
        <v>0.16389343637630513</v>
      </c>
      <c r="CK49" s="8">
        <f t="shared" si="346"/>
        <v>5.6054263565891466E-2</v>
      </c>
      <c r="CL49" s="173">
        <f t="shared" si="347"/>
        <v>-0.86020312497254525</v>
      </c>
      <c r="CM49" s="5">
        <f t="shared" si="348"/>
        <v>-0.27697025159808064</v>
      </c>
      <c r="CN49" s="6">
        <f t="shared" si="349"/>
        <v>5.6054263565891466E-2</v>
      </c>
      <c r="CO49" s="167">
        <f t="shared" si="350"/>
        <v>0.3125</v>
      </c>
      <c r="CP49" s="4">
        <f t="shared" si="351"/>
        <v>0.93431020758690886</v>
      </c>
      <c r="CQ49" s="5">
        <f t="shared" si="352"/>
        <v>-4.4622108390218251</v>
      </c>
      <c r="CR49" s="5">
        <f t="shared" si="353"/>
        <v>5.2897472297442958</v>
      </c>
      <c r="CS49" s="8">
        <f t="shared" si="354"/>
        <v>0.14226624266518328</v>
      </c>
      <c r="CT49" s="9">
        <f t="shared" si="154"/>
        <v>2.5898212259991236</v>
      </c>
      <c r="CU49" s="6">
        <f t="shared" si="355"/>
        <v>2.186120214849101</v>
      </c>
      <c r="CV49" s="4">
        <f t="shared" si="356"/>
        <v>-2.2277723117246744</v>
      </c>
      <c r="CW49" s="5">
        <f t="shared" si="357"/>
        <v>-0.9778647005120138</v>
      </c>
      <c r="CX49" s="8">
        <f t="shared" si="358"/>
        <v>5.6054263565891466E-2</v>
      </c>
      <c r="CY49" s="9">
        <f t="shared" si="359"/>
        <v>-1.8805074403788486</v>
      </c>
      <c r="CZ49" s="5">
        <f t="shared" si="360"/>
        <v>-0.7998875838974262</v>
      </c>
      <c r="DA49" s="6">
        <f t="shared" si="361"/>
        <v>5.6054263565891466E-2</v>
      </c>
      <c r="DB49" s="4">
        <f t="shared" si="511"/>
        <v>0</v>
      </c>
      <c r="DC49" s="5">
        <f t="shared" si="511"/>
        <v>0</v>
      </c>
      <c r="DD49" s="10">
        <f t="shared" si="162"/>
        <v>-10</v>
      </c>
      <c r="DE49" s="9">
        <f t="shared" si="512"/>
        <v>0</v>
      </c>
      <c r="DF49" s="5">
        <f t="shared" si="512"/>
        <v>0</v>
      </c>
      <c r="DG49" s="10">
        <f t="shared" si="164"/>
        <v>10</v>
      </c>
      <c r="DH49" s="70">
        <f t="shared" si="362"/>
        <v>2.1475</v>
      </c>
      <c r="DI49" s="4">
        <f t="shared" si="363"/>
        <v>0</v>
      </c>
      <c r="DJ49" s="5">
        <f t="shared" si="364"/>
        <v>0</v>
      </c>
      <c r="DK49" s="10">
        <f t="shared" si="365"/>
        <v>20</v>
      </c>
      <c r="DL49" s="9">
        <f t="shared" si="366"/>
        <v>-2.2277723117246744</v>
      </c>
      <c r="DM49" s="173">
        <f t="shared" si="367"/>
        <v>-0.9778647005120138</v>
      </c>
      <c r="DN49" s="178">
        <f t="shared" si="368"/>
        <v>10.056054263565892</v>
      </c>
      <c r="DO49" s="9">
        <f t="shared" si="369"/>
        <v>0.34726487134582573</v>
      </c>
      <c r="DP49" s="173">
        <f t="shared" si="370"/>
        <v>0.17797711661458759</v>
      </c>
      <c r="DQ49" s="11">
        <f t="shared" si="371"/>
        <v>0</v>
      </c>
      <c r="DR49" s="173">
        <f t="shared" si="372"/>
        <v>201.12108527131784</v>
      </c>
      <c r="DS49" s="5">
        <f t="shared" si="373"/>
        <v>0</v>
      </c>
      <c r="DT49" s="5">
        <f t="shared" si="374"/>
        <v>400</v>
      </c>
      <c r="DU49" s="5">
        <f t="shared" si="375"/>
        <v>0.15226874490927542</v>
      </c>
      <c r="DV49" s="5">
        <f t="shared" si="376"/>
        <v>-0.94766460505517724</v>
      </c>
      <c r="DW49" s="5">
        <f t="shared" si="377"/>
        <v>107.0434161971763</v>
      </c>
      <c r="DX49" s="167">
        <f t="shared" si="378"/>
        <v>102.4316599471763</v>
      </c>
      <c r="DY49" s="9">
        <f t="shared" si="379"/>
        <v>60.907497963710163</v>
      </c>
      <c r="DZ49" s="5">
        <f t="shared" si="380"/>
        <v>-379.06584202207091</v>
      </c>
      <c r="EA49" s="10">
        <f t="shared" si="381"/>
        <v>522.97303815781925</v>
      </c>
      <c r="EB49" s="6">
        <f t="shared" si="382"/>
        <v>111837.93333122891</v>
      </c>
      <c r="EC49" s="173">
        <f t="shared" si="383"/>
        <v>11.714282402558394</v>
      </c>
      <c r="ED49" s="5">
        <f t="shared" si="384"/>
        <v>0.73298122491569784</v>
      </c>
      <c r="EE49" s="4">
        <f t="shared" si="385"/>
        <v>1.8401864597084368</v>
      </c>
      <c r="EF49" s="5">
        <f t="shared" si="386"/>
        <v>1.1070095047043329</v>
      </c>
      <c r="EG49" s="10">
        <f t="shared" si="387"/>
        <v>5.6054263565891466E-2</v>
      </c>
      <c r="EH49" s="9">
        <f t="shared" si="388"/>
        <v>-1.9732336809554187</v>
      </c>
      <c r="EI49" s="5">
        <f t="shared" si="389"/>
        <v>-0.84741081556888942</v>
      </c>
      <c r="EJ49" s="6">
        <f t="shared" si="390"/>
        <v>5.6054263565891466E-2</v>
      </c>
      <c r="EK49" s="236" t="b">
        <f t="shared" si="194"/>
        <v>0</v>
      </c>
      <c r="EL49" s="238" t="b">
        <f t="shared" si="195"/>
        <v>1</v>
      </c>
      <c r="EM49" s="4">
        <f t="shared" si="391"/>
        <v>-1.9732336809554187</v>
      </c>
      <c r="EN49" s="5">
        <f t="shared" si="392"/>
        <v>-0.84741081556888942</v>
      </c>
      <c r="EO49" s="10">
        <f t="shared" si="393"/>
        <v>5.6054263565891466E-2</v>
      </c>
      <c r="EP49" s="9">
        <f t="shared" si="394"/>
        <v>203.24124184213804</v>
      </c>
      <c r="EQ49" s="5">
        <f t="shared" si="395"/>
        <v>2.1475000000000004</v>
      </c>
      <c r="ER49" s="7">
        <f t="shared" si="396"/>
        <v>5.6054263565891466E-2</v>
      </c>
      <c r="ES49" s="21">
        <f t="shared" si="397"/>
        <v>-0.44086368797438608</v>
      </c>
      <c r="ET49" s="5">
        <f t="shared" si="398"/>
        <v>0.86020312497254525</v>
      </c>
      <c r="EU49" s="10">
        <f t="shared" si="399"/>
        <v>-0.25630019979136009</v>
      </c>
      <c r="EV49" s="174">
        <f t="shared" si="400"/>
        <v>246.75875815786196</v>
      </c>
      <c r="EW49" s="9">
        <f t="shared" si="401"/>
        <v>0.96436527871479027</v>
      </c>
      <c r="EX49" s="5">
        <f t="shared" si="402"/>
        <v>6.5649194939877642E-2</v>
      </c>
      <c r="EY49" s="6">
        <f t="shared" si="403"/>
        <v>-0.25630019979136009</v>
      </c>
      <c r="EZ49" s="51">
        <f t="shared" si="203"/>
        <v>0.65172794077416418</v>
      </c>
      <c r="FA49" s="266">
        <f t="shared" si="126"/>
        <v>-0.394577878740758</v>
      </c>
      <c r="FB49" s="267">
        <f t="shared" si="127"/>
        <v>0.91879209680433038</v>
      </c>
      <c r="FC49" s="269">
        <f t="shared" si="38"/>
        <v>-1.1374553105321469E-2</v>
      </c>
      <c r="FD49" s="4">
        <f t="shared" si="404"/>
        <v>0.99993530767827887</v>
      </c>
      <c r="FE49" s="5">
        <f t="shared" si="405"/>
        <v>-3.3306690738754696E-16</v>
      </c>
      <c r="FF49" s="7">
        <f t="shared" si="406"/>
        <v>-1.1374553105321469E-2</v>
      </c>
      <c r="FG49" s="173">
        <f t="shared" si="407"/>
        <v>-3.5570028963488598E-2</v>
      </c>
      <c r="FH49" s="5">
        <f t="shared" si="408"/>
        <v>6.5649194939877975E-2</v>
      </c>
      <c r="FI49" s="10">
        <f t="shared" si="409"/>
        <v>-0.24492564668603861</v>
      </c>
      <c r="FJ49" s="279">
        <f t="shared" si="410"/>
        <v>14.711186139256245</v>
      </c>
      <c r="FK49" s="4">
        <f t="shared" si="411"/>
        <v>0.96659723131556152</v>
      </c>
      <c r="FL49" s="5">
        <f t="shared" si="412"/>
        <v>0.99993530767827887</v>
      </c>
      <c r="FM49" s="8">
        <f t="shared" si="413"/>
        <v>7.4666215631418717E-2</v>
      </c>
      <c r="FN49" s="9">
        <f t="shared" si="414"/>
        <v>3.8944034779450996</v>
      </c>
      <c r="FO49" s="10">
        <f t="shared" si="415"/>
        <v>-1</v>
      </c>
      <c r="FP49" s="277">
        <f t="shared" si="416"/>
        <v>-3.8944034779450996</v>
      </c>
      <c r="FQ49" s="173">
        <f t="shared" si="417"/>
        <v>6.7917838798821475E-2</v>
      </c>
      <c r="FR49" s="10">
        <f t="shared" si="418"/>
        <v>0.99769091765581253</v>
      </c>
      <c r="FS49" s="9">
        <f t="shared" si="419"/>
        <v>6.3736186839144962E-2</v>
      </c>
      <c r="FT49" s="6">
        <f t="shared" si="420"/>
        <v>0.93626381316085505</v>
      </c>
      <c r="FU49" s="4">
        <f t="shared" si="421"/>
        <v>0.99784276476995426</v>
      </c>
      <c r="FV49" s="5">
        <f t="shared" si="422"/>
        <v>1</v>
      </c>
      <c r="FW49" s="8">
        <f t="shared" si="423"/>
        <v>0.2474950491727817</v>
      </c>
      <c r="FX49" s="9">
        <f t="shared" si="424"/>
        <v>14.231760721702582</v>
      </c>
      <c r="FY49" s="10">
        <f t="shared" si="425"/>
        <v>1</v>
      </c>
      <c r="FZ49" s="277">
        <f t="shared" si="426"/>
        <v>14.231760721702582</v>
      </c>
      <c r="GA49" s="177">
        <f t="shared" si="427"/>
        <v>14.200341602591624</v>
      </c>
      <c r="GB49" s="4">
        <f t="shared" si="428"/>
        <v>6.5833387344559249E-2</v>
      </c>
      <c r="GC49" s="5">
        <f t="shared" si="429"/>
        <v>0.96707100511159871</v>
      </c>
      <c r="GD49" s="10">
        <f t="shared" si="430"/>
        <v>-0.24584473999494763</v>
      </c>
      <c r="GE49" s="311">
        <f t="shared" si="431"/>
        <v>1.2787491324511058</v>
      </c>
      <c r="GF49" s="341">
        <f t="shared" si="432"/>
        <v>0.78201421578539054</v>
      </c>
      <c r="GG49" s="285">
        <f t="shared" si="433"/>
        <v>5.1482644776751359E-2</v>
      </c>
      <c r="GH49" s="286">
        <f t="shared" si="434"/>
        <v>0.75626327367113633</v>
      </c>
      <c r="GI49" s="281">
        <f t="shared" si="435"/>
        <v>0.19225408155211221</v>
      </c>
      <c r="GJ49" s="167">
        <f t="shared" si="436"/>
        <v>2.1475</v>
      </c>
      <c r="GK49" s="174">
        <f t="shared" si="49"/>
        <v>1.1245011171853954</v>
      </c>
      <c r="GL49" s="174">
        <f t="shared" si="437"/>
        <v>2.4199999999999999E-2</v>
      </c>
      <c r="GM49" s="177">
        <f t="shared" si="438"/>
        <v>0.32655512443063883</v>
      </c>
      <c r="GN49" s="280">
        <f t="shared" si="439"/>
        <v>1.8091303565560185E-2</v>
      </c>
      <c r="GO49" s="4">
        <f t="shared" si="440"/>
        <v>-3.8944034779450996</v>
      </c>
      <c r="GP49" s="8">
        <f t="shared" si="441"/>
        <v>14.231760721702582</v>
      </c>
      <c r="GQ49" s="177">
        <f t="shared" si="442"/>
        <v>14.711186139256245</v>
      </c>
      <c r="GR49" s="371">
        <f t="shared" si="443"/>
        <v>1079.5021251178805</v>
      </c>
      <c r="GS49" s="342">
        <f t="shared" si="444"/>
        <v>55.575624443192055</v>
      </c>
      <c r="GT49" s="343">
        <f t="shared" si="445"/>
        <v>49.422471524347415</v>
      </c>
      <c r="GU49" s="344">
        <f t="shared" si="53"/>
        <v>816.38781107659702</v>
      </c>
      <c r="GV49" s="343">
        <f t="shared" si="446"/>
        <v>726</v>
      </c>
      <c r="GW49" s="345">
        <f t="shared" si="129"/>
        <v>30000</v>
      </c>
      <c r="GX49" s="346">
        <f t="shared" si="54"/>
        <v>129.92374999999998</v>
      </c>
      <c r="GY49" s="344">
        <f t="shared" si="447"/>
        <v>207.53868959809148</v>
      </c>
      <c r="GZ49" s="345">
        <f t="shared" si="448"/>
        <v>184.56067888803599</v>
      </c>
      <c r="HA49" s="342">
        <f t="shared" si="57"/>
        <v>-55.575624443192055</v>
      </c>
      <c r="HB49" s="5">
        <f t="shared" si="225"/>
        <v>246.75875815786196</v>
      </c>
      <c r="HC49" s="343">
        <f t="shared" si="449"/>
        <v>21.930330726498568</v>
      </c>
      <c r="HD49" s="345">
        <f t="shared" si="450"/>
        <v>51.065748075173822</v>
      </c>
      <c r="HE49" s="344">
        <f t="shared" si="58"/>
        <v>726</v>
      </c>
      <c r="HF49" s="5">
        <f t="shared" si="59"/>
        <v>336.75875815786196</v>
      </c>
      <c r="HG49" s="343">
        <f t="shared" si="451"/>
        <v>667.08621763615076</v>
      </c>
      <c r="HH49" s="349">
        <f t="shared" si="452"/>
        <v>-286.48207315623455</v>
      </c>
      <c r="HI49" s="317">
        <f t="shared" si="453"/>
        <v>5.109</v>
      </c>
      <c r="HJ49" s="336"/>
      <c r="HK49" s="310">
        <f t="shared" si="506"/>
        <v>41</v>
      </c>
      <c r="HL49" s="348">
        <f t="shared" si="454"/>
        <v>1.141</v>
      </c>
      <c r="HM49" s="935">
        <f t="shared" si="455"/>
        <v>17.495869317650182</v>
      </c>
      <c r="HN49" s="936">
        <f t="shared" si="456"/>
        <v>21.099996953537374</v>
      </c>
      <c r="HO49" s="937"/>
      <c r="HP49" s="938"/>
      <c r="HQ49" s="936">
        <f t="shared" si="457"/>
        <v>20.131189192363433</v>
      </c>
      <c r="HR49" s="939">
        <f t="shared" si="458"/>
        <v>10.620897233481514</v>
      </c>
      <c r="HS49" s="940">
        <f t="shared" si="507"/>
        <v>5.8304</v>
      </c>
      <c r="HT49" s="941">
        <f t="shared" si="459"/>
        <v>1.18E-2</v>
      </c>
      <c r="HU49" s="942">
        <f t="shared" si="460"/>
        <v>0.43227890087970944</v>
      </c>
      <c r="HV49" s="943">
        <f t="shared" si="461"/>
        <v>2.3948449237894652E-2</v>
      </c>
      <c r="HW49" s="944">
        <f t="shared" si="462"/>
        <v>30000</v>
      </c>
      <c r="HX49" s="947">
        <f t="shared" si="463"/>
        <v>171.99680000000001</v>
      </c>
      <c r="HY49" s="952">
        <f t="shared" si="464"/>
        <v>340.65687944375861</v>
      </c>
      <c r="HZ49" s="953">
        <f t="shared" si="465"/>
        <v>1080.6972521992736</v>
      </c>
      <c r="IA49" s="954">
        <f t="shared" si="466"/>
        <v>212.48482349604151</v>
      </c>
      <c r="IB49" s="955">
        <f t="shared" si="467"/>
        <v>1633.838955139074</v>
      </c>
      <c r="IC49" s="842">
        <f t="shared" si="468"/>
        <v>111.58771346709602</v>
      </c>
      <c r="ID49" s="351">
        <f t="shared" si="469"/>
        <v>354</v>
      </c>
      <c r="IE49" s="844">
        <f t="shared" si="470"/>
        <v>69.602867375227376</v>
      </c>
      <c r="IF49" s="845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0"/>
        <v>5.109</v>
      </c>
      <c r="IJ49" s="96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71"/>
        <v>1613</v>
      </c>
      <c r="IM49" s="482" t="str">
        <f t="shared" si="231"/>
        <v/>
      </c>
      <c r="IN49" s="670" t="str">
        <f t="shared" si="472"/>
        <v/>
      </c>
      <c r="IO49" s="702"/>
      <c r="IP49" s="5" t="str">
        <f t="shared" si="473"/>
        <v/>
      </c>
      <c r="IQ49" s="714"/>
      <c r="IR49" s="9" t="str">
        <f t="shared" si="474"/>
        <v/>
      </c>
      <c r="IS49" s="5" t="str">
        <f t="shared" si="475"/>
        <v/>
      </c>
      <c r="IT49" s="5" t="str">
        <f t="shared" si="476"/>
        <v/>
      </c>
      <c r="IU49" s="5" t="str">
        <f t="shared" si="477"/>
        <v/>
      </c>
      <c r="IV49" s="670" t="str">
        <f t="shared" si="478"/>
        <v/>
      </c>
      <c r="IW49" s="9" t="str">
        <f t="shared" si="479"/>
        <v/>
      </c>
      <c r="IX49" s="5" t="str">
        <f t="shared" si="480"/>
        <v/>
      </c>
      <c r="IY49" s="5" t="str">
        <f t="shared" si="481"/>
        <v/>
      </c>
      <c r="IZ49" s="5" t="str">
        <f t="shared" si="482"/>
        <v/>
      </c>
      <c r="JA49" s="705" t="str">
        <f t="shared" si="483"/>
        <v/>
      </c>
    </row>
    <row r="50" spans="1:261" ht="15" customHeight="1" x14ac:dyDescent="0.25">
      <c r="A50" s="75">
        <f t="shared" si="308"/>
        <v>0</v>
      </c>
      <c r="B50" s="578">
        <f t="shared" ref="B50:D50" si="525">IFERROR(O205+($A50*-E50),"")</f>
        <v>-2.686213751618602</v>
      </c>
      <c r="C50" s="572">
        <f t="shared" si="525"/>
        <v>-1.252602043821023</v>
      </c>
      <c r="D50" s="576">
        <f t="shared" si="525"/>
        <v>-1.1500034684104607E-2</v>
      </c>
      <c r="E50" s="580">
        <f t="shared" ref="E50:K50" si="526">R205</f>
        <v>0.41640426050533763</v>
      </c>
      <c r="F50" s="572">
        <f t="shared" si="526"/>
        <v>-0.87160874331544913</v>
      </c>
      <c r="G50" s="579">
        <f t="shared" si="526"/>
        <v>0.25866134308989119</v>
      </c>
      <c r="H50" s="580">
        <f t="shared" si="526"/>
        <v>0.3125</v>
      </c>
      <c r="I50" s="572">
        <f t="shared" si="526"/>
        <v>0.52</v>
      </c>
      <c r="J50" s="483">
        <f t="shared" si="92"/>
        <v>5.1150000000000002</v>
      </c>
      <c r="K50" s="806">
        <f t="shared" si="526"/>
        <v>1613</v>
      </c>
      <c r="L50" s="309"/>
      <c r="M50" s="164">
        <f t="shared" si="311"/>
        <v>5.1150000000000002</v>
      </c>
      <c r="N50" s="575">
        <f t="shared" si="312"/>
        <v>-2.686213751618602</v>
      </c>
      <c r="O50" s="572">
        <f t="shared" si="313"/>
        <v>-1.252602043821023</v>
      </c>
      <c r="P50" s="576">
        <f t="shared" si="314"/>
        <v>-1.1500034684104607E-2</v>
      </c>
      <c r="Q50" s="528">
        <f t="shared" si="134"/>
        <v>205</v>
      </c>
      <c r="R50" s="572">
        <f t="shared" si="93"/>
        <v>2.9639089391493609</v>
      </c>
      <c r="S50" s="577">
        <f t="shared" si="94"/>
        <v>-1.1500034684104607E-2</v>
      </c>
      <c r="T50" s="578">
        <f t="shared" si="95"/>
        <v>-1.2530708574165181</v>
      </c>
      <c r="U50" s="572">
        <f t="shared" si="96"/>
        <v>2.685995090439095</v>
      </c>
      <c r="V50" s="579">
        <f t="shared" si="135"/>
        <v>-1.1500034684104607E-2</v>
      </c>
      <c r="W50" s="528">
        <f t="shared" si="256"/>
        <v>115.00999999855618</v>
      </c>
      <c r="X50" s="572">
        <f t="shared" si="97"/>
        <v>2.9639089391493609</v>
      </c>
      <c r="Y50" s="573">
        <f t="shared" si="259"/>
        <v>-1.1500034684104607E-2</v>
      </c>
      <c r="Z50" s="575">
        <f t="shared" si="315"/>
        <v>-0.41640426050533763</v>
      </c>
      <c r="AA50" s="572">
        <f t="shared" si="316"/>
        <v>0.87160874331544913</v>
      </c>
      <c r="AB50" s="572">
        <f t="shared" si="317"/>
        <v>-0.25866134308989119</v>
      </c>
      <c r="AC50" s="579">
        <f t="shared" si="98"/>
        <v>1</v>
      </c>
      <c r="AD50" s="580">
        <f t="shared" si="136"/>
        <v>-0.41640426050533763</v>
      </c>
      <c r="AE50" s="572">
        <f t="shared" si="99"/>
        <v>0.87160874331544913</v>
      </c>
      <c r="AF50" s="576">
        <f t="shared" si="100"/>
        <v>-0.25866134308989119</v>
      </c>
      <c r="AG50" s="545">
        <f t="shared" si="101"/>
        <v>73.471052582667838</v>
      </c>
      <c r="AH50" s="546">
        <f t="shared" si="102"/>
        <v>114.60778062948594</v>
      </c>
      <c r="AI50" s="528">
        <f t="shared" si="103"/>
        <v>-75.00935419874574</v>
      </c>
      <c r="AJ50" s="529">
        <f t="shared" si="104"/>
        <v>-154.46422621300263</v>
      </c>
      <c r="AK50" s="578">
        <f t="shared" si="234"/>
        <v>0.96592583607220739</v>
      </c>
      <c r="AL50" s="572">
        <f t="shared" si="105"/>
        <v>9.0326518332548011E-3</v>
      </c>
      <c r="AM50" s="577">
        <f t="shared" si="106"/>
        <v>-0.25866134308989119</v>
      </c>
      <c r="AN50" s="524">
        <f t="shared" si="107"/>
        <v>1.999999711235855</v>
      </c>
      <c r="AO50" s="525">
        <f t="shared" si="108"/>
        <v>14.999997834268255</v>
      </c>
      <c r="AP50" s="528">
        <f t="shared" si="109"/>
        <v>0.53577378699737477</v>
      </c>
      <c r="AQ50" s="529">
        <f t="shared" si="318"/>
        <v>0.47221910510835108</v>
      </c>
      <c r="AS50" s="900">
        <f t="shared" si="510"/>
        <v>-244.99000000144383</v>
      </c>
      <c r="AT50" s="896">
        <f t="shared" si="319"/>
        <v>9.295732965698067E-2</v>
      </c>
      <c r="AU50" s="418"/>
      <c r="AV50" s="164">
        <f t="shared" si="320"/>
        <v>5.1150000000000002</v>
      </c>
      <c r="AW50" s="829">
        <f>IFERROR(INDEX(MassProp!C$9:C$150,MATCH($M50,MassProp!$B$9:$B$150,0)),"")</f>
        <v>2.9386000000000001</v>
      </c>
      <c r="AX50" s="830">
        <f>IFERROR(INDEX(MassProp!D$9:D$150,MATCH($M50,MassProp!$B$9:$B$150,0)),"")</f>
        <v>0.49130000000000001</v>
      </c>
      <c r="AY50" s="831">
        <f>IFERROR(INDEX(MassProp!E$9:E$150,MATCH($M50,MassProp!$B$9:$B$150,0)),"")</f>
        <v>2.8000000000000001E-2</v>
      </c>
      <c r="AZ50" s="297">
        <f t="shared" si="321"/>
        <v>0.5170033764893871</v>
      </c>
      <c r="BA50" s="296">
        <f t="shared" si="322"/>
        <v>2.8642224018982629E-2</v>
      </c>
      <c r="BB50" s="190">
        <f t="shared" si="139"/>
        <v>0.24485429824999608</v>
      </c>
      <c r="BC50" s="9"/>
      <c r="BD50" s="5">
        <f t="shared" si="323"/>
        <v>2.9386000000000001</v>
      </c>
      <c r="BE50" s="6">
        <f t="shared" si="324"/>
        <v>0.23335426356589148</v>
      </c>
      <c r="BF50" s="4">
        <f t="shared" si="325"/>
        <v>-2.686213751618602</v>
      </c>
      <c r="BG50" s="5">
        <f t="shared" si="326"/>
        <v>-1.252602043821023</v>
      </c>
      <c r="BH50" s="10">
        <f t="shared" si="327"/>
        <v>-1.1500034684104607E-2</v>
      </c>
      <c r="BI50" s="9">
        <f t="shared" si="328"/>
        <v>-2.686213751618602</v>
      </c>
      <c r="BJ50" s="5">
        <f t="shared" si="329"/>
        <v>-0.96810231305587546</v>
      </c>
      <c r="BK50" s="8">
        <f t="shared" si="330"/>
        <v>0.94717608538698517</v>
      </c>
      <c r="BL50" s="173">
        <f t="shared" si="331"/>
        <v>-1.7770341808884833</v>
      </c>
      <c r="BM50" s="5">
        <f t="shared" si="332"/>
        <v>-0.85340522297869448</v>
      </c>
      <c r="BN50" s="6">
        <f t="shared" si="333"/>
        <v>-0.12996693468733353</v>
      </c>
      <c r="BO50" s="4">
        <f t="shared" si="334"/>
        <v>-0.41640426050533769</v>
      </c>
      <c r="BP50" s="5">
        <f t="shared" si="335"/>
        <v>0.87160874331544891</v>
      </c>
      <c r="BQ50" s="5">
        <f t="shared" si="336"/>
        <v>-0.25866134308989153</v>
      </c>
      <c r="BR50" s="6">
        <f t="shared" si="337"/>
        <v>-2.9746571929778646E-2</v>
      </c>
      <c r="BS50" s="4">
        <f t="shared" si="505"/>
        <v>0</v>
      </c>
      <c r="BT50" s="5">
        <f t="shared" si="505"/>
        <v>0</v>
      </c>
      <c r="BU50" s="10">
        <f t="shared" si="111"/>
        <v>0.23335426356589148</v>
      </c>
      <c r="BV50" s="9">
        <f t="shared" si="112"/>
        <v>0</v>
      </c>
      <c r="BW50" s="5">
        <f t="shared" si="113"/>
        <v>1</v>
      </c>
      <c r="BX50" s="8">
        <f t="shared" si="114"/>
        <v>0.23335426356589148</v>
      </c>
      <c r="BY50" s="173">
        <f t="shared" si="115"/>
        <v>1</v>
      </c>
      <c r="BZ50" s="5">
        <f t="shared" si="116"/>
        <v>0</v>
      </c>
      <c r="CA50" s="6">
        <f t="shared" si="117"/>
        <v>0.23335426356589148</v>
      </c>
      <c r="CB50" s="4">
        <f t="shared" si="338"/>
        <v>0</v>
      </c>
      <c r="CC50" s="5">
        <f t="shared" si="339"/>
        <v>0</v>
      </c>
      <c r="CD50" s="5">
        <f t="shared" si="340"/>
        <v>-1</v>
      </c>
      <c r="CE50" s="6">
        <f t="shared" si="341"/>
        <v>0.23335426356589148</v>
      </c>
      <c r="CF50" s="4">
        <f t="shared" si="342"/>
        <v>-0.87160874331544891</v>
      </c>
      <c r="CG50" s="5">
        <f t="shared" si="343"/>
        <v>-0.41640426050533769</v>
      </c>
      <c r="CH50" s="5">
        <f t="shared" si="344"/>
        <v>0</v>
      </c>
      <c r="CI50" s="4">
        <f t="shared" si="118"/>
        <v>0</v>
      </c>
      <c r="CJ50" s="5">
        <f t="shared" si="345"/>
        <v>0.1033792970189077</v>
      </c>
      <c r="CK50" s="8">
        <f t="shared" si="346"/>
        <v>0.23335426356589148</v>
      </c>
      <c r="CL50" s="173">
        <f t="shared" si="347"/>
        <v>-0.87160874331544891</v>
      </c>
      <c r="CM50" s="5">
        <f t="shared" si="348"/>
        <v>-0.31302496348643</v>
      </c>
      <c r="CN50" s="6">
        <f t="shared" si="349"/>
        <v>0.23335426356589148</v>
      </c>
      <c r="CO50" s="167">
        <f t="shared" si="350"/>
        <v>0.3125</v>
      </c>
      <c r="CP50" s="4">
        <f t="shared" si="351"/>
        <v>0.9330943095909332</v>
      </c>
      <c r="CQ50" s="5">
        <f t="shared" si="352"/>
        <v>-5.8119275996329094</v>
      </c>
      <c r="CR50" s="5">
        <f t="shared" si="353"/>
        <v>9.0167270934624408</v>
      </c>
      <c r="CS50" s="8">
        <f t="shared" si="354"/>
        <v>0.1246754551979592</v>
      </c>
      <c r="CT50" s="9">
        <f t="shared" si="154"/>
        <v>3.3035362304184268</v>
      </c>
      <c r="CU50" s="6">
        <f t="shared" si="355"/>
        <v>2.9251241953222973</v>
      </c>
      <c r="CV50" s="4">
        <f t="shared" si="356"/>
        <v>-2.8793910622920604</v>
      </c>
      <c r="CW50" s="5">
        <f t="shared" si="357"/>
        <v>-1.2722272640610681</v>
      </c>
      <c r="CX50" s="8">
        <f t="shared" si="358"/>
        <v>0.23335426356589148</v>
      </c>
      <c r="CY50" s="9">
        <f t="shared" si="359"/>
        <v>-2.5495638239264813</v>
      </c>
      <c r="CZ50" s="5">
        <f t="shared" si="360"/>
        <v>-1.1146548804205443</v>
      </c>
      <c r="DA50" s="6">
        <f t="shared" si="361"/>
        <v>0.23335426356589148</v>
      </c>
      <c r="DB50" s="4">
        <f t="shared" si="511"/>
        <v>0</v>
      </c>
      <c r="DC50" s="5">
        <f t="shared" si="511"/>
        <v>0</v>
      </c>
      <c r="DD50" s="10">
        <f t="shared" si="162"/>
        <v>-10</v>
      </c>
      <c r="DE50" s="9">
        <f t="shared" si="512"/>
        <v>0</v>
      </c>
      <c r="DF50" s="5">
        <f t="shared" si="512"/>
        <v>0</v>
      </c>
      <c r="DG50" s="10">
        <f t="shared" si="164"/>
        <v>10</v>
      </c>
      <c r="DH50" s="70">
        <f t="shared" si="362"/>
        <v>2.9386000000000001</v>
      </c>
      <c r="DI50" s="4">
        <f t="shared" si="363"/>
        <v>0</v>
      </c>
      <c r="DJ50" s="5">
        <f t="shared" si="364"/>
        <v>0</v>
      </c>
      <c r="DK50" s="10">
        <f t="shared" si="365"/>
        <v>20</v>
      </c>
      <c r="DL50" s="9">
        <f t="shared" si="366"/>
        <v>-2.8793910622920604</v>
      </c>
      <c r="DM50" s="173">
        <f t="shared" si="367"/>
        <v>-1.2722272640610681</v>
      </c>
      <c r="DN50" s="178">
        <f t="shared" si="368"/>
        <v>10.233354263565891</v>
      </c>
      <c r="DO50" s="9">
        <f t="shared" si="369"/>
        <v>0.32982723836557915</v>
      </c>
      <c r="DP50" s="173">
        <f t="shared" si="370"/>
        <v>0.15757238364052384</v>
      </c>
      <c r="DQ50" s="11">
        <f t="shared" si="371"/>
        <v>0</v>
      </c>
      <c r="DR50" s="173">
        <f t="shared" si="372"/>
        <v>204.66708527131783</v>
      </c>
      <c r="DS50" s="5">
        <f t="shared" si="373"/>
        <v>0</v>
      </c>
      <c r="DT50" s="5">
        <f t="shared" si="374"/>
        <v>400</v>
      </c>
      <c r="DU50" s="5">
        <f t="shared" si="375"/>
        <v>0.13361506325402098</v>
      </c>
      <c r="DV50" s="5">
        <f t="shared" si="376"/>
        <v>-1.1501694847808861</v>
      </c>
      <c r="DW50" s="5">
        <f t="shared" si="377"/>
        <v>114.63099458466992</v>
      </c>
      <c r="DX50" s="167">
        <f t="shared" si="378"/>
        <v>105.99562462466992</v>
      </c>
      <c r="DY50" s="9">
        <f t="shared" si="379"/>
        <v>53.446025301608394</v>
      </c>
      <c r="DZ50" s="5">
        <f t="shared" si="380"/>
        <v>-460.06779391235443</v>
      </c>
      <c r="EA50" s="10">
        <f t="shared" si="381"/>
        <v>509.63405641107965</v>
      </c>
      <c r="EB50" s="6">
        <f t="shared" si="382"/>
        <v>184424.46032187276</v>
      </c>
      <c r="EC50" s="173">
        <f t="shared" si="383"/>
        <v>16.643229871426769</v>
      </c>
      <c r="ED50" s="5">
        <f t="shared" si="384"/>
        <v>0.57293508437993257</v>
      </c>
      <c r="EE50" s="4">
        <f t="shared" si="385"/>
        <v>2.6099994836841436</v>
      </c>
      <c r="EF50" s="5">
        <f t="shared" si="386"/>
        <v>1.3502861382568168</v>
      </c>
      <c r="EG50" s="10">
        <f t="shared" si="387"/>
        <v>0.23335426356589148</v>
      </c>
      <c r="EH50" s="9">
        <f t="shared" si="388"/>
        <v>-2.690421465648277</v>
      </c>
      <c r="EI50" s="5">
        <f t="shared" si="389"/>
        <v>-1.1819485171440376</v>
      </c>
      <c r="EJ50" s="6">
        <f t="shared" si="390"/>
        <v>0.23335426356589148</v>
      </c>
      <c r="EK50" s="236" t="b">
        <f t="shared" si="194"/>
        <v>0</v>
      </c>
      <c r="EL50" s="238" t="b">
        <f t="shared" si="195"/>
        <v>1</v>
      </c>
      <c r="EM50" s="4">
        <f t="shared" si="391"/>
        <v>-2.690421465648277</v>
      </c>
      <c r="EN50" s="5">
        <f t="shared" si="392"/>
        <v>-1.1819485171440376</v>
      </c>
      <c r="EO50" s="10">
        <f t="shared" si="393"/>
        <v>0.23335426356589148</v>
      </c>
      <c r="EP50" s="9">
        <f t="shared" si="394"/>
        <v>203.71671178303424</v>
      </c>
      <c r="EQ50" s="5">
        <f t="shared" si="395"/>
        <v>2.9386000000000023</v>
      </c>
      <c r="ER50" s="7">
        <f t="shared" si="396"/>
        <v>0.23335426356589148</v>
      </c>
      <c r="ES50" s="21">
        <f t="shared" si="397"/>
        <v>-0.41640426050533763</v>
      </c>
      <c r="ET50" s="5">
        <f t="shared" si="398"/>
        <v>0.87160874331544913</v>
      </c>
      <c r="EU50" s="10">
        <f t="shared" si="399"/>
        <v>-0.25866134308989119</v>
      </c>
      <c r="EV50" s="174">
        <f t="shared" si="400"/>
        <v>246.28328821696576</v>
      </c>
      <c r="EW50" s="9">
        <f t="shared" si="401"/>
        <v>0.9654812737015398</v>
      </c>
      <c r="EX50" s="5">
        <f t="shared" si="402"/>
        <v>3.066300250441828E-2</v>
      </c>
      <c r="EY50" s="6">
        <f t="shared" si="403"/>
        <v>-0.25866134308989119</v>
      </c>
      <c r="EZ50" s="51">
        <f t="shared" si="203"/>
        <v>0.47628594522930223</v>
      </c>
      <c r="FA50" s="266">
        <f t="shared" si="126"/>
        <v>-0.40220093919175315</v>
      </c>
      <c r="FB50" s="267">
        <f t="shared" si="127"/>
        <v>0.9155136832186761</v>
      </c>
      <c r="FC50" s="269">
        <f t="shared" si="38"/>
        <v>-8.3126621875995992E-3</v>
      </c>
      <c r="FD50" s="4">
        <f t="shared" si="404"/>
        <v>0.99996544922679942</v>
      </c>
      <c r="FE50" s="5">
        <f t="shared" si="405"/>
        <v>-3.3306690738754696E-16</v>
      </c>
      <c r="FF50" s="7">
        <f t="shared" si="406"/>
        <v>-8.3126621875995992E-3</v>
      </c>
      <c r="FG50" s="173">
        <f t="shared" si="407"/>
        <v>-3.4484175525259619E-2</v>
      </c>
      <c r="FH50" s="5">
        <f t="shared" si="408"/>
        <v>3.0663002504418613E-2</v>
      </c>
      <c r="FI50" s="10">
        <f t="shared" si="409"/>
        <v>-0.25034868090229162</v>
      </c>
      <c r="FJ50" s="279">
        <f t="shared" si="410"/>
        <v>14.625229737499547</v>
      </c>
      <c r="FK50" s="4">
        <f t="shared" si="411"/>
        <v>0.96596806861869589</v>
      </c>
      <c r="FL50" s="5">
        <f t="shared" si="412"/>
        <v>0.99996544922679942</v>
      </c>
      <c r="FM50" s="8">
        <f t="shared" si="413"/>
        <v>4.6145184843522917E-2</v>
      </c>
      <c r="FN50" s="9">
        <f t="shared" si="414"/>
        <v>1.8190620039631311</v>
      </c>
      <c r="FO50" s="10">
        <f t="shared" si="415"/>
        <v>-1</v>
      </c>
      <c r="FP50" s="277">
        <f t="shared" si="416"/>
        <v>-1.8190620039631311</v>
      </c>
      <c r="FQ50" s="173">
        <f t="shared" si="417"/>
        <v>3.1743287900050023E-2</v>
      </c>
      <c r="FR50" s="10">
        <f t="shared" si="418"/>
        <v>0.99949605485629334</v>
      </c>
      <c r="FS50" s="9">
        <f t="shared" si="419"/>
        <v>3.0781688192001212E-2</v>
      </c>
      <c r="FT50" s="6">
        <f t="shared" si="420"/>
        <v>0.96921831180799878</v>
      </c>
      <c r="FU50" s="4">
        <f t="shared" si="421"/>
        <v>0.99952977958508771</v>
      </c>
      <c r="FV50" s="5">
        <f t="shared" si="422"/>
        <v>1</v>
      </c>
      <c r="FW50" s="8">
        <f t="shared" si="423"/>
        <v>0.25271252519646575</v>
      </c>
      <c r="FX50" s="9">
        <f t="shared" si="424"/>
        <v>14.521577649626947</v>
      </c>
      <c r="FY50" s="10">
        <f t="shared" si="425"/>
        <v>1</v>
      </c>
      <c r="FZ50" s="277">
        <f t="shared" si="426"/>
        <v>14.521577649626947</v>
      </c>
      <c r="GA50" s="177">
        <f t="shared" si="427"/>
        <v>14.514013103836492</v>
      </c>
      <c r="GB50" s="4">
        <f t="shared" si="428"/>
        <v>3.0729193917483716E-2</v>
      </c>
      <c r="GC50" s="5">
        <f t="shared" si="429"/>
        <v>0.96756543260884875</v>
      </c>
      <c r="GD50" s="10">
        <f t="shared" si="430"/>
        <v>-0.25074459168969726</v>
      </c>
      <c r="GE50" s="311">
        <f t="shared" si="431"/>
        <v>1.2490392182160297</v>
      </c>
      <c r="GF50" s="341">
        <f t="shared" si="432"/>
        <v>0.80061537333333221</v>
      </c>
      <c r="GG50" s="285">
        <f t="shared" si="433"/>
        <v>2.4602265060478586E-2</v>
      </c>
      <c r="GH50" s="286">
        <f t="shared" si="434"/>
        <v>0.77464776005256053</v>
      </c>
      <c r="GI50" s="281">
        <f t="shared" si="435"/>
        <v>0.20074997488696092</v>
      </c>
      <c r="GJ50" s="167">
        <f t="shared" si="436"/>
        <v>2.9386000000000001</v>
      </c>
      <c r="GK50" s="174">
        <f t="shared" si="49"/>
        <v>1.5387005252660331</v>
      </c>
      <c r="GL50" s="174">
        <f t="shared" si="437"/>
        <v>2.8000000000000001E-2</v>
      </c>
      <c r="GM50" s="177">
        <f t="shared" si="438"/>
        <v>0.5170033764893871</v>
      </c>
      <c r="GN50" s="280">
        <f t="shared" si="439"/>
        <v>2.8642224018982629E-2</v>
      </c>
      <c r="GO50" s="4">
        <f t="shared" si="440"/>
        <v>-1.8190620039631311</v>
      </c>
      <c r="GP50" s="8">
        <f t="shared" si="441"/>
        <v>14.521577649626947</v>
      </c>
      <c r="GQ50" s="177">
        <f t="shared" si="442"/>
        <v>14.625229737499547</v>
      </c>
      <c r="GR50" s="371">
        <f t="shared" si="443"/>
        <v>1668.5111709814664</v>
      </c>
      <c r="GS50" s="342">
        <f t="shared" si="444"/>
        <v>41.049154084855545</v>
      </c>
      <c r="GT50" s="343">
        <f t="shared" si="445"/>
        <v>26.677805986813688</v>
      </c>
      <c r="GU50" s="344">
        <f t="shared" si="53"/>
        <v>1292.5084412234678</v>
      </c>
      <c r="GV50" s="343">
        <f t="shared" si="446"/>
        <v>840</v>
      </c>
      <c r="GW50" s="345">
        <f t="shared" si="129"/>
        <v>30000</v>
      </c>
      <c r="GX50" s="346">
        <f t="shared" si="54"/>
        <v>205.702</v>
      </c>
      <c r="GY50" s="344">
        <f t="shared" si="447"/>
        <v>334.95357567314312</v>
      </c>
      <c r="GZ50" s="345">
        <f t="shared" si="448"/>
        <v>217.68600853322738</v>
      </c>
      <c r="HA50" s="342">
        <f t="shared" si="57"/>
        <v>-41.049154084855545</v>
      </c>
      <c r="HB50" s="5">
        <f t="shared" si="225"/>
        <v>246.28328821696576</v>
      </c>
      <c r="HC50" s="343">
        <f t="shared" si="449"/>
        <v>16.510578779218715</v>
      </c>
      <c r="HD50" s="345">
        <f t="shared" si="450"/>
        <v>37.582360748859635</v>
      </c>
      <c r="HE50" s="344">
        <f t="shared" si="58"/>
        <v>840</v>
      </c>
      <c r="HF50" s="5">
        <f t="shared" si="59"/>
        <v>336.28328821696573</v>
      </c>
      <c r="HG50" s="343">
        <f t="shared" si="451"/>
        <v>769.05806545448536</v>
      </c>
      <c r="HH50" s="349">
        <f t="shared" si="452"/>
        <v>-337.86046226127797</v>
      </c>
      <c r="HI50" s="317">
        <f t="shared" si="453"/>
        <v>5.1150000000000002</v>
      </c>
      <c r="HJ50" s="336"/>
      <c r="HK50" s="310">
        <f t="shared" si="506"/>
        <v>42</v>
      </c>
      <c r="HL50" s="348">
        <f t="shared" si="454"/>
        <v>4.1420000000000003</v>
      </c>
      <c r="HM50" s="935">
        <f t="shared" si="455"/>
        <v>18.480635539737204</v>
      </c>
      <c r="HN50" s="936">
        <f t="shared" si="456"/>
        <v>21.799996852469864</v>
      </c>
      <c r="HO50" s="937"/>
      <c r="HP50" s="938"/>
      <c r="HQ50" s="936">
        <f t="shared" si="457"/>
        <v>20.75795141823075</v>
      </c>
      <c r="HR50" s="939">
        <f t="shared" si="458"/>
        <v>10.161501503146129</v>
      </c>
      <c r="HS50" s="940">
        <f t="shared" si="507"/>
        <v>5.8871000000000002</v>
      </c>
      <c r="HT50" s="941">
        <f t="shared" si="459"/>
        <v>5.7000000000000002E-3</v>
      </c>
      <c r="HU50" s="942">
        <f t="shared" si="460"/>
        <v>0.21084333441543626</v>
      </c>
      <c r="HV50" s="943">
        <f t="shared" si="461"/>
        <v>1.1680817363791748E-2</v>
      </c>
      <c r="HW50" s="944">
        <f t="shared" si="462"/>
        <v>30000</v>
      </c>
      <c r="HX50" s="947">
        <f t="shared" si="463"/>
        <v>83.891175000000004</v>
      </c>
      <c r="HY50" s="952">
        <f t="shared" si="464"/>
        <v>176.1699113397321</v>
      </c>
      <c r="HZ50" s="953">
        <f t="shared" si="465"/>
        <v>527.10833603859066</v>
      </c>
      <c r="IA50" s="954">
        <f t="shared" si="466"/>
        <v>99.613124517434457</v>
      </c>
      <c r="IB50" s="955">
        <f t="shared" si="467"/>
        <v>802.89137189575717</v>
      </c>
      <c r="IC50" s="842">
        <f t="shared" si="468"/>
        <v>57.151543201716073</v>
      </c>
      <c r="ID50" s="351">
        <f t="shared" si="469"/>
        <v>171</v>
      </c>
      <c r="IE50" s="844">
        <f t="shared" si="470"/>
        <v>32.315642018672627</v>
      </c>
      <c r="IF50" s="1072" t="s">
        <v>407</v>
      </c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0"/>
        <v>5.1150000000000002</v>
      </c>
      <c r="IJ50" s="96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71"/>
        <v>1613</v>
      </c>
      <c r="IM50" s="482" t="str">
        <f t="shared" si="231"/>
        <v/>
      </c>
      <c r="IN50" s="670" t="str">
        <f t="shared" si="472"/>
        <v/>
      </c>
      <c r="IO50" s="702"/>
      <c r="IP50" s="5" t="str">
        <f t="shared" si="473"/>
        <v/>
      </c>
      <c r="IQ50" s="714"/>
      <c r="IR50" s="9" t="str">
        <f t="shared" si="474"/>
        <v/>
      </c>
      <c r="IS50" s="5" t="str">
        <f t="shared" si="475"/>
        <v/>
      </c>
      <c r="IT50" s="5" t="str">
        <f t="shared" si="476"/>
        <v/>
      </c>
      <c r="IU50" s="5" t="str">
        <f t="shared" si="477"/>
        <v/>
      </c>
      <c r="IV50" s="670" t="str">
        <f t="shared" si="478"/>
        <v/>
      </c>
      <c r="IW50" s="9" t="str">
        <f t="shared" si="479"/>
        <v/>
      </c>
      <c r="IX50" s="5" t="str">
        <f t="shared" si="480"/>
        <v/>
      </c>
      <c r="IY50" s="5" t="str">
        <f t="shared" si="481"/>
        <v/>
      </c>
      <c r="IZ50" s="5" t="str">
        <f t="shared" si="482"/>
        <v/>
      </c>
      <c r="JA50" s="705" t="str">
        <f t="shared" si="483"/>
        <v/>
      </c>
    </row>
    <row r="51" spans="1:261" ht="15" customHeight="1" x14ac:dyDescent="0.25">
      <c r="A51" s="75">
        <f t="shared" si="308"/>
        <v>0</v>
      </c>
      <c r="B51" s="578">
        <f t="shared" ref="B51:D51" si="527">IFERROR(O206+($A51*-E51),"")</f>
        <v>-3.3690421498373446</v>
      </c>
      <c r="C51" s="572">
        <f t="shared" si="527"/>
        <v>-1.5545758894149206</v>
      </c>
      <c r="D51" s="576">
        <f t="shared" si="527"/>
        <v>-4.9000147784445724E-2</v>
      </c>
      <c r="E51" s="580">
        <f t="shared" ref="E51:K51" si="528">R206</f>
        <v>0.36206277132236603</v>
      </c>
      <c r="F51" s="572">
        <f t="shared" si="528"/>
        <v>-0.89471613179638565</v>
      </c>
      <c r="G51" s="579">
        <f t="shared" si="528"/>
        <v>0.26152168767748629</v>
      </c>
      <c r="H51" s="580">
        <f t="shared" si="528"/>
        <v>0.3125</v>
      </c>
      <c r="I51" s="572">
        <f t="shared" si="528"/>
        <v>0.52</v>
      </c>
      <c r="J51" s="483">
        <f t="shared" si="92"/>
        <v>5.1210000000000004</v>
      </c>
      <c r="K51" s="806">
        <f t="shared" si="528"/>
        <v>1613</v>
      </c>
      <c r="L51" s="309"/>
      <c r="M51" s="164">
        <f t="shared" si="311"/>
        <v>5.1210000000000004</v>
      </c>
      <c r="N51" s="575">
        <f t="shared" si="312"/>
        <v>-3.3690421498373446</v>
      </c>
      <c r="O51" s="572">
        <f t="shared" si="313"/>
        <v>-1.5545758894149206</v>
      </c>
      <c r="P51" s="576">
        <f t="shared" si="314"/>
        <v>-4.9000147784445724E-2</v>
      </c>
      <c r="Q51" s="528">
        <f t="shared" si="134"/>
        <v>204.77000003320788</v>
      </c>
      <c r="R51" s="572">
        <f t="shared" si="93"/>
        <v>3.7104111906001509</v>
      </c>
      <c r="S51" s="577">
        <f t="shared" si="94"/>
        <v>-4.9000147784445724E-2</v>
      </c>
      <c r="T51" s="578">
        <f t="shared" si="95"/>
        <v>-1.5551638744310305</v>
      </c>
      <c r="U51" s="572">
        <f t="shared" si="96"/>
        <v>3.3687707738870416</v>
      </c>
      <c r="V51" s="579">
        <f t="shared" si="135"/>
        <v>-4.9000147784445724E-2</v>
      </c>
      <c r="W51" s="528">
        <f t="shared" si="256"/>
        <v>114.78000003176406</v>
      </c>
      <c r="X51" s="572">
        <f t="shared" si="97"/>
        <v>3.7104111906001509</v>
      </c>
      <c r="Y51" s="573">
        <f t="shared" si="259"/>
        <v>-4.9000147784445724E-2</v>
      </c>
      <c r="Z51" s="575">
        <f t="shared" si="315"/>
        <v>-0.36206277132236603</v>
      </c>
      <c r="AA51" s="572">
        <f t="shared" si="316"/>
        <v>0.89471613179638565</v>
      </c>
      <c r="AB51" s="572">
        <f t="shared" si="317"/>
        <v>-0.26152168767748629</v>
      </c>
      <c r="AC51" s="579">
        <f t="shared" si="98"/>
        <v>1</v>
      </c>
      <c r="AD51" s="580">
        <f t="shared" si="136"/>
        <v>-0.36206277132236603</v>
      </c>
      <c r="AE51" s="572">
        <f t="shared" si="99"/>
        <v>0.89471613179638565</v>
      </c>
      <c r="AF51" s="576">
        <f t="shared" si="100"/>
        <v>-0.26152168767748629</v>
      </c>
      <c r="AG51" s="545">
        <f t="shared" si="101"/>
        <v>73.706584998050431</v>
      </c>
      <c r="AH51" s="546">
        <f t="shared" si="102"/>
        <v>111.22693202889874</v>
      </c>
      <c r="AI51" s="528">
        <f t="shared" si="103"/>
        <v>-74.839627120796067</v>
      </c>
      <c r="AJ51" s="529">
        <f t="shared" si="104"/>
        <v>-157.96840807039894</v>
      </c>
      <c r="AK51" s="578">
        <f t="shared" si="234"/>
        <v>0.96409541453957925</v>
      </c>
      <c r="AL51" s="572">
        <f t="shared" si="105"/>
        <v>-4.6113322782857735E-2</v>
      </c>
      <c r="AM51" s="577">
        <f t="shared" si="106"/>
        <v>-0.26152168767748629</v>
      </c>
      <c r="AN51" s="524">
        <f t="shared" si="107"/>
        <v>-9.9999985561788076</v>
      </c>
      <c r="AO51" s="525">
        <f t="shared" si="108"/>
        <v>15.399997776515438</v>
      </c>
      <c r="AP51" s="528">
        <f t="shared" si="109"/>
        <v>-2.7384081036068131</v>
      </c>
      <c r="AQ51" s="529">
        <f t="shared" si="318"/>
        <v>0.37721584587750262</v>
      </c>
      <c r="AS51" s="900">
        <f t="shared" si="510"/>
        <v>-245.21999996823592</v>
      </c>
      <c r="AT51" s="896">
        <f t="shared" si="319"/>
        <v>5.5555278557985019E-2</v>
      </c>
      <c r="AU51" s="418"/>
      <c r="AV51" s="164">
        <f t="shared" si="320"/>
        <v>5.1210000000000004</v>
      </c>
      <c r="AW51" s="829">
        <f>IFERROR(INDEX(MassProp!C$9:C$150,MATCH($M51,MassProp!$B$9:$B$150,0)),"")</f>
        <v>3.7591999999999999</v>
      </c>
      <c r="AX51" s="830">
        <f>IFERROR(INDEX(MassProp!D$9:D$150,MATCH($M51,MassProp!$B$9:$B$150,0)),"")</f>
        <v>0.44979999999999998</v>
      </c>
      <c r="AY51" s="831">
        <f>IFERROR(INDEX(MassProp!E$9:E$150,MATCH($M51,MassProp!$B$9:$B$150,0)),"")</f>
        <v>2.76E-2</v>
      </c>
      <c r="AZ51" s="297">
        <f t="shared" si="321"/>
        <v>0.65191886988050984</v>
      </c>
      <c r="BA51" s="296">
        <f t="shared" si="322"/>
        <v>3.6116604189533476E-2</v>
      </c>
      <c r="BB51" s="190">
        <f t="shared" si="139"/>
        <v>0.24075634934899171</v>
      </c>
      <c r="BC51" s="9"/>
      <c r="BD51" s="5">
        <f t="shared" si="323"/>
        <v>3.7591999999999999</v>
      </c>
      <c r="BE51" s="6">
        <f t="shared" si="324"/>
        <v>0.19175620156454598</v>
      </c>
      <c r="BF51" s="4">
        <f t="shared" si="325"/>
        <v>-3.3690421498373446</v>
      </c>
      <c r="BG51" s="5">
        <f t="shared" si="326"/>
        <v>-1.5545758894149206</v>
      </c>
      <c r="BH51" s="10">
        <f t="shared" si="327"/>
        <v>-4.9000147784445724E-2</v>
      </c>
      <c r="BI51" s="9">
        <f t="shared" si="328"/>
        <v>-3.3690421498373446</v>
      </c>
      <c r="BJ51" s="5">
        <f t="shared" si="329"/>
        <v>-1.2740194926710922</v>
      </c>
      <c r="BK51" s="8">
        <f t="shared" si="330"/>
        <v>0.91083739484770176</v>
      </c>
      <c r="BL51" s="173">
        <f t="shared" si="331"/>
        <v>-2.4368884341754007</v>
      </c>
      <c r="BM51" s="5">
        <f t="shared" si="332"/>
        <v>-1.2070544487102757</v>
      </c>
      <c r="BN51" s="6">
        <f t="shared" si="333"/>
        <v>-0.15057917430173351</v>
      </c>
      <c r="BO51" s="4">
        <f t="shared" si="334"/>
        <v>-0.36206277132236614</v>
      </c>
      <c r="BP51" s="5">
        <f t="shared" si="335"/>
        <v>0.89471613179638565</v>
      </c>
      <c r="BQ51" s="5">
        <f t="shared" si="336"/>
        <v>-0.26152168767748596</v>
      </c>
      <c r="BR51" s="6">
        <f t="shared" si="337"/>
        <v>0.15828478754423769</v>
      </c>
      <c r="BS51" s="4">
        <f t="shared" si="505"/>
        <v>0</v>
      </c>
      <c r="BT51" s="5">
        <f t="shared" si="505"/>
        <v>0</v>
      </c>
      <c r="BU51" s="10">
        <f t="shared" si="111"/>
        <v>0.19175620156454598</v>
      </c>
      <c r="BV51" s="9">
        <f t="shared" si="112"/>
        <v>0</v>
      </c>
      <c r="BW51" s="5">
        <f t="shared" si="113"/>
        <v>1</v>
      </c>
      <c r="BX51" s="8">
        <f t="shared" si="114"/>
        <v>0.19175620156454598</v>
      </c>
      <c r="BY51" s="173">
        <f t="shared" si="115"/>
        <v>1</v>
      </c>
      <c r="BZ51" s="5">
        <f t="shared" si="116"/>
        <v>0</v>
      </c>
      <c r="CA51" s="6">
        <f t="shared" si="117"/>
        <v>0.19175620156454598</v>
      </c>
      <c r="CB51" s="4">
        <f t="shared" si="338"/>
        <v>0</v>
      </c>
      <c r="CC51" s="5">
        <f t="shared" si="339"/>
        <v>0</v>
      </c>
      <c r="CD51" s="5">
        <f t="shared" si="340"/>
        <v>-1</v>
      </c>
      <c r="CE51" s="6">
        <f t="shared" si="341"/>
        <v>0.19175620156454598</v>
      </c>
      <c r="CF51" s="4">
        <f t="shared" si="342"/>
        <v>-0.89471613179638565</v>
      </c>
      <c r="CG51" s="5">
        <f t="shared" si="343"/>
        <v>-0.36206277132236614</v>
      </c>
      <c r="CH51" s="5">
        <f t="shared" si="344"/>
        <v>0</v>
      </c>
      <c r="CI51" s="4">
        <f t="shared" si="118"/>
        <v>0</v>
      </c>
      <c r="CJ51" s="5">
        <f t="shared" si="345"/>
        <v>-0.1208611069427577</v>
      </c>
      <c r="CK51" s="8">
        <f t="shared" si="346"/>
        <v>0.19175620156454598</v>
      </c>
      <c r="CL51" s="173">
        <f t="shared" si="347"/>
        <v>-0.89471613179638565</v>
      </c>
      <c r="CM51" s="5">
        <f t="shared" si="348"/>
        <v>-0.48292387826512384</v>
      </c>
      <c r="CN51" s="6">
        <f t="shared" si="349"/>
        <v>0.19175620156454598</v>
      </c>
      <c r="CO51" s="167">
        <f t="shared" si="350"/>
        <v>0.3125</v>
      </c>
      <c r="CP51" s="4">
        <f t="shared" si="351"/>
        <v>0.93160640687431928</v>
      </c>
      <c r="CQ51" s="5">
        <f t="shared" si="352"/>
        <v>-7.0668622151783254</v>
      </c>
      <c r="CR51" s="5">
        <f t="shared" si="353"/>
        <v>13.366290454611693</v>
      </c>
      <c r="CS51" s="8">
        <f t="shared" si="354"/>
        <v>0.13205427367785916</v>
      </c>
      <c r="CT51" s="9">
        <f t="shared" si="154"/>
        <v>3.9878723927063255</v>
      </c>
      <c r="CU51" s="6">
        <f t="shared" si="355"/>
        <v>3.5978013027856575</v>
      </c>
      <c r="CV51" s="4">
        <f t="shared" si="356"/>
        <v>-3.5680137612998006</v>
      </c>
      <c r="CW51" s="5">
        <f t="shared" si="357"/>
        <v>-1.5647212371259651</v>
      </c>
      <c r="CX51" s="8">
        <f t="shared" si="358"/>
        <v>0.19175620156454598</v>
      </c>
      <c r="CY51" s="9">
        <f t="shared" si="359"/>
        <v>-3.2190108646003801</v>
      </c>
      <c r="CZ51" s="5">
        <f t="shared" si="360"/>
        <v>-1.423491017296552</v>
      </c>
      <c r="DA51" s="6">
        <f t="shared" si="361"/>
        <v>0.19175620156454598</v>
      </c>
      <c r="DB51" s="4">
        <f t="shared" si="511"/>
        <v>0</v>
      </c>
      <c r="DC51" s="5">
        <f t="shared" si="511"/>
        <v>0</v>
      </c>
      <c r="DD51" s="10">
        <f t="shared" si="162"/>
        <v>-10</v>
      </c>
      <c r="DE51" s="9">
        <f t="shared" si="512"/>
        <v>0</v>
      </c>
      <c r="DF51" s="5">
        <f t="shared" si="512"/>
        <v>0</v>
      </c>
      <c r="DG51" s="10">
        <f t="shared" si="164"/>
        <v>10</v>
      </c>
      <c r="DH51" s="70">
        <f t="shared" si="362"/>
        <v>3.7591999999999999</v>
      </c>
      <c r="DI51" s="4">
        <f t="shared" si="363"/>
        <v>0</v>
      </c>
      <c r="DJ51" s="5">
        <f t="shared" si="364"/>
        <v>0</v>
      </c>
      <c r="DK51" s="10">
        <f t="shared" si="365"/>
        <v>20</v>
      </c>
      <c r="DL51" s="9">
        <f t="shared" si="366"/>
        <v>-3.5680137612998006</v>
      </c>
      <c r="DM51" s="173">
        <f t="shared" si="367"/>
        <v>-1.5647212371259651</v>
      </c>
      <c r="DN51" s="178">
        <f t="shared" si="368"/>
        <v>10.191756201564546</v>
      </c>
      <c r="DO51" s="9">
        <f t="shared" si="369"/>
        <v>0.34900289669942053</v>
      </c>
      <c r="DP51" s="173">
        <f t="shared" si="370"/>
        <v>0.14123021982941308</v>
      </c>
      <c r="DQ51" s="11">
        <f t="shared" si="371"/>
        <v>0</v>
      </c>
      <c r="DR51" s="173">
        <f t="shared" si="372"/>
        <v>203.83512403129092</v>
      </c>
      <c r="DS51" s="5">
        <f t="shared" si="373"/>
        <v>0</v>
      </c>
      <c r="DT51" s="5">
        <f t="shared" si="374"/>
        <v>400</v>
      </c>
      <c r="DU51" s="5">
        <f t="shared" si="375"/>
        <v>0.14174899689765075</v>
      </c>
      <c r="DV51" s="5">
        <f t="shared" si="376"/>
        <v>-1.4662330624480764</v>
      </c>
      <c r="DW51" s="5">
        <f t="shared" si="377"/>
        <v>119.05096922286714</v>
      </c>
      <c r="DX51" s="167">
        <f t="shared" si="378"/>
        <v>104.91938458286714</v>
      </c>
      <c r="DY51" s="9">
        <f t="shared" si="379"/>
        <v>56.699598759060301</v>
      </c>
      <c r="DZ51" s="5">
        <f t="shared" si="380"/>
        <v>-586.4932249792306</v>
      </c>
      <c r="EA51" s="10">
        <f t="shared" si="381"/>
        <v>418.99604429509782</v>
      </c>
      <c r="EB51" s="6">
        <f t="shared" si="382"/>
        <v>320217.39535337291</v>
      </c>
      <c r="EC51" s="173">
        <f t="shared" si="383"/>
        <v>20.324143286480858</v>
      </c>
      <c r="ED51" s="5">
        <f t="shared" si="384"/>
        <v>0.36359482156040718</v>
      </c>
      <c r="EE51" s="4">
        <f t="shared" si="385"/>
        <v>3.5251711186160994</v>
      </c>
      <c r="EF51" s="5">
        <f t="shared" si="386"/>
        <v>1.3056619870682167</v>
      </c>
      <c r="EG51" s="10">
        <f t="shared" si="387"/>
        <v>0.19175620156454598</v>
      </c>
      <c r="EH51" s="9">
        <f t="shared" si="388"/>
        <v>-3.4411181153503096</v>
      </c>
      <c r="EI51" s="5">
        <f t="shared" si="389"/>
        <v>-1.5133706605481525</v>
      </c>
      <c r="EJ51" s="6">
        <f t="shared" si="390"/>
        <v>0.19175620156454598</v>
      </c>
      <c r="EK51" s="236" t="b">
        <f t="shared" si="194"/>
        <v>0</v>
      </c>
      <c r="EL51" s="238" t="b">
        <f t="shared" si="195"/>
        <v>1</v>
      </c>
      <c r="EM51" s="4">
        <f t="shared" si="391"/>
        <v>-3.4411181153503096</v>
      </c>
      <c r="EN51" s="5">
        <f t="shared" si="392"/>
        <v>-1.5133706605481525</v>
      </c>
      <c r="EO51" s="10">
        <f t="shared" si="393"/>
        <v>0.19175620156454598</v>
      </c>
      <c r="EP51" s="9">
        <f t="shared" si="394"/>
        <v>203.73943166891692</v>
      </c>
      <c r="EQ51" s="5">
        <f t="shared" si="395"/>
        <v>3.7592000000000025</v>
      </c>
      <c r="ER51" s="7">
        <f t="shared" si="396"/>
        <v>0.19175620156454598</v>
      </c>
      <c r="ES51" s="21">
        <f t="shared" si="397"/>
        <v>-0.36206277132236603</v>
      </c>
      <c r="ET51" s="5">
        <f t="shared" si="398"/>
        <v>0.89471613179638565</v>
      </c>
      <c r="EU51" s="10">
        <f t="shared" si="399"/>
        <v>-0.26152168767748629</v>
      </c>
      <c r="EV51" s="174">
        <f t="shared" si="400"/>
        <v>246.26056833108308</v>
      </c>
      <c r="EW51" s="9">
        <f t="shared" si="401"/>
        <v>0.96476885098337917</v>
      </c>
      <c r="EX51" s="5">
        <f t="shared" si="402"/>
        <v>-2.8765796469582328E-2</v>
      </c>
      <c r="EY51" s="6">
        <f t="shared" si="403"/>
        <v>-0.26152168767748629</v>
      </c>
      <c r="EZ51" s="51">
        <f t="shared" si="203"/>
        <v>0.37232028551538326</v>
      </c>
      <c r="FA51" s="266">
        <f t="shared" si="126"/>
        <v>-0.4025693520598238</v>
      </c>
      <c r="FB51" s="267">
        <f t="shared" si="127"/>
        <v>0.91536642421502779</v>
      </c>
      <c r="FC51" s="269">
        <f t="shared" si="38"/>
        <v>-6.498169121172865E-3</v>
      </c>
      <c r="FD51" s="4">
        <f t="shared" si="404"/>
        <v>0.99997888667614998</v>
      </c>
      <c r="FE51" s="5">
        <f t="shared" si="405"/>
        <v>-2.7755575615628914E-16</v>
      </c>
      <c r="FF51" s="7">
        <f t="shared" si="406"/>
        <v>-6.498169121172865E-3</v>
      </c>
      <c r="FG51" s="173">
        <f t="shared" si="407"/>
        <v>-3.5210035692770814E-2</v>
      </c>
      <c r="FH51" s="5">
        <f t="shared" si="408"/>
        <v>-2.876579646958205E-2</v>
      </c>
      <c r="FI51" s="10">
        <f t="shared" si="409"/>
        <v>-0.25502351855631344</v>
      </c>
      <c r="FJ51" s="279">
        <f t="shared" si="410"/>
        <v>14.883989516302481</v>
      </c>
      <c r="FK51" s="4">
        <f t="shared" si="411"/>
        <v>0.96519759991118881</v>
      </c>
      <c r="FL51" s="5">
        <f t="shared" si="412"/>
        <v>0.99997888667614998</v>
      </c>
      <c r="FM51" s="8">
        <f t="shared" si="413"/>
        <v>4.546666537162819E-2</v>
      </c>
      <c r="FN51" s="9">
        <f t="shared" si="414"/>
        <v>1.7078397393160301</v>
      </c>
      <c r="FO51" s="10">
        <f t="shared" si="415"/>
        <v>1</v>
      </c>
      <c r="FP51" s="277">
        <f t="shared" si="416"/>
        <v>1.7078397393160301</v>
      </c>
      <c r="FQ51" s="173">
        <f t="shared" si="417"/>
        <v>2.9803012846521652E-2</v>
      </c>
      <c r="FR51" s="10">
        <f t="shared" si="418"/>
        <v>0.99955579155206242</v>
      </c>
      <c r="FS51" s="9">
        <f t="shared" si="419"/>
        <v>2.895298774263114E-2</v>
      </c>
      <c r="FT51" s="6">
        <f t="shared" si="420"/>
        <v>0.97104701225736878</v>
      </c>
      <c r="FU51" s="4">
        <f t="shared" si="421"/>
        <v>0.99958617885276424</v>
      </c>
      <c r="FV51" s="5">
        <f t="shared" si="422"/>
        <v>0.99999999999999989</v>
      </c>
      <c r="FW51" s="8">
        <f t="shared" si="423"/>
        <v>0.25744269581856183</v>
      </c>
      <c r="FX51" s="9">
        <f t="shared" si="424"/>
        <v>14.794479665433892</v>
      </c>
      <c r="FY51" s="10">
        <f t="shared" si="425"/>
        <v>1</v>
      </c>
      <c r="FZ51" s="277">
        <f t="shared" si="426"/>
        <v>14.794479665433892</v>
      </c>
      <c r="GA51" s="177">
        <f t="shared" si="427"/>
        <v>14.787607231020839</v>
      </c>
      <c r="GB51" s="4">
        <f t="shared" si="428"/>
        <v>-2.8814983239711368E-2</v>
      </c>
      <c r="GC51" s="5">
        <f t="shared" si="429"/>
        <v>0.96641851376078935</v>
      </c>
      <c r="GD51" s="10">
        <f t="shared" si="430"/>
        <v>-0.25535260523691949</v>
      </c>
      <c r="GE51" s="311">
        <f t="shared" si="431"/>
        <v>1.2505861022374201</v>
      </c>
      <c r="GF51" s="341">
        <f t="shared" si="432"/>
        <v>0.79962507036572916</v>
      </c>
      <c r="GG51" s="285">
        <f t="shared" si="433"/>
        <v>2.3041183000641511E-2</v>
      </c>
      <c r="GH51" s="286">
        <f t="shared" si="434"/>
        <v>0.77277247206871458</v>
      </c>
      <c r="GI51" s="281">
        <f t="shared" si="435"/>
        <v>0.20418634493064403</v>
      </c>
      <c r="GJ51" s="167">
        <f t="shared" si="436"/>
        <v>3.7591999999999999</v>
      </c>
      <c r="GK51" s="174">
        <f t="shared" si="49"/>
        <v>1.968354075726177</v>
      </c>
      <c r="GL51" s="174">
        <f t="shared" si="437"/>
        <v>2.76E-2</v>
      </c>
      <c r="GM51" s="177">
        <f t="shared" si="438"/>
        <v>0.65191886988050984</v>
      </c>
      <c r="GN51" s="280">
        <f t="shared" si="439"/>
        <v>3.6116604189533476E-2</v>
      </c>
      <c r="GO51" s="4">
        <f t="shared" si="440"/>
        <v>1.7078397393160301</v>
      </c>
      <c r="GP51" s="8">
        <f t="shared" si="441"/>
        <v>14.794479665433892</v>
      </c>
      <c r="GQ51" s="177">
        <f t="shared" si="442"/>
        <v>14.883989516302481</v>
      </c>
      <c r="GR51" s="371">
        <f t="shared" si="443"/>
        <v>2109.0259210946037</v>
      </c>
      <c r="GS51" s="342">
        <f t="shared" si="444"/>
        <v>48.594452201037285</v>
      </c>
      <c r="GT51" s="343">
        <f t="shared" si="445"/>
        <v>24.687861193423508</v>
      </c>
      <c r="GU51" s="344">
        <f t="shared" si="53"/>
        <v>1629.7971747012746</v>
      </c>
      <c r="GV51" s="343">
        <f t="shared" si="446"/>
        <v>828</v>
      </c>
      <c r="GW51" s="345">
        <f t="shared" si="129"/>
        <v>30000</v>
      </c>
      <c r="GX51" s="346">
        <f t="shared" si="54"/>
        <v>259.38479999999998</v>
      </c>
      <c r="GY51" s="344">
        <f t="shared" si="447"/>
        <v>430.63429419229197</v>
      </c>
      <c r="GZ51" s="345">
        <f t="shared" si="448"/>
        <v>218.77887698300407</v>
      </c>
      <c r="HA51" s="342">
        <f t="shared" si="57"/>
        <v>48.594452201037285</v>
      </c>
      <c r="HB51" s="5">
        <f t="shared" si="225"/>
        <v>246.26056833108308</v>
      </c>
      <c r="HC51" s="343">
        <f t="shared" si="449"/>
        <v>-19.563050177287558</v>
      </c>
      <c r="HD51" s="345">
        <f t="shared" si="450"/>
        <v>-44.482669124950526</v>
      </c>
      <c r="HE51" s="344">
        <f t="shared" si="58"/>
        <v>828</v>
      </c>
      <c r="HF51" s="5">
        <f t="shared" si="59"/>
        <v>336.26056833108305</v>
      </c>
      <c r="HG51" s="343">
        <f t="shared" si="451"/>
        <v>757.93940187009321</v>
      </c>
      <c r="HH51" s="349">
        <f t="shared" si="452"/>
        <v>-333.33446130396624</v>
      </c>
      <c r="HI51" s="317">
        <f t="shared" si="453"/>
        <v>5.1210000000000004</v>
      </c>
      <c r="HJ51" s="336"/>
      <c r="HK51" s="310">
        <f t="shared" si="506"/>
        <v>43</v>
      </c>
      <c r="HL51" s="348">
        <f t="shared" si="454"/>
        <v>3.1429999999999998</v>
      </c>
      <c r="HM51" s="935">
        <f t="shared" si="455"/>
        <v>19.536806213234968</v>
      </c>
      <c r="HN51" s="936">
        <f t="shared" si="456"/>
        <v>22.499996751402364</v>
      </c>
      <c r="HO51" s="937"/>
      <c r="HP51" s="938"/>
      <c r="HQ51" s="936">
        <f t="shared" si="457"/>
        <v>21.459301879652063</v>
      </c>
      <c r="HR51" s="939">
        <f t="shared" si="458"/>
        <v>9.6292154485451658</v>
      </c>
      <c r="HS51" s="940">
        <f t="shared" si="507"/>
        <v>5.9362000000000004</v>
      </c>
      <c r="HT51" s="941">
        <f t="shared" si="459"/>
        <v>9.4999999999999998E-3</v>
      </c>
      <c r="HU51" s="942">
        <f t="shared" si="460"/>
        <v>0.35433632412309457</v>
      </c>
      <c r="HV51" s="943">
        <f t="shared" si="461"/>
        <v>1.9630394761657517E-2</v>
      </c>
      <c r="HW51" s="944">
        <f t="shared" si="462"/>
        <v>30000</v>
      </c>
      <c r="HX51" s="947">
        <f t="shared" si="463"/>
        <v>140.98475000000002</v>
      </c>
      <c r="HY51" s="952">
        <f t="shared" si="464"/>
        <v>314.33324343624076</v>
      </c>
      <c r="HZ51" s="953">
        <f t="shared" si="465"/>
        <v>885.84081030773643</v>
      </c>
      <c r="IA51" s="954">
        <f t="shared" si="466"/>
        <v>159.47488486650084</v>
      </c>
      <c r="IB51" s="955">
        <f t="shared" si="467"/>
        <v>1359.6489386104781</v>
      </c>
      <c r="IC51" s="842">
        <f t="shared" si="468"/>
        <v>101.12987947372538</v>
      </c>
      <c r="ID51" s="351">
        <f t="shared" si="469"/>
        <v>285</v>
      </c>
      <c r="IE51" s="844">
        <f t="shared" si="470"/>
        <v>51.307573164487117</v>
      </c>
      <c r="IF51" s="1072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0"/>
        <v>5.1210000000000004</v>
      </c>
      <c r="IJ51" s="96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71"/>
        <v>1613</v>
      </c>
      <c r="IM51" s="482" t="str">
        <f t="shared" si="231"/>
        <v/>
      </c>
      <c r="IN51" s="670" t="str">
        <f t="shared" si="472"/>
        <v/>
      </c>
      <c r="IO51" s="702"/>
      <c r="IP51" s="5" t="str">
        <f t="shared" si="473"/>
        <v/>
      </c>
      <c r="IQ51" s="714"/>
      <c r="IR51" s="9" t="str">
        <f t="shared" si="474"/>
        <v/>
      </c>
      <c r="IS51" s="5" t="str">
        <f t="shared" si="475"/>
        <v/>
      </c>
      <c r="IT51" s="5" t="str">
        <f t="shared" si="476"/>
        <v/>
      </c>
      <c r="IU51" s="5" t="str">
        <f t="shared" si="477"/>
        <v/>
      </c>
      <c r="IV51" s="670" t="str">
        <f t="shared" si="478"/>
        <v/>
      </c>
      <c r="IW51" s="9" t="str">
        <f t="shared" si="479"/>
        <v/>
      </c>
      <c r="IX51" s="5" t="str">
        <f t="shared" si="480"/>
        <v/>
      </c>
      <c r="IY51" s="5" t="str">
        <f t="shared" si="481"/>
        <v/>
      </c>
      <c r="IZ51" s="5" t="str">
        <f t="shared" si="482"/>
        <v/>
      </c>
      <c r="JA51" s="705" t="str">
        <f t="shared" si="483"/>
        <v/>
      </c>
    </row>
    <row r="52" spans="1:261" ht="15" customHeight="1" x14ac:dyDescent="0.25">
      <c r="A52" s="75">
        <f t="shared" si="308"/>
        <v>0</v>
      </c>
      <c r="B52" s="578">
        <f t="shared" ref="B52:D52" si="529">IFERROR(O207+($A52*-E52),"")</f>
        <v>-4.0278702988579989</v>
      </c>
      <c r="C52" s="572">
        <f t="shared" si="529"/>
        <v>-1.8059734302044208</v>
      </c>
      <c r="D52" s="576">
        <f t="shared" si="529"/>
        <v>-0.30050090631073345</v>
      </c>
      <c r="E52" s="580">
        <f t="shared" ref="E52:K52" si="530">R207</f>
        <v>0.28275424687306594</v>
      </c>
      <c r="F52" s="572">
        <f t="shared" si="530"/>
        <v>-0.92400895697448393</v>
      </c>
      <c r="G52" s="579">
        <f t="shared" si="530"/>
        <v>0.25740528997316997</v>
      </c>
      <c r="H52" s="580">
        <f t="shared" si="530"/>
        <v>0.3125</v>
      </c>
      <c r="I52" s="572">
        <f t="shared" si="530"/>
        <v>0.52</v>
      </c>
      <c r="J52" s="483">
        <f t="shared" si="92"/>
        <v>5.1269999999999998</v>
      </c>
      <c r="K52" s="806">
        <f t="shared" si="530"/>
        <v>1613</v>
      </c>
      <c r="L52" s="309"/>
      <c r="M52" s="164">
        <f t="shared" si="311"/>
        <v>5.1269999999999998</v>
      </c>
      <c r="N52" s="575">
        <f t="shared" si="312"/>
        <v>-4.0278702988579989</v>
      </c>
      <c r="O52" s="572">
        <f t="shared" si="313"/>
        <v>-1.8059734302044208</v>
      </c>
      <c r="P52" s="576">
        <f t="shared" si="314"/>
        <v>-0.30050090631073345</v>
      </c>
      <c r="Q52" s="528">
        <f t="shared" si="134"/>
        <v>204.1500001227248</v>
      </c>
      <c r="R52" s="572">
        <f t="shared" si="93"/>
        <v>4.4142133132673536</v>
      </c>
      <c r="S52" s="577">
        <f t="shared" si="94"/>
        <v>-0.30050090631073345</v>
      </c>
      <c r="T52" s="578">
        <f t="shared" si="95"/>
        <v>-1.8066763985783953</v>
      </c>
      <c r="U52" s="572">
        <f t="shared" si="96"/>
        <v>4.0275550357315471</v>
      </c>
      <c r="V52" s="579">
        <f t="shared" si="135"/>
        <v>-0.30050090631073345</v>
      </c>
      <c r="W52" s="528">
        <f t="shared" si="256"/>
        <v>114.16000012128099</v>
      </c>
      <c r="X52" s="572">
        <f t="shared" si="97"/>
        <v>4.4142133132673536</v>
      </c>
      <c r="Y52" s="573">
        <f t="shared" si="259"/>
        <v>-0.30050090631073345</v>
      </c>
      <c r="Z52" s="575">
        <f t="shared" si="315"/>
        <v>-0.28275424687306594</v>
      </c>
      <c r="AA52" s="572">
        <f t="shared" si="316"/>
        <v>0.92400895697448393</v>
      </c>
      <c r="AB52" s="572">
        <f t="shared" si="317"/>
        <v>-0.25740528997316997</v>
      </c>
      <c r="AC52" s="579">
        <f t="shared" si="98"/>
        <v>1</v>
      </c>
      <c r="AD52" s="580">
        <f t="shared" si="136"/>
        <v>-0.28275424687306594</v>
      </c>
      <c r="AE52" s="572">
        <f t="shared" si="99"/>
        <v>0.92400895697448393</v>
      </c>
      <c r="AF52" s="576">
        <f t="shared" si="100"/>
        <v>-0.25740528997316997</v>
      </c>
      <c r="AG52" s="545">
        <f t="shared" si="101"/>
        <v>74.433521354821622</v>
      </c>
      <c r="AH52" s="546">
        <f t="shared" si="102"/>
        <v>106.42465577040583</v>
      </c>
      <c r="AI52" s="528">
        <f t="shared" si="103"/>
        <v>-75.083843242893138</v>
      </c>
      <c r="AJ52" s="529">
        <f t="shared" si="104"/>
        <v>-162.98546370970561</v>
      </c>
      <c r="AK52" s="578">
        <f t="shared" si="234"/>
        <v>0.95881974667728453</v>
      </c>
      <c r="AL52" s="572">
        <f t="shared" si="105"/>
        <v>-0.12003003822183955</v>
      </c>
      <c r="AM52" s="577">
        <f t="shared" si="106"/>
        <v>-0.25740528997316997</v>
      </c>
      <c r="AN52" s="524">
        <f t="shared" si="107"/>
        <v>-24.999996390447059</v>
      </c>
      <c r="AO52" s="525">
        <f t="shared" si="108"/>
        <v>16.499997617695097</v>
      </c>
      <c r="AP52" s="528">
        <f t="shared" si="109"/>
        <v>-7.1354638324303945</v>
      </c>
      <c r="AQ52" s="529">
        <f t="shared" si="318"/>
        <v>0.31707389988252849</v>
      </c>
      <c r="AS52" s="900">
        <f t="shared" si="510"/>
        <v>-245.83999987871903</v>
      </c>
      <c r="AT52" s="896">
        <f t="shared" si="319"/>
        <v>-0.19568113892119751</v>
      </c>
      <c r="AU52" s="418"/>
      <c r="AV52" s="164">
        <f t="shared" si="320"/>
        <v>5.1269999999999998</v>
      </c>
      <c r="AW52" s="829">
        <f>IFERROR(INDEX(MassProp!C$9:C$150,MATCH($M52,MassProp!$B$9:$B$150,0)),"")</f>
        <v>4.5328999999999997</v>
      </c>
      <c r="AX52" s="830">
        <f>IFERROR(INDEX(MassProp!D$9:D$150,MATCH($M52,MassProp!$B$9:$B$150,0)),"")</f>
        <v>0.17499999999999999</v>
      </c>
      <c r="AY52" s="831">
        <f>IFERROR(INDEX(MassProp!E$9:E$150,MATCH($M52,MassProp!$B$9:$B$150,0)),"")</f>
        <v>2.4899999999999999E-2</v>
      </c>
      <c r="AZ52" s="297">
        <f t="shared" si="321"/>
        <v>0.70918846010092584</v>
      </c>
      <c r="BA52" s="296">
        <f t="shared" si="322"/>
        <v>3.9289365736482798E-2</v>
      </c>
      <c r="BB52" s="190">
        <f t="shared" si="139"/>
        <v>0.21719276682817423</v>
      </c>
      <c r="BC52" s="9"/>
      <c r="BD52" s="5">
        <f t="shared" si="323"/>
        <v>4.5328999999999997</v>
      </c>
      <c r="BE52" s="6">
        <f t="shared" si="324"/>
        <v>-8.3308139482559218E-2</v>
      </c>
      <c r="BF52" s="4">
        <f t="shared" si="325"/>
        <v>-4.0278702988579989</v>
      </c>
      <c r="BG52" s="5">
        <f t="shared" si="326"/>
        <v>-1.8059734302044208</v>
      </c>
      <c r="BH52" s="10">
        <f t="shared" si="327"/>
        <v>-0.30050090631073345</v>
      </c>
      <c r="BI52" s="9">
        <f t="shared" si="328"/>
        <v>-4.0278702988579989</v>
      </c>
      <c r="BJ52" s="5">
        <f t="shared" si="329"/>
        <v>-1.5376171615576291</v>
      </c>
      <c r="BK52" s="8">
        <f t="shared" si="330"/>
        <v>0.6628188293315771</v>
      </c>
      <c r="BL52" s="173">
        <f t="shared" si="331"/>
        <v>-3.0686779115470668</v>
      </c>
      <c r="BM52" s="5">
        <f t="shared" si="332"/>
        <v>-1.5335906838549183</v>
      </c>
      <c r="BN52" s="6">
        <f t="shared" si="333"/>
        <v>-0.37637978094562319</v>
      </c>
      <c r="BO52" s="4">
        <f t="shared" si="334"/>
        <v>-0.28275424687306588</v>
      </c>
      <c r="BP52" s="5">
        <f t="shared" si="335"/>
        <v>0.92400895697448315</v>
      </c>
      <c r="BQ52" s="5">
        <f t="shared" si="336"/>
        <v>-0.2574052899731698</v>
      </c>
      <c r="BR52" s="6">
        <f t="shared" si="337"/>
        <v>0.45248766978471655</v>
      </c>
      <c r="BS52" s="4">
        <f t="shared" si="505"/>
        <v>0</v>
      </c>
      <c r="BT52" s="5">
        <f t="shared" si="505"/>
        <v>0</v>
      </c>
      <c r="BU52" s="10">
        <f t="shared" si="111"/>
        <v>-8.3308139482559218E-2</v>
      </c>
      <c r="BV52" s="9">
        <f t="shared" si="112"/>
        <v>0</v>
      </c>
      <c r="BW52" s="5">
        <f t="shared" si="113"/>
        <v>1</v>
      </c>
      <c r="BX52" s="8">
        <f t="shared" si="114"/>
        <v>-8.3308139482559218E-2</v>
      </c>
      <c r="BY52" s="173">
        <f t="shared" si="115"/>
        <v>1</v>
      </c>
      <c r="BZ52" s="5">
        <f t="shared" si="116"/>
        <v>0</v>
      </c>
      <c r="CA52" s="6">
        <f t="shared" si="117"/>
        <v>-8.3308139482559218E-2</v>
      </c>
      <c r="CB52" s="4">
        <f t="shared" si="338"/>
        <v>0</v>
      </c>
      <c r="CC52" s="5">
        <f t="shared" si="339"/>
        <v>0</v>
      </c>
      <c r="CD52" s="5">
        <f t="shared" si="340"/>
        <v>-1</v>
      </c>
      <c r="CE52" s="6">
        <f t="shared" si="341"/>
        <v>-8.3308139482559218E-2</v>
      </c>
      <c r="CF52" s="4">
        <f t="shared" si="342"/>
        <v>-0.92400895697448315</v>
      </c>
      <c r="CG52" s="5">
        <f t="shared" si="343"/>
        <v>-0.28275424687306588</v>
      </c>
      <c r="CH52" s="5">
        <f t="shared" si="344"/>
        <v>0</v>
      </c>
      <c r="CI52" s="4">
        <f t="shared" si="118"/>
        <v>0</v>
      </c>
      <c r="CJ52" s="5">
        <f t="shared" si="345"/>
        <v>-0.51290804272846213</v>
      </c>
      <c r="CK52" s="8">
        <f t="shared" si="346"/>
        <v>-8.3308139482559218E-2</v>
      </c>
      <c r="CL52" s="173">
        <f t="shared" si="347"/>
        <v>-0.92400895697448315</v>
      </c>
      <c r="CM52" s="5">
        <f t="shared" si="348"/>
        <v>-0.79566228960152796</v>
      </c>
      <c r="CN52" s="6">
        <f t="shared" si="349"/>
        <v>-8.3308139482559218E-2</v>
      </c>
      <c r="CO52" s="167">
        <f t="shared" si="350"/>
        <v>0.3125</v>
      </c>
      <c r="CP52" s="4">
        <f t="shared" si="351"/>
        <v>0.93374251669382691</v>
      </c>
      <c r="CQ52" s="5">
        <f t="shared" si="352"/>
        <v>-8.1748159269393454</v>
      </c>
      <c r="CR52" s="5">
        <f t="shared" si="353"/>
        <v>17.845273688673252</v>
      </c>
      <c r="CS52" s="8">
        <f t="shared" si="354"/>
        <v>0.17605237873361546</v>
      </c>
      <c r="CT52" s="9">
        <f t="shared" si="154"/>
        <v>4.6021262469915358</v>
      </c>
      <c r="CU52" s="6">
        <f t="shared" si="355"/>
        <v>4.15276686410352</v>
      </c>
      <c r="CV52" s="4">
        <f t="shared" si="356"/>
        <v>-4.2524058733475414</v>
      </c>
      <c r="CW52" s="5">
        <f t="shared" si="357"/>
        <v>-1.8141787837113226</v>
      </c>
      <c r="CX52" s="8">
        <f t="shared" si="358"/>
        <v>-8.3308139482559218E-2</v>
      </c>
      <c r="CY52" s="9">
        <f t="shared" si="359"/>
        <v>-3.8371937786584889</v>
      </c>
      <c r="CZ52" s="5">
        <f t="shared" si="360"/>
        <v>-1.6871205098274764</v>
      </c>
      <c r="DA52" s="6">
        <f t="shared" si="361"/>
        <v>-8.3308139482559218E-2</v>
      </c>
      <c r="DB52" s="4">
        <f t="shared" si="511"/>
        <v>0</v>
      </c>
      <c r="DC52" s="5">
        <f t="shared" si="511"/>
        <v>0</v>
      </c>
      <c r="DD52" s="10">
        <f t="shared" si="162"/>
        <v>-10</v>
      </c>
      <c r="DE52" s="9">
        <f t="shared" si="512"/>
        <v>0</v>
      </c>
      <c r="DF52" s="5">
        <f t="shared" si="512"/>
        <v>0</v>
      </c>
      <c r="DG52" s="10">
        <f t="shared" si="164"/>
        <v>10</v>
      </c>
      <c r="DH52" s="70">
        <f t="shared" si="362"/>
        <v>4.5328999999999997</v>
      </c>
      <c r="DI52" s="4">
        <f t="shared" si="363"/>
        <v>0</v>
      </c>
      <c r="DJ52" s="5">
        <f t="shared" si="364"/>
        <v>0</v>
      </c>
      <c r="DK52" s="10">
        <f t="shared" si="365"/>
        <v>20</v>
      </c>
      <c r="DL52" s="9">
        <f t="shared" si="366"/>
        <v>-4.2524058733475414</v>
      </c>
      <c r="DM52" s="173">
        <f t="shared" si="367"/>
        <v>-1.8141787837113226</v>
      </c>
      <c r="DN52" s="178">
        <f t="shared" si="368"/>
        <v>9.9166918605174406</v>
      </c>
      <c r="DO52" s="9">
        <f t="shared" si="369"/>
        <v>0.41521209468905251</v>
      </c>
      <c r="DP52" s="173">
        <f t="shared" si="370"/>
        <v>0.12705827388384616</v>
      </c>
      <c r="DQ52" s="11">
        <f t="shared" si="371"/>
        <v>0</v>
      </c>
      <c r="DR52" s="173">
        <f t="shared" si="372"/>
        <v>198.3338372103488</v>
      </c>
      <c r="DS52" s="5">
        <f t="shared" si="373"/>
        <v>0</v>
      </c>
      <c r="DT52" s="5">
        <f t="shared" si="374"/>
        <v>400</v>
      </c>
      <c r="DU52" s="5">
        <f t="shared" si="375"/>
        <v>0.18854488853841317</v>
      </c>
      <c r="DV52" s="5">
        <f t="shared" si="376"/>
        <v>-1.9961567749157185</v>
      </c>
      <c r="DW52" s="5">
        <f t="shared" si="377"/>
        <v>119.71497782740181</v>
      </c>
      <c r="DX52" s="167">
        <f t="shared" si="378"/>
        <v>99.167795417401805</v>
      </c>
      <c r="DY52" s="9">
        <f t="shared" si="379"/>
        <v>75.41795541536527</v>
      </c>
      <c r="DZ52" s="5">
        <f t="shared" si="380"/>
        <v>-798.46270996628743</v>
      </c>
      <c r="EA52" s="10">
        <f t="shared" si="381"/>
        <v>330.80718437958421</v>
      </c>
      <c r="EB52" s="6">
        <f t="shared" si="382"/>
        <v>612593.8977240856</v>
      </c>
      <c r="EC52" s="173">
        <f t="shared" si="383"/>
        <v>20.965120045213581</v>
      </c>
      <c r="ED52" s="5">
        <f t="shared" si="384"/>
        <v>0.20921982037266496</v>
      </c>
      <c r="EE52" s="4">
        <f t="shared" si="385"/>
        <v>4.452565536033033</v>
      </c>
      <c r="EF52" s="5">
        <f t="shared" si="386"/>
        <v>0.84961318100113781</v>
      </c>
      <c r="EG52" s="10">
        <f t="shared" si="387"/>
        <v>-8.3308139482559218E-2</v>
      </c>
      <c r="EH52" s="9">
        <f t="shared" si="388"/>
        <v>-4.1655352734801401</v>
      </c>
      <c r="EI52" s="5">
        <f t="shared" si="389"/>
        <v>-1.7875956744724835</v>
      </c>
      <c r="EJ52" s="6">
        <f t="shared" si="390"/>
        <v>-8.3308139482559218E-2</v>
      </c>
      <c r="EK52" s="236" t="b">
        <f t="shared" si="194"/>
        <v>0</v>
      </c>
      <c r="EL52" s="238" t="b">
        <f t="shared" si="195"/>
        <v>1</v>
      </c>
      <c r="EM52" s="4">
        <f t="shared" si="391"/>
        <v>-4.1655352734801401</v>
      </c>
      <c r="EN52" s="5">
        <f t="shared" si="392"/>
        <v>-1.7875956744724835</v>
      </c>
      <c r="EO52" s="10">
        <f t="shared" si="393"/>
        <v>-8.3308139482559218E-2</v>
      </c>
      <c r="EP52" s="9">
        <f t="shared" si="394"/>
        <v>203.2260818047603</v>
      </c>
      <c r="EQ52" s="5">
        <f t="shared" si="395"/>
        <v>4.5328999999999997</v>
      </c>
      <c r="ER52" s="7">
        <f t="shared" si="396"/>
        <v>-8.3308139482559218E-2</v>
      </c>
      <c r="ES52" s="21">
        <f t="shared" si="397"/>
        <v>-0.28275424687306594</v>
      </c>
      <c r="ET52" s="5">
        <f t="shared" si="398"/>
        <v>0.92400895697448393</v>
      </c>
      <c r="EU52" s="10">
        <f t="shared" si="399"/>
        <v>-0.25740528997316997</v>
      </c>
      <c r="EV52" s="174">
        <f t="shared" si="400"/>
        <v>246.7739181952397</v>
      </c>
      <c r="EW52" s="9">
        <f t="shared" si="401"/>
        <v>0.9606305393760779</v>
      </c>
      <c r="EX52" s="5">
        <f t="shared" si="402"/>
        <v>-0.10455373504497162</v>
      </c>
      <c r="EY52" s="6">
        <f t="shared" si="403"/>
        <v>-0.25740528997316997</v>
      </c>
      <c r="EZ52" s="51">
        <f t="shared" si="203"/>
        <v>0.30877199332943117</v>
      </c>
      <c r="FA52" s="266">
        <f t="shared" si="126"/>
        <v>-0.39435454490909128</v>
      </c>
      <c r="FB52" s="267">
        <f t="shared" si="127"/>
        <v>0.91894257215675201</v>
      </c>
      <c r="FC52" s="269">
        <f t="shared" si="38"/>
        <v>-5.3890618363592428E-3</v>
      </c>
      <c r="FD52" s="4">
        <f t="shared" si="404"/>
        <v>0.99998547890083078</v>
      </c>
      <c r="FE52" s="5">
        <f t="shared" si="405"/>
        <v>-2.7755575615628914E-16</v>
      </c>
      <c r="FF52" s="7">
        <f t="shared" si="406"/>
        <v>-5.3890618363592428E-3</v>
      </c>
      <c r="FG52" s="173">
        <f t="shared" si="407"/>
        <v>-3.9354939524752885E-2</v>
      </c>
      <c r="FH52" s="5">
        <f t="shared" si="408"/>
        <v>-0.10455373504497134</v>
      </c>
      <c r="FI52" s="10">
        <f t="shared" si="409"/>
        <v>-0.25201622813681074</v>
      </c>
      <c r="FJ52" s="279">
        <f t="shared" si="410"/>
        <v>15.845017917507278</v>
      </c>
      <c r="FK52" s="4">
        <f t="shared" si="411"/>
        <v>0.96630353238194699</v>
      </c>
      <c r="FL52" s="5">
        <f t="shared" si="412"/>
        <v>0.99998547890083078</v>
      </c>
      <c r="FM52" s="8">
        <f t="shared" si="413"/>
        <v>0.11171523968040808</v>
      </c>
      <c r="FN52" s="9">
        <f t="shared" si="414"/>
        <v>6.2115455144658362</v>
      </c>
      <c r="FO52" s="10">
        <f t="shared" si="415"/>
        <v>1</v>
      </c>
      <c r="FP52" s="277">
        <f t="shared" si="416"/>
        <v>6.2115455144658362</v>
      </c>
      <c r="FQ52" s="173">
        <f t="shared" si="417"/>
        <v>0.1081996821301526</v>
      </c>
      <c r="FR52" s="10">
        <f t="shared" si="418"/>
        <v>0.99412918113640236</v>
      </c>
      <c r="FS52" s="9">
        <f t="shared" si="419"/>
        <v>9.8155537549404412E-2</v>
      </c>
      <c r="FT52" s="6">
        <f t="shared" si="420"/>
        <v>0.90184446245059569</v>
      </c>
      <c r="FU52" s="4">
        <f t="shared" si="421"/>
        <v>0.99451923887280635</v>
      </c>
      <c r="FV52" s="5">
        <f t="shared" si="422"/>
        <v>1</v>
      </c>
      <c r="FW52" s="8">
        <f t="shared" si="423"/>
        <v>0.25507055986393645</v>
      </c>
      <c r="FX52" s="9">
        <f t="shared" si="424"/>
        <v>14.691512521860616</v>
      </c>
      <c r="FY52" s="10">
        <f t="shared" si="425"/>
        <v>1</v>
      </c>
      <c r="FZ52" s="277">
        <f t="shared" si="426"/>
        <v>14.691512521860616</v>
      </c>
      <c r="GA52" s="177">
        <f t="shared" si="427"/>
        <v>14.610258177316913</v>
      </c>
      <c r="GB52" s="4">
        <f t="shared" si="428"/>
        <v>-0.10466212949428767</v>
      </c>
      <c r="GC52" s="5">
        <f t="shared" si="429"/>
        <v>0.96162645806103364</v>
      </c>
      <c r="GD52" s="10">
        <f t="shared" si="430"/>
        <v>-0.2536146561354688</v>
      </c>
      <c r="GE52" s="311">
        <f t="shared" si="431"/>
        <v>1.3199032436907903</v>
      </c>
      <c r="GF52" s="341">
        <f t="shared" si="432"/>
        <v>0.75763129212694547</v>
      </c>
      <c r="GG52" s="285">
        <f t="shared" si="433"/>
        <v>7.9295304405514855E-2</v>
      </c>
      <c r="GH52" s="286">
        <f t="shared" si="434"/>
        <v>0.72855829596423882</v>
      </c>
      <c r="GI52" s="281">
        <f t="shared" si="435"/>
        <v>0.19214639963024618</v>
      </c>
      <c r="GJ52" s="167">
        <f t="shared" si="436"/>
        <v>4.5328999999999997</v>
      </c>
      <c r="GK52" s="174">
        <f t="shared" si="49"/>
        <v>2.3734553550901132</v>
      </c>
      <c r="GL52" s="174">
        <f t="shared" si="437"/>
        <v>2.4899999999999999E-2</v>
      </c>
      <c r="GM52" s="177">
        <f t="shared" si="438"/>
        <v>0.70918846010092584</v>
      </c>
      <c r="GN52" s="280">
        <f t="shared" si="439"/>
        <v>3.9289365736482798E-2</v>
      </c>
      <c r="GO52" s="4">
        <f t="shared" si="440"/>
        <v>6.2115455144658362</v>
      </c>
      <c r="GP52" s="8">
        <f t="shared" si="441"/>
        <v>14.691512521860616</v>
      </c>
      <c r="GQ52" s="177">
        <f t="shared" si="442"/>
        <v>15.845017917507278</v>
      </c>
      <c r="GR52" s="371">
        <f t="shared" si="443"/>
        <v>2433.5336788743948</v>
      </c>
      <c r="GS52" s="342">
        <f t="shared" si="444"/>
        <v>192.9677938474176</v>
      </c>
      <c r="GT52" s="343">
        <f t="shared" si="445"/>
        <v>81.302474653074384</v>
      </c>
      <c r="GU52" s="344">
        <f t="shared" si="53"/>
        <v>1772.9711502523146</v>
      </c>
      <c r="GV52" s="343">
        <f t="shared" si="446"/>
        <v>747</v>
      </c>
      <c r="GW52" s="345">
        <f t="shared" si="129"/>
        <v>30000</v>
      </c>
      <c r="GX52" s="346">
        <f t="shared" si="54"/>
        <v>282.173025</v>
      </c>
      <c r="GY52" s="344">
        <f t="shared" si="447"/>
        <v>467.59473477466275</v>
      </c>
      <c r="GZ52" s="345">
        <f t="shared" si="448"/>
        <v>197.01012440442958</v>
      </c>
      <c r="HA52" s="342">
        <f t="shared" si="57"/>
        <v>192.9677938474176</v>
      </c>
      <c r="HB52" s="5">
        <f t="shared" si="225"/>
        <v>246.7739181952397</v>
      </c>
      <c r="HC52" s="343">
        <f t="shared" si="449"/>
        <v>-76.098831563489554</v>
      </c>
      <c r="HD52" s="345">
        <f t="shared" si="450"/>
        <v>-177.32889583204172</v>
      </c>
      <c r="HE52" s="344">
        <f t="shared" si="58"/>
        <v>747</v>
      </c>
      <c r="HF52" s="5">
        <f t="shared" si="59"/>
        <v>336.77391819523973</v>
      </c>
      <c r="HG52" s="343">
        <f t="shared" si="451"/>
        <v>686.46006955583971</v>
      </c>
      <c r="HH52" s="349">
        <f t="shared" si="452"/>
        <v>-294.58712277591462</v>
      </c>
      <c r="HI52" s="317">
        <f t="shared" si="453"/>
        <v>5.1269999999999998</v>
      </c>
      <c r="HJ52" s="336"/>
      <c r="HK52" s="310">
        <f t="shared" si="506"/>
        <v>44</v>
      </c>
      <c r="HL52" s="348">
        <f t="shared" si="454"/>
        <v>6.1440000000000001</v>
      </c>
      <c r="HM52" s="935">
        <f t="shared" si="455"/>
        <v>20.583469460400639</v>
      </c>
      <c r="HN52" s="936">
        <f t="shared" si="456"/>
        <v>23.299996635896704</v>
      </c>
      <c r="HO52" s="937"/>
      <c r="HP52" s="938"/>
      <c r="HQ52" s="936">
        <f t="shared" si="457"/>
        <v>22.182764813953249</v>
      </c>
      <c r="HR52" s="939">
        <f t="shared" si="458"/>
        <v>9.0560223309636907</v>
      </c>
      <c r="HS52" s="940">
        <f t="shared" si="507"/>
        <v>5.9837999999999996</v>
      </c>
      <c r="HT52" s="941">
        <f t="shared" si="459"/>
        <v>4.3E-3</v>
      </c>
      <c r="HU52" s="942">
        <f t="shared" si="460"/>
        <v>0.16166984143238738</v>
      </c>
      <c r="HV52" s="943">
        <f t="shared" si="461"/>
        <v>8.9565833145286902E-3</v>
      </c>
      <c r="HW52" s="944">
        <f t="shared" si="462"/>
        <v>30000</v>
      </c>
      <c r="HX52" s="947">
        <f t="shared" si="463"/>
        <v>64.325850000000003</v>
      </c>
      <c r="HY52" s="952">
        <f t="shared" si="464"/>
        <v>151.78617611300916</v>
      </c>
      <c r="HZ52" s="953">
        <f t="shared" si="465"/>
        <v>404.17460358096844</v>
      </c>
      <c r="IA52" s="954">
        <f t="shared" si="466"/>
        <v>68.813095016426814</v>
      </c>
      <c r="IB52" s="955">
        <f t="shared" si="467"/>
        <v>624.77387471040447</v>
      </c>
      <c r="IC52" s="842">
        <f t="shared" si="468"/>
        <v>48.445440522726045</v>
      </c>
      <c r="ID52" s="351">
        <f t="shared" si="469"/>
        <v>129</v>
      </c>
      <c r="IE52" s="844">
        <f t="shared" si="470"/>
        <v>21.963006033704811</v>
      </c>
      <c r="IF52" s="845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0"/>
        <v>5.1269999999999998</v>
      </c>
      <c r="IJ52" s="96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71"/>
        <v>1613</v>
      </c>
      <c r="IM52" s="482" t="str">
        <f t="shared" si="231"/>
        <v/>
      </c>
      <c r="IN52" s="670" t="str">
        <f t="shared" si="472"/>
        <v/>
      </c>
      <c r="IO52" s="702"/>
      <c r="IP52" s="5" t="str">
        <f t="shared" si="473"/>
        <v/>
      </c>
      <c r="IQ52" s="714"/>
      <c r="IR52" s="9" t="str">
        <f t="shared" si="474"/>
        <v/>
      </c>
      <c r="IS52" s="5" t="str">
        <f t="shared" si="475"/>
        <v/>
      </c>
      <c r="IT52" s="5" t="str">
        <f t="shared" si="476"/>
        <v/>
      </c>
      <c r="IU52" s="5" t="str">
        <f t="shared" si="477"/>
        <v/>
      </c>
      <c r="IV52" s="670" t="str">
        <f t="shared" si="478"/>
        <v/>
      </c>
      <c r="IW52" s="9" t="str">
        <f t="shared" si="479"/>
        <v/>
      </c>
      <c r="IX52" s="5" t="str">
        <f t="shared" si="480"/>
        <v/>
      </c>
      <c r="IY52" s="5" t="str">
        <f t="shared" si="481"/>
        <v/>
      </c>
      <c r="IZ52" s="5" t="str">
        <f t="shared" si="482"/>
        <v/>
      </c>
      <c r="JA52" s="705" t="str">
        <f t="shared" si="483"/>
        <v/>
      </c>
    </row>
    <row r="53" spans="1:261" ht="15" customHeight="1" x14ac:dyDescent="0.25">
      <c r="A53" s="75">
        <f t="shared" si="308"/>
        <v>0</v>
      </c>
      <c r="B53" s="578">
        <f t="shared" ref="B53:D53" si="531">IFERROR(O208+($A53*-E53),"")</f>
        <v>-4.6036389247304133</v>
      </c>
      <c r="C53" s="572">
        <f t="shared" si="531"/>
        <v>-1.9959894315721809</v>
      </c>
      <c r="D53" s="576">
        <f t="shared" si="531"/>
        <v>-0.74170223697394688</v>
      </c>
      <c r="E53" s="580">
        <f t="shared" ref="E53:K53" si="532">R208</f>
        <v>0.1960788185322172</v>
      </c>
      <c r="F53" s="572">
        <f t="shared" si="532"/>
        <v>-0.95158624882883425</v>
      </c>
      <c r="G53" s="579">
        <f t="shared" si="532"/>
        <v>0.23672073834558244</v>
      </c>
      <c r="H53" s="580">
        <f t="shared" si="532"/>
        <v>0.3125</v>
      </c>
      <c r="I53" s="572">
        <f t="shared" si="532"/>
        <v>0.52</v>
      </c>
      <c r="J53" s="483">
        <f t="shared" si="92"/>
        <v>5.133</v>
      </c>
      <c r="K53" s="806">
        <f t="shared" si="532"/>
        <v>1613</v>
      </c>
      <c r="L53" s="309"/>
      <c r="M53" s="164">
        <f t="shared" si="311"/>
        <v>5.133</v>
      </c>
      <c r="N53" s="575">
        <f t="shared" si="312"/>
        <v>-4.6036389247304133</v>
      </c>
      <c r="O53" s="572">
        <f t="shared" si="313"/>
        <v>-1.9959894315721809</v>
      </c>
      <c r="P53" s="576">
        <f t="shared" si="314"/>
        <v>-0.74170223697394688</v>
      </c>
      <c r="Q53" s="528">
        <f t="shared" si="134"/>
        <v>203.44000022523608</v>
      </c>
      <c r="R53" s="572">
        <f t="shared" ref="R53:R58" si="533">IF(M53="","",SQRT(N53^2+O53^2))</f>
        <v>5.017715133428843</v>
      </c>
      <c r="S53" s="577">
        <f t="shared" ref="S53:S58" si="534">IF(M53="","",P53)</f>
        <v>-0.74170223697394688</v>
      </c>
      <c r="T53" s="578">
        <f t="shared" ref="T53:T58" si="535">IF(M53="","",X53*COS(RADIANS(W53)))</f>
        <v>-1.9967928876195384</v>
      </c>
      <c r="U53" s="572">
        <f t="shared" ref="U53:U58" si="536">IF(M53="","",X53*SIN(RADIANS(W53)))</f>
        <v>4.6032904887909103</v>
      </c>
      <c r="V53" s="579">
        <f t="shared" ref="V53:V58" si="537">IF(M53="","",Y53)</f>
        <v>-0.74170223697394688</v>
      </c>
      <c r="W53" s="528">
        <f t="shared" si="256"/>
        <v>113.45000022379226</v>
      </c>
      <c r="X53" s="572">
        <f t="shared" ref="X53:X58" si="538">IF(M53="","",R53)</f>
        <v>5.017715133428843</v>
      </c>
      <c r="Y53" s="573">
        <f t="shared" si="259"/>
        <v>-0.74170223697394688</v>
      </c>
      <c r="Z53" s="575">
        <f t="shared" si="315"/>
        <v>-0.1960788185322172</v>
      </c>
      <c r="AA53" s="572">
        <f t="shared" si="316"/>
        <v>0.95158624882883425</v>
      </c>
      <c r="AB53" s="572">
        <f t="shared" si="317"/>
        <v>-0.23672073834558244</v>
      </c>
      <c r="AC53" s="579">
        <f t="shared" ref="AC53:AC58" si="539">IF(M53="","",SQRT(Z53^2+AA53^2+AB53^2))</f>
        <v>1</v>
      </c>
      <c r="AD53" s="580">
        <f t="shared" ref="AD53:AD58" si="540">IF(M53="","",Z53*(1/SQRT(Z53^2+AA53^2+AB53^2)))</f>
        <v>-0.1960788185322172</v>
      </c>
      <c r="AE53" s="572">
        <f t="shared" ref="AE53:AE58" si="541">IF(M53="","",AA53*(1/SQRT(Z53^2+AA53^2+AB53^2)))</f>
        <v>0.95158624882883425</v>
      </c>
      <c r="AF53" s="576">
        <f t="shared" ref="AF53:AF58" si="542">IF(M53="","",AB53*(1/SQRT(Z53^2+AA53^2+AB53^2)))</f>
        <v>-0.23672073834558244</v>
      </c>
      <c r="AG53" s="545">
        <f t="shared" ref="AG53:AG58" si="543">IF(M53="","",DEGREES(ATAN2(-AF53,AE53)))</f>
        <v>76.030408640913976</v>
      </c>
      <c r="AH53" s="546">
        <f t="shared" ref="AH53:AH58" si="544">IF(M53="","",DEGREES(ACOS(AD53)))</f>
        <v>101.30775205588164</v>
      </c>
      <c r="AI53" s="528">
        <f t="shared" ref="AI53:AI58" si="545">IF(M53="","",DEGREES(-ACOS(-AF53)))</f>
        <v>-76.306923857616795</v>
      </c>
      <c r="AJ53" s="529">
        <f t="shared" ref="AJ53:AJ58" si="546">IF(M53="","",DEGREES(ATAN2(-AE53,AD53)))</f>
        <v>-168.35689313929603</v>
      </c>
      <c r="AK53" s="578">
        <f t="shared" ref="AK53:AK58" si="547">IF(M53="","",(COS(RADIANS((90-$Q$8)-W53))*AD53)+(-SIN(RADIANS((90-$Q$8)-W53))*AE53))</f>
        <v>0.95105653031184811</v>
      </c>
      <c r="AL53" s="572">
        <f t="shared" ref="AL53:AL58" si="548">IF(M53="","",(SIN(RADIANS((90-$Q$8)-W53))*AD53)+(COS(RADIANS((90-$Q$8)-W53))*AE53))</f>
        <v>-0.19863224357669385</v>
      </c>
      <c r="AM53" s="577">
        <f t="shared" ref="AM53:AM58" si="549">IF(M53="","",AF53)</f>
        <v>-0.23672073834558244</v>
      </c>
      <c r="AN53" s="524">
        <f t="shared" ref="AN53:AN58" si="550">IF(M53="","",DEGREES(ATAN2(-AM53,AL53)))</f>
        <v>-39.999994224715344</v>
      </c>
      <c r="AO53" s="525">
        <f t="shared" si="108"/>
        <v>17.999997401121902</v>
      </c>
      <c r="AP53" s="528">
        <f t="shared" ref="AP53:AP58" si="551">IF(M53="","",DEGREES(ATAN2(AK53,AL53)))</f>
        <v>-11.796893364532085</v>
      </c>
      <c r="AQ53" s="529">
        <f t="shared" si="318"/>
        <v>0.27893872473236059</v>
      </c>
      <c r="AS53" s="900">
        <f t="shared" si="510"/>
        <v>-246.54999977620776</v>
      </c>
      <c r="AT53" s="896">
        <f t="shared" si="319"/>
        <v>-0.63657975644982268</v>
      </c>
      <c r="AU53" s="418"/>
      <c r="AV53" s="164">
        <f t="shared" si="320"/>
        <v>5.133</v>
      </c>
      <c r="AW53" s="829">
        <f>IFERROR(INDEX(MassProp!C$9:C$150,MATCH($M53,MassProp!$B$9:$B$150,0)),"")</f>
        <v>5.1969000000000003</v>
      </c>
      <c r="AX53" s="830">
        <f>IFERROR(INDEX(MassProp!D$9:D$150,MATCH($M53,MassProp!$B$9:$B$150,0)),"")</f>
        <v>-0.30580000000000002</v>
      </c>
      <c r="AY53" s="831">
        <f>IFERROR(INDEX(MassProp!E$9:E$150,MATCH($M53,MassProp!$B$9:$B$150,0)),"")</f>
        <v>2.0199999999999999E-2</v>
      </c>
      <c r="AZ53" s="297">
        <f t="shared" si="321"/>
        <v>0.65959961855081051</v>
      </c>
      <c r="BA53" s="296">
        <f t="shared" si="322"/>
        <v>3.6542121186234885E-2</v>
      </c>
      <c r="BB53" s="190">
        <f t="shared" si="139"/>
        <v>0.17729138435679942</v>
      </c>
      <c r="BC53" s="9"/>
      <c r="BD53" s="5">
        <f t="shared" si="323"/>
        <v>5.1969000000000003</v>
      </c>
      <c r="BE53" s="6">
        <f t="shared" si="324"/>
        <v>-0.56441085261714741</v>
      </c>
      <c r="BF53" s="4">
        <f t="shared" si="325"/>
        <v>-4.6036389247304133</v>
      </c>
      <c r="BG53" s="5">
        <f t="shared" si="326"/>
        <v>-1.9959894315721809</v>
      </c>
      <c r="BH53" s="10">
        <f t="shared" si="327"/>
        <v>-0.74170223697394688</v>
      </c>
      <c r="BI53" s="9">
        <f t="shared" si="328"/>
        <v>-4.6036389247304133</v>
      </c>
      <c r="BJ53" s="5">
        <f t="shared" si="329"/>
        <v>-1.7545825359489768</v>
      </c>
      <c r="BK53" s="8">
        <f t="shared" si="330"/>
        <v>0.22872174806845069</v>
      </c>
      <c r="BL53" s="173">
        <f t="shared" si="331"/>
        <v>-3.6230507864567496</v>
      </c>
      <c r="BM53" s="5">
        <f t="shared" si="332"/>
        <v>-1.8057098431097416</v>
      </c>
      <c r="BN53" s="6">
        <f t="shared" si="333"/>
        <v>-0.78903701585327501</v>
      </c>
      <c r="BO53" s="4">
        <f t="shared" si="334"/>
        <v>-0.19607881853221676</v>
      </c>
      <c r="BP53" s="5">
        <f t="shared" si="335"/>
        <v>0.9515862488288338</v>
      </c>
      <c r="BQ53" s="5">
        <f t="shared" si="336"/>
        <v>-0.23672073834558338</v>
      </c>
      <c r="BR53" s="6">
        <f t="shared" si="337"/>
        <v>0.8211037134126602</v>
      </c>
      <c r="BS53" s="4">
        <f t="shared" si="505"/>
        <v>0</v>
      </c>
      <c r="BT53" s="5">
        <f t="shared" si="505"/>
        <v>0</v>
      </c>
      <c r="BU53" s="10">
        <f t="shared" si="111"/>
        <v>-0.56441085261714741</v>
      </c>
      <c r="BV53" s="9">
        <f t="shared" si="112"/>
        <v>0</v>
      </c>
      <c r="BW53" s="5">
        <f t="shared" si="113"/>
        <v>1</v>
      </c>
      <c r="BX53" s="8">
        <f t="shared" si="114"/>
        <v>-0.56441085261714741</v>
      </c>
      <c r="BY53" s="173">
        <f t="shared" si="115"/>
        <v>1</v>
      </c>
      <c r="BZ53" s="5">
        <f t="shared" si="116"/>
        <v>0</v>
      </c>
      <c r="CA53" s="6">
        <f t="shared" si="117"/>
        <v>-0.56441085261714741</v>
      </c>
      <c r="CB53" s="4">
        <f t="shared" si="338"/>
        <v>0</v>
      </c>
      <c r="CC53" s="5">
        <f t="shared" si="339"/>
        <v>0</v>
      </c>
      <c r="CD53" s="5">
        <f t="shared" si="340"/>
        <v>-1</v>
      </c>
      <c r="CE53" s="6">
        <f t="shared" si="341"/>
        <v>-0.56441085261714741</v>
      </c>
      <c r="CF53" s="4">
        <f t="shared" si="342"/>
        <v>-0.9515862488288338</v>
      </c>
      <c r="CG53" s="5">
        <f t="shared" si="343"/>
        <v>-0.19607881853221676</v>
      </c>
      <c r="CH53" s="5">
        <f t="shared" si="344"/>
        <v>0</v>
      </c>
      <c r="CI53" s="4">
        <f t="shared" si="118"/>
        <v>0</v>
      </c>
      <c r="CJ53" s="5">
        <f t="shared" si="345"/>
        <v>-1.0032842197430492</v>
      </c>
      <c r="CK53" s="8">
        <f t="shared" si="346"/>
        <v>-0.56441085261714741</v>
      </c>
      <c r="CL53" s="173">
        <f t="shared" si="347"/>
        <v>-0.9515862488288338</v>
      </c>
      <c r="CM53" s="5">
        <f t="shared" si="348"/>
        <v>-1.199363038275266</v>
      </c>
      <c r="CN53" s="6">
        <f t="shared" si="349"/>
        <v>-0.56441085261714741</v>
      </c>
      <c r="CO53" s="167">
        <f t="shared" si="350"/>
        <v>0.3125</v>
      </c>
      <c r="CP53" s="4">
        <f t="shared" si="351"/>
        <v>0.94396329203712126</v>
      </c>
      <c r="CQ53" s="5">
        <f t="shared" si="352"/>
        <v>-9.1508159208656998</v>
      </c>
      <c r="CR53" s="5">
        <f t="shared" si="353"/>
        <v>22.112730971852869</v>
      </c>
      <c r="CS53" s="8">
        <f t="shared" si="354"/>
        <v>0.24300672108337551</v>
      </c>
      <c r="CT53" s="9">
        <f t="shared" si="154"/>
        <v>5.1081292679100168</v>
      </c>
      <c r="CU53" s="6">
        <f t="shared" si="355"/>
        <v>4.5859086232433244</v>
      </c>
      <c r="CV53" s="4">
        <f t="shared" si="356"/>
        <v>-4.8608255685832695</v>
      </c>
      <c r="CW53" s="5">
        <f t="shared" si="357"/>
        <v>-2.0048801715046833</v>
      </c>
      <c r="CX53" s="8">
        <f t="shared" si="358"/>
        <v>-0.56441085261714741</v>
      </c>
      <c r="CY53" s="9">
        <f t="shared" si="359"/>
        <v>-4.3638875842639164</v>
      </c>
      <c r="CZ53" s="5">
        <f t="shared" si="360"/>
        <v>-1.9024837644853054</v>
      </c>
      <c r="DA53" s="6">
        <f t="shared" si="361"/>
        <v>-0.56441085261714741</v>
      </c>
      <c r="DB53" s="4">
        <f t="shared" si="511"/>
        <v>0</v>
      </c>
      <c r="DC53" s="5">
        <f t="shared" si="511"/>
        <v>0</v>
      </c>
      <c r="DD53" s="10">
        <f t="shared" si="162"/>
        <v>-10</v>
      </c>
      <c r="DE53" s="9">
        <f t="shared" si="512"/>
        <v>0</v>
      </c>
      <c r="DF53" s="5">
        <f t="shared" si="512"/>
        <v>0</v>
      </c>
      <c r="DG53" s="10">
        <f t="shared" si="164"/>
        <v>10</v>
      </c>
      <c r="DH53" s="70">
        <f t="shared" si="362"/>
        <v>5.1969000000000003</v>
      </c>
      <c r="DI53" s="4">
        <f t="shared" si="363"/>
        <v>0</v>
      </c>
      <c r="DJ53" s="5">
        <f t="shared" si="364"/>
        <v>0</v>
      </c>
      <c r="DK53" s="10">
        <f t="shared" si="365"/>
        <v>20</v>
      </c>
      <c r="DL53" s="9">
        <f t="shared" si="366"/>
        <v>-4.8608255685832695</v>
      </c>
      <c r="DM53" s="173">
        <f t="shared" si="367"/>
        <v>-2.0048801715046833</v>
      </c>
      <c r="DN53" s="178">
        <f t="shared" si="368"/>
        <v>9.4355891473828528</v>
      </c>
      <c r="DO53" s="9">
        <f t="shared" si="369"/>
        <v>0.4969379843193531</v>
      </c>
      <c r="DP53" s="173">
        <f t="shared" si="370"/>
        <v>0.10239640701937791</v>
      </c>
      <c r="DQ53" s="11">
        <f t="shared" si="371"/>
        <v>0</v>
      </c>
      <c r="DR53" s="173">
        <f t="shared" si="372"/>
        <v>188.71178294765707</v>
      </c>
      <c r="DS53" s="5">
        <f t="shared" si="373"/>
        <v>0</v>
      </c>
      <c r="DT53" s="5">
        <f t="shared" si="374"/>
        <v>400</v>
      </c>
      <c r="DU53" s="5">
        <f t="shared" si="375"/>
        <v>0.25743238442985972</v>
      </c>
      <c r="DV53" s="5">
        <f t="shared" si="376"/>
        <v>-2.6208213862462175</v>
      </c>
      <c r="DW53" s="5">
        <f t="shared" si="377"/>
        <v>116.67751226849458</v>
      </c>
      <c r="DX53" s="167">
        <f t="shared" si="378"/>
        <v>89.669742658494584</v>
      </c>
      <c r="DY53" s="9">
        <f t="shared" si="379"/>
        <v>102.97295377194389</v>
      </c>
      <c r="DZ53" s="5">
        <f t="shared" si="380"/>
        <v>-1048.3285544984869</v>
      </c>
      <c r="EA53" s="10">
        <f t="shared" si="381"/>
        <v>255.76004011419718</v>
      </c>
      <c r="EB53" s="6">
        <f t="shared" si="382"/>
        <v>1072656.3913894973</v>
      </c>
      <c r="EC53" s="173">
        <f t="shared" si="383"/>
        <v>20.238516433124669</v>
      </c>
      <c r="ED53" s="5">
        <f t="shared" si="384"/>
        <v>0.12272438007448673</v>
      </c>
      <c r="EE53" s="4">
        <f t="shared" si="385"/>
        <v>5.1964619933078069</v>
      </c>
      <c r="EF53" s="5">
        <f t="shared" si="386"/>
        <v>6.7471194649918687E-2</v>
      </c>
      <c r="EG53" s="10">
        <f t="shared" si="387"/>
        <v>-0.56441085261714741</v>
      </c>
      <c r="EH53" s="9">
        <f t="shared" si="388"/>
        <v>-4.7998391625222121</v>
      </c>
      <c r="EI53" s="5">
        <f t="shared" si="389"/>
        <v>-1.9923136359313753</v>
      </c>
      <c r="EJ53" s="6">
        <f t="shared" si="390"/>
        <v>-0.56441085261714741</v>
      </c>
      <c r="EK53" s="236" t="b">
        <f t="shared" si="194"/>
        <v>0</v>
      </c>
      <c r="EL53" s="238" t="b">
        <f t="shared" si="195"/>
        <v>1</v>
      </c>
      <c r="EM53" s="4">
        <f t="shared" si="391"/>
        <v>-4.7998391625222121</v>
      </c>
      <c r="EN53" s="5">
        <f t="shared" si="392"/>
        <v>-1.9923136359313753</v>
      </c>
      <c r="EO53" s="10">
        <f t="shared" si="393"/>
        <v>-0.56441085261714741</v>
      </c>
      <c r="EP53" s="9">
        <f t="shared" si="394"/>
        <v>202.5423234594453</v>
      </c>
      <c r="EQ53" s="5">
        <f t="shared" si="395"/>
        <v>5.196900000000003</v>
      </c>
      <c r="ER53" s="7">
        <f t="shared" si="396"/>
        <v>-0.56441085261714741</v>
      </c>
      <c r="ES53" s="21">
        <f t="shared" si="397"/>
        <v>-0.1960788185322172</v>
      </c>
      <c r="ET53" s="5">
        <f t="shared" si="398"/>
        <v>0.95158624882883425</v>
      </c>
      <c r="EU53" s="10">
        <f t="shared" si="399"/>
        <v>-0.23672073834558244</v>
      </c>
      <c r="EV53" s="174">
        <f t="shared" si="400"/>
        <v>247.4576765405547</v>
      </c>
      <c r="EW53" s="9">
        <f t="shared" si="401"/>
        <v>0.95405173228757378</v>
      </c>
      <c r="EX53" s="5">
        <f t="shared" si="402"/>
        <v>-0.18370787722958901</v>
      </c>
      <c r="EY53" s="6">
        <f t="shared" si="403"/>
        <v>-0.23672073834558244</v>
      </c>
      <c r="EZ53" s="51">
        <f t="shared" si="203"/>
        <v>0.26932128956943036</v>
      </c>
      <c r="FA53" s="266">
        <f t="shared" si="126"/>
        <v>-0.38336154741876588</v>
      </c>
      <c r="FB53" s="267">
        <f t="shared" si="127"/>
        <v>0.92358639499322803</v>
      </c>
      <c r="FC53" s="269">
        <f t="shared" si="38"/>
        <v>-4.7005259388885352E-3</v>
      </c>
      <c r="FD53" s="4">
        <f t="shared" si="404"/>
        <v>0.99998895246692476</v>
      </c>
      <c r="FE53" s="5">
        <f t="shared" si="405"/>
        <v>-3.3306690738754696E-16</v>
      </c>
      <c r="FF53" s="7">
        <f t="shared" si="406"/>
        <v>-4.7005259388885352E-3</v>
      </c>
      <c r="FG53" s="173">
        <f t="shared" si="407"/>
        <v>-4.5937220179350979E-2</v>
      </c>
      <c r="FH53" s="5">
        <f t="shared" si="408"/>
        <v>-0.18370787722958867</v>
      </c>
      <c r="FI53" s="10">
        <f t="shared" si="409"/>
        <v>-0.2320202124066939</v>
      </c>
      <c r="FJ53" s="279">
        <f t="shared" si="410"/>
        <v>17.224098311396514</v>
      </c>
      <c r="FK53" s="4">
        <f t="shared" si="411"/>
        <v>0.97157773339919762</v>
      </c>
      <c r="FL53" s="5">
        <f t="shared" si="412"/>
        <v>0.99998895246692487</v>
      </c>
      <c r="FM53" s="8">
        <f t="shared" si="413"/>
        <v>0.18936423198167018</v>
      </c>
      <c r="FN53" s="9">
        <f t="shared" si="414"/>
        <v>10.899216598741276</v>
      </c>
      <c r="FO53" s="10">
        <f t="shared" si="415"/>
        <v>1</v>
      </c>
      <c r="FP53" s="277">
        <f t="shared" si="416"/>
        <v>10.899216598741276</v>
      </c>
      <c r="FQ53" s="173">
        <f t="shared" si="417"/>
        <v>0.18908201671816949</v>
      </c>
      <c r="FR53" s="10">
        <f t="shared" si="418"/>
        <v>0.98196129809366206</v>
      </c>
      <c r="FS53" s="9">
        <f t="shared" si="419"/>
        <v>0.16146457976966636</v>
      </c>
      <c r="FT53" s="6">
        <f t="shared" si="420"/>
        <v>0.83853542023033367</v>
      </c>
      <c r="FU53" s="4">
        <f t="shared" si="421"/>
        <v>0.98298088274584372</v>
      </c>
      <c r="FV53" s="5">
        <f t="shared" si="422"/>
        <v>0.99999999999999989</v>
      </c>
      <c r="FW53" s="8">
        <f t="shared" si="423"/>
        <v>0.23652400969680334</v>
      </c>
      <c r="FX53" s="9">
        <f t="shared" si="424"/>
        <v>13.665578068399849</v>
      </c>
      <c r="FY53" s="10">
        <f t="shared" si="425"/>
        <v>1</v>
      </c>
      <c r="FZ53" s="277">
        <f t="shared" si="426"/>
        <v>13.665578068399849</v>
      </c>
      <c r="GA53" s="177">
        <f t="shared" si="427"/>
        <v>13.432343030991785</v>
      </c>
      <c r="GB53" s="4">
        <f t="shared" si="428"/>
        <v>-0.18372933764939461</v>
      </c>
      <c r="GC53" s="5">
        <f t="shared" si="429"/>
        <v>0.95416318287423707</v>
      </c>
      <c r="GD53" s="10">
        <f t="shared" si="430"/>
        <v>-0.23625441992525725</v>
      </c>
      <c r="GE53" s="311">
        <f t="shared" si="431"/>
        <v>1.3741469404488889</v>
      </c>
      <c r="GF53" s="341">
        <f t="shared" si="432"/>
        <v>0.72772421242908181</v>
      </c>
      <c r="GG53" s="285">
        <f t="shared" si="433"/>
        <v>0.13370428754102254</v>
      </c>
      <c r="GH53" s="286">
        <f t="shared" si="434"/>
        <v>0.69436765078598006</v>
      </c>
      <c r="GI53" s="281">
        <f t="shared" si="435"/>
        <v>0.1719280616729974</v>
      </c>
      <c r="GJ53" s="167">
        <f t="shared" si="436"/>
        <v>5.1969000000000003</v>
      </c>
      <c r="GK53" s="174">
        <f t="shared" si="49"/>
        <v>2.7211205385759509</v>
      </c>
      <c r="GL53" s="174">
        <f t="shared" si="437"/>
        <v>2.0199999999999999E-2</v>
      </c>
      <c r="GM53" s="177">
        <f t="shared" si="438"/>
        <v>0.65959961855081051</v>
      </c>
      <c r="GN53" s="280">
        <f t="shared" si="439"/>
        <v>3.6542121186234885E-2</v>
      </c>
      <c r="GO53" s="4">
        <f t="shared" si="440"/>
        <v>10.899216598741276</v>
      </c>
      <c r="GP53" s="8">
        <f t="shared" si="441"/>
        <v>13.665578068399849</v>
      </c>
      <c r="GQ53" s="177">
        <f t="shared" si="442"/>
        <v>17.224098311396514</v>
      </c>
      <c r="GR53" s="371">
        <f t="shared" si="443"/>
        <v>2374.821241327219</v>
      </c>
      <c r="GS53" s="342">
        <f t="shared" si="444"/>
        <v>317.52378210894256</v>
      </c>
      <c r="GT53" s="343">
        <f t="shared" si="445"/>
        <v>116.68861324133508</v>
      </c>
      <c r="GU53" s="344">
        <f t="shared" si="53"/>
        <v>1648.9990463770262</v>
      </c>
      <c r="GV53" s="343">
        <f t="shared" si="446"/>
        <v>606</v>
      </c>
      <c r="GW53" s="345">
        <f t="shared" si="129"/>
        <v>30000</v>
      </c>
      <c r="GX53" s="346">
        <f t="shared" si="54"/>
        <v>262.44345000000004</v>
      </c>
      <c r="GY53" s="344">
        <f t="shared" si="447"/>
        <v>408.29841284125035</v>
      </c>
      <c r="GZ53" s="345">
        <f t="shared" si="448"/>
        <v>150.04789646508124</v>
      </c>
      <c r="HA53" s="342">
        <f t="shared" si="57"/>
        <v>317.52378210894256</v>
      </c>
      <c r="HB53" s="5">
        <f t="shared" si="225"/>
        <v>247.4576765405547</v>
      </c>
      <c r="HC53" s="343">
        <f t="shared" si="449"/>
        <v>-121.72775324292347</v>
      </c>
      <c r="HD53" s="345">
        <f t="shared" si="450"/>
        <v>-293.26388508508364</v>
      </c>
      <c r="HE53" s="344">
        <f t="shared" si="58"/>
        <v>606</v>
      </c>
      <c r="HF53" s="5">
        <f t="shared" si="59"/>
        <v>337.4576765405547</v>
      </c>
      <c r="HG53" s="343">
        <f t="shared" si="451"/>
        <v>559.6995386650616</v>
      </c>
      <c r="HH53" s="349">
        <f t="shared" si="452"/>
        <v>-232.31966429494764</v>
      </c>
      <c r="HI53" s="317">
        <f t="shared" si="453"/>
        <v>5.133</v>
      </c>
      <c r="HJ53" s="336"/>
      <c r="HK53" s="310">
        <f t="shared" si="506"/>
        <v>45</v>
      </c>
      <c r="HL53" s="348">
        <f t="shared" si="454"/>
        <v>5.1449999999999996</v>
      </c>
      <c r="HM53" s="935">
        <f t="shared" si="455"/>
        <v>21.778004462386232</v>
      </c>
      <c r="HN53" s="936">
        <f t="shared" si="456"/>
        <v>24.199996505952797</v>
      </c>
      <c r="HO53" s="937"/>
      <c r="HP53" s="938"/>
      <c r="HQ53" s="936">
        <f t="shared" si="457"/>
        <v>23.07132549679703</v>
      </c>
      <c r="HR53" s="939">
        <f t="shared" si="458"/>
        <v>8.4373035547755464</v>
      </c>
      <c r="HS53" s="940">
        <f t="shared" si="507"/>
        <v>6.0179</v>
      </c>
      <c r="HT53" s="941">
        <f t="shared" si="459"/>
        <v>7.1000000000000004E-3</v>
      </c>
      <c r="HU53" s="942">
        <f t="shared" si="460"/>
        <v>0.26846443594135033</v>
      </c>
      <c r="HV53" s="943">
        <f t="shared" si="461"/>
        <v>1.4873052798176094E-2</v>
      </c>
      <c r="HW53" s="944">
        <f t="shared" si="462"/>
        <v>30000</v>
      </c>
      <c r="HX53" s="947">
        <f t="shared" si="463"/>
        <v>106.817725</v>
      </c>
      <c r="HY53" s="952">
        <f t="shared" si="464"/>
        <v>268.14645559011427</v>
      </c>
      <c r="HZ53" s="953">
        <f t="shared" si="465"/>
        <v>671.16108985337576</v>
      </c>
      <c r="IA53" s="954">
        <f t="shared" si="466"/>
        <v>107.20649870668288</v>
      </c>
      <c r="IB53" s="955">
        <f t="shared" si="467"/>
        <v>1046.5140441501728</v>
      </c>
      <c r="IC53" s="842">
        <f t="shared" si="468"/>
        <v>85.099085605770043</v>
      </c>
      <c r="ID53" s="351">
        <f t="shared" si="469"/>
        <v>213</v>
      </c>
      <c r="IE53" s="844">
        <f t="shared" si="470"/>
        <v>34.023104988866486</v>
      </c>
      <c r="IF53" s="845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0"/>
        <v>5.133</v>
      </c>
      <c r="IJ53" s="96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71"/>
        <v>1613</v>
      </c>
      <c r="IM53" s="482" t="str">
        <f t="shared" si="231"/>
        <v/>
      </c>
      <c r="IN53" s="670" t="str">
        <f t="shared" si="472"/>
        <v/>
      </c>
      <c r="IO53" s="702"/>
      <c r="IP53" s="5" t="str">
        <f t="shared" si="473"/>
        <v/>
      </c>
      <c r="IQ53" s="714"/>
      <c r="IR53" s="9" t="str">
        <f t="shared" si="474"/>
        <v/>
      </c>
      <c r="IS53" s="5" t="str">
        <f t="shared" si="475"/>
        <v/>
      </c>
      <c r="IT53" s="5" t="str">
        <f t="shared" si="476"/>
        <v/>
      </c>
      <c r="IU53" s="5" t="str">
        <f t="shared" si="477"/>
        <v/>
      </c>
      <c r="IV53" s="670" t="str">
        <f t="shared" si="478"/>
        <v/>
      </c>
      <c r="IW53" s="9" t="str">
        <f t="shared" si="479"/>
        <v/>
      </c>
      <c r="IX53" s="5" t="str">
        <f t="shared" si="480"/>
        <v/>
      </c>
      <c r="IY53" s="5" t="str">
        <f t="shared" si="481"/>
        <v/>
      </c>
      <c r="IZ53" s="5" t="str">
        <f t="shared" si="482"/>
        <v/>
      </c>
      <c r="JA53" s="705" t="str">
        <f t="shared" si="483"/>
        <v/>
      </c>
    </row>
    <row r="54" spans="1:261" ht="15" customHeight="1" x14ac:dyDescent="0.25">
      <c r="A54" s="75">
        <f t="shared" si="308"/>
        <v>0</v>
      </c>
      <c r="B54" s="578">
        <f t="shared" ref="B54:D54" si="552">IFERROR(O209+($A54*-E54),"")</f>
        <v>-5.0480439280111007</v>
      </c>
      <c r="C54" s="572">
        <f t="shared" si="552"/>
        <v>-2.1230391165813143</v>
      </c>
      <c r="D54" s="576">
        <f t="shared" si="552"/>
        <v>-1.332304018228919</v>
      </c>
      <c r="E54" s="580">
        <f t="shared" ref="E54:K54" si="553">R209</f>
        <v>8.9853983920771111E-2</v>
      </c>
      <c r="F54" s="572">
        <f t="shared" si="553"/>
        <v>-0.97431510190423998</v>
      </c>
      <c r="G54" s="579">
        <f t="shared" si="553"/>
        <v>0.20648569871760186</v>
      </c>
      <c r="H54" s="580">
        <f t="shared" si="553"/>
        <v>0.3125</v>
      </c>
      <c r="I54" s="572">
        <f t="shared" si="553"/>
        <v>0.52</v>
      </c>
      <c r="J54" s="483">
        <f t="shared" si="92"/>
        <v>5.1390000000000002</v>
      </c>
      <c r="K54" s="806">
        <f t="shared" si="553"/>
        <v>1613</v>
      </c>
      <c r="L54" s="309"/>
      <c r="M54" s="164">
        <f t="shared" si="311"/>
        <v>5.1390000000000002</v>
      </c>
      <c r="N54" s="575">
        <f t="shared" si="312"/>
        <v>-5.0480439280111007</v>
      </c>
      <c r="O54" s="572">
        <f t="shared" si="313"/>
        <v>-2.1230391165813143</v>
      </c>
      <c r="P54" s="576">
        <f t="shared" si="314"/>
        <v>-1.332304018228919</v>
      </c>
      <c r="Q54" s="528">
        <f t="shared" si="134"/>
        <v>202.81000031619683</v>
      </c>
      <c r="R54" s="572">
        <f t="shared" si="533"/>
        <v>5.4763165165706145</v>
      </c>
      <c r="S54" s="577">
        <f t="shared" si="534"/>
        <v>-1.332304018228919</v>
      </c>
      <c r="T54" s="578">
        <f t="shared" si="535"/>
        <v>-2.1239201339871991</v>
      </c>
      <c r="U54" s="572">
        <f t="shared" si="536"/>
        <v>5.0476733109530674</v>
      </c>
      <c r="V54" s="579">
        <f t="shared" si="537"/>
        <v>-1.332304018228919</v>
      </c>
      <c r="W54" s="528">
        <f t="shared" si="256"/>
        <v>112.82000031475302</v>
      </c>
      <c r="X54" s="572">
        <f t="shared" si="538"/>
        <v>5.4763165165706145</v>
      </c>
      <c r="Y54" s="573">
        <f t="shared" si="259"/>
        <v>-1.332304018228919</v>
      </c>
      <c r="Z54" s="575">
        <f t="shared" si="315"/>
        <v>-8.9853983920771111E-2</v>
      </c>
      <c r="AA54" s="572">
        <f t="shared" si="316"/>
        <v>0.97431510190423998</v>
      </c>
      <c r="AB54" s="572">
        <f t="shared" si="317"/>
        <v>-0.20648569871760186</v>
      </c>
      <c r="AC54" s="579">
        <f t="shared" si="539"/>
        <v>1</v>
      </c>
      <c r="AD54" s="580">
        <f t="shared" si="540"/>
        <v>-8.9853983920771111E-2</v>
      </c>
      <c r="AE54" s="572">
        <f t="shared" si="541"/>
        <v>0.97431510190423998</v>
      </c>
      <c r="AF54" s="576">
        <f t="shared" si="542"/>
        <v>-0.20648569871760186</v>
      </c>
      <c r="AG54" s="545">
        <f t="shared" si="543"/>
        <v>78.034402579231781</v>
      </c>
      <c r="AH54" s="546">
        <f t="shared" si="544"/>
        <v>95.155206951418307</v>
      </c>
      <c r="AI54" s="528">
        <f t="shared" si="545"/>
        <v>-78.083515721767156</v>
      </c>
      <c r="AJ54" s="529">
        <f t="shared" si="546"/>
        <v>-174.73093178826025</v>
      </c>
      <c r="AK54" s="578">
        <f t="shared" si="547"/>
        <v>0.93295355396680724</v>
      </c>
      <c r="AL54" s="572">
        <f t="shared" si="548"/>
        <v>-0.29489205205601482</v>
      </c>
      <c r="AM54" s="577">
        <f t="shared" si="549"/>
        <v>-0.20648569871760186</v>
      </c>
      <c r="AN54" s="524">
        <f t="shared" si="550"/>
        <v>-54.999992058983608</v>
      </c>
      <c r="AO54" s="525">
        <f t="shared" si="108"/>
        <v>21.099996953537374</v>
      </c>
      <c r="AP54" s="528">
        <f t="shared" si="551"/>
        <v>-17.54093210445707</v>
      </c>
      <c r="AQ54" s="529">
        <f t="shared" si="318"/>
        <v>0.2555799743515289</v>
      </c>
      <c r="AS54" s="900">
        <f t="shared" si="510"/>
        <v>-247.17999968524697</v>
      </c>
      <c r="AT54" s="896">
        <f t="shared" si="319"/>
        <v>-1.2269129330924138</v>
      </c>
      <c r="AU54" s="418"/>
      <c r="AV54" s="164">
        <f t="shared" si="320"/>
        <v>5.1390000000000002</v>
      </c>
      <c r="AW54" s="797">
        <f>IFERROR(INDEX(MassProp!C$9:C$150,MATCH($M54,MassProp!$B$9:$B$150,0)),"")</f>
        <v>5.7027999999999999</v>
      </c>
      <c r="AX54" s="744">
        <f>IFERROR(INDEX(MassProp!D$9:D$150,MATCH($M54,MassProp!$B$9:$B$150,0)),"")</f>
        <v>-0.95030000000000003</v>
      </c>
      <c r="AY54" s="731">
        <f>IFERROR(INDEX(MassProp!E$9:E$150,MATCH($M54,MassProp!$B$9:$B$150,0)),"")</f>
        <v>1.3599999999999999E-2</v>
      </c>
      <c r="AZ54" s="297">
        <f t="shared" si="138"/>
        <v>0.48731625955671054</v>
      </c>
      <c r="BA54" s="296">
        <f t="shared" si="322"/>
        <v>2.6997544134225802E-2</v>
      </c>
      <c r="BB54" s="177">
        <f t="shared" si="139"/>
        <v>0.1231245609993904</v>
      </c>
      <c r="BC54" s="9"/>
      <c r="BD54" s="5">
        <f t="shared" si="235"/>
        <v>5.7027999999999999</v>
      </c>
      <c r="BE54" s="6">
        <f t="shared" si="324"/>
        <v>-1.2091794572295287</v>
      </c>
      <c r="BF54" s="4">
        <f t="shared" si="325"/>
        <v>-5.0480439280111007</v>
      </c>
      <c r="BG54" s="5">
        <f t="shared" si="326"/>
        <v>-2.1230391165813143</v>
      </c>
      <c r="BH54" s="10">
        <f t="shared" si="327"/>
        <v>-1.332304018228919</v>
      </c>
      <c r="BI54" s="9">
        <f t="shared" si="140"/>
        <v>-5.0480439280111007</v>
      </c>
      <c r="BJ54" s="5">
        <f t="shared" si="329"/>
        <v>-1.9157147804688319</v>
      </c>
      <c r="BK54" s="8">
        <f t="shared" si="330"/>
        <v>-0.35403175568872081</v>
      </c>
      <c r="BL54" s="173">
        <f t="shared" si="331"/>
        <v>-4.052088978440807</v>
      </c>
      <c r="BM54" s="5">
        <f t="shared" si="332"/>
        <v>-2.0351374564328912</v>
      </c>
      <c r="BN54" s="6">
        <f t="shared" si="333"/>
        <v>-1.3509329357923545</v>
      </c>
      <c r="BO54" s="4">
        <f t="shared" si="141"/>
        <v>-8.985398392077068E-2</v>
      </c>
      <c r="BP54" s="5">
        <f t="shared" si="142"/>
        <v>0.97431510190423998</v>
      </c>
      <c r="BQ54" s="5">
        <f t="shared" si="143"/>
        <v>-0.20648569871760181</v>
      </c>
      <c r="BR54" s="6">
        <f t="shared" si="144"/>
        <v>1.3398204891714913</v>
      </c>
      <c r="BS54" s="4">
        <f t="shared" ref="BS54:BT73" si="554">IF(ISNUMBER($AV54),0,"")</f>
        <v>0</v>
      </c>
      <c r="BT54" s="5">
        <f t="shared" si="554"/>
        <v>0</v>
      </c>
      <c r="BU54" s="10">
        <f t="shared" si="111"/>
        <v>-1.2091794572295287</v>
      </c>
      <c r="BV54" s="9">
        <f t="shared" si="112"/>
        <v>0</v>
      </c>
      <c r="BW54" s="5">
        <f t="shared" si="113"/>
        <v>1</v>
      </c>
      <c r="BX54" s="8">
        <f t="shared" si="114"/>
        <v>-1.2091794572295287</v>
      </c>
      <c r="BY54" s="173">
        <f t="shared" si="115"/>
        <v>1</v>
      </c>
      <c r="BZ54" s="5">
        <f t="shared" si="116"/>
        <v>0</v>
      </c>
      <c r="CA54" s="6">
        <f t="shared" si="117"/>
        <v>-1.2091794572295287</v>
      </c>
      <c r="CB54" s="4">
        <f t="shared" si="145"/>
        <v>0</v>
      </c>
      <c r="CC54" s="5">
        <f t="shared" si="146"/>
        <v>0</v>
      </c>
      <c r="CD54" s="5">
        <f t="shared" si="147"/>
        <v>-1</v>
      </c>
      <c r="CE54" s="6">
        <f t="shared" si="148"/>
        <v>-1.2091794572295287</v>
      </c>
      <c r="CF54" s="4">
        <f t="shared" si="149"/>
        <v>-0.97431510190423998</v>
      </c>
      <c r="CG54" s="5">
        <f t="shared" si="150"/>
        <v>-8.985398392077068E-2</v>
      </c>
      <c r="CH54" s="5">
        <f t="shared" si="151"/>
        <v>0</v>
      </c>
      <c r="CI54" s="4">
        <f t="shared" si="118"/>
        <v>0</v>
      </c>
      <c r="CJ54" s="5">
        <f t="shared" si="119"/>
        <v>-1.6314011259457251</v>
      </c>
      <c r="CK54" s="8">
        <f t="shared" si="120"/>
        <v>-1.2091794572295287</v>
      </c>
      <c r="CL54" s="173">
        <f t="shared" si="121"/>
        <v>-0.97431510190423998</v>
      </c>
      <c r="CM54" s="5">
        <f t="shared" si="122"/>
        <v>-1.7212551098664957</v>
      </c>
      <c r="CN54" s="6">
        <f t="shared" si="123"/>
        <v>-1.2091794572295287</v>
      </c>
      <c r="CO54" s="167">
        <f t="shared" si="350"/>
        <v>0.3125</v>
      </c>
      <c r="CP54" s="4">
        <f t="shared" si="236"/>
        <v>0.95736365622510367</v>
      </c>
      <c r="CQ54" s="5">
        <f t="shared" si="237"/>
        <v>-9.9251221324852512</v>
      </c>
      <c r="CR54" s="5">
        <f t="shared" si="152"/>
        <v>25.64195882048724</v>
      </c>
      <c r="CS54" s="8">
        <f t="shared" si="153"/>
        <v>0.31333154812774922</v>
      </c>
      <c r="CT54" s="9">
        <f t="shared" si="154"/>
        <v>5.4759141543654382</v>
      </c>
      <c r="CU54" s="6">
        <f t="shared" si="155"/>
        <v>4.8912248820380597</v>
      </c>
      <c r="CV54" s="4">
        <f t="shared" si="238"/>
        <v>-5.335265857329432</v>
      </c>
      <c r="CW54" s="5">
        <f t="shared" si="156"/>
        <v>-2.1234338283235972</v>
      </c>
      <c r="CX54" s="8">
        <f t="shared" si="157"/>
        <v>-1.2091794572295287</v>
      </c>
      <c r="CY54" s="9">
        <f t="shared" si="158"/>
        <v>-4.7655942693794664</v>
      </c>
      <c r="CZ54" s="5">
        <f t="shared" si="159"/>
        <v>-2.070897167849246</v>
      </c>
      <c r="DA54" s="6">
        <f t="shared" si="160"/>
        <v>-1.2091794572295287</v>
      </c>
      <c r="DB54" s="4">
        <f t="shared" ref="DB54:DC74" si="555">IF(ISNUMBER($AV54),0,"")</f>
        <v>0</v>
      </c>
      <c r="DC54" s="5">
        <f t="shared" si="555"/>
        <v>0</v>
      </c>
      <c r="DD54" s="10">
        <f t="shared" si="162"/>
        <v>-10</v>
      </c>
      <c r="DE54" s="9">
        <f t="shared" ref="DE54:DF74" si="556">IF(ISNUMBER($AV54),0,"")</f>
        <v>0</v>
      </c>
      <c r="DF54" s="5">
        <f t="shared" si="556"/>
        <v>0</v>
      </c>
      <c r="DG54" s="10">
        <f t="shared" si="164"/>
        <v>10</v>
      </c>
      <c r="DH54" s="70">
        <f t="shared" si="165"/>
        <v>5.7027999999999999</v>
      </c>
      <c r="DI54" s="4">
        <f t="shared" si="166"/>
        <v>0</v>
      </c>
      <c r="DJ54" s="5">
        <f t="shared" si="167"/>
        <v>0</v>
      </c>
      <c r="DK54" s="10">
        <f t="shared" si="168"/>
        <v>20</v>
      </c>
      <c r="DL54" s="9">
        <f t="shared" si="169"/>
        <v>-5.335265857329432</v>
      </c>
      <c r="DM54" s="173">
        <f t="shared" si="170"/>
        <v>-2.1234338283235972</v>
      </c>
      <c r="DN54" s="178">
        <f t="shared" si="171"/>
        <v>8.7908205427704722</v>
      </c>
      <c r="DO54" s="9">
        <f t="shared" si="172"/>
        <v>0.56967158794996564</v>
      </c>
      <c r="DP54" s="173">
        <f t="shared" si="173"/>
        <v>5.2536660474351127E-2</v>
      </c>
      <c r="DQ54" s="11">
        <f t="shared" si="174"/>
        <v>0</v>
      </c>
      <c r="DR54" s="173">
        <f t="shared" si="175"/>
        <v>175.81641085540946</v>
      </c>
      <c r="DS54" s="5">
        <f t="shared" si="176"/>
        <v>0</v>
      </c>
      <c r="DT54" s="5">
        <f t="shared" si="177"/>
        <v>400</v>
      </c>
      <c r="DU54" s="5">
        <f t="shared" si="178"/>
        <v>0.32728581881123264</v>
      </c>
      <c r="DV54" s="5">
        <f t="shared" si="179"/>
        <v>-3.1509074951584806</v>
      </c>
      <c r="DW54" s="5">
        <f t="shared" si="180"/>
        <v>110.25255880684951</v>
      </c>
      <c r="DX54" s="167">
        <f t="shared" si="181"/>
        <v>77.730630966849503</v>
      </c>
      <c r="DY54" s="9">
        <f t="shared" si="182"/>
        <v>130.91432752449305</v>
      </c>
      <c r="DZ54" s="5">
        <f t="shared" si="183"/>
        <v>-1260.3629980633923</v>
      </c>
      <c r="EA54" s="10">
        <f t="shared" si="184"/>
        <v>180.84206066166007</v>
      </c>
      <c r="EB54" s="6">
        <f t="shared" si="185"/>
        <v>1564840.0701276779</v>
      </c>
      <c r="EC54" s="173">
        <f t="shared" si="186"/>
        <v>19.182764204684936</v>
      </c>
      <c r="ED54" s="5">
        <f t="shared" si="187"/>
        <v>7.201137100731661E-2</v>
      </c>
      <c r="EE54" s="4">
        <f t="shared" si="188"/>
        <v>5.5926098884231958</v>
      </c>
      <c r="EF54" s="5">
        <f t="shared" si="189"/>
        <v>-1.1156354583425285</v>
      </c>
      <c r="EG54" s="10">
        <f t="shared" si="190"/>
        <v>-1.2091794572295287</v>
      </c>
      <c r="EH54" s="9">
        <f t="shared" si="191"/>
        <v>-5.2942430252572397</v>
      </c>
      <c r="EI54" s="5">
        <f t="shared" si="192"/>
        <v>-2.1196505913746932</v>
      </c>
      <c r="EJ54" s="6">
        <f t="shared" si="193"/>
        <v>-1.2091794572295287</v>
      </c>
      <c r="EK54" s="236" t="b">
        <f t="shared" si="194"/>
        <v>0</v>
      </c>
      <c r="EL54" s="238" t="b">
        <f t="shared" si="195"/>
        <v>1</v>
      </c>
      <c r="EM54" s="4">
        <f t="shared" si="196"/>
        <v>-5.2942430252572397</v>
      </c>
      <c r="EN54" s="5">
        <f t="shared" si="197"/>
        <v>-2.1196505913746932</v>
      </c>
      <c r="EO54" s="10">
        <f t="shared" si="198"/>
        <v>-1.2091794572295287</v>
      </c>
      <c r="EP54" s="9">
        <f t="shared" si="199"/>
        <v>201.81963133872225</v>
      </c>
      <c r="EQ54" s="5">
        <f t="shared" si="200"/>
        <v>5.7028000000000016</v>
      </c>
      <c r="ER54" s="7">
        <f t="shared" si="201"/>
        <v>-1.2091794572295287</v>
      </c>
      <c r="ES54" s="21">
        <f t="shared" si="397"/>
        <v>-8.9853983920771111E-2</v>
      </c>
      <c r="ET54" s="5">
        <f t="shared" si="398"/>
        <v>0.97431510190423998</v>
      </c>
      <c r="EU54" s="10">
        <f t="shared" si="399"/>
        <v>-0.20648569871760186</v>
      </c>
      <c r="EV54" s="174">
        <f t="shared" ref="EV54:EV72" si="557">IF(ISNUMBER($AV54),IF(($EV$1-EP54)&lt;0,(360+($EV$1-EP54)),($EV$1-EP54)),"")</f>
        <v>248.18036866127775</v>
      </c>
      <c r="EW54" s="9">
        <f t="shared" ref="EW54:EW72" si="558">IF(ISNUMBER($AV54),(COS(RADIANS($EV54))*ES54)+(-SIN(RADIANS($EV54))*ET54),"")</f>
        <v>0.93791119850149951</v>
      </c>
      <c r="EX54" s="5">
        <f t="shared" ref="EX54:EX72" si="559">IF(ISNUMBER($AV54),(SIN(RADIANS($EV54))*ES54)+(COS(RADIANS($EV54))*ET54),"")</f>
        <v>-0.27872251425133299</v>
      </c>
      <c r="EY54" s="6">
        <f t="shared" si="202"/>
        <v>-0.20648569871760186</v>
      </c>
      <c r="EZ54" s="51">
        <f t="shared" si="203"/>
        <v>0.24542988664586166</v>
      </c>
      <c r="FA54" s="173">
        <f t="shared" ref="FA54:FA72" si="560">IF(ISNUMBER($AV54),SIN(RADIANS($EP54))*COS(RADIANS($EZ54)),"")</f>
        <v>-0.37168253222876452</v>
      </c>
      <c r="FB54" s="5">
        <f t="shared" ref="FB54:FB72" si="561">IF(ISNUMBER($AV54),-1*COS(RADIANS($EP54))*COS(RADIANS($EZ54)),"")</f>
        <v>0.92835001290749852</v>
      </c>
      <c r="FC54" s="6">
        <f t="shared" ref="FC54:FC72" si="562">IF(ISNUMBER($AV54),-1*SIN(RADIANS($EZ54)),"")</f>
        <v>-4.2835465050231778E-3</v>
      </c>
      <c r="FD54" s="4">
        <f t="shared" ref="FD54:FD72" si="563">IF(ISNUMBER($AV54),(COS(RADIANS($EV54))*FA54)+(-SIN(RADIANS($EV54))*FB54),"")</f>
        <v>0.99999082557258467</v>
      </c>
      <c r="FE54" s="5">
        <f t="shared" ref="FE54:FE72" si="564">IF(ISNUMBER($AV54),(SIN(RADIANS($EV54))*FA54)+(COS(RADIANS($EV54))*FB54),"")</f>
        <v>-2.7755575615628914E-16</v>
      </c>
      <c r="FF54" s="7">
        <f t="shared" si="204"/>
        <v>-4.2835465050231778E-3</v>
      </c>
      <c r="FG54" s="173">
        <f t="shared" ref="FG54:FG72" si="565">IF(ISNUMBER($AV54),EW54-FD54,"")</f>
        <v>-6.2079627071085164E-2</v>
      </c>
      <c r="FH54" s="5">
        <f t="shared" ref="FH54:FH72" si="566">IF(ISNUMBER($AV54),EX54-FE54,"")</f>
        <v>-0.27872251425133271</v>
      </c>
      <c r="FI54" s="10">
        <f t="shared" ref="FI54:FI72" si="567">IF(ISNUMBER($AV54),EY54-FF54,"")</f>
        <v>-0.20220215221257867</v>
      </c>
      <c r="FJ54" s="279">
        <f t="shared" si="206"/>
        <v>20.151149296424943</v>
      </c>
      <c r="FK54" s="4">
        <f t="shared" ref="FK54:FK72" si="568">IF(ISNUMBER($AV54),SQRT(ES54^2+ET54^2),"")</f>
        <v>0.97844961864426305</v>
      </c>
      <c r="FL54" s="5">
        <f t="shared" si="207"/>
        <v>0.99999082557258456</v>
      </c>
      <c r="FM54" s="8">
        <f t="shared" si="208"/>
        <v>0.28555230702599721</v>
      </c>
      <c r="FN54" s="9">
        <f t="shared" si="209"/>
        <v>16.550563126982528</v>
      </c>
      <c r="FO54" s="10">
        <f t="shared" ref="FO54:FO72" si="569">IF(ISNUMBER($AV54),IF(SQRT((EM54+(ES54/SQRT(ES54^2+(ET54/SQRT(ES54^2+ET54^2))^2)))^2+(EN54+ET54)^2)&gt;SQRT((EM54+(FA54/SQRT(FA54^2+FB54^2)))^2+(EN54+(FB54/SQRT(FA54^2+FB54^2)))^2),-1,1),"")</f>
        <v>1</v>
      </c>
      <c r="FP54" s="277">
        <f t="shared" ref="FP54:FP72" si="570">IF(ISNUMBER($AV54),FN54*FO54,"")</f>
        <v>16.550563126982528</v>
      </c>
      <c r="FQ54" s="173">
        <f t="shared" si="239"/>
        <v>0.28486138574772024</v>
      </c>
      <c r="FR54" s="10">
        <f t="shared" si="210"/>
        <v>0.95856871997258941</v>
      </c>
      <c r="FS54" s="9">
        <f t="shared" si="211"/>
        <v>0.22909320309781481</v>
      </c>
      <c r="FT54" s="6">
        <f t="shared" si="212"/>
        <v>0.77090679690218522</v>
      </c>
      <c r="FU54" s="4">
        <f t="shared" si="213"/>
        <v>0.960371678075429</v>
      </c>
      <c r="FV54" s="5">
        <f t="shared" si="214"/>
        <v>1</v>
      </c>
      <c r="FW54" s="8">
        <f t="shared" si="240"/>
        <v>0.21151735261364218</v>
      </c>
      <c r="FX54" s="9">
        <f t="shared" si="241"/>
        <v>12.17045099524915</v>
      </c>
      <c r="FY54" s="10">
        <f t="shared" ref="FY54:FY72" si="571">IF(ISNUMBER($AV54),IF(EU54&lt;FC54,1,-1),"")</f>
        <v>1</v>
      </c>
      <c r="FZ54" s="277">
        <f t="shared" si="242"/>
        <v>12.17045099524915</v>
      </c>
      <c r="GA54" s="177">
        <f t="shared" si="215"/>
        <v>11.687609149476776</v>
      </c>
      <c r="GB54" s="4">
        <f t="shared" si="216"/>
        <v>-0.27845905497033135</v>
      </c>
      <c r="GC54" s="5">
        <f t="shared" si="217"/>
        <v>0.93702464862710388</v>
      </c>
      <c r="GD54" s="10">
        <f t="shared" si="218"/>
        <v>-0.21082068819326619</v>
      </c>
      <c r="GE54" s="311">
        <f t="shared" si="219"/>
        <v>1.4263043917907015</v>
      </c>
      <c r="GF54" s="341">
        <f t="shared" si="243"/>
        <v>0.70111261365781574</v>
      </c>
      <c r="GG54" s="285">
        <f t="shared" ref="GG54:GG72" si="572">IF(ISNUMBER($AV54),ABS(GB54)/(ABS($GB54)+ABS($GC54)+ABS($GD54)),"")</f>
        <v>0.19523115582693443</v>
      </c>
      <c r="GH54" s="286">
        <f t="shared" ref="GH54:GH72" si="573">IF(ISNUMBER($AV54),ABS(GC54)/(ABS($GB54)+ABS($GC54)+ABS($GD54)),"")</f>
        <v>0.65695980046074531</v>
      </c>
      <c r="GI54" s="281">
        <f t="shared" ref="GI54:GI72" si="574">IF(ISNUMBER($AV54),ABS(GD54)/(ABS($GB54)+ABS($GC54)+ABS($GD54)),"")</f>
        <v>0.14780904371232029</v>
      </c>
      <c r="GJ54" s="167">
        <f t="shared" si="220"/>
        <v>5.7027999999999999</v>
      </c>
      <c r="GK54" s="174">
        <f t="shared" ref="GK54:GK72" si="575">IF(ISNUMBER($AV54),SQRT((2*PI()*$GJ54)^2+$AS$5^2)/12,"")</f>
        <v>2.9860064923818048</v>
      </c>
      <c r="GL54" s="174">
        <f t="shared" si="221"/>
        <v>1.3599999999999999E-2</v>
      </c>
      <c r="GM54" s="177">
        <f t="shared" si="244"/>
        <v>0.48731625955671054</v>
      </c>
      <c r="GN54" s="280">
        <f t="shared" si="222"/>
        <v>2.6997544134225802E-2</v>
      </c>
      <c r="GO54" s="4">
        <f t="shared" si="223"/>
        <v>16.550563126982528</v>
      </c>
      <c r="GP54" s="8">
        <f t="shared" si="245"/>
        <v>12.17045099524915</v>
      </c>
      <c r="GQ54" s="177">
        <f t="shared" si="224"/>
        <v>20.151149296424943</v>
      </c>
      <c r="GR54" s="371">
        <f t="shared" si="246"/>
        <v>1854.4371330442946</v>
      </c>
      <c r="GS54" s="342">
        <f t="shared" ref="GS54:GS72" si="576">IF(ISNUMBER($AV54),GU54/GH54*GG54,"")</f>
        <v>362.0439048926242</v>
      </c>
      <c r="GT54" s="343">
        <f t="shared" ref="GT54:GT72" si="577">IF(ISNUMBER($AV54),GS54/$GK54,"")</f>
        <v>121.24685790747824</v>
      </c>
      <c r="GU54" s="344">
        <f t="shared" ref="GU54:GU72" si="578">IF(ISNUMBER($AV54),$GV54*$GK54,"")</f>
        <v>1218.2906488917763</v>
      </c>
      <c r="GV54" s="343">
        <f t="shared" si="253"/>
        <v>408</v>
      </c>
      <c r="GW54" s="345">
        <f t="shared" ref="GW54:GW72" si="579">IF(ISNUMBER($AV54),$GW$2,"")</f>
        <v>30000</v>
      </c>
      <c r="GX54" s="346">
        <f t="shared" ref="GX54:GX72" si="580">IF(ISNUMBER($AV54),($GJ54/12)*$GV54,"")</f>
        <v>193.89520000000002</v>
      </c>
      <c r="GY54" s="344">
        <f t="shared" ref="GY54:GY72" si="581">IF(ISNUMBER($AV54),GU54/GH54*GI54,"")</f>
        <v>274.10257925989407</v>
      </c>
      <c r="GZ54" s="345">
        <f t="shared" ref="GZ54:GZ72" si="582">IF(ISNUMBER($AV54),GY54/$GK54,"")</f>
        <v>91.79570773178547</v>
      </c>
      <c r="HA54" s="342">
        <f t="shared" ref="HA54:HA72" si="583">IF(ISNUMBER($AV54),$FO54*$GS54,"")</f>
        <v>362.0439048926242</v>
      </c>
      <c r="HB54" s="5">
        <f t="shared" si="225"/>
        <v>248.18036866127775</v>
      </c>
      <c r="HC54" s="343">
        <f t="shared" si="226"/>
        <v>-134.5666299202594</v>
      </c>
      <c r="HD54" s="363">
        <f t="shared" si="227"/>
        <v>-336.10654736527147</v>
      </c>
      <c r="HE54" s="344">
        <f t="shared" ref="HE54:HE72" si="584">IF(ISNUMBER($AV54),$FY54*$GV54,"")</f>
        <v>408</v>
      </c>
      <c r="HF54" s="5">
        <f t="shared" ref="HF54:HF72" si="585">IF(ISNUMBER($AV54),IF(($HB54+90)&lt;0,(360+($HB54+90)),($HB54+90)),"")</f>
        <v>338.18036866127773</v>
      </c>
      <c r="HG54" s="343">
        <f t="shared" si="228"/>
        <v>378.7702802667028</v>
      </c>
      <c r="HH54" s="349">
        <f t="shared" si="229"/>
        <v>-151.64786443166099</v>
      </c>
      <c r="HI54" s="317">
        <f t="shared" si="453"/>
        <v>5.1390000000000002</v>
      </c>
      <c r="HK54" s="310">
        <f t="shared" si="506"/>
        <v>46</v>
      </c>
      <c r="HL54" s="348">
        <f t="shared" si="454"/>
        <v>2.1459999999999999</v>
      </c>
      <c r="HM54" s="935">
        <f t="shared" si="455"/>
        <v>22.885606444738926</v>
      </c>
      <c r="HN54" s="936">
        <f t="shared" si="456"/>
        <v>25.099996376008903</v>
      </c>
      <c r="HO54" s="937"/>
      <c r="HP54" s="938"/>
      <c r="HQ54" s="936">
        <f t="shared" si="457"/>
        <v>23.898542855134732</v>
      </c>
      <c r="HR54" s="939">
        <f t="shared" si="458"/>
        <v>7.7159256746585436</v>
      </c>
      <c r="HS54" s="940">
        <f t="shared" si="507"/>
        <v>6.0556000000000001</v>
      </c>
      <c r="HT54" s="941">
        <f t="shared" si="459"/>
        <v>3.0999999999999999E-3</v>
      </c>
      <c r="HU54" s="942">
        <f t="shared" si="460"/>
        <v>0.11795117625153281</v>
      </c>
      <c r="HV54" s="943">
        <f t="shared" si="461"/>
        <v>6.5345492256533785E-3</v>
      </c>
      <c r="HW54" s="944">
        <f t="shared" si="462"/>
        <v>30000</v>
      </c>
      <c r="HX54" s="947">
        <f t="shared" si="463"/>
        <v>46.930900000000001</v>
      </c>
      <c r="HY54" s="952">
        <f t="shared" si="464"/>
        <v>124.4740323013088</v>
      </c>
      <c r="HZ54" s="953">
        <f t="shared" si="465"/>
        <v>294.87794062883205</v>
      </c>
      <c r="IA54" s="954">
        <f t="shared" si="466"/>
        <v>43.366175802412627</v>
      </c>
      <c r="IB54" s="955">
        <f t="shared" si="467"/>
        <v>462.71814873255346</v>
      </c>
      <c r="IC54" s="842">
        <f t="shared" si="468"/>
        <v>39.257209200985081</v>
      </c>
      <c r="ID54" s="351">
        <f t="shared" si="469"/>
        <v>93</v>
      </c>
      <c r="IE54" s="844">
        <f t="shared" si="470"/>
        <v>13.677029692434163</v>
      </c>
      <c r="IF54" s="845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0"/>
        <v>5.1390000000000002</v>
      </c>
      <c r="IJ54" s="96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71"/>
        <v>1613</v>
      </c>
      <c r="IM54" s="482" t="str">
        <f t="shared" si="231"/>
        <v/>
      </c>
      <c r="IN54" s="670" t="str">
        <f t="shared" si="472"/>
        <v/>
      </c>
      <c r="IO54" s="702"/>
      <c r="IP54" s="5" t="str">
        <f t="shared" si="473"/>
        <v/>
      </c>
      <c r="IQ54" s="714"/>
      <c r="IR54" s="9" t="str">
        <f t="shared" si="474"/>
        <v/>
      </c>
      <c r="IS54" s="5" t="str">
        <f t="shared" si="475"/>
        <v/>
      </c>
      <c r="IT54" s="5" t="str">
        <f t="shared" si="476"/>
        <v/>
      </c>
      <c r="IU54" s="5" t="str">
        <f t="shared" si="477"/>
        <v/>
      </c>
      <c r="IV54" s="670" t="str">
        <f t="shared" si="478"/>
        <v/>
      </c>
      <c r="IW54" s="9" t="str">
        <f t="shared" si="479"/>
        <v/>
      </c>
      <c r="IX54" s="5" t="str">
        <f t="shared" si="480"/>
        <v/>
      </c>
      <c r="IY54" s="5" t="str">
        <f t="shared" si="481"/>
        <v/>
      </c>
      <c r="IZ54" s="5" t="str">
        <f t="shared" si="482"/>
        <v/>
      </c>
      <c r="JA54" s="705" t="str">
        <f t="shared" si="483"/>
        <v/>
      </c>
    </row>
    <row r="55" spans="1:261" ht="15" customHeight="1" x14ac:dyDescent="0.25">
      <c r="A55" s="75">
        <f t="shared" si="308"/>
        <v>0</v>
      </c>
      <c r="B55" s="578">
        <f t="shared" ref="B55:D55" si="586">IFERROR(O210+($A55*-E55),"")</f>
        <v>-5.3257710201636774</v>
      </c>
      <c r="C55" s="572">
        <f t="shared" si="586"/>
        <v>-2.1951244513170249</v>
      </c>
      <c r="D55" s="576">
        <f t="shared" si="586"/>
        <v>-2.0241061047040119</v>
      </c>
      <c r="E55" s="580">
        <f t="shared" ref="E55:K55" si="587">R210</f>
        <v>-8.5546144907159907E-3</v>
      </c>
      <c r="F55" s="572">
        <f t="shared" si="587"/>
        <v>-0.99008596714351482</v>
      </c>
      <c r="G55" s="579">
        <f t="shared" si="587"/>
        <v>0.14020198371066714</v>
      </c>
      <c r="H55" s="580">
        <f t="shared" si="587"/>
        <v>0.3125</v>
      </c>
      <c r="I55" s="572">
        <f t="shared" si="587"/>
        <v>0.52</v>
      </c>
      <c r="J55" s="483">
        <f t="shared" si="92"/>
        <v>5.1449999999999996</v>
      </c>
      <c r="K55" s="806">
        <f t="shared" si="587"/>
        <v>1613</v>
      </c>
      <c r="L55" s="309"/>
      <c r="M55" s="164">
        <f t="shared" si="311"/>
        <v>5.1449999999999996</v>
      </c>
      <c r="N55" s="575">
        <f t="shared" si="312"/>
        <v>-5.3257710201636774</v>
      </c>
      <c r="O55" s="572">
        <f t="shared" si="313"/>
        <v>-2.1951244513170249</v>
      </c>
      <c r="P55" s="576">
        <f t="shared" si="314"/>
        <v>-2.0241061047040119</v>
      </c>
      <c r="Q55" s="528">
        <f t="shared" si="134"/>
        <v>202.40000037539349</v>
      </c>
      <c r="R55" s="572">
        <f t="shared" si="533"/>
        <v>5.7604173734187984</v>
      </c>
      <c r="S55" s="577">
        <f t="shared" si="534"/>
        <v>-2.0241061047040119</v>
      </c>
      <c r="T55" s="578">
        <f t="shared" si="535"/>
        <v>-2.1960539401395436</v>
      </c>
      <c r="U55" s="572">
        <f t="shared" si="536"/>
        <v>5.3253878176131657</v>
      </c>
      <c r="V55" s="579">
        <f t="shared" si="537"/>
        <v>-2.0241061047040119</v>
      </c>
      <c r="W55" s="528">
        <f t="shared" si="256"/>
        <v>112.41000037394967</v>
      </c>
      <c r="X55" s="572">
        <f t="shared" si="538"/>
        <v>5.7604173734187984</v>
      </c>
      <c r="Y55" s="573">
        <f t="shared" si="259"/>
        <v>-2.0241061047040119</v>
      </c>
      <c r="Z55" s="575">
        <f t="shared" si="315"/>
        <v>8.5546144907159907E-3</v>
      </c>
      <c r="AA55" s="572">
        <f t="shared" si="316"/>
        <v>0.99008596714351482</v>
      </c>
      <c r="AB55" s="572">
        <f t="shared" si="317"/>
        <v>-0.14020198371066714</v>
      </c>
      <c r="AC55" s="579">
        <f t="shared" si="539"/>
        <v>1</v>
      </c>
      <c r="AD55" s="580">
        <f t="shared" si="540"/>
        <v>8.5546144907159907E-3</v>
      </c>
      <c r="AE55" s="572">
        <f t="shared" si="541"/>
        <v>0.99008596714351482</v>
      </c>
      <c r="AF55" s="576">
        <f t="shared" si="542"/>
        <v>-0.14020198371066714</v>
      </c>
      <c r="AG55" s="545">
        <f t="shared" si="543"/>
        <v>81.94016878032069</v>
      </c>
      <c r="AH55" s="546">
        <f t="shared" si="544"/>
        <v>89.50985071589237</v>
      </c>
      <c r="AI55" s="528">
        <f t="shared" si="545"/>
        <v>-81.940465661429016</v>
      </c>
      <c r="AJ55" s="529">
        <f t="shared" si="546"/>
        <v>179.5049610585522</v>
      </c>
      <c r="AK55" s="578">
        <f t="shared" si="547"/>
        <v>0.91212014117045515</v>
      </c>
      <c r="AL55" s="572">
        <f t="shared" si="548"/>
        <v>-0.38520157299105473</v>
      </c>
      <c r="AM55" s="577">
        <f t="shared" si="549"/>
        <v>-0.14020198371066714</v>
      </c>
      <c r="AN55" s="524">
        <f t="shared" si="550"/>
        <v>-69.999989893251893</v>
      </c>
      <c r="AO55" s="525">
        <f>IF(ROUND(IF(M55="",0,DEGREES(ACOS(AK55))),4)=90,0,IF(M55="","",DEGREES(ACOS(AK55))))</f>
        <v>24.199996505952797</v>
      </c>
      <c r="AP55" s="528">
        <f t="shared" si="551"/>
        <v>-22.89503931684127</v>
      </c>
      <c r="AQ55" s="529">
        <f t="shared" si="318"/>
        <v>0.24297505497026764</v>
      </c>
      <c r="AS55" s="900">
        <f t="shared" si="510"/>
        <v>-247.58999962605031</v>
      </c>
      <c r="AT55" s="896">
        <f t="shared" si="319"/>
        <v>-1.9185402133911951</v>
      </c>
      <c r="AU55" s="418"/>
      <c r="AV55" s="164">
        <f t="shared" si="320"/>
        <v>5.1449999999999996</v>
      </c>
      <c r="AW55" s="797">
        <f>IFERROR(INDEX(MassProp!C$9:C$150,MATCH($M55,MassProp!$B$9:$B$150,0)),"")</f>
        <v>6.0179</v>
      </c>
      <c r="AX55" s="744">
        <f>IFERROR(INDEX(MassProp!D$9:D$150,MATCH($M55,MassProp!$B$9:$B$150,0)),"")</f>
        <v>-1.7060999999999999</v>
      </c>
      <c r="AY55" s="731">
        <f>IFERROR(INDEX(MassProp!E$9:E$150,MATCH($M55,MassProp!$B$9:$B$150,0)),"")</f>
        <v>7.1000000000000004E-3</v>
      </c>
      <c r="AZ55" s="297">
        <f t="shared" si="138"/>
        <v>0.26846443594135033</v>
      </c>
      <c r="BA55" s="296">
        <f t="shared" si="322"/>
        <v>1.4873052798176094E-2</v>
      </c>
      <c r="BB55" s="177">
        <f t="shared" si="139"/>
        <v>5.895184129817177E-2</v>
      </c>
      <c r="BC55" s="9"/>
      <c r="BD55" s="5">
        <f t="shared" si="235"/>
        <v>6.0179</v>
      </c>
      <c r="BE55" s="6">
        <f t="shared" si="324"/>
        <v>-1.9651542634058401</v>
      </c>
      <c r="BF55" s="4">
        <f t="shared" si="325"/>
        <v>-5.3257710201636774</v>
      </c>
      <c r="BG55" s="5">
        <f t="shared" si="326"/>
        <v>-2.1951244513170249</v>
      </c>
      <c r="BH55" s="10">
        <f t="shared" si="327"/>
        <v>-2.0241061047040119</v>
      </c>
      <c r="BI55" s="9">
        <f t="shared" si="140"/>
        <v>-5.3257710201636774</v>
      </c>
      <c r="BJ55" s="5">
        <f t="shared" si="329"/>
        <v>-2.0549173372340057</v>
      </c>
      <c r="BK55" s="8">
        <f t="shared" si="330"/>
        <v>-1.0339839076189696</v>
      </c>
      <c r="BL55" s="173">
        <f t="shared" si="331"/>
        <v>-4.3258076115476847</v>
      </c>
      <c r="BM55" s="5">
        <f t="shared" si="332"/>
        <v>-2.2035945650117883</v>
      </c>
      <c r="BN55" s="6">
        <f t="shared" si="333"/>
        <v>-2.0229066868941756</v>
      </c>
      <c r="BO55" s="4">
        <f t="shared" si="141"/>
        <v>8.5546144907160948E-3</v>
      </c>
      <c r="BP55" s="5">
        <f t="shared" si="142"/>
        <v>0.99008596714351471</v>
      </c>
      <c r="BQ55" s="5">
        <f t="shared" si="143"/>
        <v>-0.14020198371066606</v>
      </c>
      <c r="BR55" s="6">
        <f t="shared" si="144"/>
        <v>1.9351381422055498</v>
      </c>
      <c r="BS55" s="4">
        <f t="shared" si="554"/>
        <v>0</v>
      </c>
      <c r="BT55" s="5">
        <f t="shared" si="554"/>
        <v>0</v>
      </c>
      <c r="BU55" s="10">
        <f t="shared" si="111"/>
        <v>-1.9651542634058401</v>
      </c>
      <c r="BV55" s="9">
        <f t="shared" si="112"/>
        <v>0</v>
      </c>
      <c r="BW55" s="5">
        <f t="shared" si="113"/>
        <v>1</v>
      </c>
      <c r="BX55" s="8">
        <f t="shared" si="114"/>
        <v>-1.9651542634058401</v>
      </c>
      <c r="BY55" s="173">
        <f t="shared" si="115"/>
        <v>1</v>
      </c>
      <c r="BZ55" s="5">
        <f t="shared" si="116"/>
        <v>0</v>
      </c>
      <c r="CA55" s="6">
        <f t="shared" si="117"/>
        <v>-1.9651542634058401</v>
      </c>
      <c r="CB55" s="4">
        <f t="shared" si="145"/>
        <v>0</v>
      </c>
      <c r="CC55" s="5">
        <f t="shared" si="146"/>
        <v>0</v>
      </c>
      <c r="CD55" s="5">
        <f t="shared" si="147"/>
        <v>-1</v>
      </c>
      <c r="CE55" s="6">
        <f t="shared" si="148"/>
        <v>-1.9651542634058401</v>
      </c>
      <c r="CF55" s="4">
        <f t="shared" si="149"/>
        <v>-0.99008596714351471</v>
      </c>
      <c r="CG55" s="5">
        <f t="shared" si="150"/>
        <v>8.5546144907160948E-3</v>
      </c>
      <c r="CH55" s="5">
        <f t="shared" si="151"/>
        <v>0</v>
      </c>
      <c r="CI55" s="4">
        <f t="shared" si="118"/>
        <v>0</v>
      </c>
      <c r="CJ55" s="5">
        <f t="shared" si="119"/>
        <v>-2.2327926479055762</v>
      </c>
      <c r="CK55" s="8">
        <f t="shared" si="120"/>
        <v>-1.9651542634058401</v>
      </c>
      <c r="CL55" s="173">
        <f t="shared" si="121"/>
        <v>-0.99008596714351471</v>
      </c>
      <c r="CM55" s="5">
        <f t="shared" si="122"/>
        <v>-2.2242380334148599</v>
      </c>
      <c r="CN55" s="6">
        <f t="shared" si="123"/>
        <v>-1.9651542634058401</v>
      </c>
      <c r="CO55" s="167">
        <f t="shared" si="350"/>
        <v>0.3125</v>
      </c>
      <c r="CP55" s="4">
        <f t="shared" si="236"/>
        <v>0.98034340376359363</v>
      </c>
      <c r="CQ55" s="5">
        <f t="shared" si="237"/>
        <v>-10.546586776368066</v>
      </c>
      <c r="CR55" s="5">
        <f t="shared" si="152"/>
        <v>28.27107492184194</v>
      </c>
      <c r="CS55" s="8">
        <f t="shared" si="153"/>
        <v>0.36904536372536256</v>
      </c>
      <c r="CT55" s="9">
        <f t="shared" si="154"/>
        <v>5.6888625830418382</v>
      </c>
      <c r="CU55" s="6">
        <f t="shared" si="155"/>
        <v>5.0691909070710395</v>
      </c>
      <c r="CV55" s="4">
        <f t="shared" si="238"/>
        <v>-5.6324630124775314</v>
      </c>
      <c r="CW55" s="5">
        <f t="shared" si="156"/>
        <v>-2.184126621616993</v>
      </c>
      <c r="CX55" s="8">
        <f t="shared" si="157"/>
        <v>-1.9651542634058401</v>
      </c>
      <c r="CY55" s="9">
        <f t="shared" si="158"/>
        <v>-5.0189347818625407</v>
      </c>
      <c r="CZ55" s="5">
        <f t="shared" si="159"/>
        <v>-2.189427673915739</v>
      </c>
      <c r="DA55" s="6">
        <f t="shared" si="160"/>
        <v>-1.9651542634058401</v>
      </c>
      <c r="DB55" s="4">
        <f t="shared" si="555"/>
        <v>0</v>
      </c>
      <c r="DC55" s="5">
        <f t="shared" si="555"/>
        <v>0</v>
      </c>
      <c r="DD55" s="10">
        <f t="shared" si="162"/>
        <v>-10</v>
      </c>
      <c r="DE55" s="9">
        <f t="shared" si="556"/>
        <v>0</v>
      </c>
      <c r="DF55" s="5">
        <f t="shared" si="556"/>
        <v>0</v>
      </c>
      <c r="DG55" s="10">
        <f t="shared" si="164"/>
        <v>10</v>
      </c>
      <c r="DH55" s="70">
        <f t="shared" si="165"/>
        <v>6.0179</v>
      </c>
      <c r="DI55" s="4">
        <f t="shared" si="166"/>
        <v>0</v>
      </c>
      <c r="DJ55" s="5">
        <f t="shared" si="167"/>
        <v>0</v>
      </c>
      <c r="DK55" s="10">
        <f t="shared" si="168"/>
        <v>20</v>
      </c>
      <c r="DL55" s="9">
        <f t="shared" si="169"/>
        <v>-5.6324630124775314</v>
      </c>
      <c r="DM55" s="173">
        <f t="shared" si="170"/>
        <v>-2.184126621616993</v>
      </c>
      <c r="DN55" s="178">
        <f t="shared" si="171"/>
        <v>8.0348457365941606</v>
      </c>
      <c r="DO55" s="9">
        <f t="shared" si="172"/>
        <v>0.61352823061499073</v>
      </c>
      <c r="DP55" s="173">
        <f t="shared" si="173"/>
        <v>-5.3010522987460007E-3</v>
      </c>
      <c r="DQ55" s="11">
        <f t="shared" si="174"/>
        <v>0</v>
      </c>
      <c r="DR55" s="173">
        <f t="shared" si="175"/>
        <v>160.69691473188323</v>
      </c>
      <c r="DS55" s="5">
        <f t="shared" si="176"/>
        <v>0</v>
      </c>
      <c r="DT55" s="5">
        <f t="shared" si="177"/>
        <v>400</v>
      </c>
      <c r="DU55" s="5">
        <f t="shared" si="178"/>
        <v>0.37644499091703526</v>
      </c>
      <c r="DV55" s="5">
        <f t="shared" si="179"/>
        <v>-3.4440968966014451</v>
      </c>
      <c r="DW55" s="5">
        <f t="shared" si="180"/>
        <v>101.05379469704889</v>
      </c>
      <c r="DX55" s="167">
        <f t="shared" si="181"/>
        <v>64.838674287048889</v>
      </c>
      <c r="DY55" s="9">
        <f t="shared" si="182"/>
        <v>150.57799636681409</v>
      </c>
      <c r="DZ55" s="5">
        <f t="shared" si="183"/>
        <v>-1377.6387586405781</v>
      </c>
      <c r="EA55" s="10">
        <f t="shared" si="184"/>
        <v>111.97131047340736</v>
      </c>
      <c r="EB55" s="6">
        <f t="shared" si="185"/>
        <v>1881028.1337271007</v>
      </c>
      <c r="EC55" s="173">
        <f t="shared" si="186"/>
        <v>18.25727938743389</v>
      </c>
      <c r="ED55" s="5">
        <f t="shared" si="187"/>
        <v>4.0729510022739779E-2</v>
      </c>
      <c r="EE55" s="4">
        <f t="shared" si="188"/>
        <v>5.5688933059383245</v>
      </c>
      <c r="EF55" s="5">
        <f t="shared" si="189"/>
        <v>-2.2809094144825974</v>
      </c>
      <c r="EG55" s="10">
        <f t="shared" si="190"/>
        <v>-1.9651542634058401</v>
      </c>
      <c r="EH55" s="9">
        <f t="shared" si="191"/>
        <v>-5.607474308259464</v>
      </c>
      <c r="EI55" s="5">
        <f t="shared" si="192"/>
        <v>-2.184342530879726</v>
      </c>
      <c r="EJ55" s="6">
        <f t="shared" si="193"/>
        <v>-1.9651542634058401</v>
      </c>
      <c r="EK55" s="236" t="b">
        <f t="shared" si="194"/>
        <v>0</v>
      </c>
      <c r="EL55" s="238" t="b">
        <f t="shared" si="195"/>
        <v>1</v>
      </c>
      <c r="EM55" s="4">
        <f t="shared" si="196"/>
        <v>-5.607474308259464</v>
      </c>
      <c r="EN55" s="5">
        <f t="shared" si="197"/>
        <v>-2.184342530879726</v>
      </c>
      <c r="EO55" s="10">
        <f t="shared" si="198"/>
        <v>-1.9651542634058401</v>
      </c>
      <c r="EP55" s="9">
        <f t="shared" si="199"/>
        <v>201.28296552093849</v>
      </c>
      <c r="EQ55" s="5">
        <f t="shared" si="200"/>
        <v>6.0179</v>
      </c>
      <c r="ER55" s="7">
        <f t="shared" si="201"/>
        <v>-1.9651542634058401</v>
      </c>
      <c r="ES55" s="21">
        <f t="shared" si="397"/>
        <v>8.5546144907159907E-3</v>
      </c>
      <c r="ET55" s="5">
        <f t="shared" si="398"/>
        <v>0.99008596714351482</v>
      </c>
      <c r="EU55" s="10">
        <f t="shared" si="399"/>
        <v>-0.14020198371066714</v>
      </c>
      <c r="EV55" s="174">
        <f t="shared" si="557"/>
        <v>248.71703447906151</v>
      </c>
      <c r="EW55" s="9">
        <f t="shared" si="558"/>
        <v>0.91945619160473469</v>
      </c>
      <c r="EX55" s="5">
        <f t="shared" si="559"/>
        <v>-0.36734685990669808</v>
      </c>
      <c r="EY55" s="6">
        <f t="shared" si="202"/>
        <v>-0.14020198371066714</v>
      </c>
      <c r="EZ55" s="51">
        <f t="shared" si="203"/>
        <v>0.2325792104497067</v>
      </c>
      <c r="FA55" s="173">
        <f t="shared" si="560"/>
        <v>-0.36297122491849149</v>
      </c>
      <c r="FB55" s="5">
        <f t="shared" si="561"/>
        <v>0.9317915068696615</v>
      </c>
      <c r="FC55" s="6">
        <f t="shared" si="562"/>
        <v>-4.059261846133466E-3</v>
      </c>
      <c r="FD55" s="4">
        <f t="shared" si="563"/>
        <v>0.99999176116269306</v>
      </c>
      <c r="FE55" s="5">
        <f t="shared" si="564"/>
        <v>1.1102230246251565E-16</v>
      </c>
      <c r="FF55" s="7">
        <f t="shared" si="204"/>
        <v>-4.059261846133466E-3</v>
      </c>
      <c r="FG55" s="173">
        <f t="shared" si="565"/>
        <v>-8.0535569557958375E-2</v>
      </c>
      <c r="FH55" s="5">
        <f t="shared" si="566"/>
        <v>-0.36734685990669819</v>
      </c>
      <c r="FI55" s="10">
        <f t="shared" si="567"/>
        <v>-0.13614272186453366</v>
      </c>
      <c r="FJ55" s="279">
        <f t="shared" si="206"/>
        <v>23.07132549679703</v>
      </c>
      <c r="FK55" s="4">
        <f t="shared" si="568"/>
        <v>0.99012292356231901</v>
      </c>
      <c r="FL55" s="5">
        <f t="shared" si="207"/>
        <v>0.99999176116269306</v>
      </c>
      <c r="FM55" s="8">
        <f t="shared" si="208"/>
        <v>0.37607139408274076</v>
      </c>
      <c r="FN55" s="9">
        <f t="shared" si="209"/>
        <v>21.778004462386232</v>
      </c>
      <c r="FO55" s="10">
        <f t="shared" si="569"/>
        <v>1</v>
      </c>
      <c r="FP55" s="277">
        <f t="shared" si="570"/>
        <v>21.778004462386232</v>
      </c>
      <c r="FQ55" s="173">
        <f t="shared" si="239"/>
        <v>0.3710113675431701</v>
      </c>
      <c r="FR55" s="10">
        <f t="shared" si="210"/>
        <v>0.92862832454849598</v>
      </c>
      <c r="FS55" s="9">
        <f t="shared" si="211"/>
        <v>0.28547248118134722</v>
      </c>
      <c r="FT55" s="6">
        <f t="shared" si="212"/>
        <v>0.71452751881865262</v>
      </c>
      <c r="FU55" s="4">
        <f t="shared" si="213"/>
        <v>0.93008402013833602</v>
      </c>
      <c r="FV55" s="5">
        <f t="shared" si="214"/>
        <v>1</v>
      </c>
      <c r="FW55" s="8">
        <f t="shared" si="240"/>
        <v>0.1581797037571778</v>
      </c>
      <c r="FX55" s="9">
        <f t="shared" si="241"/>
        <v>8.4373035547755464</v>
      </c>
      <c r="FY55" s="10">
        <f t="shared" si="571"/>
        <v>1</v>
      </c>
      <c r="FZ55" s="277">
        <f t="shared" si="242"/>
        <v>8.4373035547755464</v>
      </c>
      <c r="GA55" s="177">
        <f t="shared" si="215"/>
        <v>7.8470565675249286</v>
      </c>
      <c r="GB55" s="4">
        <f t="shared" si="216"/>
        <v>-0.36699591635076345</v>
      </c>
      <c r="GC55" s="5">
        <f t="shared" si="217"/>
        <v>0.91857779230253422</v>
      </c>
      <c r="GD55" s="10">
        <f t="shared" si="218"/>
        <v>-0.14672708294812353</v>
      </c>
      <c r="GE55" s="311">
        <f t="shared" si="219"/>
        <v>1.4323007916014212</v>
      </c>
      <c r="GF55" s="341">
        <f t="shared" si="243"/>
        <v>0.69817737018906756</v>
      </c>
      <c r="GG55" s="285">
        <f t="shared" si="572"/>
        <v>0.25622824374790304</v>
      </c>
      <c r="GH55" s="286">
        <f t="shared" si="573"/>
        <v>0.64133022734386291</v>
      </c>
      <c r="GI55" s="281">
        <f t="shared" si="574"/>
        <v>0.10244152890823408</v>
      </c>
      <c r="GJ55" s="167">
        <f t="shared" si="220"/>
        <v>6.0179</v>
      </c>
      <c r="GK55" s="174">
        <f t="shared" si="575"/>
        <v>3.1509910321754728</v>
      </c>
      <c r="GL55" s="174">
        <f t="shared" si="221"/>
        <v>7.1000000000000004E-3</v>
      </c>
      <c r="GM55" s="177">
        <f t="shared" si="244"/>
        <v>0.26846443594135033</v>
      </c>
      <c r="GN55" s="280">
        <f t="shared" si="222"/>
        <v>1.4873052798176094E-2</v>
      </c>
      <c r="GO55" s="4">
        <f t="shared" si="223"/>
        <v>21.778004462386232</v>
      </c>
      <c r="GP55" s="8">
        <f t="shared" si="245"/>
        <v>8.4373035547755464</v>
      </c>
      <c r="GQ55" s="177">
        <f t="shared" si="224"/>
        <v>23.07132549679703</v>
      </c>
      <c r="GR55" s="371">
        <f t="shared" si="246"/>
        <v>1046.5140441501728</v>
      </c>
      <c r="GS55" s="342">
        <f t="shared" si="576"/>
        <v>268.14645559011427</v>
      </c>
      <c r="GT55" s="343">
        <f t="shared" si="577"/>
        <v>85.099085605770043</v>
      </c>
      <c r="GU55" s="344">
        <f t="shared" si="578"/>
        <v>671.16108985337576</v>
      </c>
      <c r="GV55" s="343">
        <f t="shared" si="253"/>
        <v>213</v>
      </c>
      <c r="GW55" s="345">
        <f t="shared" si="579"/>
        <v>30000</v>
      </c>
      <c r="GX55" s="346">
        <f t="shared" si="580"/>
        <v>106.817725</v>
      </c>
      <c r="GY55" s="344">
        <f t="shared" si="581"/>
        <v>107.20649870668288</v>
      </c>
      <c r="GZ55" s="345">
        <f t="shared" si="582"/>
        <v>34.023104988866486</v>
      </c>
      <c r="HA55" s="342">
        <f t="shared" si="583"/>
        <v>268.14645559011427</v>
      </c>
      <c r="HB55" s="5">
        <f t="shared" si="225"/>
        <v>248.71703447906151</v>
      </c>
      <c r="HC55" s="343">
        <f t="shared" si="226"/>
        <v>-97.330249331184916</v>
      </c>
      <c r="HD55" s="363">
        <f t="shared" si="227"/>
        <v>-249.85864846082575</v>
      </c>
      <c r="HE55" s="344">
        <f t="shared" si="584"/>
        <v>213</v>
      </c>
      <c r="HF55" s="5">
        <f t="shared" si="585"/>
        <v>338.71703447906151</v>
      </c>
      <c r="HG55" s="343">
        <f t="shared" si="228"/>
        <v>198.47322615185794</v>
      </c>
      <c r="HH55" s="349">
        <f t="shared" si="229"/>
        <v>-77.313507881051734</v>
      </c>
      <c r="HI55" s="317">
        <f t="shared" si="453"/>
        <v>5.1449999999999996</v>
      </c>
      <c r="HK55" s="310">
        <f t="shared" si="506"/>
        <v>47</v>
      </c>
      <c r="HL55" s="348">
        <f t="shared" si="454"/>
        <v>1.147</v>
      </c>
      <c r="HM55" s="935">
        <f t="shared" si="455"/>
        <v>24.112770597678665</v>
      </c>
      <c r="HN55" s="936">
        <f t="shared" si="456"/>
        <v>26.099996231626758</v>
      </c>
      <c r="HO55" s="937"/>
      <c r="HP55" s="938"/>
      <c r="HQ55" s="936">
        <f t="shared" si="457"/>
        <v>24.870949246458821</v>
      </c>
      <c r="HR55" s="939">
        <f t="shared" si="458"/>
        <v>6.9266181778828386</v>
      </c>
      <c r="HS55" s="940">
        <f t="shared" si="507"/>
        <v>6.0758000000000001</v>
      </c>
      <c r="HT55" s="941">
        <f t="shared" si="459"/>
        <v>4.4999999999999997E-3</v>
      </c>
      <c r="HU55" s="942">
        <f t="shared" si="460"/>
        <v>0.17179058631012364</v>
      </c>
      <c r="HV55" s="943">
        <f t="shared" si="461"/>
        <v>9.5172772194611344E-3</v>
      </c>
      <c r="HW55" s="944">
        <f t="shared" si="462"/>
        <v>30000</v>
      </c>
      <c r="HX55" s="947">
        <f t="shared" si="463"/>
        <v>68.35275</v>
      </c>
      <c r="HY55" s="952">
        <f t="shared" si="464"/>
        <v>192.22899860430002</v>
      </c>
      <c r="HZ55" s="953">
        <f t="shared" si="465"/>
        <v>429.47646577530912</v>
      </c>
      <c r="IA55" s="954">
        <f t="shared" si="466"/>
        <v>57.162653791352497</v>
      </c>
      <c r="IB55" s="955">
        <f t="shared" si="467"/>
        <v>678.86811817096157</v>
      </c>
      <c r="IC55" s="842">
        <f t="shared" si="468"/>
        <v>60.424532843104245</v>
      </c>
      <c r="ID55" s="351">
        <f t="shared" si="469"/>
        <v>135</v>
      </c>
      <c r="IE55" s="844">
        <f t="shared" si="470"/>
        <v>17.968291342580567</v>
      </c>
      <c r="IF55" s="845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0"/>
        <v>5.1449999999999996</v>
      </c>
      <c r="IJ55" s="96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71"/>
        <v>1613</v>
      </c>
      <c r="IM55" s="482" t="str">
        <f t="shared" si="231"/>
        <v/>
      </c>
      <c r="IN55" s="670" t="str">
        <f t="shared" si="472"/>
        <v/>
      </c>
      <c r="IO55" s="702"/>
      <c r="IP55" s="5" t="str">
        <f t="shared" si="473"/>
        <v/>
      </c>
      <c r="IQ55" s="714"/>
      <c r="IR55" s="9" t="str">
        <f t="shared" si="474"/>
        <v/>
      </c>
      <c r="IS55" s="5" t="str">
        <f t="shared" si="475"/>
        <v/>
      </c>
      <c r="IT55" s="5" t="str">
        <f t="shared" si="476"/>
        <v/>
      </c>
      <c r="IU55" s="5" t="str">
        <f t="shared" si="477"/>
        <v/>
      </c>
      <c r="IV55" s="670" t="str">
        <f t="shared" si="478"/>
        <v/>
      </c>
      <c r="IW55" s="9" t="str">
        <f t="shared" si="479"/>
        <v/>
      </c>
      <c r="IX55" s="5" t="str">
        <f t="shared" si="480"/>
        <v/>
      </c>
      <c r="IY55" s="5" t="str">
        <f t="shared" si="481"/>
        <v/>
      </c>
      <c r="IZ55" s="5" t="str">
        <f t="shared" si="482"/>
        <v/>
      </c>
      <c r="JA55" s="705" t="str">
        <f t="shared" si="483"/>
        <v/>
      </c>
    </row>
    <row r="56" spans="1:261" ht="15" customHeight="1" x14ac:dyDescent="0.25">
      <c r="A56" s="75">
        <f t="shared" si="308"/>
        <v>0</v>
      </c>
      <c r="B56" s="578">
        <f t="shared" ref="B56:D56" si="588">IFERROR(O211+($A56*-E56),"")</f>
        <v>-5.4177434813472773</v>
      </c>
      <c r="C56" s="572">
        <f t="shared" si="588"/>
        <v>-2.2175613370927016</v>
      </c>
      <c r="D56" s="576">
        <f t="shared" si="588"/>
        <v>-2.7500082940250152</v>
      </c>
      <c r="E56" s="580">
        <f t="shared" ref="E56:K56" si="589">R211</f>
        <v>-0.1329170445864542</v>
      </c>
      <c r="F56" s="572">
        <f t="shared" si="589"/>
        <v>-0.99016868238880773</v>
      </c>
      <c r="G56" s="579">
        <f t="shared" si="589"/>
        <v>4.3577972357774962E-2</v>
      </c>
      <c r="H56" s="580">
        <f t="shared" si="589"/>
        <v>0.3125</v>
      </c>
      <c r="I56" s="572">
        <f t="shared" si="589"/>
        <v>0.52</v>
      </c>
      <c r="J56" s="483">
        <f t="shared" si="92"/>
        <v>5.1509999999999998</v>
      </c>
      <c r="K56" s="806">
        <f t="shared" si="589"/>
        <v>1613</v>
      </c>
      <c r="L56" s="309"/>
      <c r="M56" s="164">
        <f t="shared" si="311"/>
        <v>5.1509999999999998</v>
      </c>
      <c r="N56" s="575">
        <f t="shared" si="312"/>
        <v>-5.4177434813472773</v>
      </c>
      <c r="O56" s="572">
        <f t="shared" si="313"/>
        <v>-2.2175613370927016</v>
      </c>
      <c r="P56" s="576">
        <f t="shared" si="314"/>
        <v>-2.7500082940250152</v>
      </c>
      <c r="Q56" s="528">
        <f t="shared" si="134"/>
        <v>202.26000039560699</v>
      </c>
      <c r="R56" s="572">
        <f t="shared" si="533"/>
        <v>5.8540176557172501</v>
      </c>
      <c r="S56" s="577">
        <f t="shared" si="534"/>
        <v>-2.7500082940250152</v>
      </c>
      <c r="T56" s="578">
        <f t="shared" si="535"/>
        <v>-2.2185068777937769</v>
      </c>
      <c r="U56" s="572">
        <f t="shared" si="536"/>
        <v>5.4173563614212235</v>
      </c>
      <c r="V56" s="579">
        <f t="shared" si="537"/>
        <v>-2.7500082940250152</v>
      </c>
      <c r="W56" s="528">
        <f t="shared" si="256"/>
        <v>112.27000039416318</v>
      </c>
      <c r="X56" s="572">
        <f t="shared" si="538"/>
        <v>5.8540176557172501</v>
      </c>
      <c r="Y56" s="573">
        <f t="shared" si="259"/>
        <v>-2.7500082940250152</v>
      </c>
      <c r="Z56" s="575">
        <f t="shared" si="315"/>
        <v>0.1329170445864542</v>
      </c>
      <c r="AA56" s="572">
        <f t="shared" si="316"/>
        <v>0.99016868238880773</v>
      </c>
      <c r="AB56" s="572">
        <f t="shared" si="317"/>
        <v>-4.3577972357774962E-2</v>
      </c>
      <c r="AC56" s="579">
        <f t="shared" si="539"/>
        <v>1</v>
      </c>
      <c r="AD56" s="580">
        <f t="shared" si="540"/>
        <v>0.1329170445864542</v>
      </c>
      <c r="AE56" s="572">
        <f t="shared" si="541"/>
        <v>0.99016868238880773</v>
      </c>
      <c r="AF56" s="576">
        <f t="shared" si="542"/>
        <v>-4.3577972357774962E-2</v>
      </c>
      <c r="AG56" s="545">
        <f t="shared" si="543"/>
        <v>87.480001397236748</v>
      </c>
      <c r="AH56" s="546">
        <f t="shared" si="544"/>
        <v>82.361810131753458</v>
      </c>
      <c r="AI56" s="528">
        <f t="shared" si="545"/>
        <v>-87.502375163624507</v>
      </c>
      <c r="AJ56" s="529">
        <f t="shared" si="546"/>
        <v>172.35450377655468</v>
      </c>
      <c r="AK56" s="578">
        <f t="shared" si="547"/>
        <v>0.86602544158358552</v>
      </c>
      <c r="AL56" s="572">
        <f t="shared" si="548"/>
        <v>-0.49809727449077723</v>
      </c>
      <c r="AM56" s="577">
        <f t="shared" si="549"/>
        <v>-4.3577972357774962E-2</v>
      </c>
      <c r="AN56" s="524">
        <f t="shared" si="550"/>
        <v>-84.999987727520178</v>
      </c>
      <c r="AO56" s="525">
        <f t="shared" ref="AO56:AO119" si="590">IF(ROUND(IF(M56="",0,DEGREES(ACOS(AK56))),4)=90,0,IF(M56="","",DEGREES(ACOS(AK56))))</f>
        <v>29.999995668536549</v>
      </c>
      <c r="AP56" s="528">
        <f t="shared" si="551"/>
        <v>-29.905496619052322</v>
      </c>
      <c r="AQ56" s="529">
        <f t="shared" si="318"/>
        <v>0.2390901559287944</v>
      </c>
      <c r="AS56" s="900">
        <f t="shared" si="510"/>
        <v>-247.72999960583684</v>
      </c>
      <c r="AT56" s="896">
        <f t="shared" si="319"/>
        <v>-2.6443827127983361</v>
      </c>
      <c r="AU56" s="418"/>
      <c r="AV56" s="164" t="str">
        <f t="shared" si="320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38"/>
        <v/>
      </c>
      <c r="BA56" s="296" t="str">
        <f t="shared" si="322"/>
        <v/>
      </c>
      <c r="BB56" s="177" t="str">
        <f t="shared" si="139"/>
        <v/>
      </c>
      <c r="BC56" s="9"/>
      <c r="BD56" s="5" t="str">
        <f t="shared" si="235"/>
        <v/>
      </c>
      <c r="BE56" s="6" t="str">
        <f t="shared" si="324"/>
        <v/>
      </c>
      <c r="BF56" s="4" t="str">
        <f t="shared" si="325"/>
        <v/>
      </c>
      <c r="BG56" s="5" t="str">
        <f t="shared" si="326"/>
        <v/>
      </c>
      <c r="BH56" s="10" t="str">
        <f t="shared" si="327"/>
        <v/>
      </c>
      <c r="BI56" s="9" t="str">
        <f t="shared" si="140"/>
        <v/>
      </c>
      <c r="BJ56" s="5" t="str">
        <f t="shared" si="329"/>
        <v/>
      </c>
      <c r="BK56" s="8" t="str">
        <f t="shared" si="330"/>
        <v/>
      </c>
      <c r="BL56" s="173" t="str">
        <f t="shared" si="331"/>
        <v/>
      </c>
      <c r="BM56" s="5" t="str">
        <f t="shared" si="332"/>
        <v/>
      </c>
      <c r="BN56" s="6" t="str">
        <f t="shared" si="333"/>
        <v/>
      </c>
      <c r="BO56" s="4" t="str">
        <f t="shared" si="141"/>
        <v/>
      </c>
      <c r="BP56" s="5" t="str">
        <f t="shared" si="142"/>
        <v/>
      </c>
      <c r="BQ56" s="5" t="str">
        <f t="shared" si="143"/>
        <v/>
      </c>
      <c r="BR56" s="6" t="str">
        <f t="shared" si="144"/>
        <v/>
      </c>
      <c r="BS56" s="4" t="str">
        <f t="shared" si="554"/>
        <v/>
      </c>
      <c r="BT56" s="5" t="str">
        <f t="shared" si="554"/>
        <v/>
      </c>
      <c r="BU56" s="10" t="str">
        <f t="shared" si="111"/>
        <v/>
      </c>
      <c r="BV56" s="9" t="str">
        <f t="shared" si="112"/>
        <v/>
      </c>
      <c r="BW56" s="5" t="str">
        <f t="shared" si="113"/>
        <v/>
      </c>
      <c r="BX56" s="8" t="str">
        <f t="shared" si="114"/>
        <v/>
      </c>
      <c r="BY56" s="173" t="str">
        <f t="shared" si="115"/>
        <v/>
      </c>
      <c r="BZ56" s="5" t="str">
        <f t="shared" si="116"/>
        <v/>
      </c>
      <c r="CA56" s="6" t="str">
        <f t="shared" si="117"/>
        <v/>
      </c>
      <c r="CB56" s="4" t="str">
        <f t="shared" si="145"/>
        <v/>
      </c>
      <c r="CC56" s="5" t="str">
        <f t="shared" si="146"/>
        <v/>
      </c>
      <c r="CD56" s="5" t="str">
        <f t="shared" si="147"/>
        <v/>
      </c>
      <c r="CE56" s="6" t="str">
        <f t="shared" si="148"/>
        <v/>
      </c>
      <c r="CF56" s="4" t="str">
        <f t="shared" si="149"/>
        <v/>
      </c>
      <c r="CG56" s="5" t="str">
        <f t="shared" si="150"/>
        <v/>
      </c>
      <c r="CH56" s="5" t="str">
        <f t="shared" si="151"/>
        <v/>
      </c>
      <c r="CI56" s="4" t="str">
        <f t="shared" si="118"/>
        <v/>
      </c>
      <c r="CJ56" s="5" t="str">
        <f t="shared" si="119"/>
        <v/>
      </c>
      <c r="CK56" s="8" t="str">
        <f t="shared" si="120"/>
        <v/>
      </c>
      <c r="CL56" s="173" t="str">
        <f t="shared" si="121"/>
        <v/>
      </c>
      <c r="CM56" s="5" t="str">
        <f t="shared" si="122"/>
        <v/>
      </c>
      <c r="CN56" s="6" t="str">
        <f t="shared" si="123"/>
        <v/>
      </c>
      <c r="CO56" s="167" t="str">
        <f t="shared" si="350"/>
        <v/>
      </c>
      <c r="CP56" s="4" t="str">
        <f t="shared" si="236"/>
        <v/>
      </c>
      <c r="CQ56" s="5" t="str">
        <f t="shared" si="237"/>
        <v/>
      </c>
      <c r="CR56" s="5" t="str">
        <f t="shared" si="152"/>
        <v/>
      </c>
      <c r="CS56" s="8" t="str">
        <f t="shared" si="153"/>
        <v/>
      </c>
      <c r="CT56" s="9" t="str">
        <f t="shared" si="154"/>
        <v/>
      </c>
      <c r="CU56" s="6" t="str">
        <f t="shared" si="155"/>
        <v/>
      </c>
      <c r="CV56" s="4" t="str">
        <f t="shared" si="238"/>
        <v/>
      </c>
      <c r="CW56" s="5" t="str">
        <f t="shared" si="156"/>
        <v/>
      </c>
      <c r="CX56" s="8" t="str">
        <f t="shared" si="157"/>
        <v/>
      </c>
      <c r="CY56" s="9" t="str">
        <f t="shared" si="158"/>
        <v/>
      </c>
      <c r="CZ56" s="5" t="str">
        <f t="shared" si="159"/>
        <v/>
      </c>
      <c r="DA56" s="6" t="str">
        <f t="shared" si="160"/>
        <v/>
      </c>
      <c r="DB56" s="4" t="str">
        <f t="shared" si="555"/>
        <v/>
      </c>
      <c r="DC56" s="5" t="str">
        <f t="shared" si="555"/>
        <v/>
      </c>
      <c r="DD56" s="10" t="str">
        <f t="shared" si="162"/>
        <v/>
      </c>
      <c r="DE56" s="9" t="str">
        <f t="shared" si="556"/>
        <v/>
      </c>
      <c r="DF56" s="5" t="str">
        <f t="shared" si="556"/>
        <v/>
      </c>
      <c r="DG56" s="10" t="str">
        <f t="shared" si="164"/>
        <v/>
      </c>
      <c r="DH56" s="70" t="str">
        <f t="shared" si="165"/>
        <v/>
      </c>
      <c r="DI56" s="4" t="str">
        <f t="shared" si="166"/>
        <v/>
      </c>
      <c r="DJ56" s="5" t="str">
        <f t="shared" si="167"/>
        <v/>
      </c>
      <c r="DK56" s="10" t="str">
        <f t="shared" si="168"/>
        <v/>
      </c>
      <c r="DL56" s="9" t="str">
        <f t="shared" si="169"/>
        <v/>
      </c>
      <c r="DM56" s="173" t="str">
        <f t="shared" si="170"/>
        <v/>
      </c>
      <c r="DN56" s="178" t="str">
        <f t="shared" si="171"/>
        <v/>
      </c>
      <c r="DO56" s="9" t="str">
        <f t="shared" si="172"/>
        <v/>
      </c>
      <c r="DP56" s="173" t="str">
        <f t="shared" si="173"/>
        <v/>
      </c>
      <c r="DQ56" s="11" t="str">
        <f t="shared" si="174"/>
        <v/>
      </c>
      <c r="DR56" s="173" t="str">
        <f t="shared" si="175"/>
        <v/>
      </c>
      <c r="DS56" s="5" t="str">
        <f t="shared" si="176"/>
        <v/>
      </c>
      <c r="DT56" s="5" t="str">
        <f t="shared" si="177"/>
        <v/>
      </c>
      <c r="DU56" s="5" t="str">
        <f t="shared" si="178"/>
        <v/>
      </c>
      <c r="DV56" s="5" t="str">
        <f t="shared" si="179"/>
        <v/>
      </c>
      <c r="DW56" s="5" t="str">
        <f t="shared" si="180"/>
        <v/>
      </c>
      <c r="DX56" s="167" t="str">
        <f t="shared" si="181"/>
        <v/>
      </c>
      <c r="DY56" s="9" t="str">
        <f t="shared" si="182"/>
        <v/>
      </c>
      <c r="DZ56" s="5" t="str">
        <f t="shared" si="183"/>
        <v/>
      </c>
      <c r="EA56" s="10" t="str">
        <f t="shared" si="184"/>
        <v/>
      </c>
      <c r="EB56" s="6" t="str">
        <f t="shared" si="185"/>
        <v/>
      </c>
      <c r="EC56" s="173" t="str">
        <f t="shared" si="186"/>
        <v/>
      </c>
      <c r="ED56" s="5" t="str">
        <f t="shared" si="187"/>
        <v/>
      </c>
      <c r="EE56" s="4" t="str">
        <f t="shared" si="188"/>
        <v/>
      </c>
      <c r="EF56" s="5" t="str">
        <f t="shared" si="189"/>
        <v/>
      </c>
      <c r="EG56" s="10" t="str">
        <f t="shared" si="190"/>
        <v/>
      </c>
      <c r="EH56" s="9" t="str">
        <f t="shared" si="191"/>
        <v/>
      </c>
      <c r="EI56" s="5" t="str">
        <f t="shared" si="192"/>
        <v/>
      </c>
      <c r="EJ56" s="6" t="str">
        <f t="shared" si="193"/>
        <v/>
      </c>
      <c r="EK56" s="236" t="str">
        <f t="shared" si="194"/>
        <v/>
      </c>
      <c r="EL56" s="238" t="str">
        <f t="shared" si="195"/>
        <v/>
      </c>
      <c r="EM56" s="4" t="str">
        <f t="shared" si="196"/>
        <v/>
      </c>
      <c r="EN56" s="5" t="str">
        <f t="shared" si="197"/>
        <v/>
      </c>
      <c r="EO56" s="10" t="str">
        <f t="shared" si="198"/>
        <v/>
      </c>
      <c r="EP56" s="9" t="str">
        <f t="shared" si="199"/>
        <v/>
      </c>
      <c r="EQ56" s="5" t="str">
        <f t="shared" si="200"/>
        <v/>
      </c>
      <c r="ER56" s="7" t="str">
        <f t="shared" si="201"/>
        <v/>
      </c>
      <c r="ES56" s="21" t="str">
        <f t="shared" si="397"/>
        <v/>
      </c>
      <c r="ET56" s="5" t="str">
        <f t="shared" si="398"/>
        <v/>
      </c>
      <c r="EU56" s="10" t="str">
        <f t="shared" si="399"/>
        <v/>
      </c>
      <c r="EV56" s="174" t="str">
        <f t="shared" si="557"/>
        <v/>
      </c>
      <c r="EW56" s="9" t="str">
        <f t="shared" si="558"/>
        <v/>
      </c>
      <c r="EX56" s="5" t="str">
        <f t="shared" si="559"/>
        <v/>
      </c>
      <c r="EY56" s="6" t="str">
        <f t="shared" si="202"/>
        <v/>
      </c>
      <c r="EZ56" s="51" t="str">
        <f t="shared" si="203"/>
        <v/>
      </c>
      <c r="FA56" s="173" t="str">
        <f t="shared" si="560"/>
        <v/>
      </c>
      <c r="FB56" s="5" t="str">
        <f t="shared" si="561"/>
        <v/>
      </c>
      <c r="FC56" s="6" t="str">
        <f t="shared" si="562"/>
        <v/>
      </c>
      <c r="FD56" s="4" t="str">
        <f t="shared" si="563"/>
        <v/>
      </c>
      <c r="FE56" s="5" t="str">
        <f t="shared" si="564"/>
        <v/>
      </c>
      <c r="FF56" s="7" t="str">
        <f t="shared" si="204"/>
        <v/>
      </c>
      <c r="FG56" s="173" t="str">
        <f t="shared" si="565"/>
        <v/>
      </c>
      <c r="FH56" s="5" t="str">
        <f t="shared" si="566"/>
        <v/>
      </c>
      <c r="FI56" s="10" t="str">
        <f t="shared" si="567"/>
        <v/>
      </c>
      <c r="FJ56" s="279" t="str">
        <f t="shared" si="206"/>
        <v/>
      </c>
      <c r="FK56" s="4" t="str">
        <f t="shared" si="568"/>
        <v/>
      </c>
      <c r="FL56" s="5" t="str">
        <f t="shared" si="207"/>
        <v/>
      </c>
      <c r="FM56" s="8" t="str">
        <f t="shared" si="208"/>
        <v/>
      </c>
      <c r="FN56" s="9" t="str">
        <f t="shared" si="209"/>
        <v/>
      </c>
      <c r="FO56" s="10" t="str">
        <f t="shared" si="569"/>
        <v/>
      </c>
      <c r="FP56" s="277" t="str">
        <f t="shared" si="570"/>
        <v/>
      </c>
      <c r="FQ56" s="173" t="str">
        <f t="shared" si="239"/>
        <v/>
      </c>
      <c r="FR56" s="10" t="str">
        <f t="shared" si="210"/>
        <v/>
      </c>
      <c r="FS56" s="9" t="str">
        <f t="shared" si="211"/>
        <v/>
      </c>
      <c r="FT56" s="6" t="str">
        <f t="shared" si="212"/>
        <v/>
      </c>
      <c r="FU56" s="4" t="str">
        <f t="shared" si="213"/>
        <v/>
      </c>
      <c r="FV56" s="5" t="str">
        <f t="shared" si="214"/>
        <v/>
      </c>
      <c r="FW56" s="8" t="str">
        <f t="shared" si="240"/>
        <v/>
      </c>
      <c r="FX56" s="9" t="str">
        <f t="shared" si="241"/>
        <v/>
      </c>
      <c r="FY56" s="10" t="str">
        <f t="shared" si="571"/>
        <v/>
      </c>
      <c r="FZ56" s="277" t="str">
        <f t="shared" si="242"/>
        <v/>
      </c>
      <c r="GA56" s="177" t="str">
        <f t="shared" si="215"/>
        <v/>
      </c>
      <c r="GB56" s="4" t="str">
        <f t="shared" si="216"/>
        <v/>
      </c>
      <c r="GC56" s="5" t="str">
        <f t="shared" si="217"/>
        <v/>
      </c>
      <c r="GD56" s="10" t="str">
        <f t="shared" si="218"/>
        <v/>
      </c>
      <c r="GE56" s="311" t="str">
        <f t="shared" si="219"/>
        <v/>
      </c>
      <c r="GF56" s="341" t="str">
        <f t="shared" si="243"/>
        <v/>
      </c>
      <c r="GG56" s="285" t="str">
        <f t="shared" si="572"/>
        <v/>
      </c>
      <c r="GH56" s="286" t="str">
        <f t="shared" si="573"/>
        <v/>
      </c>
      <c r="GI56" s="281" t="str">
        <f t="shared" si="574"/>
        <v/>
      </c>
      <c r="GJ56" s="167" t="str">
        <f t="shared" si="220"/>
        <v/>
      </c>
      <c r="GK56" s="174" t="str">
        <f t="shared" si="575"/>
        <v/>
      </c>
      <c r="GL56" s="174" t="str">
        <f t="shared" si="221"/>
        <v/>
      </c>
      <c r="GM56" s="177" t="str">
        <f t="shared" si="244"/>
        <v/>
      </c>
      <c r="GN56" s="280" t="str">
        <f t="shared" si="222"/>
        <v/>
      </c>
      <c r="GO56" s="4" t="str">
        <f t="shared" si="223"/>
        <v/>
      </c>
      <c r="GP56" s="8" t="str">
        <f t="shared" si="245"/>
        <v/>
      </c>
      <c r="GQ56" s="177" t="str">
        <f t="shared" si="224"/>
        <v/>
      </c>
      <c r="GR56" s="371" t="str">
        <f t="shared" si="246"/>
        <v/>
      </c>
      <c r="GS56" s="342" t="str">
        <f t="shared" si="576"/>
        <v/>
      </c>
      <c r="GT56" s="343" t="str">
        <f t="shared" si="577"/>
        <v/>
      </c>
      <c r="GU56" s="344" t="str">
        <f t="shared" si="578"/>
        <v/>
      </c>
      <c r="GV56" s="343" t="str">
        <f t="shared" si="253"/>
        <v/>
      </c>
      <c r="GW56" s="345" t="str">
        <f t="shared" si="579"/>
        <v/>
      </c>
      <c r="GX56" s="346" t="str">
        <f t="shared" si="580"/>
        <v/>
      </c>
      <c r="GY56" s="344" t="str">
        <f t="shared" si="581"/>
        <v/>
      </c>
      <c r="GZ56" s="345" t="str">
        <f t="shared" si="582"/>
        <v/>
      </c>
      <c r="HA56" s="342" t="str">
        <f t="shared" si="583"/>
        <v/>
      </c>
      <c r="HB56" s="5" t="str">
        <f t="shared" si="225"/>
        <v/>
      </c>
      <c r="HC56" s="343" t="str">
        <f t="shared" si="226"/>
        <v/>
      </c>
      <c r="HD56" s="363" t="str">
        <f t="shared" si="227"/>
        <v/>
      </c>
      <c r="HE56" s="344" t="str">
        <f t="shared" si="584"/>
        <v/>
      </c>
      <c r="HF56" s="5" t="str">
        <f t="shared" si="585"/>
        <v/>
      </c>
      <c r="HG56" s="343" t="str">
        <f t="shared" si="228"/>
        <v/>
      </c>
      <c r="HH56" s="349" t="str">
        <f t="shared" si="229"/>
        <v/>
      </c>
      <c r="HI56" s="317" t="str">
        <f t="shared" si="453"/>
        <v/>
      </c>
      <c r="HK56" s="310">
        <f t="shared" si="506"/>
        <v>48</v>
      </c>
      <c r="HL56" s="348">
        <f t="shared" si="454"/>
        <v>4.1479999999999997</v>
      </c>
      <c r="HM56" s="935">
        <f t="shared" si="455"/>
        <v>25.274759622504796</v>
      </c>
      <c r="HN56" s="936">
        <f t="shared" si="456"/>
        <v>27.09999608724468</v>
      </c>
      <c r="HO56" s="937"/>
      <c r="HP56" s="938"/>
      <c r="HQ56" s="936">
        <f t="shared" si="457"/>
        <v>25.808779656143702</v>
      </c>
      <c r="HR56" s="939">
        <f t="shared" si="458"/>
        <v>6.0235509663079414</v>
      </c>
      <c r="HS56" s="940">
        <f t="shared" si="507"/>
        <v>6.1013999999999999</v>
      </c>
      <c r="HT56" s="941">
        <f t="shared" si="459"/>
        <v>1.9E-3</v>
      </c>
      <c r="HU56" s="942">
        <f t="shared" si="460"/>
        <v>7.2839414782279024E-2</v>
      </c>
      <c r="HV56" s="943">
        <f t="shared" si="461"/>
        <v>4.0353369638940016E-3</v>
      </c>
      <c r="HW56" s="944">
        <f t="shared" si="462"/>
        <v>30000</v>
      </c>
      <c r="HX56" s="947">
        <f t="shared" si="463"/>
        <v>28.981649999999998</v>
      </c>
      <c r="HY56" s="952">
        <f t="shared" si="464"/>
        <v>85.979460559943178</v>
      </c>
      <c r="HZ56" s="953">
        <f t="shared" si="465"/>
        <v>182.09853695569757</v>
      </c>
      <c r="IA56" s="954">
        <f t="shared" si="466"/>
        <v>21.249175944400395</v>
      </c>
      <c r="IB56" s="955">
        <f t="shared" si="467"/>
        <v>289.32717346004114</v>
      </c>
      <c r="IC56" s="842">
        <f t="shared" si="468"/>
        <v>26.913062201642376</v>
      </c>
      <c r="ID56" s="351">
        <f t="shared" si="469"/>
        <v>57</v>
      </c>
      <c r="IE56" s="844">
        <f t="shared" si="470"/>
        <v>6.6513605714772659</v>
      </c>
      <c r="IF56" s="845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0"/>
        <v>5.1509999999999998</v>
      </c>
      <c r="IJ56" s="96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71"/>
        <v>1613</v>
      </c>
      <c r="IM56" s="482" t="str">
        <f t="shared" si="231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>
        <f t="shared" si="308"/>
        <v>0</v>
      </c>
      <c r="B57" s="578">
        <f t="shared" ref="B57:D57" si="591">IFERROR(O212+($A57*-E57),"")</f>
        <v>-5.4424338462570034</v>
      </c>
      <c r="C57" s="572">
        <f t="shared" si="591"/>
        <v>-2.2232326265845161</v>
      </c>
      <c r="D57" s="576">
        <f t="shared" si="591"/>
        <v>-3.5292106440993027</v>
      </c>
      <c r="E57" s="580">
        <f t="shared" ref="E57:K57" si="592">R212</f>
        <v>-0.13360828018574053</v>
      </c>
      <c r="F57" s="572">
        <f t="shared" si="592"/>
        <v>-0.9900756475093172</v>
      </c>
      <c r="G57" s="579">
        <f t="shared" si="592"/>
        <v>4.3577972357775017E-2</v>
      </c>
      <c r="H57" s="580">
        <f t="shared" si="592"/>
        <v>0.3125</v>
      </c>
      <c r="I57" s="572">
        <f t="shared" si="592"/>
        <v>0.52</v>
      </c>
      <c r="J57" s="483">
        <f t="shared" si="92"/>
        <v>5.157</v>
      </c>
      <c r="K57" s="806">
        <f t="shared" si="592"/>
        <v>1613</v>
      </c>
      <c r="L57" s="309"/>
      <c r="M57" s="164">
        <f t="shared" si="311"/>
        <v>5.157</v>
      </c>
      <c r="N57" s="575">
        <f t="shared" si="312"/>
        <v>-5.4424338462570034</v>
      </c>
      <c r="O57" s="572">
        <f t="shared" si="313"/>
        <v>-2.2232326265845161</v>
      </c>
      <c r="P57" s="576">
        <f t="shared" si="314"/>
        <v>-3.5292106440993027</v>
      </c>
      <c r="Q57" s="528">
        <f t="shared" si="134"/>
        <v>202.22000040138226</v>
      </c>
      <c r="R57" s="572">
        <f t="shared" si="533"/>
        <v>5.8790177311174769</v>
      </c>
      <c r="S57" s="577">
        <f t="shared" si="534"/>
        <v>-3.5292106440993027</v>
      </c>
      <c r="T57" s="578">
        <f t="shared" si="535"/>
        <v>-2.2241824764801787</v>
      </c>
      <c r="U57" s="572">
        <f t="shared" si="536"/>
        <v>5.4420457361282981</v>
      </c>
      <c r="V57" s="579">
        <f t="shared" si="537"/>
        <v>-3.5292106440993027</v>
      </c>
      <c r="W57" s="528">
        <f t="shared" si="256"/>
        <v>112.23000039993845</v>
      </c>
      <c r="X57" s="572">
        <f t="shared" si="538"/>
        <v>5.8790177311174769</v>
      </c>
      <c r="Y57" s="573">
        <f t="shared" si="259"/>
        <v>-3.5292106440993027</v>
      </c>
      <c r="Z57" s="575">
        <f t="shared" si="315"/>
        <v>0.13360828018574053</v>
      </c>
      <c r="AA57" s="572">
        <f t="shared" si="316"/>
        <v>0.9900756475093172</v>
      </c>
      <c r="AB57" s="572">
        <f t="shared" si="317"/>
        <v>-4.3577972357775017E-2</v>
      </c>
      <c r="AC57" s="579">
        <f t="shared" si="539"/>
        <v>1</v>
      </c>
      <c r="AD57" s="580">
        <f t="shared" si="540"/>
        <v>0.13360828018574053</v>
      </c>
      <c r="AE57" s="572">
        <f t="shared" si="541"/>
        <v>0.9900756475093172</v>
      </c>
      <c r="AF57" s="576">
        <f t="shared" si="542"/>
        <v>-4.3577972357775017E-2</v>
      </c>
      <c r="AG57" s="545">
        <f t="shared" si="543"/>
        <v>87.479764904710947</v>
      </c>
      <c r="AH57" s="546">
        <f t="shared" si="544"/>
        <v>82.321848823719648</v>
      </c>
      <c r="AI57" s="528">
        <f t="shared" si="545"/>
        <v>-87.502375163624492</v>
      </c>
      <c r="AJ57" s="529">
        <f t="shared" si="546"/>
        <v>172.31450378232995</v>
      </c>
      <c r="AK57" s="578">
        <f t="shared" si="547"/>
        <v>0.86602544158358563</v>
      </c>
      <c r="AL57" s="572">
        <f t="shared" si="548"/>
        <v>-0.49809727449077701</v>
      </c>
      <c r="AM57" s="577">
        <f t="shared" si="549"/>
        <v>-4.3577972357775017E-2</v>
      </c>
      <c r="AN57" s="524">
        <f t="shared" si="550"/>
        <v>-84.999987727520164</v>
      </c>
      <c r="AO57" s="525">
        <f t="shared" si="590"/>
        <v>29.999995668536535</v>
      </c>
      <c r="AP57" s="528">
        <f t="shared" si="551"/>
        <v>-29.905496619052304</v>
      </c>
      <c r="AQ57" s="529">
        <f t="shared" si="318"/>
        <v>0.2380734549674472</v>
      </c>
      <c r="AS57" s="900">
        <f t="shared" si="510"/>
        <v>-247.76999960006157</v>
      </c>
      <c r="AT57" s="896">
        <f t="shared" si="319"/>
        <v>-3.4235680086115199</v>
      </c>
      <c r="AU57" s="418"/>
      <c r="AV57" s="164" t="str">
        <f t="shared" si="320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38"/>
        <v/>
      </c>
      <c r="BA57" s="296" t="str">
        <f t="shared" si="322"/>
        <v/>
      </c>
      <c r="BB57" s="177" t="str">
        <f t="shared" si="139"/>
        <v/>
      </c>
      <c r="BC57" s="9"/>
      <c r="BD57" s="5" t="str">
        <f t="shared" si="235"/>
        <v/>
      </c>
      <c r="BE57" s="6" t="str">
        <f t="shared" si="324"/>
        <v/>
      </c>
      <c r="BF57" s="4" t="str">
        <f t="shared" si="325"/>
        <v/>
      </c>
      <c r="BG57" s="5" t="str">
        <f t="shared" si="326"/>
        <v/>
      </c>
      <c r="BH57" s="10" t="str">
        <f t="shared" si="327"/>
        <v/>
      </c>
      <c r="BI57" s="9" t="str">
        <f t="shared" si="140"/>
        <v/>
      </c>
      <c r="BJ57" s="5" t="str">
        <f t="shared" si="329"/>
        <v/>
      </c>
      <c r="BK57" s="8" t="str">
        <f t="shared" si="330"/>
        <v/>
      </c>
      <c r="BL57" s="173" t="str">
        <f t="shared" si="331"/>
        <v/>
      </c>
      <c r="BM57" s="5" t="str">
        <f t="shared" si="332"/>
        <v/>
      </c>
      <c r="BN57" s="6" t="str">
        <f t="shared" si="333"/>
        <v/>
      </c>
      <c r="BO57" s="4" t="str">
        <f t="shared" si="141"/>
        <v/>
      </c>
      <c r="BP57" s="5" t="str">
        <f t="shared" si="142"/>
        <v/>
      </c>
      <c r="BQ57" s="5" t="str">
        <f t="shared" si="143"/>
        <v/>
      </c>
      <c r="BR57" s="6" t="str">
        <f t="shared" si="144"/>
        <v/>
      </c>
      <c r="BS57" s="4" t="str">
        <f t="shared" si="554"/>
        <v/>
      </c>
      <c r="BT57" s="5" t="str">
        <f t="shared" si="554"/>
        <v/>
      </c>
      <c r="BU57" s="10" t="str">
        <f t="shared" si="111"/>
        <v/>
      </c>
      <c r="BV57" s="9" t="str">
        <f t="shared" si="112"/>
        <v/>
      </c>
      <c r="BW57" s="5" t="str">
        <f t="shared" si="113"/>
        <v/>
      </c>
      <c r="BX57" s="8" t="str">
        <f t="shared" si="114"/>
        <v/>
      </c>
      <c r="BY57" s="173" t="str">
        <f t="shared" si="115"/>
        <v/>
      </c>
      <c r="BZ57" s="5" t="str">
        <f t="shared" si="116"/>
        <v/>
      </c>
      <c r="CA57" s="6" t="str">
        <f t="shared" si="117"/>
        <v/>
      </c>
      <c r="CB57" s="4" t="str">
        <f t="shared" si="145"/>
        <v/>
      </c>
      <c r="CC57" s="5" t="str">
        <f t="shared" si="146"/>
        <v/>
      </c>
      <c r="CD57" s="5" t="str">
        <f t="shared" si="147"/>
        <v/>
      </c>
      <c r="CE57" s="6" t="str">
        <f t="shared" si="148"/>
        <v/>
      </c>
      <c r="CF57" s="4" t="str">
        <f t="shared" si="149"/>
        <v/>
      </c>
      <c r="CG57" s="5" t="str">
        <f t="shared" si="150"/>
        <v/>
      </c>
      <c r="CH57" s="5" t="str">
        <f t="shared" si="151"/>
        <v/>
      </c>
      <c r="CI57" s="4" t="str">
        <f t="shared" si="118"/>
        <v/>
      </c>
      <c r="CJ57" s="5" t="str">
        <f t="shared" si="119"/>
        <v/>
      </c>
      <c r="CK57" s="8" t="str">
        <f t="shared" si="120"/>
        <v/>
      </c>
      <c r="CL57" s="173" t="str">
        <f t="shared" si="121"/>
        <v/>
      </c>
      <c r="CM57" s="5" t="str">
        <f t="shared" si="122"/>
        <v/>
      </c>
      <c r="CN57" s="6" t="str">
        <f t="shared" si="123"/>
        <v/>
      </c>
      <c r="CO57" s="167" t="str">
        <f t="shared" si="350"/>
        <v/>
      </c>
      <c r="CP57" s="4" t="str">
        <f t="shared" si="236"/>
        <v/>
      </c>
      <c r="CQ57" s="5" t="str">
        <f t="shared" si="237"/>
        <v/>
      </c>
      <c r="CR57" s="5" t="str">
        <f t="shared" si="152"/>
        <v/>
      </c>
      <c r="CS57" s="8" t="str">
        <f t="shared" si="153"/>
        <v/>
      </c>
      <c r="CT57" s="9" t="str">
        <f t="shared" si="154"/>
        <v/>
      </c>
      <c r="CU57" s="6" t="str">
        <f t="shared" si="155"/>
        <v/>
      </c>
      <c r="CV57" s="4" t="str">
        <f t="shared" si="238"/>
        <v/>
      </c>
      <c r="CW57" s="5" t="str">
        <f t="shared" si="156"/>
        <v/>
      </c>
      <c r="CX57" s="8" t="str">
        <f t="shared" si="157"/>
        <v/>
      </c>
      <c r="CY57" s="9" t="str">
        <f t="shared" si="158"/>
        <v/>
      </c>
      <c r="CZ57" s="5" t="str">
        <f t="shared" si="159"/>
        <v/>
      </c>
      <c r="DA57" s="6" t="str">
        <f t="shared" si="160"/>
        <v/>
      </c>
      <c r="DB57" s="4" t="str">
        <f t="shared" si="555"/>
        <v/>
      </c>
      <c r="DC57" s="5" t="str">
        <f t="shared" si="555"/>
        <v/>
      </c>
      <c r="DD57" s="10" t="str">
        <f t="shared" si="162"/>
        <v/>
      </c>
      <c r="DE57" s="9" t="str">
        <f t="shared" si="556"/>
        <v/>
      </c>
      <c r="DF57" s="5" t="str">
        <f t="shared" si="556"/>
        <v/>
      </c>
      <c r="DG57" s="10" t="str">
        <f t="shared" si="164"/>
        <v/>
      </c>
      <c r="DH57" s="70" t="str">
        <f t="shared" si="165"/>
        <v/>
      </c>
      <c r="DI57" s="4" t="str">
        <f t="shared" si="166"/>
        <v/>
      </c>
      <c r="DJ57" s="5" t="str">
        <f t="shared" si="167"/>
        <v/>
      </c>
      <c r="DK57" s="10" t="str">
        <f t="shared" si="168"/>
        <v/>
      </c>
      <c r="DL57" s="9" t="str">
        <f t="shared" si="169"/>
        <v/>
      </c>
      <c r="DM57" s="173" t="str">
        <f t="shared" si="170"/>
        <v/>
      </c>
      <c r="DN57" s="178" t="str">
        <f t="shared" si="171"/>
        <v/>
      </c>
      <c r="DO57" s="9" t="str">
        <f t="shared" si="172"/>
        <v/>
      </c>
      <c r="DP57" s="173" t="str">
        <f t="shared" si="173"/>
        <v/>
      </c>
      <c r="DQ57" s="11" t="str">
        <f t="shared" si="174"/>
        <v/>
      </c>
      <c r="DR57" s="173" t="str">
        <f t="shared" si="175"/>
        <v/>
      </c>
      <c r="DS57" s="5" t="str">
        <f t="shared" si="176"/>
        <v/>
      </c>
      <c r="DT57" s="5" t="str">
        <f t="shared" si="177"/>
        <v/>
      </c>
      <c r="DU57" s="5" t="str">
        <f t="shared" si="178"/>
        <v/>
      </c>
      <c r="DV57" s="5" t="str">
        <f t="shared" si="179"/>
        <v/>
      </c>
      <c r="DW57" s="5" t="str">
        <f t="shared" si="180"/>
        <v/>
      </c>
      <c r="DX57" s="167" t="str">
        <f t="shared" si="181"/>
        <v/>
      </c>
      <c r="DY57" s="9" t="str">
        <f t="shared" si="182"/>
        <v/>
      </c>
      <c r="DZ57" s="5" t="str">
        <f t="shared" si="183"/>
        <v/>
      </c>
      <c r="EA57" s="10" t="str">
        <f t="shared" si="184"/>
        <v/>
      </c>
      <c r="EB57" s="6" t="str">
        <f t="shared" si="185"/>
        <v/>
      </c>
      <c r="EC57" s="173" t="str">
        <f t="shared" si="186"/>
        <v/>
      </c>
      <c r="ED57" s="5" t="str">
        <f t="shared" si="187"/>
        <v/>
      </c>
      <c r="EE57" s="4" t="str">
        <f t="shared" si="188"/>
        <v/>
      </c>
      <c r="EF57" s="5" t="str">
        <f t="shared" si="189"/>
        <v/>
      </c>
      <c r="EG57" s="10" t="str">
        <f t="shared" si="190"/>
        <v/>
      </c>
      <c r="EH57" s="9" t="str">
        <f t="shared" si="191"/>
        <v/>
      </c>
      <c r="EI57" s="5" t="str">
        <f t="shared" si="192"/>
        <v/>
      </c>
      <c r="EJ57" s="6" t="str">
        <f t="shared" si="193"/>
        <v/>
      </c>
      <c r="EK57" s="236" t="str">
        <f t="shared" si="194"/>
        <v/>
      </c>
      <c r="EL57" s="238" t="str">
        <f t="shared" si="195"/>
        <v/>
      </c>
      <c r="EM57" s="4" t="str">
        <f t="shared" si="196"/>
        <v/>
      </c>
      <c r="EN57" s="5" t="str">
        <f t="shared" si="197"/>
        <v/>
      </c>
      <c r="EO57" s="10" t="str">
        <f t="shared" si="198"/>
        <v/>
      </c>
      <c r="EP57" s="9" t="str">
        <f t="shared" si="199"/>
        <v/>
      </c>
      <c r="EQ57" s="5" t="str">
        <f t="shared" si="200"/>
        <v/>
      </c>
      <c r="ER57" s="7" t="str">
        <f t="shared" si="201"/>
        <v/>
      </c>
      <c r="ES57" s="21" t="str">
        <f t="shared" si="397"/>
        <v/>
      </c>
      <c r="ET57" s="5" t="str">
        <f t="shared" si="398"/>
        <v/>
      </c>
      <c r="EU57" s="10" t="str">
        <f t="shared" si="399"/>
        <v/>
      </c>
      <c r="EV57" s="174" t="str">
        <f t="shared" si="557"/>
        <v/>
      </c>
      <c r="EW57" s="9" t="str">
        <f t="shared" si="558"/>
        <v/>
      </c>
      <c r="EX57" s="5" t="str">
        <f t="shared" si="559"/>
        <v/>
      </c>
      <c r="EY57" s="6" t="str">
        <f t="shared" si="202"/>
        <v/>
      </c>
      <c r="EZ57" s="51" t="str">
        <f t="shared" si="203"/>
        <v/>
      </c>
      <c r="FA57" s="173" t="str">
        <f t="shared" si="560"/>
        <v/>
      </c>
      <c r="FB57" s="5" t="str">
        <f t="shared" si="561"/>
        <v/>
      </c>
      <c r="FC57" s="6" t="str">
        <f t="shared" si="562"/>
        <v/>
      </c>
      <c r="FD57" s="4" t="str">
        <f t="shared" si="563"/>
        <v/>
      </c>
      <c r="FE57" s="5" t="str">
        <f t="shared" si="564"/>
        <v/>
      </c>
      <c r="FF57" s="7" t="str">
        <f t="shared" si="204"/>
        <v/>
      </c>
      <c r="FG57" s="173" t="str">
        <f t="shared" si="565"/>
        <v/>
      </c>
      <c r="FH57" s="5" t="str">
        <f t="shared" si="566"/>
        <v/>
      </c>
      <c r="FI57" s="10" t="str">
        <f t="shared" si="567"/>
        <v/>
      </c>
      <c r="FJ57" s="279" t="str">
        <f t="shared" si="206"/>
        <v/>
      </c>
      <c r="FK57" s="4" t="str">
        <f t="shared" si="568"/>
        <v/>
      </c>
      <c r="FL57" s="5" t="str">
        <f t="shared" si="207"/>
        <v/>
      </c>
      <c r="FM57" s="8" t="str">
        <f t="shared" si="208"/>
        <v/>
      </c>
      <c r="FN57" s="9" t="str">
        <f t="shared" si="209"/>
        <v/>
      </c>
      <c r="FO57" s="10" t="str">
        <f t="shared" si="569"/>
        <v/>
      </c>
      <c r="FP57" s="277" t="str">
        <f t="shared" si="570"/>
        <v/>
      </c>
      <c r="FQ57" s="173" t="str">
        <f t="shared" si="239"/>
        <v/>
      </c>
      <c r="FR57" s="10" t="str">
        <f t="shared" si="210"/>
        <v/>
      </c>
      <c r="FS57" s="9" t="str">
        <f t="shared" si="211"/>
        <v/>
      </c>
      <c r="FT57" s="6" t="str">
        <f t="shared" si="212"/>
        <v/>
      </c>
      <c r="FU57" s="4" t="str">
        <f t="shared" si="213"/>
        <v/>
      </c>
      <c r="FV57" s="5" t="str">
        <f t="shared" si="214"/>
        <v/>
      </c>
      <c r="FW57" s="8" t="str">
        <f t="shared" si="240"/>
        <v/>
      </c>
      <c r="FX57" s="9" t="str">
        <f t="shared" si="241"/>
        <v/>
      </c>
      <c r="FY57" s="10" t="str">
        <f t="shared" si="571"/>
        <v/>
      </c>
      <c r="FZ57" s="277" t="str">
        <f t="shared" si="242"/>
        <v/>
      </c>
      <c r="GA57" s="177" t="str">
        <f t="shared" si="215"/>
        <v/>
      </c>
      <c r="GB57" s="4" t="str">
        <f t="shared" si="216"/>
        <v/>
      </c>
      <c r="GC57" s="5" t="str">
        <f t="shared" si="217"/>
        <v/>
      </c>
      <c r="GD57" s="10" t="str">
        <f t="shared" si="218"/>
        <v/>
      </c>
      <c r="GE57" s="311" t="str">
        <f t="shared" si="219"/>
        <v/>
      </c>
      <c r="GF57" s="341" t="str">
        <f t="shared" si="243"/>
        <v/>
      </c>
      <c r="GG57" s="285" t="str">
        <f t="shared" si="572"/>
        <v/>
      </c>
      <c r="GH57" s="286" t="str">
        <f t="shared" si="573"/>
        <v/>
      </c>
      <c r="GI57" s="281" t="str">
        <f t="shared" si="574"/>
        <v/>
      </c>
      <c r="GJ57" s="167" t="str">
        <f t="shared" si="220"/>
        <v/>
      </c>
      <c r="GK57" s="174" t="str">
        <f t="shared" si="575"/>
        <v/>
      </c>
      <c r="GL57" s="174" t="str">
        <f t="shared" si="221"/>
        <v/>
      </c>
      <c r="GM57" s="177" t="str">
        <f t="shared" si="244"/>
        <v/>
      </c>
      <c r="GN57" s="280" t="str">
        <f t="shared" si="222"/>
        <v/>
      </c>
      <c r="GO57" s="4" t="str">
        <f t="shared" si="223"/>
        <v/>
      </c>
      <c r="GP57" s="8" t="str">
        <f t="shared" si="245"/>
        <v/>
      </c>
      <c r="GQ57" s="177" t="str">
        <f t="shared" si="224"/>
        <v/>
      </c>
      <c r="GR57" s="371" t="str">
        <f t="shared" si="246"/>
        <v/>
      </c>
      <c r="GS57" s="342" t="str">
        <f t="shared" si="576"/>
        <v/>
      </c>
      <c r="GT57" s="343" t="str">
        <f t="shared" si="577"/>
        <v/>
      </c>
      <c r="GU57" s="344" t="str">
        <f t="shared" si="578"/>
        <v/>
      </c>
      <c r="GV57" s="343" t="str">
        <f t="shared" si="253"/>
        <v/>
      </c>
      <c r="GW57" s="345" t="str">
        <f t="shared" si="579"/>
        <v/>
      </c>
      <c r="GX57" s="346" t="str">
        <f t="shared" si="580"/>
        <v/>
      </c>
      <c r="GY57" s="344" t="str">
        <f t="shared" si="581"/>
        <v/>
      </c>
      <c r="GZ57" s="345" t="str">
        <f t="shared" si="582"/>
        <v/>
      </c>
      <c r="HA57" s="342" t="str">
        <f t="shared" si="583"/>
        <v/>
      </c>
      <c r="HB57" s="5" t="str">
        <f t="shared" si="225"/>
        <v/>
      </c>
      <c r="HC57" s="343" t="str">
        <f t="shared" si="226"/>
        <v/>
      </c>
      <c r="HD57" s="363" t="str">
        <f t="shared" si="227"/>
        <v/>
      </c>
      <c r="HE57" s="344" t="str">
        <f t="shared" si="584"/>
        <v/>
      </c>
      <c r="HF57" s="5" t="str">
        <f t="shared" si="585"/>
        <v/>
      </c>
      <c r="HG57" s="343" t="str">
        <f t="shared" si="228"/>
        <v/>
      </c>
      <c r="HH57" s="349" t="str">
        <f t="shared" si="229"/>
        <v/>
      </c>
      <c r="HI57" s="317" t="str">
        <f t="shared" si="453"/>
        <v/>
      </c>
      <c r="HK57" s="310">
        <f t="shared" si="506"/>
        <v>49</v>
      </c>
      <c r="HL57" s="348">
        <f t="shared" si="454"/>
        <v>3.149</v>
      </c>
      <c r="HM57" s="935">
        <f t="shared" si="455"/>
        <v>26.511561228820103</v>
      </c>
      <c r="HN57" s="936">
        <f t="shared" si="456"/>
        <v>28.199995928424311</v>
      </c>
      <c r="HO57" s="937"/>
      <c r="HP57" s="938"/>
      <c r="HQ57" s="936">
        <f t="shared" si="457"/>
        <v>26.855648031239472</v>
      </c>
      <c r="HR57" s="939">
        <f t="shared" si="458"/>
        <v>5.0279395049485363</v>
      </c>
      <c r="HS57" s="940">
        <f t="shared" si="507"/>
        <v>6.1096000000000004</v>
      </c>
      <c r="HT57" s="941">
        <f t="shared" si="459"/>
        <v>2E-3</v>
      </c>
      <c r="HU57" s="942">
        <f t="shared" si="460"/>
        <v>7.6776111606131681E-2</v>
      </c>
      <c r="HV57" s="943">
        <f t="shared" si="461"/>
        <v>4.2534317722669208E-3</v>
      </c>
      <c r="HW57" s="944">
        <f t="shared" si="462"/>
        <v>30000</v>
      </c>
      <c r="HX57" s="947">
        <f t="shared" si="463"/>
        <v>30.547999999999998</v>
      </c>
      <c r="HY57" s="952">
        <f t="shared" si="464"/>
        <v>95.746255470230452</v>
      </c>
      <c r="HZ57" s="953">
        <f t="shared" si="465"/>
        <v>191.9402790153292</v>
      </c>
      <c r="IA57" s="954">
        <f t="shared" si="466"/>
        <v>18.871345356170309</v>
      </c>
      <c r="IB57" s="955">
        <f t="shared" si="467"/>
        <v>306.55787984172997</v>
      </c>
      <c r="IC57" s="842">
        <f t="shared" si="468"/>
        <v>29.930014469526867</v>
      </c>
      <c r="ID57" s="351">
        <f t="shared" si="469"/>
        <v>60</v>
      </c>
      <c r="IE57" s="844">
        <f t="shared" si="470"/>
        <v>5.899130329386411</v>
      </c>
      <c r="IF57" s="845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0"/>
        <v>5.157</v>
      </c>
      <c r="IJ57" s="96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71"/>
        <v>1613</v>
      </c>
      <c r="IM57" s="482" t="str">
        <f t="shared" si="231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>
        <f t="shared" si="308"/>
        <v>0</v>
      </c>
      <c r="B58" s="578">
        <f t="shared" ref="B58:D58" si="593">IFERROR(O213+($A58*-E58),"")</f>
        <v>-2.3261530758451263</v>
      </c>
      <c r="C58" s="572">
        <f t="shared" si="593"/>
        <v>1.6287899187364601</v>
      </c>
      <c r="D58" s="576">
        <f t="shared" si="593"/>
        <v>-2.5700077511433706E-2</v>
      </c>
      <c r="E58" s="580">
        <f t="shared" ref="E58:K58" si="594">R213</f>
        <v>-0.54293644339959091</v>
      </c>
      <c r="F58" s="572">
        <f t="shared" si="594"/>
        <v>-0.79900952486795174</v>
      </c>
      <c r="G58" s="579">
        <f t="shared" si="594"/>
        <v>0.25846430623761785</v>
      </c>
      <c r="H58" s="580">
        <f t="shared" si="594"/>
        <v>0.3125</v>
      </c>
      <c r="I58" s="572">
        <f t="shared" si="594"/>
        <v>0.52</v>
      </c>
      <c r="J58" s="483">
        <f t="shared" si="92"/>
        <v>6.1139999999999999</v>
      </c>
      <c r="K58" s="806">
        <f t="shared" si="594"/>
        <v>1613</v>
      </c>
      <c r="L58" s="309"/>
      <c r="M58" s="164">
        <f t="shared" si="311"/>
        <v>6.1139999999999999</v>
      </c>
      <c r="N58" s="575">
        <f t="shared" si="312"/>
        <v>-2.3261530758451263</v>
      </c>
      <c r="O58" s="572">
        <f t="shared" si="313"/>
        <v>1.6287899187364601</v>
      </c>
      <c r="P58" s="576">
        <f t="shared" si="314"/>
        <v>-2.5700077511433706E-2</v>
      </c>
      <c r="Q58" s="528">
        <f t="shared" si="134"/>
        <v>145</v>
      </c>
      <c r="R58" s="572">
        <f t="shared" si="533"/>
        <v>2.8397085645610303</v>
      </c>
      <c r="S58" s="577">
        <f t="shared" si="534"/>
        <v>-2.5700077511433706E-2</v>
      </c>
      <c r="T58" s="578">
        <f t="shared" si="535"/>
        <v>1.6283839036884684</v>
      </c>
      <c r="U58" s="572">
        <f t="shared" si="536"/>
        <v>2.3264373178423638</v>
      </c>
      <c r="V58" s="579">
        <f t="shared" si="537"/>
        <v>-2.5700077511433706E-2</v>
      </c>
      <c r="W58" s="528">
        <f t="shared" si="256"/>
        <v>55.009999998556182</v>
      </c>
      <c r="X58" s="572">
        <f t="shared" si="538"/>
        <v>2.8397085645610303</v>
      </c>
      <c r="Y58" s="573">
        <f t="shared" si="259"/>
        <v>-2.5700077511433706E-2</v>
      </c>
      <c r="Z58" s="575">
        <f t="shared" si="315"/>
        <v>0.54293644339959091</v>
      </c>
      <c r="AA58" s="572">
        <f t="shared" si="316"/>
        <v>0.79900952486795174</v>
      </c>
      <c r="AB58" s="572">
        <f t="shared" si="317"/>
        <v>-0.25846430623761785</v>
      </c>
      <c r="AC58" s="579">
        <f t="shared" si="539"/>
        <v>1</v>
      </c>
      <c r="AD58" s="580">
        <f t="shared" si="540"/>
        <v>0.54293644339959091</v>
      </c>
      <c r="AE58" s="572">
        <f t="shared" si="541"/>
        <v>0.79900952486795174</v>
      </c>
      <c r="AF58" s="576">
        <f t="shared" si="542"/>
        <v>-0.25846430623761785</v>
      </c>
      <c r="AG58" s="545">
        <f t="shared" si="543"/>
        <v>72.074597331616701</v>
      </c>
      <c r="AH58" s="546">
        <f t="shared" si="544"/>
        <v>57.116240112310699</v>
      </c>
      <c r="AI58" s="528">
        <f t="shared" si="545"/>
        <v>-75.021040994812239</v>
      </c>
      <c r="AJ58" s="529">
        <f t="shared" si="546"/>
        <v>145.8034274280474</v>
      </c>
      <c r="AK58" s="578">
        <f t="shared" si="547"/>
        <v>0.9659258360722075</v>
      </c>
      <c r="AL58" s="572">
        <f t="shared" si="548"/>
        <v>1.3545538354532982E-2</v>
      </c>
      <c r="AM58" s="577">
        <f t="shared" si="549"/>
        <v>-0.25846430623761785</v>
      </c>
      <c r="AN58" s="524">
        <f t="shared" si="550"/>
        <v>2.9999995668537385</v>
      </c>
      <c r="AO58" s="525">
        <f t="shared" si="590"/>
        <v>14.99999783426823</v>
      </c>
      <c r="AP58" s="528">
        <f t="shared" si="551"/>
        <v>0.80342742804740808</v>
      </c>
      <c r="AQ58" s="529">
        <f t="shared" si="318"/>
        <v>0.49287156142243327</v>
      </c>
      <c r="AS58" s="900">
        <f t="shared" si="510"/>
        <v>-304.99000000144383</v>
      </c>
      <c r="AT58" s="896">
        <f t="shared" si="319"/>
        <v>0.10433868217848878</v>
      </c>
      <c r="AU58" s="418"/>
      <c r="AV58" s="164">
        <f t="shared" si="320"/>
        <v>6.1139999999999999</v>
      </c>
      <c r="AW58" s="797">
        <f>IFERROR(INDEX(MassProp!C$9:C$150,MATCH($M58,MassProp!$B$9:$B$150,0)),"")</f>
        <v>2.7526999999999999</v>
      </c>
      <c r="AX58" s="744">
        <f>IFERROR(INDEX(MassProp!D$9:D$150,MATCH($M58,MassProp!$B$9:$B$150,0)),"")</f>
        <v>0.51090000000000002</v>
      </c>
      <c r="AY58" s="731">
        <f>IFERROR(INDEX(MassProp!E$9:E$150,MATCH($M58,MassProp!$B$9:$B$150,0)),"")</f>
        <v>1.3899999999999999E-2</v>
      </c>
      <c r="AZ58" s="297">
        <f t="shared" si="138"/>
        <v>0.24042003279023716</v>
      </c>
      <c r="BA58" s="296">
        <f t="shared" si="322"/>
        <v>1.3319380009833416E-2</v>
      </c>
      <c r="BB58" s="177">
        <f t="shared" si="139"/>
        <v>0.25307294572848799</v>
      </c>
      <c r="BC58" s="9"/>
      <c r="BD58" s="5">
        <f t="shared" si="235"/>
        <v>2.7526999999999999</v>
      </c>
      <c r="BE58" s="6">
        <f t="shared" si="324"/>
        <v>0.22737286821705427</v>
      </c>
      <c r="BF58" s="4">
        <f t="shared" si="325"/>
        <v>-2.3261530758451263</v>
      </c>
      <c r="BG58" s="5">
        <f t="shared" si="326"/>
        <v>1.6287899187364601</v>
      </c>
      <c r="BH58" s="10">
        <f t="shared" si="327"/>
        <v>-2.5700077511433706E-2</v>
      </c>
      <c r="BI58" s="9">
        <f t="shared" si="140"/>
        <v>-2.3261530758451263</v>
      </c>
      <c r="BJ58" s="5">
        <f t="shared" si="329"/>
        <v>1.9365684054013697</v>
      </c>
      <c r="BK58" s="8">
        <f t="shared" si="330"/>
        <v>0.92575796315365955</v>
      </c>
      <c r="BL58" s="173">
        <f t="shared" si="331"/>
        <v>-1.4863792858108082</v>
      </c>
      <c r="BM58" s="5">
        <f t="shared" si="332"/>
        <v>1.1122086740938109</v>
      </c>
      <c r="BN58" s="6">
        <f t="shared" si="333"/>
        <v>0.14140407939332067</v>
      </c>
      <c r="BO58" s="4">
        <f t="shared" si="141"/>
        <v>0.54293644339959091</v>
      </c>
      <c r="BP58" s="5">
        <f t="shared" si="142"/>
        <v>0.79900952486795174</v>
      </c>
      <c r="BQ58" s="5">
        <f t="shared" si="143"/>
        <v>-0.25846430623761774</v>
      </c>
      <c r="BR58" s="6">
        <f t="shared" si="144"/>
        <v>-4.5107933981202109E-2</v>
      </c>
      <c r="BS58" s="4">
        <f t="shared" si="554"/>
        <v>0</v>
      </c>
      <c r="BT58" s="5">
        <f t="shared" si="554"/>
        <v>0</v>
      </c>
      <c r="BU58" s="10">
        <f t="shared" si="111"/>
        <v>0.22737286821705427</v>
      </c>
      <c r="BV58" s="9">
        <f t="shared" si="112"/>
        <v>0</v>
      </c>
      <c r="BW58" s="5">
        <f t="shared" si="113"/>
        <v>1</v>
      </c>
      <c r="BX58" s="8">
        <f t="shared" si="114"/>
        <v>0.22737286821705427</v>
      </c>
      <c r="BY58" s="173">
        <f t="shared" si="115"/>
        <v>1</v>
      </c>
      <c r="BZ58" s="5">
        <f t="shared" si="116"/>
        <v>0</v>
      </c>
      <c r="CA58" s="6">
        <f t="shared" si="117"/>
        <v>0.22737286821705427</v>
      </c>
      <c r="CB58" s="4">
        <f t="shared" si="145"/>
        <v>0</v>
      </c>
      <c r="CC58" s="5">
        <f t="shared" si="146"/>
        <v>0</v>
      </c>
      <c r="CD58" s="5">
        <f t="shared" si="147"/>
        <v>-1</v>
      </c>
      <c r="CE58" s="6">
        <f t="shared" si="148"/>
        <v>0.22737286821705427</v>
      </c>
      <c r="CF58" s="4">
        <f t="shared" si="149"/>
        <v>-0.79900952486795174</v>
      </c>
      <c r="CG58" s="5">
        <f t="shared" si="150"/>
        <v>0.54293644339959091</v>
      </c>
      <c r="CH58" s="5">
        <f t="shared" si="151"/>
        <v>0</v>
      </c>
      <c r="CI58" s="4">
        <f t="shared" si="118"/>
        <v>0</v>
      </c>
      <c r="CJ58" s="5">
        <f t="shared" si="119"/>
        <v>0.13000558990751374</v>
      </c>
      <c r="CK58" s="8">
        <f t="shared" si="120"/>
        <v>0.22737286821705427</v>
      </c>
      <c r="CL58" s="173">
        <f t="shared" si="121"/>
        <v>-0.79900952486795174</v>
      </c>
      <c r="CM58" s="5">
        <f t="shared" si="122"/>
        <v>0.67294203330710467</v>
      </c>
      <c r="CN58" s="6">
        <f t="shared" si="123"/>
        <v>0.22737286821705427</v>
      </c>
      <c r="CO58" s="167">
        <f t="shared" si="350"/>
        <v>0.3125</v>
      </c>
      <c r="CP58" s="4">
        <f t="shared" si="236"/>
        <v>0.93319620240110712</v>
      </c>
      <c r="CQ58" s="5">
        <f t="shared" si="237"/>
        <v>-5.3447261936371397</v>
      </c>
      <c r="CR58" s="5">
        <f t="shared" si="152"/>
        <v>7.6237322624666719</v>
      </c>
      <c r="CS58" s="8">
        <f t="shared" si="153"/>
        <v>0.10834610312415194</v>
      </c>
      <c r="CT58" s="9">
        <f t="shared" si="154"/>
        <v>3.0400283838884308</v>
      </c>
      <c r="CU58" s="6">
        <f t="shared" si="155"/>
        <v>2.68730546068273</v>
      </c>
      <c r="CV58" s="4">
        <f t="shared" si="238"/>
        <v>-2.4290116345957822</v>
      </c>
      <c r="CW58" s="5">
        <f t="shared" si="156"/>
        <v>1.7805477884897045</v>
      </c>
      <c r="CX58" s="8">
        <f t="shared" si="157"/>
        <v>0.22737286821705427</v>
      </c>
      <c r="CY58" s="9">
        <f t="shared" si="158"/>
        <v>-2.1471826593151602</v>
      </c>
      <c r="CZ58" s="5">
        <f t="shared" si="159"/>
        <v>1.5890416590588943</v>
      </c>
      <c r="DA58" s="6">
        <f t="shared" si="160"/>
        <v>0.22737286821705427</v>
      </c>
      <c r="DB58" s="4">
        <f t="shared" si="555"/>
        <v>0</v>
      </c>
      <c r="DC58" s="5">
        <f t="shared" si="555"/>
        <v>0</v>
      </c>
      <c r="DD58" s="10">
        <f t="shared" si="162"/>
        <v>-10</v>
      </c>
      <c r="DE58" s="9">
        <f t="shared" si="556"/>
        <v>0</v>
      </c>
      <c r="DF58" s="5">
        <f t="shared" si="556"/>
        <v>0</v>
      </c>
      <c r="DG58" s="10">
        <f t="shared" si="164"/>
        <v>10</v>
      </c>
      <c r="DH58" s="70">
        <f t="shared" si="165"/>
        <v>2.7526999999999999</v>
      </c>
      <c r="DI58" s="4">
        <f t="shared" si="166"/>
        <v>0</v>
      </c>
      <c r="DJ58" s="5">
        <f t="shared" si="167"/>
        <v>0</v>
      </c>
      <c r="DK58" s="10">
        <f t="shared" si="168"/>
        <v>20</v>
      </c>
      <c r="DL58" s="9">
        <f t="shared" si="169"/>
        <v>-2.4290116345957822</v>
      </c>
      <c r="DM58" s="173">
        <f t="shared" si="170"/>
        <v>1.7805477884897045</v>
      </c>
      <c r="DN58" s="178">
        <f t="shared" si="171"/>
        <v>10.227372868217055</v>
      </c>
      <c r="DO58" s="9">
        <f t="shared" si="172"/>
        <v>0.28182897528062201</v>
      </c>
      <c r="DP58" s="173">
        <f t="shared" si="173"/>
        <v>-0.19150612943081025</v>
      </c>
      <c r="DQ58" s="11">
        <f t="shared" si="174"/>
        <v>0</v>
      </c>
      <c r="DR58" s="173">
        <f t="shared" si="175"/>
        <v>204.54745736434108</v>
      </c>
      <c r="DS58" s="5">
        <f t="shared" si="176"/>
        <v>0</v>
      </c>
      <c r="DT58" s="5">
        <f t="shared" si="177"/>
        <v>400</v>
      </c>
      <c r="DU58" s="5">
        <f t="shared" si="178"/>
        <v>0.11610216891729569</v>
      </c>
      <c r="DV58" s="5">
        <f t="shared" si="179"/>
        <v>-1.0255516751630902</v>
      </c>
      <c r="DW58" s="5">
        <f t="shared" si="180"/>
        <v>113.66960373363959</v>
      </c>
      <c r="DX58" s="167">
        <f t="shared" si="181"/>
        <v>106.0922464436396</v>
      </c>
      <c r="DY58" s="9">
        <f t="shared" si="182"/>
        <v>46.440867566918278</v>
      </c>
      <c r="DZ58" s="5">
        <f t="shared" si="183"/>
        <v>-410.22067006523611</v>
      </c>
      <c r="EA58" s="10">
        <f t="shared" si="184"/>
        <v>597.23626323890494</v>
      </c>
      <c r="EB58" s="6">
        <f t="shared" si="185"/>
        <v>140544.82794153216</v>
      </c>
      <c r="EC58" s="173">
        <f t="shared" si="186"/>
        <v>16.905665201364748</v>
      </c>
      <c r="ED58" s="5">
        <f t="shared" si="187"/>
        <v>0.76070028907897458</v>
      </c>
      <c r="EE58" s="4">
        <f t="shared" si="188"/>
        <v>2.3354946655421154</v>
      </c>
      <c r="EF58" s="5">
        <f t="shared" si="189"/>
        <v>-1.4569907196767975</v>
      </c>
      <c r="EG58" s="10">
        <f t="shared" si="190"/>
        <v>0.22737286821705427</v>
      </c>
      <c r="EH58" s="9">
        <f t="shared" si="191"/>
        <v>-2.2146242516289818</v>
      </c>
      <c r="EI58" s="5">
        <f t="shared" si="192"/>
        <v>1.6348690204712917</v>
      </c>
      <c r="EJ58" s="6">
        <f t="shared" si="193"/>
        <v>0.22737286821705427</v>
      </c>
      <c r="EK58" s="236" t="b">
        <f t="shared" si="194"/>
        <v>0</v>
      </c>
      <c r="EL58" s="238" t="b">
        <f t="shared" si="195"/>
        <v>1</v>
      </c>
      <c r="EM58" s="4">
        <f t="shared" si="196"/>
        <v>-2.2146242516289818</v>
      </c>
      <c r="EN58" s="5">
        <f t="shared" si="197"/>
        <v>1.6348690204712917</v>
      </c>
      <c r="EO58" s="10">
        <f t="shared" si="198"/>
        <v>0.22737286821705427</v>
      </c>
      <c r="EP58" s="9">
        <f t="shared" si="199"/>
        <v>143.56469719667408</v>
      </c>
      <c r="EQ58" s="5">
        <f t="shared" si="200"/>
        <v>2.7526999999999977</v>
      </c>
      <c r="ER58" s="7">
        <f t="shared" si="201"/>
        <v>0.22737286821705427</v>
      </c>
      <c r="ES58" s="21">
        <f t="shared" si="397"/>
        <v>0.54293644339959091</v>
      </c>
      <c r="ET58" s="5">
        <f t="shared" si="398"/>
        <v>0.79900952486795174</v>
      </c>
      <c r="EU58" s="10">
        <f t="shared" si="399"/>
        <v>-0.25846430623761785</v>
      </c>
      <c r="EV58" s="174">
        <f t="shared" si="557"/>
        <v>306.43530280332595</v>
      </c>
      <c r="EW58" s="9">
        <f t="shared" si="558"/>
        <v>0.96528348256401864</v>
      </c>
      <c r="EX58" s="5">
        <f t="shared" si="559"/>
        <v>3.7735933673186672E-2</v>
      </c>
      <c r="EY58" s="6">
        <f t="shared" si="202"/>
        <v>-0.25846430623761785</v>
      </c>
      <c r="EZ58" s="51">
        <f t="shared" si="203"/>
        <v>0.50844965935648823</v>
      </c>
      <c r="FA58" s="173">
        <f t="shared" si="560"/>
        <v>0.5938913241225362</v>
      </c>
      <c r="FB58" s="5">
        <f t="shared" si="561"/>
        <v>0.80449633136645049</v>
      </c>
      <c r="FC58" s="6">
        <f t="shared" si="562"/>
        <v>-8.8740041640143243E-3</v>
      </c>
      <c r="FD58" s="4">
        <f t="shared" si="563"/>
        <v>0.99996062524986307</v>
      </c>
      <c r="FE58" s="5">
        <f t="shared" si="564"/>
        <v>1.1102230246251565E-16</v>
      </c>
      <c r="FF58" s="7">
        <f t="shared" si="204"/>
        <v>-8.8740041640143243E-3</v>
      </c>
      <c r="FG58" s="173">
        <f t="shared" si="565"/>
        <v>-3.4677142685844431E-2</v>
      </c>
      <c r="FH58" s="5">
        <f t="shared" si="566"/>
        <v>3.7735933673186561E-2</v>
      </c>
      <c r="FI58" s="10">
        <f t="shared" si="567"/>
        <v>-0.24959030207360353</v>
      </c>
      <c r="FJ58" s="279">
        <f t="shared" si="206"/>
        <v>14.638610065588958</v>
      </c>
      <c r="FK58" s="4">
        <f t="shared" si="568"/>
        <v>0.96602080847210903</v>
      </c>
      <c r="FL58" s="5">
        <f t="shared" si="207"/>
        <v>0.99996062524986307</v>
      </c>
      <c r="FM58" s="8">
        <f t="shared" si="208"/>
        <v>5.1249438192448017E-2</v>
      </c>
      <c r="FN58" s="9">
        <f t="shared" si="209"/>
        <v>2.238730231373335</v>
      </c>
      <c r="FO58" s="10">
        <f t="shared" si="569"/>
        <v>-1</v>
      </c>
      <c r="FP58" s="277">
        <f t="shared" si="570"/>
        <v>-2.238730231373335</v>
      </c>
      <c r="FQ58" s="173">
        <f t="shared" si="239"/>
        <v>3.9063272076789959E-2</v>
      </c>
      <c r="FR58" s="10">
        <f t="shared" si="210"/>
        <v>0.99923673910372945</v>
      </c>
      <c r="FS58" s="9">
        <f t="shared" si="211"/>
        <v>3.7622336180441779E-2</v>
      </c>
      <c r="FT58" s="6">
        <f t="shared" si="212"/>
        <v>0.96237766381955825</v>
      </c>
      <c r="FU58" s="4">
        <f t="shared" si="213"/>
        <v>0.99928774600202774</v>
      </c>
      <c r="FV58" s="5">
        <f t="shared" si="214"/>
        <v>1</v>
      </c>
      <c r="FW58" s="8">
        <f t="shared" si="240"/>
        <v>0.25198774397586693</v>
      </c>
      <c r="FX58" s="9">
        <f t="shared" si="241"/>
        <v>14.48143612442996</v>
      </c>
      <c r="FY58" s="10">
        <f t="shared" si="571"/>
        <v>1</v>
      </c>
      <c r="FZ58" s="277">
        <f t="shared" si="242"/>
        <v>14.48143612442996</v>
      </c>
      <c r="GA58" s="177">
        <f t="shared" si="215"/>
        <v>14.470388028391072</v>
      </c>
      <c r="GB58" s="4">
        <f t="shared" si="216"/>
        <v>3.7822181643384439E-2</v>
      </c>
      <c r="GC58" s="5">
        <f t="shared" si="217"/>
        <v>0.96748970175439619</v>
      </c>
      <c r="GD58" s="10">
        <f t="shared" si="218"/>
        <v>-0.25006631035572219</v>
      </c>
      <c r="GE58" s="311">
        <f t="shared" si="219"/>
        <v>1.2553781937535027</v>
      </c>
      <c r="GF58" s="341">
        <f t="shared" si="243"/>
        <v>0.79657270213533204</v>
      </c>
      <c r="GG58" s="285">
        <f t="shared" si="572"/>
        <v>3.0128117432324096E-2</v>
      </c>
      <c r="GH58" s="286">
        <f t="shared" si="573"/>
        <v>0.77067588601460579</v>
      </c>
      <c r="GI58" s="281">
        <f t="shared" si="574"/>
        <v>0.19919599655307019</v>
      </c>
      <c r="GJ58" s="167">
        <f t="shared" si="220"/>
        <v>2.7526999999999999</v>
      </c>
      <c r="GK58" s="174">
        <f t="shared" si="575"/>
        <v>1.4413671030589759</v>
      </c>
      <c r="GL58" s="174">
        <f t="shared" si="221"/>
        <v>1.3899999999999999E-2</v>
      </c>
      <c r="GM58" s="177">
        <f t="shared" si="244"/>
        <v>0.24042003279023716</v>
      </c>
      <c r="GN58" s="280">
        <f t="shared" si="222"/>
        <v>1.3319380009833416E-2</v>
      </c>
      <c r="GO58" s="4">
        <f t="shared" si="223"/>
        <v>-2.238730231373335</v>
      </c>
      <c r="GP58" s="8">
        <f t="shared" si="245"/>
        <v>14.48143612442996</v>
      </c>
      <c r="GQ58" s="177">
        <f t="shared" si="224"/>
        <v>14.638610065588958</v>
      </c>
      <c r="GR58" s="371">
        <f t="shared" si="246"/>
        <v>779.8999461158719</v>
      </c>
      <c r="GS58" s="342">
        <f t="shared" si="576"/>
        <v>23.496917162042223</v>
      </c>
      <c r="GT58" s="343">
        <f t="shared" si="577"/>
        <v>16.301827003110677</v>
      </c>
      <c r="GU58" s="344">
        <f t="shared" si="578"/>
        <v>601.05008197559289</v>
      </c>
      <c r="GV58" s="343">
        <f t="shared" si="253"/>
        <v>417</v>
      </c>
      <c r="GW58" s="345">
        <f t="shared" si="579"/>
        <v>30000</v>
      </c>
      <c r="GX58" s="346">
        <f t="shared" si="580"/>
        <v>95.656324999999995</v>
      </c>
      <c r="GY58" s="344">
        <f t="shared" si="581"/>
        <v>155.35294697823684</v>
      </c>
      <c r="GZ58" s="345">
        <f t="shared" si="582"/>
        <v>107.78166550945649</v>
      </c>
      <c r="HA58" s="342">
        <f t="shared" si="583"/>
        <v>-23.496917162042223</v>
      </c>
      <c r="HB58" s="5">
        <f t="shared" si="225"/>
        <v>306.43530280332595</v>
      </c>
      <c r="HC58" s="343">
        <f t="shared" si="226"/>
        <v>-13.955164727287061</v>
      </c>
      <c r="HD58" s="363">
        <f t="shared" si="227"/>
        <v>18.903927992725677</v>
      </c>
      <c r="HE58" s="344">
        <f t="shared" si="584"/>
        <v>417</v>
      </c>
      <c r="HF58" s="5">
        <f t="shared" si="585"/>
        <v>396.43530280332595</v>
      </c>
      <c r="HG58" s="343">
        <f t="shared" si="228"/>
        <v>335.48817994306899</v>
      </c>
      <c r="HH58" s="349">
        <f t="shared" si="229"/>
        <v>247.66243380554704</v>
      </c>
      <c r="HI58" s="317">
        <f t="shared" si="453"/>
        <v>6.1139999999999999</v>
      </c>
      <c r="HK58" s="310" t="str">
        <f t="shared" si="506"/>
        <v/>
      </c>
      <c r="HL58" s="348" t="str">
        <f t="shared" si="454"/>
        <v/>
      </c>
      <c r="HM58" s="935" t="str">
        <f t="shared" si="455"/>
        <v/>
      </c>
      <c r="HN58" s="936" t="str">
        <f t="shared" si="456"/>
        <v/>
      </c>
      <c r="HO58" s="937"/>
      <c r="HP58" s="938"/>
      <c r="HQ58" s="936" t="str">
        <f t="shared" si="457"/>
        <v/>
      </c>
      <c r="HR58" s="939" t="str">
        <f t="shared" si="458"/>
        <v/>
      </c>
      <c r="HS58" s="940" t="str">
        <f t="shared" si="507"/>
        <v/>
      </c>
      <c r="HT58" s="941" t="str">
        <f t="shared" si="459"/>
        <v/>
      </c>
      <c r="HU58" s="942" t="str">
        <f t="shared" si="460"/>
        <v/>
      </c>
      <c r="HV58" s="943" t="str">
        <f t="shared" si="461"/>
        <v/>
      </c>
      <c r="HW58" s="944" t="str">
        <f t="shared" si="462"/>
        <v/>
      </c>
      <c r="HX58" s="947" t="str">
        <f t="shared" si="463"/>
        <v/>
      </c>
      <c r="HY58" s="952" t="str">
        <f t="shared" si="464"/>
        <v/>
      </c>
      <c r="HZ58" s="953" t="str">
        <f t="shared" si="465"/>
        <v/>
      </c>
      <c r="IA58" s="954" t="str">
        <f t="shared" si="466"/>
        <v/>
      </c>
      <c r="IB58" s="955" t="str">
        <f t="shared" si="467"/>
        <v/>
      </c>
      <c r="IC58" s="842" t="str">
        <f t="shared" si="468"/>
        <v/>
      </c>
      <c r="ID58" s="351" t="str">
        <f t="shared" si="469"/>
        <v/>
      </c>
      <c r="IE58" s="844" t="str">
        <f t="shared" si="470"/>
        <v/>
      </c>
      <c r="IF58" s="845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0"/>
        <v>6.1139999999999999</v>
      </c>
      <c r="IJ58" s="96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71"/>
        <v>1613</v>
      </c>
      <c r="IM58" s="482" t="str">
        <f t="shared" si="231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>
        <f t="shared" si="308"/>
        <v>0</v>
      </c>
      <c r="B59" s="578">
        <f t="shared" ref="B59:D59" si="595">IFERROR(O214+($A59*-E59),"")</f>
        <v>-2.9327956470919827</v>
      </c>
      <c r="C59" s="572">
        <f t="shared" si="595"/>
        <v>2.0657949091999219</v>
      </c>
      <c r="D59" s="576">
        <f t="shared" si="595"/>
        <v>-2.7600083241851057E-2</v>
      </c>
      <c r="E59" s="580">
        <f t="shared" ref="E59:K59" si="596">R214</f>
        <v>-0.58360991290008557</v>
      </c>
      <c r="F59" s="572">
        <f t="shared" si="596"/>
        <v>-0.76873713134500132</v>
      </c>
      <c r="G59" s="579">
        <f t="shared" si="596"/>
        <v>0.26161554322366398</v>
      </c>
      <c r="H59" s="580">
        <f t="shared" si="596"/>
        <v>0.3125</v>
      </c>
      <c r="I59" s="572">
        <f t="shared" si="596"/>
        <v>0.52</v>
      </c>
      <c r="J59" s="483">
        <f t="shared" si="92"/>
        <v>6.12</v>
      </c>
      <c r="K59" s="806">
        <f t="shared" si="596"/>
        <v>1613</v>
      </c>
      <c r="L59" s="309"/>
      <c r="M59" s="164">
        <f t="shared" si="311"/>
        <v>6.12</v>
      </c>
      <c r="N59" s="575">
        <f t="shared" si="312"/>
        <v>-2.9327956470919827</v>
      </c>
      <c r="O59" s="572">
        <f t="shared" si="313"/>
        <v>2.0657949091999219</v>
      </c>
      <c r="P59" s="576">
        <f t="shared" si="314"/>
        <v>-2.7600083241851057E-2</v>
      </c>
      <c r="Q59" s="528">
        <f t="shared" si="134"/>
        <v>144.84000002310117</v>
      </c>
      <c r="R59" s="572">
        <f t="shared" si="93"/>
        <v>3.5873108193294314</v>
      </c>
      <c r="S59" s="577">
        <f t="shared" si="94"/>
        <v>-2.7600083241851057E-2</v>
      </c>
      <c r="T59" s="578">
        <f t="shared" si="95"/>
        <v>2.0652830084092786</v>
      </c>
      <c r="U59" s="572">
        <f t="shared" si="96"/>
        <v>2.9331561515974425</v>
      </c>
      <c r="V59" s="579">
        <f t="shared" si="135"/>
        <v>-2.7600083241851057E-2</v>
      </c>
      <c r="W59" s="528">
        <f t="shared" si="256"/>
        <v>54.850000021657351</v>
      </c>
      <c r="X59" s="572">
        <f t="shared" si="97"/>
        <v>3.5873108193294314</v>
      </c>
      <c r="Y59" s="573">
        <f t="shared" si="259"/>
        <v>-2.7600083241851057E-2</v>
      </c>
      <c r="Z59" s="575">
        <f t="shared" si="315"/>
        <v>0.58360991290008557</v>
      </c>
      <c r="AA59" s="572">
        <f t="shared" si="316"/>
        <v>0.76873713134500132</v>
      </c>
      <c r="AB59" s="572">
        <f t="shared" si="317"/>
        <v>-0.26161554322366398</v>
      </c>
      <c r="AC59" s="579">
        <f t="shared" si="98"/>
        <v>1</v>
      </c>
      <c r="AD59" s="580">
        <f t="shared" si="136"/>
        <v>0.58360991290008557</v>
      </c>
      <c r="AE59" s="572">
        <f t="shared" si="99"/>
        <v>0.76873713134500132</v>
      </c>
      <c r="AF59" s="576">
        <f t="shared" si="100"/>
        <v>-0.26161554322366398</v>
      </c>
      <c r="AG59" s="545">
        <f t="shared" si="101"/>
        <v>71.205605553296792</v>
      </c>
      <c r="AH59" s="546">
        <f t="shared" si="102"/>
        <v>54.295152680675876</v>
      </c>
      <c r="AI59" s="528">
        <f t="shared" si="103"/>
        <v>-74.834055621724573</v>
      </c>
      <c r="AJ59" s="529">
        <f t="shared" si="104"/>
        <v>142.79495608620343</v>
      </c>
      <c r="AK59" s="578">
        <f t="shared" si="234"/>
        <v>0.96455742863145777</v>
      </c>
      <c r="AL59" s="572">
        <f t="shared" si="105"/>
        <v>-3.4442334642957984E-2</v>
      </c>
      <c r="AM59" s="577">
        <f t="shared" si="106"/>
        <v>-0.26161554322366398</v>
      </c>
      <c r="AN59" s="524">
        <f t="shared" si="107"/>
        <v>-7.4999989171342216</v>
      </c>
      <c r="AO59" s="525">
        <f t="shared" si="590"/>
        <v>15.299997790953636</v>
      </c>
      <c r="AP59" s="528">
        <f t="shared" si="109"/>
        <v>-2.0450439368977587</v>
      </c>
      <c r="AQ59" s="529">
        <f t="shared" si="318"/>
        <v>0.39015980344281054</v>
      </c>
      <c r="AS59" s="900">
        <f t="shared" si="510"/>
        <v>-305.14999997834263</v>
      </c>
      <c r="AT59" s="896">
        <f t="shared" si="319"/>
        <v>0.10250689349248565</v>
      </c>
      <c r="AU59" s="418"/>
      <c r="AV59" s="164">
        <f t="shared" si="320"/>
        <v>6.12</v>
      </c>
      <c r="AW59" s="797">
        <f>IFERROR(INDEX(MassProp!C$9:C$150,MATCH($M59,MassProp!$B$9:$B$150,0)),"")</f>
        <v>3.5802</v>
      </c>
      <c r="AX59" s="744">
        <f>IFERROR(INDEX(MassProp!D$9:D$150,MATCH($M59,MassProp!$B$9:$B$150,0)),"")</f>
        <v>0.52249999999999996</v>
      </c>
      <c r="AY59" s="731">
        <f>IFERROR(INDEX(MassProp!E$9:E$150,MATCH($M59,MassProp!$B$9:$B$150,0)),"")</f>
        <v>1.4E-2</v>
      </c>
      <c r="AZ59" s="297">
        <f t="shared" si="138"/>
        <v>0.31493817140614777</v>
      </c>
      <c r="BA59" s="296">
        <f t="shared" si="322"/>
        <v>1.744771904353086E-2</v>
      </c>
      <c r="BB59" s="177">
        <f t="shared" si="139"/>
        <v>0.26650473441449107</v>
      </c>
      <c r="BC59" s="9"/>
      <c r="BD59" s="5">
        <f t="shared" si="235"/>
        <v>3.5802</v>
      </c>
      <c r="BE59" s="6">
        <f t="shared" si="324"/>
        <v>0.23890465117264001</v>
      </c>
      <c r="BF59" s="4">
        <f t="shared" si="325"/>
        <v>-2.9327956470919827</v>
      </c>
      <c r="BG59" s="5">
        <f t="shared" si="326"/>
        <v>2.0657949091999219</v>
      </c>
      <c r="BH59" s="10">
        <f t="shared" si="327"/>
        <v>-2.7600083241851057E-2</v>
      </c>
      <c r="BI59" s="9">
        <f t="shared" si="140"/>
        <v>-2.9327956470919827</v>
      </c>
      <c r="BJ59" s="5">
        <f t="shared" si="329"/>
        <v>2.3879679871157498</v>
      </c>
      <c r="BK59" s="8">
        <f t="shared" si="330"/>
        <v>0.91908070132401398</v>
      </c>
      <c r="BL59" s="173">
        <f t="shared" si="331"/>
        <v>-2.1207614916743953</v>
      </c>
      <c r="BM59" s="5">
        <f t="shared" si="332"/>
        <v>1.5133026189752528</v>
      </c>
      <c r="BN59" s="6">
        <f t="shared" si="333"/>
        <v>0.1604233186993578</v>
      </c>
      <c r="BO59" s="4">
        <f t="shared" si="141"/>
        <v>0.58360991290008557</v>
      </c>
      <c r="BP59" s="5">
        <f t="shared" si="142"/>
        <v>0.76873713134500143</v>
      </c>
      <c r="BQ59" s="5">
        <f t="shared" si="143"/>
        <v>-0.26161554322366332</v>
      </c>
      <c r="BR59" s="6">
        <f t="shared" si="144"/>
        <v>0.1163347489373118</v>
      </c>
      <c r="BS59" s="4">
        <f t="shared" si="554"/>
        <v>0</v>
      </c>
      <c r="BT59" s="5">
        <f t="shared" si="554"/>
        <v>0</v>
      </c>
      <c r="BU59" s="10">
        <f t="shared" si="111"/>
        <v>0.23890465117264001</v>
      </c>
      <c r="BV59" s="9">
        <f t="shared" si="112"/>
        <v>0</v>
      </c>
      <c r="BW59" s="5">
        <f t="shared" si="113"/>
        <v>1</v>
      </c>
      <c r="BX59" s="8">
        <f t="shared" si="114"/>
        <v>0.23890465117264001</v>
      </c>
      <c r="BY59" s="173">
        <f t="shared" si="115"/>
        <v>1</v>
      </c>
      <c r="BZ59" s="5">
        <f t="shared" si="116"/>
        <v>0</v>
      </c>
      <c r="CA59" s="6">
        <f t="shared" si="117"/>
        <v>0.23890465117264001</v>
      </c>
      <c r="CB59" s="4">
        <f t="shared" si="145"/>
        <v>0</v>
      </c>
      <c r="CC59" s="5">
        <f t="shared" si="146"/>
        <v>0</v>
      </c>
      <c r="CD59" s="5">
        <f t="shared" si="147"/>
        <v>-1</v>
      </c>
      <c r="CE59" s="6">
        <f t="shared" si="148"/>
        <v>0.23890465117264001</v>
      </c>
      <c r="CF59" s="4">
        <f t="shared" si="149"/>
        <v>-0.76873713134500143</v>
      </c>
      <c r="CG59" s="5">
        <f t="shared" si="150"/>
        <v>0.58360991290008557</v>
      </c>
      <c r="CH59" s="5">
        <f t="shared" si="151"/>
        <v>0</v>
      </c>
      <c r="CI59" s="4">
        <f t="shared" si="118"/>
        <v>0</v>
      </c>
      <c r="CJ59" s="5">
        <f t="shared" si="119"/>
        <v>-7.0028591890615763E-2</v>
      </c>
      <c r="CK59" s="8">
        <f t="shared" si="120"/>
        <v>0.23890465117264001</v>
      </c>
      <c r="CL59" s="173">
        <f t="shared" si="121"/>
        <v>-0.76873713134500143</v>
      </c>
      <c r="CM59" s="5">
        <f t="shared" si="122"/>
        <v>0.51358132100946985</v>
      </c>
      <c r="CN59" s="6">
        <f t="shared" si="123"/>
        <v>0.23890465117264001</v>
      </c>
      <c r="CO59" s="167">
        <f t="shared" si="350"/>
        <v>0.3125</v>
      </c>
      <c r="CP59" s="4">
        <f t="shared" si="236"/>
        <v>0.93155730754378752</v>
      </c>
      <c r="CQ59" s="5">
        <f t="shared" si="237"/>
        <v>-7.0020733600160057</v>
      </c>
      <c r="CR59" s="5">
        <f t="shared" si="152"/>
        <v>13.136400858877662</v>
      </c>
      <c r="CS59" s="8">
        <f t="shared" si="153"/>
        <v>7.9790479397942704E-2</v>
      </c>
      <c r="CT59" s="9">
        <f t="shared" si="154"/>
        <v>3.9098751021951972</v>
      </c>
      <c r="CU59" s="6">
        <f t="shared" si="155"/>
        <v>3.6066494350640159</v>
      </c>
      <c r="CV59" s="4">
        <f t="shared" si="238"/>
        <v>-3.0056661699787801</v>
      </c>
      <c r="CW59" s="5">
        <f t="shared" si="156"/>
        <v>2.2118132759517364</v>
      </c>
      <c r="CX59" s="8">
        <f t="shared" si="157"/>
        <v>0.23890465117264001</v>
      </c>
      <c r="CY59" s="9">
        <f t="shared" si="158"/>
        <v>-2.7725653404781818</v>
      </c>
      <c r="CZ59" s="5">
        <f t="shared" si="159"/>
        <v>2.0348477707682373</v>
      </c>
      <c r="DA59" s="6">
        <f t="shared" si="160"/>
        <v>0.23890465117264001</v>
      </c>
      <c r="DB59" s="4">
        <f t="shared" si="555"/>
        <v>0</v>
      </c>
      <c r="DC59" s="5">
        <f t="shared" si="555"/>
        <v>0</v>
      </c>
      <c r="DD59" s="10">
        <f t="shared" si="162"/>
        <v>-10</v>
      </c>
      <c r="DE59" s="9">
        <f t="shared" si="556"/>
        <v>0</v>
      </c>
      <c r="DF59" s="5">
        <f t="shared" si="556"/>
        <v>0</v>
      </c>
      <c r="DG59" s="10">
        <f t="shared" si="164"/>
        <v>10</v>
      </c>
      <c r="DH59" s="70">
        <f t="shared" si="165"/>
        <v>3.5802</v>
      </c>
      <c r="DI59" s="4">
        <f t="shared" si="166"/>
        <v>0</v>
      </c>
      <c r="DJ59" s="5">
        <f t="shared" si="167"/>
        <v>0</v>
      </c>
      <c r="DK59" s="10">
        <f t="shared" si="168"/>
        <v>20</v>
      </c>
      <c r="DL59" s="9">
        <f t="shared" si="169"/>
        <v>-3.0056661699787801</v>
      </c>
      <c r="DM59" s="173">
        <f t="shared" si="170"/>
        <v>2.2118132759517364</v>
      </c>
      <c r="DN59" s="178">
        <f t="shared" si="171"/>
        <v>10.238904651172639</v>
      </c>
      <c r="DO59" s="9">
        <f t="shared" si="172"/>
        <v>0.23310082950059829</v>
      </c>
      <c r="DP59" s="173">
        <f t="shared" si="173"/>
        <v>-0.17696550518349907</v>
      </c>
      <c r="DQ59" s="11">
        <f t="shared" si="174"/>
        <v>0</v>
      </c>
      <c r="DR59" s="173">
        <f t="shared" si="175"/>
        <v>204.77809302345278</v>
      </c>
      <c r="DS59" s="5">
        <f t="shared" si="176"/>
        <v>0</v>
      </c>
      <c r="DT59" s="5">
        <f t="shared" si="177"/>
        <v>400</v>
      </c>
      <c r="DU59" s="5">
        <f t="shared" si="178"/>
        <v>8.565278673871804E-2</v>
      </c>
      <c r="DV59" s="5">
        <f t="shared" si="179"/>
        <v>-1.0920379311743089</v>
      </c>
      <c r="DW59" s="5">
        <f t="shared" si="180"/>
        <v>118.76131554883597</v>
      </c>
      <c r="DX59" s="167">
        <f t="shared" si="181"/>
        <v>105.94348350883597</v>
      </c>
      <c r="DY59" s="9">
        <f t="shared" si="182"/>
        <v>34.261114695487215</v>
      </c>
      <c r="DZ59" s="5">
        <f t="shared" si="183"/>
        <v>-436.81517246972356</v>
      </c>
      <c r="EA59" s="10">
        <f t="shared" si="184"/>
        <v>443.32602121250238</v>
      </c>
      <c r="EB59" s="6">
        <f t="shared" si="185"/>
        <v>175618.65123949881</v>
      </c>
      <c r="EC59" s="173">
        <f t="shared" si="186"/>
        <v>24.981205972379737</v>
      </c>
      <c r="ED59" s="5">
        <f t="shared" si="187"/>
        <v>0.51797444554517691</v>
      </c>
      <c r="EE59" s="4">
        <f t="shared" si="188"/>
        <v>2.8174736641082365</v>
      </c>
      <c r="EF59" s="5">
        <f t="shared" si="189"/>
        <v>-2.2089984590434879</v>
      </c>
      <c r="EG59" s="10">
        <f t="shared" si="190"/>
        <v>0.23890465117264001</v>
      </c>
      <c r="EH59" s="9">
        <f t="shared" si="191"/>
        <v>-2.8849258970620868</v>
      </c>
      <c r="EI59" s="5">
        <f t="shared" si="192"/>
        <v>2.1201496665236914</v>
      </c>
      <c r="EJ59" s="6">
        <f t="shared" si="193"/>
        <v>0.23890465117264001</v>
      </c>
      <c r="EK59" s="236" t="b">
        <f t="shared" si="194"/>
        <v>0</v>
      </c>
      <c r="EL59" s="238" t="b">
        <f t="shared" si="195"/>
        <v>1</v>
      </c>
      <c r="EM59" s="4">
        <f t="shared" si="196"/>
        <v>-2.8849258970620868</v>
      </c>
      <c r="EN59" s="5">
        <f t="shared" si="197"/>
        <v>2.1201496665236914</v>
      </c>
      <c r="EO59" s="10">
        <f t="shared" si="198"/>
        <v>0.23890465117264001</v>
      </c>
      <c r="EP59" s="9">
        <f t="shared" si="199"/>
        <v>143.68760643194631</v>
      </c>
      <c r="EQ59" s="5">
        <f t="shared" si="200"/>
        <v>3.5802000000000009</v>
      </c>
      <c r="ER59" s="7">
        <f t="shared" si="201"/>
        <v>0.23890465117264001</v>
      </c>
      <c r="ES59" s="21">
        <f t="shared" si="397"/>
        <v>0.58360991290008557</v>
      </c>
      <c r="ET59" s="5">
        <f t="shared" si="398"/>
        <v>0.76873713134500132</v>
      </c>
      <c r="EU59" s="10">
        <f t="shared" si="399"/>
        <v>-0.26161554322366398</v>
      </c>
      <c r="EV59" s="174">
        <f t="shared" si="557"/>
        <v>306.31239356805372</v>
      </c>
      <c r="EW59" s="9">
        <f t="shared" si="558"/>
        <v>0.96505503057523301</v>
      </c>
      <c r="EX59" s="5">
        <f t="shared" si="559"/>
        <v>-1.5036472499334985E-2</v>
      </c>
      <c r="EY59" s="6">
        <f t="shared" si="202"/>
        <v>-0.26161554322366398</v>
      </c>
      <c r="EZ59" s="51">
        <f t="shared" si="203"/>
        <v>0.39093469586555052</v>
      </c>
      <c r="FA59" s="173">
        <f t="shared" si="560"/>
        <v>0.59217370965051108</v>
      </c>
      <c r="FB59" s="5">
        <f t="shared" si="561"/>
        <v>0.80578144906686167</v>
      </c>
      <c r="FC59" s="6">
        <f t="shared" si="562"/>
        <v>-6.8230446620938835E-3</v>
      </c>
      <c r="FD59" s="4">
        <f t="shared" si="563"/>
        <v>0.99997672275985472</v>
      </c>
      <c r="FE59" s="5">
        <f t="shared" si="564"/>
        <v>5.5511151231257827E-16</v>
      </c>
      <c r="FF59" s="7">
        <f t="shared" si="204"/>
        <v>-6.8230446620938835E-3</v>
      </c>
      <c r="FG59" s="173">
        <f t="shared" si="565"/>
        <v>-3.4921692184621711E-2</v>
      </c>
      <c r="FH59" s="5">
        <f t="shared" si="566"/>
        <v>-1.503647249933554E-2</v>
      </c>
      <c r="FI59" s="10">
        <f t="shared" si="567"/>
        <v>-0.2547924985615701</v>
      </c>
      <c r="FJ59" s="279">
        <f t="shared" si="206"/>
        <v>14.801302507866115</v>
      </c>
      <c r="FK59" s="4">
        <f t="shared" si="568"/>
        <v>0.96517216471663092</v>
      </c>
      <c r="FL59" s="5">
        <f t="shared" si="207"/>
        <v>0.99997672275985461</v>
      </c>
      <c r="FM59" s="8">
        <f t="shared" si="208"/>
        <v>3.8021311001341644E-2</v>
      </c>
      <c r="FN59" s="9">
        <f t="shared" si="209"/>
        <v>0.8926503457431032</v>
      </c>
      <c r="FO59" s="10">
        <f t="shared" si="569"/>
        <v>1</v>
      </c>
      <c r="FP59" s="277">
        <f t="shared" si="570"/>
        <v>0.8926503457431032</v>
      </c>
      <c r="FQ59" s="173">
        <f t="shared" si="239"/>
        <v>1.5579057342327713E-2</v>
      </c>
      <c r="FR59" s="10">
        <f t="shared" si="210"/>
        <v>0.99987863912193087</v>
      </c>
      <c r="FS59" s="9">
        <f t="shared" si="211"/>
        <v>1.5341906803772062E-2</v>
      </c>
      <c r="FT59" s="6">
        <f t="shared" si="212"/>
        <v>0.98465809319622799</v>
      </c>
      <c r="FU59" s="4">
        <f t="shared" si="213"/>
        <v>0.99988694585676874</v>
      </c>
      <c r="FV59" s="5">
        <f t="shared" si="214"/>
        <v>1</v>
      </c>
      <c r="FW59" s="8">
        <f t="shared" si="240"/>
        <v>0.25717453588620542</v>
      </c>
      <c r="FX59" s="9">
        <f t="shared" si="241"/>
        <v>14.776765659216958</v>
      </c>
      <c r="FY59" s="10">
        <f t="shared" si="571"/>
        <v>1</v>
      </c>
      <c r="FZ59" s="277">
        <f t="shared" si="242"/>
        <v>14.776765659216958</v>
      </c>
      <c r="GA59" s="177">
        <f t="shared" si="215"/>
        <v>14.774345140431748</v>
      </c>
      <c r="GB59" s="4">
        <f t="shared" si="216"/>
        <v>-1.5063809564622131E-2</v>
      </c>
      <c r="GC59" s="5">
        <f t="shared" si="217"/>
        <v>0.96680954928790996</v>
      </c>
      <c r="GD59" s="10">
        <f t="shared" si="218"/>
        <v>-0.25505367483553193</v>
      </c>
      <c r="GE59" s="311">
        <f t="shared" si="219"/>
        <v>1.236927033688064</v>
      </c>
      <c r="GF59" s="341">
        <f t="shared" si="243"/>
        <v>0.80845512529414587</v>
      </c>
      <c r="GG59" s="285">
        <f t="shared" si="572"/>
        <v>1.2178414048973739E-2</v>
      </c>
      <c r="GH59" s="286">
        <f t="shared" si="573"/>
        <v>0.78162213530513391</v>
      </c>
      <c r="GI59" s="281">
        <f t="shared" si="574"/>
        <v>0.20619945064589232</v>
      </c>
      <c r="GJ59" s="167">
        <f t="shared" si="220"/>
        <v>3.5802</v>
      </c>
      <c r="GK59" s="174">
        <f t="shared" si="575"/>
        <v>1.8746319726556413</v>
      </c>
      <c r="GL59" s="174">
        <f t="shared" si="221"/>
        <v>1.4E-2</v>
      </c>
      <c r="GM59" s="177">
        <f t="shared" si="244"/>
        <v>0.31493817140614777</v>
      </c>
      <c r="GN59" s="280">
        <f t="shared" si="222"/>
        <v>1.744771904353086E-2</v>
      </c>
      <c r="GO59" s="4">
        <f t="shared" si="223"/>
        <v>0.8926503457431032</v>
      </c>
      <c r="GP59" s="8">
        <f t="shared" si="245"/>
        <v>14.776765659216958</v>
      </c>
      <c r="GQ59" s="177">
        <f t="shared" si="224"/>
        <v>14.801302507866115</v>
      </c>
      <c r="GR59" s="371">
        <f t="shared" si="246"/>
        <v>1007.3223274415087</v>
      </c>
      <c r="GS59" s="342">
        <f t="shared" si="576"/>
        <v>12.267588384358595</v>
      </c>
      <c r="GT59" s="343">
        <f t="shared" si="577"/>
        <v>6.5439982691536427</v>
      </c>
      <c r="GU59" s="344">
        <f t="shared" si="578"/>
        <v>787.34542851536935</v>
      </c>
      <c r="GV59" s="343">
        <f t="shared" si="253"/>
        <v>420</v>
      </c>
      <c r="GW59" s="345">
        <f t="shared" si="579"/>
        <v>30000</v>
      </c>
      <c r="GX59" s="346">
        <f t="shared" si="580"/>
        <v>125.307</v>
      </c>
      <c r="GY59" s="344">
        <f t="shared" si="581"/>
        <v>207.70931054178075</v>
      </c>
      <c r="GZ59" s="345">
        <f t="shared" si="582"/>
        <v>110.80004692736334</v>
      </c>
      <c r="HA59" s="342">
        <f t="shared" si="583"/>
        <v>12.267588384358595</v>
      </c>
      <c r="HB59" s="5">
        <f t="shared" si="225"/>
        <v>306.31239356805372</v>
      </c>
      <c r="HC59" s="343">
        <f t="shared" si="226"/>
        <v>7.2647124244868468</v>
      </c>
      <c r="HD59" s="363">
        <f t="shared" si="227"/>
        <v>-9.8852252456661986</v>
      </c>
      <c r="HE59" s="344">
        <f t="shared" si="584"/>
        <v>420</v>
      </c>
      <c r="HF59" s="5">
        <f t="shared" si="585"/>
        <v>396.31239356805372</v>
      </c>
      <c r="HG59" s="343">
        <f t="shared" si="228"/>
        <v>338.4360864661403</v>
      </c>
      <c r="HH59" s="349">
        <f t="shared" si="229"/>
        <v>248.71874753922998</v>
      </c>
      <c r="HI59" s="317">
        <f t="shared" si="453"/>
        <v>6.12</v>
      </c>
      <c r="HK59" s="310" t="str">
        <f t="shared" si="506"/>
        <v/>
      </c>
      <c r="HL59" s="348" t="str">
        <f t="shared" si="454"/>
        <v/>
      </c>
      <c r="HM59" s="935" t="str">
        <f t="shared" si="455"/>
        <v/>
      </c>
      <c r="HN59" s="936" t="str">
        <f t="shared" si="456"/>
        <v/>
      </c>
      <c r="HO59" s="937"/>
      <c r="HP59" s="938"/>
      <c r="HQ59" s="936" t="str">
        <f t="shared" si="457"/>
        <v/>
      </c>
      <c r="HR59" s="939" t="str">
        <f t="shared" si="458"/>
        <v/>
      </c>
      <c r="HS59" s="940" t="str">
        <f t="shared" si="507"/>
        <v/>
      </c>
      <c r="HT59" s="941" t="str">
        <f t="shared" si="459"/>
        <v/>
      </c>
      <c r="HU59" s="942" t="str">
        <f t="shared" si="460"/>
        <v/>
      </c>
      <c r="HV59" s="943" t="str">
        <f t="shared" si="461"/>
        <v/>
      </c>
      <c r="HW59" s="944" t="str">
        <f t="shared" si="462"/>
        <v/>
      </c>
      <c r="HX59" s="947" t="str">
        <f t="shared" si="463"/>
        <v/>
      </c>
      <c r="HY59" s="952" t="str">
        <f t="shared" si="464"/>
        <v/>
      </c>
      <c r="HZ59" s="953" t="str">
        <f t="shared" si="465"/>
        <v/>
      </c>
      <c r="IA59" s="954" t="str">
        <f t="shared" si="466"/>
        <v/>
      </c>
      <c r="IB59" s="955" t="str">
        <f t="shared" si="467"/>
        <v/>
      </c>
      <c r="IC59" s="842" t="str">
        <f t="shared" si="468"/>
        <v/>
      </c>
      <c r="ID59" s="351" t="str">
        <f t="shared" si="469"/>
        <v/>
      </c>
      <c r="IE59" s="844" t="str">
        <f t="shared" si="470"/>
        <v/>
      </c>
      <c r="IF59" s="845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0"/>
        <v>6.12</v>
      </c>
      <c r="IJ59" s="96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71"/>
        <v>1613</v>
      </c>
      <c r="IM59" s="482" t="str">
        <f t="shared" si="231"/>
        <v/>
      </c>
      <c r="IN59" s="670" t="str">
        <f t="shared" si="472"/>
        <v/>
      </c>
      <c r="IO59" s="702"/>
      <c r="IP59" s="5" t="str">
        <f t="shared" si="473"/>
        <v/>
      </c>
      <c r="IQ59" s="714"/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>
        <f t="shared" si="308"/>
        <v>0</v>
      </c>
      <c r="B60" s="578">
        <f t="shared" ref="B60:D60" si="597">IFERROR(O215+($A60*-E60),"")</f>
        <v>-3.4926848419750631</v>
      </c>
      <c r="C60" s="572">
        <f t="shared" si="597"/>
        <v>2.5125227375187058</v>
      </c>
      <c r="D60" s="576">
        <f t="shared" si="597"/>
        <v>-0.24450073741422404</v>
      </c>
      <c r="E60" s="580">
        <f t="shared" ref="E60:K60" si="598">R215</f>
        <v>-0.64768418194285715</v>
      </c>
      <c r="F60" s="572">
        <f t="shared" si="598"/>
        <v>-0.71642694731200063</v>
      </c>
      <c r="G60" s="579">
        <f t="shared" si="598"/>
        <v>0.25930219749593303</v>
      </c>
      <c r="H60" s="580">
        <f t="shared" si="598"/>
        <v>0.3125</v>
      </c>
      <c r="I60" s="572">
        <f t="shared" si="598"/>
        <v>0.52</v>
      </c>
      <c r="J60" s="483">
        <f t="shared" si="92"/>
        <v>6.1260000000000003</v>
      </c>
      <c r="K60" s="806">
        <f t="shared" si="598"/>
        <v>1613</v>
      </c>
      <c r="L60" s="309"/>
      <c r="M60" s="164">
        <f t="shared" si="311"/>
        <v>6.1260000000000003</v>
      </c>
      <c r="N60" s="575">
        <f t="shared" si="312"/>
        <v>-3.4926848419750631</v>
      </c>
      <c r="O60" s="572">
        <f t="shared" si="313"/>
        <v>2.5125227375187058</v>
      </c>
      <c r="P60" s="576">
        <f t="shared" si="314"/>
        <v>-0.24450073741422404</v>
      </c>
      <c r="Q60" s="528">
        <f t="shared" si="134"/>
        <v>144.27000010539894</v>
      </c>
      <c r="R60" s="572">
        <f t="shared" si="93"/>
        <v>4.3025129763791377</v>
      </c>
      <c r="S60" s="577">
        <f t="shared" si="94"/>
        <v>-0.24450073741422404</v>
      </c>
      <c r="T60" s="578">
        <f t="shared" si="95"/>
        <v>2.5119131108396466</v>
      </c>
      <c r="U60" s="572">
        <f t="shared" si="96"/>
        <v>3.4931233066559151</v>
      </c>
      <c r="V60" s="579">
        <f t="shared" si="135"/>
        <v>-0.24450073741422404</v>
      </c>
      <c r="W60" s="528">
        <f t="shared" si="256"/>
        <v>54.280000103955118</v>
      </c>
      <c r="X60" s="572">
        <f t="shared" si="97"/>
        <v>4.3025129763791377</v>
      </c>
      <c r="Y60" s="573">
        <f t="shared" si="259"/>
        <v>-0.24450073741422404</v>
      </c>
      <c r="Z60" s="575">
        <f t="shared" si="315"/>
        <v>0.64768418194285715</v>
      </c>
      <c r="AA60" s="572">
        <f t="shared" si="316"/>
        <v>0.71642694731200063</v>
      </c>
      <c r="AB60" s="572">
        <f t="shared" si="317"/>
        <v>-0.25930219749593303</v>
      </c>
      <c r="AC60" s="579">
        <f t="shared" si="98"/>
        <v>1</v>
      </c>
      <c r="AD60" s="580">
        <f t="shared" si="136"/>
        <v>0.64768418194285715</v>
      </c>
      <c r="AE60" s="572">
        <f t="shared" si="99"/>
        <v>0.71642694731200063</v>
      </c>
      <c r="AF60" s="576">
        <f t="shared" si="100"/>
        <v>-0.25930219749593303</v>
      </c>
      <c r="AG60" s="545">
        <f t="shared" si="101"/>
        <v>70.102880507907159</v>
      </c>
      <c r="AH60" s="546">
        <f t="shared" si="102"/>
        <v>49.632774178893051</v>
      </c>
      <c r="AI60" s="528">
        <f t="shared" si="103"/>
        <v>-74.971338948847105</v>
      </c>
      <c r="AJ60" s="529">
        <f t="shared" si="104"/>
        <v>137.88491251320451</v>
      </c>
      <c r="AK60" s="578">
        <f t="shared" si="234"/>
        <v>0.9598053035035925</v>
      </c>
      <c r="AL60" s="572">
        <f t="shared" si="105"/>
        <v>-0.10740646973137585</v>
      </c>
      <c r="AM60" s="577">
        <f t="shared" si="106"/>
        <v>-0.25930219749593303</v>
      </c>
      <c r="AN60" s="524">
        <f t="shared" si="107"/>
        <v>-22.499996751402247</v>
      </c>
      <c r="AO60" s="525">
        <f t="shared" si="590"/>
        <v>16.299997646571494</v>
      </c>
      <c r="AP60" s="528">
        <f t="shared" si="109"/>
        <v>-6.3850875921944219</v>
      </c>
      <c r="AQ60" s="529">
        <f t="shared" si="318"/>
        <v>0.32530548689464089</v>
      </c>
      <c r="AS60" s="900">
        <f t="shared" si="510"/>
        <v>-305.7199998960449</v>
      </c>
      <c r="AT60" s="896">
        <f t="shared" si="319"/>
        <v>-0.11415073745916157</v>
      </c>
      <c r="AU60" s="418"/>
      <c r="AV60" s="164">
        <f t="shared" si="320"/>
        <v>6.1260000000000003</v>
      </c>
      <c r="AW60" s="797">
        <f>IFERROR(INDEX(MassProp!C$9:C$150,MATCH($M60,MassProp!$B$9:$B$150,0)),"")</f>
        <v>4.3784999999999998</v>
      </c>
      <c r="AX60" s="744">
        <f>IFERROR(INDEX(MassProp!D$9:D$150,MATCH($M60,MassProp!$B$9:$B$150,0)),"")</f>
        <v>0.29520000000000002</v>
      </c>
      <c r="AY60" s="731">
        <f>IFERROR(INDEX(MassProp!E$9:E$150,MATCH($M60,MassProp!$B$9:$B$150,0)),"")</f>
        <v>1.29E-2</v>
      </c>
      <c r="AZ60" s="297">
        <f t="shared" si="138"/>
        <v>0.35489647993431511</v>
      </c>
      <c r="BA60" s="296">
        <f t="shared" si="322"/>
        <v>1.9661427650338938E-2</v>
      </c>
      <c r="BB60" s="177">
        <f t="shared" si="139"/>
        <v>0.25586236536613832</v>
      </c>
      <c r="BC60" s="9"/>
      <c r="BD60" s="5">
        <f t="shared" si="235"/>
        <v>4.3784999999999998</v>
      </c>
      <c r="BE60" s="6">
        <f t="shared" si="324"/>
        <v>1.1361627951914283E-2</v>
      </c>
      <c r="BF60" s="4">
        <f t="shared" si="325"/>
        <v>-3.4926848419750631</v>
      </c>
      <c r="BG60" s="5">
        <f t="shared" si="326"/>
        <v>2.5125227375187058</v>
      </c>
      <c r="BH60" s="10">
        <f t="shared" si="327"/>
        <v>-0.24450073741422404</v>
      </c>
      <c r="BI60" s="9">
        <f t="shared" si="140"/>
        <v>-3.4926848419750631</v>
      </c>
      <c r="BJ60" s="5">
        <f t="shared" si="329"/>
        <v>2.852855014929939</v>
      </c>
      <c r="BK60" s="8">
        <f t="shared" si="330"/>
        <v>0.69580450076755029</v>
      </c>
      <c r="BL60" s="173">
        <f t="shared" si="331"/>
        <v>-2.7307759232314828</v>
      </c>
      <c r="BM60" s="5">
        <f t="shared" si="332"/>
        <v>1.9035019085503597</v>
      </c>
      <c r="BN60" s="6">
        <f t="shared" si="333"/>
        <v>-2.4072904730379818E-2</v>
      </c>
      <c r="BO60" s="4">
        <f t="shared" si="141"/>
        <v>0.64768418194285715</v>
      </c>
      <c r="BP60" s="5">
        <f t="shared" si="142"/>
        <v>0.71642694731200052</v>
      </c>
      <c r="BQ60" s="5">
        <f t="shared" si="143"/>
        <v>-0.25930219749593242</v>
      </c>
      <c r="BR60" s="6">
        <f t="shared" si="144"/>
        <v>0.39871815126543381</v>
      </c>
      <c r="BS60" s="4">
        <f t="shared" si="554"/>
        <v>0</v>
      </c>
      <c r="BT60" s="5">
        <f t="shared" si="554"/>
        <v>0</v>
      </c>
      <c r="BU60" s="10">
        <f t="shared" si="111"/>
        <v>1.1361627951914283E-2</v>
      </c>
      <c r="BV60" s="9">
        <f t="shared" si="112"/>
        <v>0</v>
      </c>
      <c r="BW60" s="5">
        <f t="shared" si="113"/>
        <v>1</v>
      </c>
      <c r="BX60" s="8">
        <f t="shared" si="114"/>
        <v>1.1361627951914283E-2</v>
      </c>
      <c r="BY60" s="173">
        <f t="shared" si="115"/>
        <v>1</v>
      </c>
      <c r="BZ60" s="5">
        <f t="shared" si="116"/>
        <v>0</v>
      </c>
      <c r="CA60" s="6">
        <f t="shared" si="117"/>
        <v>1.1361627951914283E-2</v>
      </c>
      <c r="CB60" s="4">
        <f t="shared" si="145"/>
        <v>0</v>
      </c>
      <c r="CC60" s="5">
        <f t="shared" si="146"/>
        <v>0</v>
      </c>
      <c r="CD60" s="5">
        <f t="shared" si="147"/>
        <v>-1</v>
      </c>
      <c r="CE60" s="6">
        <f t="shared" si="148"/>
        <v>1.1361627951914283E-2</v>
      </c>
      <c r="CF60" s="4">
        <f t="shared" si="149"/>
        <v>-0.71642694731200052</v>
      </c>
      <c r="CG60" s="5">
        <f t="shared" si="150"/>
        <v>0.64768418194285715</v>
      </c>
      <c r="CH60" s="5">
        <f t="shared" si="151"/>
        <v>0</v>
      </c>
      <c r="CI60" s="4">
        <f t="shared" si="118"/>
        <v>0</v>
      </c>
      <c r="CJ60" s="5">
        <f t="shared" si="119"/>
        <v>-0.55242486014141279</v>
      </c>
      <c r="CK60" s="8">
        <f t="shared" si="120"/>
        <v>1.1361627951914283E-2</v>
      </c>
      <c r="CL60" s="173">
        <f t="shared" si="121"/>
        <v>-0.71642694731200052</v>
      </c>
      <c r="CM60" s="5">
        <f t="shared" si="122"/>
        <v>9.5259321801444363E-2</v>
      </c>
      <c r="CN60" s="6">
        <f t="shared" si="123"/>
        <v>1.1361627951914283E-2</v>
      </c>
      <c r="CO60" s="167">
        <f t="shared" si="350"/>
        <v>0.3125</v>
      </c>
      <c r="CP60" s="4">
        <f t="shared" si="236"/>
        <v>0.93276237037378018</v>
      </c>
      <c r="CQ60" s="5">
        <f t="shared" si="237"/>
        <v>-8.9747432334946211</v>
      </c>
      <c r="CR60" s="5">
        <f t="shared" si="152"/>
        <v>21.56056048177566</v>
      </c>
      <c r="CS60" s="8">
        <f t="shared" si="153"/>
        <v>0.10249810088421896</v>
      </c>
      <c r="CT60" s="9">
        <f t="shared" si="154"/>
        <v>4.9824568264408438</v>
      </c>
      <c r="CU60" s="6">
        <f t="shared" si="155"/>
        <v>4.6392255211202258</v>
      </c>
      <c r="CV60" s="4">
        <f t="shared" si="238"/>
        <v>-3.5695663342808515</v>
      </c>
      <c r="CW60" s="5">
        <f t="shared" si="156"/>
        <v>2.6746336135575293</v>
      </c>
      <c r="CX60" s="8">
        <f t="shared" si="157"/>
        <v>1.1361627951914283E-2</v>
      </c>
      <c r="CY60" s="9">
        <f t="shared" si="158"/>
        <v>-3.3236661779880881</v>
      </c>
      <c r="CZ60" s="5">
        <f t="shared" si="159"/>
        <v>2.4523281263537662</v>
      </c>
      <c r="DA60" s="6">
        <f t="shared" si="160"/>
        <v>1.1361627951914283E-2</v>
      </c>
      <c r="DB60" s="4">
        <f t="shared" si="555"/>
        <v>0</v>
      </c>
      <c r="DC60" s="5">
        <f t="shared" si="555"/>
        <v>0</v>
      </c>
      <c r="DD60" s="10">
        <f t="shared" si="162"/>
        <v>-10</v>
      </c>
      <c r="DE60" s="9">
        <f t="shared" si="556"/>
        <v>0</v>
      </c>
      <c r="DF60" s="5">
        <f t="shared" si="556"/>
        <v>0</v>
      </c>
      <c r="DG60" s="10">
        <f t="shared" si="164"/>
        <v>10</v>
      </c>
      <c r="DH60" s="70">
        <f t="shared" si="165"/>
        <v>4.3784999999999998</v>
      </c>
      <c r="DI60" s="4">
        <f t="shared" si="166"/>
        <v>0</v>
      </c>
      <c r="DJ60" s="5">
        <f t="shared" si="167"/>
        <v>0</v>
      </c>
      <c r="DK60" s="10">
        <f t="shared" si="168"/>
        <v>20</v>
      </c>
      <c r="DL60" s="9">
        <f t="shared" si="169"/>
        <v>-3.5695663342808515</v>
      </c>
      <c r="DM60" s="173">
        <f t="shared" si="170"/>
        <v>2.6746336135575293</v>
      </c>
      <c r="DN60" s="178">
        <f t="shared" si="171"/>
        <v>10.011361627951914</v>
      </c>
      <c r="DO60" s="9">
        <f t="shared" si="172"/>
        <v>0.24590015629276341</v>
      </c>
      <c r="DP60" s="173">
        <f t="shared" si="173"/>
        <v>-0.22230548720376309</v>
      </c>
      <c r="DQ60" s="11">
        <f t="shared" si="174"/>
        <v>0</v>
      </c>
      <c r="DR60" s="173">
        <f t="shared" si="175"/>
        <v>200.22723255903827</v>
      </c>
      <c r="DS60" s="5">
        <f t="shared" si="176"/>
        <v>0</v>
      </c>
      <c r="DT60" s="5">
        <f t="shared" si="177"/>
        <v>400</v>
      </c>
      <c r="DU60" s="5">
        <f t="shared" si="178"/>
        <v>0.10988661650570794</v>
      </c>
      <c r="DV60" s="5">
        <f t="shared" si="179"/>
        <v>-1.4723426480505157</v>
      </c>
      <c r="DW60" s="5">
        <f t="shared" si="180"/>
        <v>120.12283042723104</v>
      </c>
      <c r="DX60" s="167">
        <f t="shared" si="181"/>
        <v>100.95156817723104</v>
      </c>
      <c r="DY60" s="9">
        <f t="shared" si="182"/>
        <v>43.954646602283177</v>
      </c>
      <c r="DZ60" s="5">
        <f t="shared" si="183"/>
        <v>-588.93705922020627</v>
      </c>
      <c r="EA60" s="10">
        <f t="shared" si="184"/>
        <v>289.68261264121975</v>
      </c>
      <c r="EB60" s="6">
        <f t="shared" si="185"/>
        <v>334113.96285747382</v>
      </c>
      <c r="EC60" s="173">
        <f t="shared" si="186"/>
        <v>26.549251746352112</v>
      </c>
      <c r="ED60" s="5">
        <f t="shared" si="187"/>
        <v>0.24823633490183267</v>
      </c>
      <c r="EE60" s="4">
        <f t="shared" si="188"/>
        <v>2.9588988196030548</v>
      </c>
      <c r="EF60" s="5">
        <f t="shared" si="189"/>
        <v>-3.227410730810635</v>
      </c>
      <c r="EG60" s="10">
        <f t="shared" si="190"/>
        <v>1.1361627951914283E-2</v>
      </c>
      <c r="EH60" s="9">
        <f t="shared" si="191"/>
        <v>-3.508524980730948</v>
      </c>
      <c r="EI60" s="5">
        <f t="shared" si="192"/>
        <v>2.6194493141855006</v>
      </c>
      <c r="EJ60" s="6">
        <f t="shared" si="193"/>
        <v>1.1361627951914283E-2</v>
      </c>
      <c r="EK60" s="236" t="b">
        <f t="shared" si="194"/>
        <v>0</v>
      </c>
      <c r="EL60" s="238" t="b">
        <f t="shared" si="195"/>
        <v>1</v>
      </c>
      <c r="EM60" s="4">
        <f t="shared" si="196"/>
        <v>-3.508524980730948</v>
      </c>
      <c r="EN60" s="5">
        <f t="shared" si="197"/>
        <v>2.6194493141855006</v>
      </c>
      <c r="EO60" s="10">
        <f t="shared" si="198"/>
        <v>1.1361627951914283E-2</v>
      </c>
      <c r="EP60" s="9">
        <f t="shared" si="199"/>
        <v>143.25514343691137</v>
      </c>
      <c r="EQ60" s="5">
        <f t="shared" si="200"/>
        <v>4.3784999999999989</v>
      </c>
      <c r="ER60" s="7">
        <f t="shared" si="201"/>
        <v>1.1361627951914283E-2</v>
      </c>
      <c r="ES60" s="21">
        <f t="shared" si="397"/>
        <v>0.64768418194285715</v>
      </c>
      <c r="ET60" s="5">
        <f t="shared" si="398"/>
        <v>0.71642694731200063</v>
      </c>
      <c r="EU60" s="10">
        <f t="shared" si="399"/>
        <v>-0.25930219749593303</v>
      </c>
      <c r="EV60" s="174">
        <f t="shared" si="557"/>
        <v>306.74485656308866</v>
      </c>
      <c r="EW60" s="9">
        <f t="shared" si="558"/>
        <v>0.96155709208906814</v>
      </c>
      <c r="EX60" s="5">
        <f t="shared" si="559"/>
        <v>-9.0389872369616819E-2</v>
      </c>
      <c r="EY60" s="6">
        <f t="shared" si="202"/>
        <v>-0.25930219749593303</v>
      </c>
      <c r="EZ60" s="51">
        <f t="shared" si="203"/>
        <v>0.31966006534727626</v>
      </c>
      <c r="FA60" s="173">
        <f t="shared" si="560"/>
        <v>0.59824335892035962</v>
      </c>
      <c r="FB60" s="5">
        <f t="shared" si="561"/>
        <v>0.80129505005563562</v>
      </c>
      <c r="FC60" s="6">
        <f t="shared" si="562"/>
        <v>-5.5790916843313377E-3</v>
      </c>
      <c r="FD60" s="4">
        <f t="shared" si="563"/>
        <v>0.99998443674688153</v>
      </c>
      <c r="FE60" s="5">
        <f t="shared" si="564"/>
        <v>6.106226635438361E-16</v>
      </c>
      <c r="FF60" s="7">
        <f t="shared" si="204"/>
        <v>-5.5790916843313377E-3</v>
      </c>
      <c r="FG60" s="173">
        <f t="shared" si="565"/>
        <v>-3.8427344657813389E-2</v>
      </c>
      <c r="FH60" s="5">
        <f t="shared" si="566"/>
        <v>-9.038987236961743E-2</v>
      </c>
      <c r="FI60" s="10">
        <f t="shared" si="567"/>
        <v>-0.25372310581160168</v>
      </c>
      <c r="FJ60" s="279">
        <f t="shared" si="206"/>
        <v>15.636980288788092</v>
      </c>
      <c r="FK60" s="4">
        <f t="shared" si="568"/>
        <v>0.96579623646697865</v>
      </c>
      <c r="FL60" s="5">
        <f t="shared" si="207"/>
        <v>0.99998443674688142</v>
      </c>
      <c r="FM60" s="8">
        <f t="shared" si="208"/>
        <v>9.8219091038586323E-2</v>
      </c>
      <c r="FN60" s="9">
        <f t="shared" si="209"/>
        <v>5.3702309237068588</v>
      </c>
      <c r="FO60" s="10">
        <f t="shared" si="569"/>
        <v>1</v>
      </c>
      <c r="FP60" s="277">
        <f t="shared" si="570"/>
        <v>5.3702309237068588</v>
      </c>
      <c r="FQ60" s="173">
        <f t="shared" si="239"/>
        <v>9.3591038105798066E-2</v>
      </c>
      <c r="FR60" s="10">
        <f t="shared" si="210"/>
        <v>0.99561072592970745</v>
      </c>
      <c r="FS60" s="9">
        <f t="shared" si="211"/>
        <v>8.5926263798033295E-2</v>
      </c>
      <c r="FT60" s="6">
        <f t="shared" si="212"/>
        <v>0.91407373620196664</v>
      </c>
      <c r="FU60" s="4">
        <f t="shared" si="213"/>
        <v>0.99590645693910651</v>
      </c>
      <c r="FV60" s="5">
        <f t="shared" si="214"/>
        <v>1</v>
      </c>
      <c r="FW60" s="8">
        <f t="shared" si="240"/>
        <v>0.25661659190343794</v>
      </c>
      <c r="FX60" s="9">
        <f t="shared" si="241"/>
        <v>14.772240507697314</v>
      </c>
      <c r="FY60" s="10">
        <f t="shared" si="571"/>
        <v>1</v>
      </c>
      <c r="FZ60" s="277">
        <f t="shared" si="242"/>
        <v>14.772240507697314</v>
      </c>
      <c r="GA60" s="177">
        <f t="shared" si="215"/>
        <v>14.71102890854498</v>
      </c>
      <c r="GB60" s="4">
        <f t="shared" si="216"/>
        <v>-9.0497577004950355E-2</v>
      </c>
      <c r="GC60" s="5">
        <f t="shared" si="217"/>
        <v>0.96270284164308739</v>
      </c>
      <c r="GD60" s="10">
        <f t="shared" si="218"/>
        <v>-0.254977307320784</v>
      </c>
      <c r="GE60" s="311">
        <f t="shared" si="219"/>
        <v>1.3081777259688216</v>
      </c>
      <c r="GF60" s="341">
        <f t="shared" si="243"/>
        <v>0.76442212716885338</v>
      </c>
      <c r="GG60" s="285">
        <f t="shared" si="572"/>
        <v>6.9178350317751255E-2</v>
      </c>
      <c r="GH60" s="286">
        <f t="shared" si="573"/>
        <v>0.73591135404030861</v>
      </c>
      <c r="GI60" s="281">
        <f t="shared" si="574"/>
        <v>0.19491029564194015</v>
      </c>
      <c r="GJ60" s="167">
        <f t="shared" si="220"/>
        <v>4.3784999999999998</v>
      </c>
      <c r="GK60" s="174">
        <f t="shared" si="575"/>
        <v>2.2926129194723202</v>
      </c>
      <c r="GL60" s="174">
        <f t="shared" si="221"/>
        <v>1.29E-2</v>
      </c>
      <c r="GM60" s="177">
        <f t="shared" si="244"/>
        <v>0.35489647993431511</v>
      </c>
      <c r="GN60" s="280">
        <f t="shared" si="222"/>
        <v>1.9661427650338938E-2</v>
      </c>
      <c r="GO60" s="4">
        <f t="shared" si="223"/>
        <v>5.3702309237068588</v>
      </c>
      <c r="GP60" s="8">
        <f t="shared" si="245"/>
        <v>14.772240507697314</v>
      </c>
      <c r="GQ60" s="177">
        <f t="shared" si="224"/>
        <v>15.636980288788092</v>
      </c>
      <c r="GR60" s="371">
        <f t="shared" si="246"/>
        <v>1205.6359709150383</v>
      </c>
      <c r="GS60" s="342">
        <f t="shared" si="576"/>
        <v>83.403907551642689</v>
      </c>
      <c r="GT60" s="343">
        <f t="shared" si="577"/>
        <v>36.379410952128531</v>
      </c>
      <c r="GU60" s="344">
        <f t="shared" si="578"/>
        <v>887.24119983578794</v>
      </c>
      <c r="GV60" s="343">
        <f t="shared" si="253"/>
        <v>387</v>
      </c>
      <c r="GW60" s="345">
        <f t="shared" si="579"/>
        <v>30000</v>
      </c>
      <c r="GX60" s="346">
        <f t="shared" si="580"/>
        <v>141.206625</v>
      </c>
      <c r="GY60" s="344">
        <f t="shared" si="581"/>
        <v>234.99086352760767</v>
      </c>
      <c r="GZ60" s="345">
        <f t="shared" si="582"/>
        <v>102.49914476696503</v>
      </c>
      <c r="HA60" s="342">
        <f t="shared" si="583"/>
        <v>83.403907551642689</v>
      </c>
      <c r="HB60" s="5">
        <f t="shared" si="225"/>
        <v>306.74485656308866</v>
      </c>
      <c r="HC60" s="343">
        <f t="shared" si="226"/>
        <v>49.896610354354607</v>
      </c>
      <c r="HD60" s="363">
        <f t="shared" si="227"/>
        <v>-66.832178402538048</v>
      </c>
      <c r="HE60" s="344">
        <f t="shared" si="584"/>
        <v>387</v>
      </c>
      <c r="HF60" s="5">
        <f t="shared" si="585"/>
        <v>396.74485656308866</v>
      </c>
      <c r="HG60" s="343">
        <f t="shared" si="228"/>
        <v>310.10601062986785</v>
      </c>
      <c r="HH60" s="349">
        <f t="shared" si="229"/>
        <v>231.5237831654197</v>
      </c>
      <c r="HI60" s="317">
        <f t="shared" si="453"/>
        <v>6.1260000000000003</v>
      </c>
      <c r="HK60" s="310" t="str">
        <f t="shared" si="506"/>
        <v/>
      </c>
      <c r="HL60" s="348" t="str">
        <f t="shared" si="454"/>
        <v/>
      </c>
      <c r="HM60" s="935" t="str">
        <f t="shared" si="455"/>
        <v/>
      </c>
      <c r="HN60" s="936" t="str">
        <f t="shared" si="456"/>
        <v/>
      </c>
      <c r="HO60" s="937"/>
      <c r="HP60" s="938"/>
      <c r="HQ60" s="936" t="str">
        <f t="shared" si="457"/>
        <v/>
      </c>
      <c r="HR60" s="939" t="str">
        <f t="shared" si="458"/>
        <v/>
      </c>
      <c r="HS60" s="940" t="str">
        <f t="shared" si="507"/>
        <v/>
      </c>
      <c r="HT60" s="941" t="str">
        <f t="shared" si="459"/>
        <v/>
      </c>
      <c r="HU60" s="942" t="str">
        <f t="shared" si="460"/>
        <v/>
      </c>
      <c r="HV60" s="943" t="str">
        <f t="shared" si="461"/>
        <v/>
      </c>
      <c r="HW60" s="944" t="str">
        <f t="shared" si="462"/>
        <v/>
      </c>
      <c r="HX60" s="947" t="str">
        <f t="shared" si="463"/>
        <v/>
      </c>
      <c r="HY60" s="952" t="str">
        <f t="shared" si="464"/>
        <v/>
      </c>
      <c r="HZ60" s="953" t="str">
        <f t="shared" si="465"/>
        <v/>
      </c>
      <c r="IA60" s="954" t="str">
        <f t="shared" si="466"/>
        <v/>
      </c>
      <c r="IB60" s="955" t="str">
        <f t="shared" si="467"/>
        <v/>
      </c>
      <c r="IC60" s="842" t="str">
        <f t="shared" si="468"/>
        <v/>
      </c>
      <c r="ID60" s="351" t="str">
        <f t="shared" si="469"/>
        <v/>
      </c>
      <c r="IE60" s="844" t="str">
        <f t="shared" si="470"/>
        <v/>
      </c>
      <c r="IF60" s="845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0"/>
        <v>6.1260000000000003</v>
      </c>
      <c r="IJ60" s="96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71"/>
        <v>1613</v>
      </c>
      <c r="IM60" s="482" t="str">
        <f t="shared" si="231"/>
        <v/>
      </c>
      <c r="IN60" s="670" t="str">
        <f t="shared" si="472"/>
        <v/>
      </c>
      <c r="IO60" s="702"/>
      <c r="IP60" s="5" t="str">
        <f t="shared" si="473"/>
        <v/>
      </c>
      <c r="IQ60" s="714"/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>
        <f t="shared" si="308"/>
        <v>0</v>
      </c>
      <c r="B61" s="578">
        <f t="shared" ref="B61:D61" si="599">IFERROR(O216+($A61*-E61),"")</f>
        <v>-3.9625272161437115</v>
      </c>
      <c r="C61" s="572">
        <f t="shared" si="599"/>
        <v>2.9267679927215817</v>
      </c>
      <c r="D61" s="576">
        <f t="shared" si="599"/>
        <v>-0.65660198031157258</v>
      </c>
      <c r="E61" s="580">
        <f t="shared" ref="E61:K61" si="600">R216</f>
        <v>-0.71537078787348019</v>
      </c>
      <c r="F61" s="572">
        <f t="shared" si="600"/>
        <v>-0.65530646523949787</v>
      </c>
      <c r="G61" s="579">
        <f t="shared" si="600"/>
        <v>0.24252437500711371</v>
      </c>
      <c r="H61" s="580">
        <f t="shared" si="600"/>
        <v>0.3125</v>
      </c>
      <c r="I61" s="572">
        <f t="shared" si="600"/>
        <v>0.52</v>
      </c>
      <c r="J61" s="483">
        <f t="shared" si="92"/>
        <v>6.1319999999999997</v>
      </c>
      <c r="K61" s="806">
        <f t="shared" si="600"/>
        <v>1613</v>
      </c>
      <c r="L61" s="309"/>
      <c r="M61" s="164">
        <f t="shared" si="311"/>
        <v>6.1319999999999997</v>
      </c>
      <c r="N61" s="575">
        <f t="shared" si="312"/>
        <v>-3.9625272161437115</v>
      </c>
      <c r="O61" s="572">
        <f t="shared" si="313"/>
        <v>2.9267679927215817</v>
      </c>
      <c r="P61" s="576">
        <f t="shared" si="314"/>
        <v>-0.65660198031157258</v>
      </c>
      <c r="Q61" s="528">
        <f t="shared" si="134"/>
        <v>143.5500002093541</v>
      </c>
      <c r="R61" s="572">
        <f t="shared" si="93"/>
        <v>4.926214857464009</v>
      </c>
      <c r="S61" s="577">
        <f t="shared" si="94"/>
        <v>-0.65660198031157258</v>
      </c>
      <c r="T61" s="578">
        <f t="shared" si="95"/>
        <v>2.9260763567815165</v>
      </c>
      <c r="U61" s="572">
        <f t="shared" si="96"/>
        <v>3.9630379730937926</v>
      </c>
      <c r="V61" s="579">
        <f t="shared" si="135"/>
        <v>-0.65660198031157258</v>
      </c>
      <c r="W61" s="528">
        <f t="shared" si="256"/>
        <v>53.560000207910278</v>
      </c>
      <c r="X61" s="572">
        <f t="shared" si="97"/>
        <v>4.926214857464009</v>
      </c>
      <c r="Y61" s="573">
        <f t="shared" si="259"/>
        <v>-0.65660198031157258</v>
      </c>
      <c r="Z61" s="575">
        <f t="shared" si="315"/>
        <v>0.71537078787348019</v>
      </c>
      <c r="AA61" s="572">
        <f t="shared" si="316"/>
        <v>0.65530646523949787</v>
      </c>
      <c r="AB61" s="572">
        <f t="shared" si="317"/>
        <v>-0.24252437500711371</v>
      </c>
      <c r="AC61" s="579">
        <f t="shared" si="98"/>
        <v>1</v>
      </c>
      <c r="AD61" s="580">
        <f t="shared" si="136"/>
        <v>0.71537078787348019</v>
      </c>
      <c r="AE61" s="572">
        <f t="shared" si="99"/>
        <v>0.65530646523949787</v>
      </c>
      <c r="AF61" s="576">
        <f t="shared" si="100"/>
        <v>-0.24252437500711371</v>
      </c>
      <c r="AG61" s="545">
        <f t="shared" si="101"/>
        <v>69.690836530147465</v>
      </c>
      <c r="AH61" s="546">
        <f t="shared" si="102"/>
        <v>44.326405182850742</v>
      </c>
      <c r="AI61" s="528">
        <f t="shared" si="103"/>
        <v>-75.964420948135327</v>
      </c>
      <c r="AJ61" s="529">
        <f t="shared" si="104"/>
        <v>132.49085214311921</v>
      </c>
      <c r="AK61" s="578">
        <f t="shared" si="234"/>
        <v>0.95212940645409772</v>
      </c>
      <c r="AL61" s="572">
        <f t="shared" si="105"/>
        <v>-0.18609546177372632</v>
      </c>
      <c r="AM61" s="577">
        <f t="shared" si="106"/>
        <v>-0.24252437500711371</v>
      </c>
      <c r="AN61" s="524">
        <f t="shared" si="107"/>
        <v>-37.499994585670763</v>
      </c>
      <c r="AO61" s="525">
        <f t="shared" si="590"/>
        <v>17.79999742999836</v>
      </c>
      <c r="AP61" s="528">
        <f t="shared" si="109"/>
        <v>-11.059148066234872</v>
      </c>
      <c r="AQ61" s="529">
        <f t="shared" si="318"/>
        <v>0.28411969154768113</v>
      </c>
      <c r="AS61" s="900">
        <f t="shared" si="510"/>
        <v>-306.43999979208974</v>
      </c>
      <c r="AT61" s="896">
        <f t="shared" si="319"/>
        <v>-0.52594500365664598</v>
      </c>
      <c r="AU61" s="418"/>
      <c r="AV61" s="164">
        <f t="shared" si="320"/>
        <v>6.1319999999999997</v>
      </c>
      <c r="AW61" s="797">
        <f>IFERROR(INDEX(MassProp!C$9:C$150,MATCH($M61,MassProp!$B$9:$B$150,0)),"")</f>
        <v>5.0782999999999996</v>
      </c>
      <c r="AX61" s="744">
        <f>IFERROR(INDEX(MassProp!D$9:D$150,MATCH($M61,MassProp!$B$9:$B$150,0)),"")</f>
        <v>-0.15110000000000001</v>
      </c>
      <c r="AY61" s="731">
        <f>IFERROR(INDEX(MassProp!E$9:E$150,MATCH($M61,MassProp!$B$9:$B$150,0)),"")</f>
        <v>1.0699999999999999E-2</v>
      </c>
      <c r="AZ61" s="297">
        <f t="shared" si="138"/>
        <v>0.34141847947918663</v>
      </c>
      <c r="BA61" s="296">
        <f t="shared" si="322"/>
        <v>1.8914740247666501E-2</v>
      </c>
      <c r="BB61" s="177">
        <f t="shared" si="139"/>
        <v>0.22135663156362273</v>
      </c>
      <c r="BC61" s="9"/>
      <c r="BD61" s="5">
        <f t="shared" si="235"/>
        <v>5.0782999999999996</v>
      </c>
      <c r="BE61" s="6">
        <f t="shared" si="324"/>
        <v>-0.43524534874794985</v>
      </c>
      <c r="BF61" s="4">
        <f t="shared" si="325"/>
        <v>-3.9625272161437115</v>
      </c>
      <c r="BG61" s="5">
        <f t="shared" si="326"/>
        <v>2.9267679927215817</v>
      </c>
      <c r="BH61" s="10">
        <f t="shared" si="327"/>
        <v>-0.65660198031157258</v>
      </c>
      <c r="BI61" s="9">
        <f t="shared" si="140"/>
        <v>-3.9625272161437115</v>
      </c>
      <c r="BJ61" s="5">
        <f t="shared" si="329"/>
        <v>3.2738536389853703</v>
      </c>
      <c r="BK61" s="8">
        <f t="shared" si="330"/>
        <v>0.28123145594331389</v>
      </c>
      <c r="BL61" s="173">
        <f t="shared" si="331"/>
        <v>-3.2637821726140448</v>
      </c>
      <c r="BM61" s="5">
        <f t="shared" si="332"/>
        <v>2.2558693485338304</v>
      </c>
      <c r="BN61" s="6">
        <f t="shared" si="333"/>
        <v>-0.40830704808426999</v>
      </c>
      <c r="BO61" s="4">
        <f t="shared" si="141"/>
        <v>0.71537078787347985</v>
      </c>
      <c r="BP61" s="5">
        <f t="shared" si="142"/>
        <v>0.65530646523949754</v>
      </c>
      <c r="BQ61" s="5">
        <f t="shared" si="143"/>
        <v>-0.24252437500711377</v>
      </c>
      <c r="BR61" s="6">
        <f t="shared" si="144"/>
        <v>0.75750424379285808</v>
      </c>
      <c r="BS61" s="4">
        <f t="shared" si="554"/>
        <v>0</v>
      </c>
      <c r="BT61" s="5">
        <f t="shared" si="554"/>
        <v>0</v>
      </c>
      <c r="BU61" s="10">
        <f t="shared" si="111"/>
        <v>-0.43524534874794985</v>
      </c>
      <c r="BV61" s="9">
        <f t="shared" si="112"/>
        <v>0</v>
      </c>
      <c r="BW61" s="5">
        <f t="shared" si="113"/>
        <v>1</v>
      </c>
      <c r="BX61" s="8">
        <f t="shared" si="114"/>
        <v>-0.43524534874794985</v>
      </c>
      <c r="BY61" s="173">
        <f t="shared" si="115"/>
        <v>1</v>
      </c>
      <c r="BZ61" s="5">
        <f t="shared" si="116"/>
        <v>0</v>
      </c>
      <c r="CA61" s="6">
        <f t="shared" si="117"/>
        <v>-0.43524534874794985</v>
      </c>
      <c r="CB61" s="4">
        <f t="shared" si="145"/>
        <v>0</v>
      </c>
      <c r="CC61" s="5">
        <f t="shared" si="146"/>
        <v>0</v>
      </c>
      <c r="CD61" s="5">
        <f t="shared" si="147"/>
        <v>-1</v>
      </c>
      <c r="CE61" s="6">
        <f t="shared" si="148"/>
        <v>-0.43524534874794985</v>
      </c>
      <c r="CF61" s="4">
        <f t="shared" si="149"/>
        <v>-0.65530646523949754</v>
      </c>
      <c r="CG61" s="5">
        <f t="shared" si="150"/>
        <v>0.71537078787347985</v>
      </c>
      <c r="CH61" s="5">
        <f t="shared" si="151"/>
        <v>0</v>
      </c>
      <c r="CI61" s="4">
        <f t="shared" si="118"/>
        <v>0</v>
      </c>
      <c r="CJ61" s="5">
        <f t="shared" si="119"/>
        <v>-1.3170354570777523</v>
      </c>
      <c r="CK61" s="8">
        <f t="shared" si="120"/>
        <v>-0.43524534874794979</v>
      </c>
      <c r="CL61" s="173">
        <f t="shared" si="121"/>
        <v>-0.65530646523949754</v>
      </c>
      <c r="CM61" s="5">
        <f t="shared" si="122"/>
        <v>-0.60166466920427242</v>
      </c>
      <c r="CN61" s="6">
        <f t="shared" si="123"/>
        <v>-0.43524534874794979</v>
      </c>
      <c r="CO61" s="167">
        <f t="shared" si="350"/>
        <v>0.3125</v>
      </c>
      <c r="CP61" s="4">
        <f t="shared" si="236"/>
        <v>0.94118192752740804</v>
      </c>
      <c r="CQ61" s="5">
        <f t="shared" si="237"/>
        <v>-11.265125441779166</v>
      </c>
      <c r="CR61" s="5">
        <f t="shared" si="152"/>
        <v>33.662832167545552</v>
      </c>
      <c r="CS61" s="8">
        <f t="shared" si="153"/>
        <v>0.17165415709160925</v>
      </c>
      <c r="CT61" s="9">
        <f t="shared" si="154"/>
        <v>6.2046649891989185</v>
      </c>
      <c r="CU61" s="6">
        <f t="shared" si="155"/>
        <v>5.7644613957221464</v>
      </c>
      <c r="CV61" s="4">
        <f t="shared" si="238"/>
        <v>-4.0659570820672082</v>
      </c>
      <c r="CW61" s="5">
        <f t="shared" si="156"/>
        <v>3.121600624736474</v>
      </c>
      <c r="CX61" s="8">
        <f t="shared" si="157"/>
        <v>-0.43524534874794979</v>
      </c>
      <c r="CY61" s="9">
        <f t="shared" si="158"/>
        <v>-3.7774888212402202</v>
      </c>
      <c r="CZ61" s="5">
        <f t="shared" si="159"/>
        <v>2.8066918332462594</v>
      </c>
      <c r="DA61" s="6">
        <f t="shared" si="160"/>
        <v>-0.43524534874794979</v>
      </c>
      <c r="DB61" s="4">
        <f t="shared" si="555"/>
        <v>0</v>
      </c>
      <c r="DC61" s="5">
        <f t="shared" si="555"/>
        <v>0</v>
      </c>
      <c r="DD61" s="10">
        <f t="shared" si="162"/>
        <v>-10</v>
      </c>
      <c r="DE61" s="9">
        <f t="shared" si="556"/>
        <v>0</v>
      </c>
      <c r="DF61" s="5">
        <f t="shared" si="556"/>
        <v>0</v>
      </c>
      <c r="DG61" s="10">
        <f t="shared" si="164"/>
        <v>10</v>
      </c>
      <c r="DH61" s="70">
        <f t="shared" si="165"/>
        <v>5.0782999999999996</v>
      </c>
      <c r="DI61" s="4">
        <f t="shared" si="166"/>
        <v>0</v>
      </c>
      <c r="DJ61" s="5">
        <f t="shared" si="167"/>
        <v>0</v>
      </c>
      <c r="DK61" s="10">
        <f t="shared" si="168"/>
        <v>20</v>
      </c>
      <c r="DL61" s="9">
        <f t="shared" si="169"/>
        <v>-4.0659570820672082</v>
      </c>
      <c r="DM61" s="173">
        <f t="shared" si="170"/>
        <v>3.121600624736474</v>
      </c>
      <c r="DN61" s="178">
        <f t="shared" si="171"/>
        <v>9.5647546512520503</v>
      </c>
      <c r="DO61" s="9">
        <f t="shared" si="172"/>
        <v>0.28846826082698795</v>
      </c>
      <c r="DP61" s="173">
        <f t="shared" si="173"/>
        <v>-0.31490879149021467</v>
      </c>
      <c r="DQ61" s="11">
        <f t="shared" si="174"/>
        <v>0</v>
      </c>
      <c r="DR61" s="173">
        <f t="shared" si="175"/>
        <v>191.29509302504101</v>
      </c>
      <c r="DS61" s="5">
        <f t="shared" si="176"/>
        <v>0</v>
      </c>
      <c r="DT61" s="5">
        <f t="shared" si="177"/>
        <v>400</v>
      </c>
      <c r="DU61" s="5">
        <f t="shared" si="178"/>
        <v>0.18238148446237465</v>
      </c>
      <c r="DV61" s="5">
        <f t="shared" si="179"/>
        <v>-2.1559190483119646</v>
      </c>
      <c r="DW61" s="5">
        <f t="shared" si="180"/>
        <v>117.76092899221536</v>
      </c>
      <c r="DX61" s="167">
        <f t="shared" si="181"/>
        <v>91.971798102215359</v>
      </c>
      <c r="DY61" s="9">
        <f t="shared" si="182"/>
        <v>72.952593784949855</v>
      </c>
      <c r="DZ61" s="5">
        <f t="shared" si="183"/>
        <v>-862.36761932478578</v>
      </c>
      <c r="EA61" s="10">
        <f t="shared" si="184"/>
        <v>194.90662542705104</v>
      </c>
      <c r="EB61" s="6">
        <f t="shared" si="185"/>
        <v>729458.96698912361</v>
      </c>
      <c r="EC61" s="173">
        <f t="shared" si="186"/>
        <v>23.528311064703512</v>
      </c>
      <c r="ED61" s="5">
        <f t="shared" si="187"/>
        <v>0.113552084587074</v>
      </c>
      <c r="EE61" s="4">
        <f t="shared" si="188"/>
        <v>2.721213890964191</v>
      </c>
      <c r="EF61" s="5">
        <f t="shared" si="189"/>
        <v>-4.2876713784551548</v>
      </c>
      <c r="EG61" s="10">
        <f t="shared" si="190"/>
        <v>-0.43524534874794979</v>
      </c>
      <c r="EH61" s="9">
        <f t="shared" si="191"/>
        <v>-4.0332009097130959</v>
      </c>
      <c r="EI61" s="5">
        <f t="shared" si="192"/>
        <v>3.0858420750079638</v>
      </c>
      <c r="EJ61" s="6">
        <f t="shared" si="193"/>
        <v>-0.43524534874794979</v>
      </c>
      <c r="EK61" s="236" t="b">
        <f t="shared" si="194"/>
        <v>0</v>
      </c>
      <c r="EL61" s="238" t="b">
        <f t="shared" si="195"/>
        <v>1</v>
      </c>
      <c r="EM61" s="4">
        <f t="shared" si="196"/>
        <v>-4.0332009097130959</v>
      </c>
      <c r="EN61" s="5">
        <f t="shared" si="197"/>
        <v>3.0858420750079638</v>
      </c>
      <c r="EO61" s="10">
        <f t="shared" si="198"/>
        <v>-0.43524534874794979</v>
      </c>
      <c r="EP61" s="9">
        <f t="shared" si="199"/>
        <v>142.58003824004837</v>
      </c>
      <c r="EQ61" s="5">
        <f t="shared" si="200"/>
        <v>5.0782999999999996</v>
      </c>
      <c r="ER61" s="7">
        <f t="shared" si="201"/>
        <v>-0.43524534874794979</v>
      </c>
      <c r="ES61" s="21">
        <f t="shared" si="397"/>
        <v>0.71537078787348019</v>
      </c>
      <c r="ET61" s="5">
        <f t="shared" si="398"/>
        <v>0.65530646523949787</v>
      </c>
      <c r="EU61" s="10">
        <f t="shared" si="399"/>
        <v>-0.24252437500711371</v>
      </c>
      <c r="EV61" s="174">
        <f t="shared" si="557"/>
        <v>307.41996175995166</v>
      </c>
      <c r="EW61" s="9">
        <f t="shared" si="558"/>
        <v>0.95514323852399374</v>
      </c>
      <c r="EX61" s="5">
        <f t="shared" si="559"/>
        <v>-0.16995093830075209</v>
      </c>
      <c r="EY61" s="6">
        <f t="shared" si="202"/>
        <v>-0.24252437500711371</v>
      </c>
      <c r="EZ61" s="51">
        <f t="shared" si="203"/>
        <v>0.27561099632841268</v>
      </c>
      <c r="FA61" s="173">
        <f t="shared" si="560"/>
        <v>0.60764554539142834</v>
      </c>
      <c r="FB61" s="5">
        <f t="shared" si="561"/>
        <v>0.79419377495184884</v>
      </c>
      <c r="FC61" s="6">
        <f t="shared" si="562"/>
        <v>-4.8103007895197074E-3</v>
      </c>
      <c r="FD61" s="4">
        <f t="shared" si="563"/>
        <v>0.99998843043622965</v>
      </c>
      <c r="FE61" s="5">
        <f t="shared" si="564"/>
        <v>1.6653345369377348E-16</v>
      </c>
      <c r="FF61" s="7">
        <f t="shared" si="204"/>
        <v>-4.8103007895197074E-3</v>
      </c>
      <c r="FG61" s="173">
        <f t="shared" si="565"/>
        <v>-4.4845191912235904E-2</v>
      </c>
      <c r="FH61" s="5">
        <f t="shared" si="566"/>
        <v>-0.16995093830075225</v>
      </c>
      <c r="FI61" s="10">
        <f t="shared" si="567"/>
        <v>-0.237714074217594</v>
      </c>
      <c r="FJ61" s="279">
        <f t="shared" si="206"/>
        <v>17.001166532461014</v>
      </c>
      <c r="FK61" s="4">
        <f t="shared" si="568"/>
        <v>0.97014531258333103</v>
      </c>
      <c r="FL61" s="5">
        <f t="shared" si="207"/>
        <v>0.99998843043622987</v>
      </c>
      <c r="FM61" s="8">
        <f t="shared" si="208"/>
        <v>0.17576806498039219</v>
      </c>
      <c r="FN61" s="9">
        <f t="shared" si="209"/>
        <v>10.089186096929181</v>
      </c>
      <c r="FO61" s="10">
        <f t="shared" si="569"/>
        <v>1</v>
      </c>
      <c r="FP61" s="277">
        <f t="shared" si="570"/>
        <v>10.089186096929181</v>
      </c>
      <c r="FQ61" s="173">
        <f t="shared" si="239"/>
        <v>0.17518090959817403</v>
      </c>
      <c r="FR61" s="10">
        <f t="shared" si="210"/>
        <v>0.98453626084180179</v>
      </c>
      <c r="FS61" s="9">
        <f t="shared" si="211"/>
        <v>0.15105485549697739</v>
      </c>
      <c r="FT61" s="6">
        <f t="shared" si="212"/>
        <v>0.84894514450302261</v>
      </c>
      <c r="FU61" s="4">
        <f t="shared" si="213"/>
        <v>0.9854525247675272</v>
      </c>
      <c r="FV61" s="5">
        <f t="shared" si="214"/>
        <v>0.99999999999999989</v>
      </c>
      <c r="FW61" s="8">
        <f t="shared" si="240"/>
        <v>0.24190715640256089</v>
      </c>
      <c r="FX61" s="9">
        <f t="shared" si="241"/>
        <v>13.971509084123479</v>
      </c>
      <c r="FY61" s="10">
        <f t="shared" si="571"/>
        <v>1</v>
      </c>
      <c r="FZ61" s="277">
        <f t="shared" si="242"/>
        <v>13.971509084123479</v>
      </c>
      <c r="GA61" s="177">
        <f t="shared" si="215"/>
        <v>13.767580092908231</v>
      </c>
      <c r="GB61" s="4">
        <f t="shared" si="216"/>
        <v>-0.16999834083206683</v>
      </c>
      <c r="GC61" s="5">
        <f t="shared" si="217"/>
        <v>0.95540964603975242</v>
      </c>
      <c r="GD61" s="10">
        <f t="shared" si="218"/>
        <v>-0.24143937617658667</v>
      </c>
      <c r="GE61" s="311">
        <f t="shared" si="219"/>
        <v>1.3668473630484059</v>
      </c>
      <c r="GF61" s="341">
        <f t="shared" si="243"/>
        <v>0.73161058581534222</v>
      </c>
      <c r="GG61" s="285">
        <f t="shared" si="572"/>
        <v>0.12437258572378462</v>
      </c>
      <c r="GH61" s="286">
        <f t="shared" si="573"/>
        <v>0.69898781083277206</v>
      </c>
      <c r="GI61" s="281">
        <f t="shared" si="574"/>
        <v>0.17663960344344334</v>
      </c>
      <c r="GJ61" s="167">
        <f t="shared" si="220"/>
        <v>5.0782999999999996</v>
      </c>
      <c r="GK61" s="174">
        <f t="shared" si="575"/>
        <v>2.6590224258503632</v>
      </c>
      <c r="GL61" s="174">
        <f t="shared" si="221"/>
        <v>1.0699999999999999E-2</v>
      </c>
      <c r="GM61" s="177">
        <f t="shared" si="244"/>
        <v>0.34141847947918663</v>
      </c>
      <c r="GN61" s="280">
        <f t="shared" si="222"/>
        <v>1.8914740247666501E-2</v>
      </c>
      <c r="GO61" s="4">
        <f t="shared" si="223"/>
        <v>10.089186096929181</v>
      </c>
      <c r="GP61" s="8">
        <f t="shared" si="245"/>
        <v>13.971509084123479</v>
      </c>
      <c r="GQ61" s="177">
        <f t="shared" si="224"/>
        <v>17.001166532461014</v>
      </c>
      <c r="GR61" s="371">
        <f t="shared" si="246"/>
        <v>1221.1174293312126</v>
      </c>
      <c r="GS61" s="342">
        <f t="shared" si="576"/>
        <v>151.87353215830376</v>
      </c>
      <c r="GT61" s="343">
        <f t="shared" si="577"/>
        <v>57.11630360158928</v>
      </c>
      <c r="GU61" s="344">
        <f t="shared" si="578"/>
        <v>853.54619869796659</v>
      </c>
      <c r="GV61" s="343">
        <f t="shared" si="253"/>
        <v>321</v>
      </c>
      <c r="GW61" s="345">
        <f t="shared" si="579"/>
        <v>30000</v>
      </c>
      <c r="GX61" s="346">
        <f t="shared" si="580"/>
        <v>135.84452499999998</v>
      </c>
      <c r="GY61" s="344">
        <f t="shared" si="581"/>
        <v>215.69769847494234</v>
      </c>
      <c r="GZ61" s="345">
        <f t="shared" si="582"/>
        <v>81.119172361234064</v>
      </c>
      <c r="HA61" s="342">
        <f t="shared" si="583"/>
        <v>151.87353215830376</v>
      </c>
      <c r="HB61" s="5">
        <f t="shared" si="225"/>
        <v>307.41996175995166</v>
      </c>
      <c r="HC61" s="343">
        <f t="shared" si="226"/>
        <v>92.286342991585499</v>
      </c>
      <c r="HD61" s="363">
        <f t="shared" si="227"/>
        <v>-120.61840932245278</v>
      </c>
      <c r="HE61" s="344">
        <f t="shared" si="584"/>
        <v>321</v>
      </c>
      <c r="HF61" s="5">
        <f t="shared" si="585"/>
        <v>397.41996175995166</v>
      </c>
      <c r="HG61" s="343">
        <f t="shared" si="228"/>
        <v>254.9391512943119</v>
      </c>
      <c r="HH61" s="349">
        <f t="shared" si="229"/>
        <v>195.05647678899552</v>
      </c>
      <c r="HI61" s="317">
        <f t="shared" si="453"/>
        <v>6.1319999999999997</v>
      </c>
      <c r="HK61" s="310" t="str">
        <f t="shared" si="506"/>
        <v/>
      </c>
      <c r="HL61" s="348" t="str">
        <f t="shared" si="454"/>
        <v/>
      </c>
      <c r="HM61" s="935" t="str">
        <f t="shared" si="455"/>
        <v/>
      </c>
      <c r="HN61" s="936" t="str">
        <f t="shared" si="456"/>
        <v/>
      </c>
      <c r="HO61" s="937"/>
      <c r="HP61" s="938"/>
      <c r="HQ61" s="936" t="str">
        <f t="shared" si="457"/>
        <v/>
      </c>
      <c r="HR61" s="939" t="str">
        <f t="shared" si="458"/>
        <v/>
      </c>
      <c r="HS61" s="940" t="str">
        <f t="shared" si="507"/>
        <v/>
      </c>
      <c r="HT61" s="941" t="str">
        <f t="shared" si="459"/>
        <v/>
      </c>
      <c r="HU61" s="942" t="str">
        <f t="shared" si="460"/>
        <v/>
      </c>
      <c r="HV61" s="943" t="str">
        <f t="shared" si="461"/>
        <v/>
      </c>
      <c r="HW61" s="944" t="str">
        <f t="shared" si="462"/>
        <v/>
      </c>
      <c r="HX61" s="947" t="str">
        <f t="shared" si="463"/>
        <v/>
      </c>
      <c r="HY61" s="952" t="str">
        <f t="shared" si="464"/>
        <v/>
      </c>
      <c r="HZ61" s="953" t="str">
        <f t="shared" si="465"/>
        <v/>
      </c>
      <c r="IA61" s="954" t="str">
        <f t="shared" si="466"/>
        <v/>
      </c>
      <c r="IB61" s="955" t="str">
        <f t="shared" si="467"/>
        <v/>
      </c>
      <c r="IC61" s="842" t="str">
        <f t="shared" si="468"/>
        <v/>
      </c>
      <c r="ID61" s="351" t="str">
        <f t="shared" si="469"/>
        <v/>
      </c>
      <c r="IE61" s="844" t="str">
        <f t="shared" si="470"/>
        <v/>
      </c>
      <c r="IF61" s="845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0"/>
        <v>6.1319999999999997</v>
      </c>
      <c r="IJ61" s="96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71"/>
        <v>1613</v>
      </c>
      <c r="IM61" s="482" t="str">
        <f t="shared" si="231"/>
        <v/>
      </c>
      <c r="IN61" s="670" t="str">
        <f t="shared" si="472"/>
        <v/>
      </c>
      <c r="IO61" s="702"/>
      <c r="IP61" s="5" t="str">
        <f t="shared" si="473"/>
        <v/>
      </c>
      <c r="IQ61" s="714"/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>
        <f t="shared" si="308"/>
        <v>0</v>
      </c>
      <c r="B62" s="578">
        <f t="shared" ref="B62:D62" si="601">IFERROR(O217+($A62*-E62),"")</f>
        <v>-4.3159789483179045</v>
      </c>
      <c r="C62" s="572">
        <f t="shared" si="601"/>
        <v>3.2641492059204738</v>
      </c>
      <c r="D62" s="576">
        <f t="shared" si="601"/>
        <v>-1.2255036961191477</v>
      </c>
      <c r="E62" s="580">
        <f t="shared" ref="E62:K62" si="602">R217</f>
        <v>-0.78051884206384037</v>
      </c>
      <c r="F62" s="572">
        <f t="shared" si="602"/>
        <v>-0.5908372192746848</v>
      </c>
      <c r="G62" s="579">
        <f t="shared" si="602"/>
        <v>0.20420998384770486</v>
      </c>
      <c r="H62" s="580">
        <f t="shared" si="602"/>
        <v>0.3125</v>
      </c>
      <c r="I62" s="572">
        <f t="shared" si="602"/>
        <v>0.52</v>
      </c>
      <c r="J62" s="483">
        <f t="shared" si="92"/>
        <v>6.1379999999999999</v>
      </c>
      <c r="K62" s="806">
        <f t="shared" si="602"/>
        <v>1613</v>
      </c>
      <c r="L62" s="309"/>
      <c r="M62" s="164">
        <f t="shared" si="311"/>
        <v>6.1379999999999999</v>
      </c>
      <c r="N62" s="575">
        <f t="shared" si="312"/>
        <v>-4.3159789483179045</v>
      </c>
      <c r="O62" s="572">
        <f t="shared" si="313"/>
        <v>3.2641492059204738</v>
      </c>
      <c r="P62" s="576">
        <f t="shared" si="314"/>
        <v>-1.2255036961191477</v>
      </c>
      <c r="Q62" s="528">
        <f t="shared" si="134"/>
        <v>142.90000030320246</v>
      </c>
      <c r="R62" s="572">
        <f t="shared" si="93"/>
        <v>5.4113163205300232</v>
      </c>
      <c r="S62" s="577">
        <f t="shared" si="94"/>
        <v>-1.2255036961191477</v>
      </c>
      <c r="T62" s="578">
        <f t="shared" si="95"/>
        <v>3.2633958758862875</v>
      </c>
      <c r="U62" s="572">
        <f t="shared" si="96"/>
        <v>4.3165485840058562</v>
      </c>
      <c r="V62" s="579">
        <f t="shared" si="135"/>
        <v>-1.2255036961191477</v>
      </c>
      <c r="W62" s="528">
        <f t="shared" si="256"/>
        <v>52.910000301758643</v>
      </c>
      <c r="X62" s="572">
        <f t="shared" si="97"/>
        <v>5.4113163205300232</v>
      </c>
      <c r="Y62" s="573">
        <f t="shared" si="259"/>
        <v>-1.2255036961191477</v>
      </c>
      <c r="Z62" s="575">
        <f t="shared" si="315"/>
        <v>0.78051884206384037</v>
      </c>
      <c r="AA62" s="572">
        <f t="shared" si="316"/>
        <v>0.5908372192746848</v>
      </c>
      <c r="AB62" s="572">
        <f t="shared" si="317"/>
        <v>-0.20420998384770486</v>
      </c>
      <c r="AC62" s="579">
        <f t="shared" si="98"/>
        <v>1</v>
      </c>
      <c r="AD62" s="580">
        <f t="shared" si="136"/>
        <v>0.78051884206384037</v>
      </c>
      <c r="AE62" s="572">
        <f t="shared" si="99"/>
        <v>0.5908372192746848</v>
      </c>
      <c r="AF62" s="576">
        <f t="shared" si="100"/>
        <v>-0.20420998384770486</v>
      </c>
      <c r="AG62" s="545">
        <f t="shared" si="101"/>
        <v>70.933408879723984</v>
      </c>
      <c r="AH62" s="546">
        <f t="shared" si="102"/>
        <v>38.691895332389159</v>
      </c>
      <c r="AI62" s="528">
        <f t="shared" si="103"/>
        <v>-78.21674382947397</v>
      </c>
      <c r="AJ62" s="529">
        <f t="shared" si="104"/>
        <v>127.12499607918951</v>
      </c>
      <c r="AK62" s="578">
        <f t="shared" si="234"/>
        <v>0.94205746935554657</v>
      </c>
      <c r="AL62" s="572">
        <f t="shared" si="105"/>
        <v>-0.26613155943695121</v>
      </c>
      <c r="AM62" s="577">
        <f t="shared" si="106"/>
        <v>-0.20420998384770486</v>
      </c>
      <c r="AN62" s="524">
        <f t="shared" si="107"/>
        <v>-52.499992419938899</v>
      </c>
      <c r="AO62" s="525">
        <f t="shared" si="590"/>
        <v>19.599997170110559</v>
      </c>
      <c r="AP62" s="528">
        <f t="shared" si="109"/>
        <v>-15.775004224012937</v>
      </c>
      <c r="AQ62" s="529">
        <f t="shared" si="318"/>
        <v>0.25864993424560628</v>
      </c>
      <c r="AS62" s="900">
        <f t="shared" si="510"/>
        <v>-307.08999969824134</v>
      </c>
      <c r="AT62" s="896">
        <f t="shared" si="319"/>
        <v>-1.0945695877212882</v>
      </c>
      <c r="AU62" s="418"/>
      <c r="AV62" s="164">
        <f t="shared" si="320"/>
        <v>6.1379999999999999</v>
      </c>
      <c r="AW62" s="797">
        <f>IFERROR(INDEX(MassProp!C$9:C$150,MATCH($M62,MassProp!$B$9:$B$150,0)),"")</f>
        <v>5.6275000000000004</v>
      </c>
      <c r="AX62" s="744">
        <f>IFERROR(INDEX(MassProp!D$9:D$150,MATCH($M62,MassProp!$B$9:$B$150,0)),"")</f>
        <v>-0.77790000000000004</v>
      </c>
      <c r="AY62" s="731">
        <f>IFERROR(INDEX(MassProp!E$9:E$150,MATCH($M62,MassProp!$B$9:$B$150,0)),"")</f>
        <v>8.0000000000000002E-3</v>
      </c>
      <c r="AZ62" s="297">
        <f t="shared" si="138"/>
        <v>0.2828716676293726</v>
      </c>
      <c r="BA62" s="296">
        <f t="shared" si="322"/>
        <v>1.5671220037051351E-2</v>
      </c>
      <c r="BB62" s="177">
        <f t="shared" si="139"/>
        <v>0.16318121562826493</v>
      </c>
      <c r="BC62" s="9"/>
      <c r="BD62" s="5">
        <f t="shared" si="235"/>
        <v>5.6275000000000004</v>
      </c>
      <c r="BE62" s="6">
        <f t="shared" si="324"/>
        <v>-1.0623224804908826</v>
      </c>
      <c r="BF62" s="4">
        <f t="shared" si="325"/>
        <v>-4.3159789483179045</v>
      </c>
      <c r="BG62" s="5">
        <f t="shared" si="326"/>
        <v>3.2641492059204738</v>
      </c>
      <c r="BH62" s="10">
        <f t="shared" si="327"/>
        <v>-1.2255036961191477</v>
      </c>
      <c r="BI62" s="9">
        <f t="shared" si="140"/>
        <v>-4.3159789483179045</v>
      </c>
      <c r="BJ62" s="5">
        <f t="shared" si="329"/>
        <v>3.5908160543645637</v>
      </c>
      <c r="BK62" s="8">
        <f t="shared" si="330"/>
        <v>-0.28036414550897149</v>
      </c>
      <c r="BL62" s="173">
        <f t="shared" si="331"/>
        <v>-3.6908466925645147</v>
      </c>
      <c r="BM62" s="5">
        <f t="shared" si="332"/>
        <v>2.5264499782894805</v>
      </c>
      <c r="BN62" s="6">
        <f t="shared" si="333"/>
        <v>-0.97053406583092239</v>
      </c>
      <c r="BO62" s="4">
        <f t="shared" si="141"/>
        <v>0.7805188420638407</v>
      </c>
      <c r="BP62" s="5">
        <f t="shared" si="142"/>
        <v>0.59083721927468413</v>
      </c>
      <c r="BQ62" s="5">
        <f t="shared" si="143"/>
        <v>-0.20420998384770384</v>
      </c>
      <c r="BR62" s="6">
        <f t="shared" si="144"/>
        <v>1.1898619609994898</v>
      </c>
      <c r="BS62" s="4">
        <f t="shared" si="554"/>
        <v>0</v>
      </c>
      <c r="BT62" s="5">
        <f t="shared" si="554"/>
        <v>0</v>
      </c>
      <c r="BU62" s="10">
        <f t="shared" si="111"/>
        <v>-1.0623224804908826</v>
      </c>
      <c r="BV62" s="9">
        <f t="shared" si="112"/>
        <v>0</v>
      </c>
      <c r="BW62" s="5">
        <f t="shared" si="113"/>
        <v>1</v>
      </c>
      <c r="BX62" s="8">
        <f t="shared" si="114"/>
        <v>-1.0623224804908826</v>
      </c>
      <c r="BY62" s="173">
        <f t="shared" si="115"/>
        <v>1</v>
      </c>
      <c r="BZ62" s="5">
        <f t="shared" si="116"/>
        <v>0</v>
      </c>
      <c r="CA62" s="6">
        <f t="shared" si="117"/>
        <v>-1.0623224804908826</v>
      </c>
      <c r="CB62" s="4">
        <f t="shared" si="145"/>
        <v>0</v>
      </c>
      <c r="CC62" s="5">
        <f t="shared" si="146"/>
        <v>0</v>
      </c>
      <c r="CD62" s="5">
        <f t="shared" si="147"/>
        <v>-1</v>
      </c>
      <c r="CE62" s="6">
        <f t="shared" si="148"/>
        <v>-1.0623224804908826</v>
      </c>
      <c r="CF62" s="4">
        <f t="shared" si="149"/>
        <v>-0.59083721927468413</v>
      </c>
      <c r="CG62" s="5">
        <f t="shared" si="150"/>
        <v>0.7805188420638407</v>
      </c>
      <c r="CH62" s="5">
        <f t="shared" si="151"/>
        <v>0</v>
      </c>
      <c r="CI62" s="4">
        <f t="shared" si="118"/>
        <v>0</v>
      </c>
      <c r="CJ62" s="5">
        <f t="shared" si="119"/>
        <v>-2.3810260621505561</v>
      </c>
      <c r="CK62" s="8">
        <f t="shared" si="120"/>
        <v>-1.0623224804908826</v>
      </c>
      <c r="CL62" s="173">
        <f t="shared" si="121"/>
        <v>-0.59083721927468413</v>
      </c>
      <c r="CM62" s="5">
        <f t="shared" si="122"/>
        <v>-1.6005072200867154</v>
      </c>
      <c r="CN62" s="6">
        <f t="shared" si="123"/>
        <v>-1.0623224804908826</v>
      </c>
      <c r="CO62" s="167">
        <f t="shared" si="350"/>
        <v>0.3125</v>
      </c>
      <c r="CP62" s="4">
        <f t="shared" si="236"/>
        <v>0.95829828249691984</v>
      </c>
      <c r="CQ62" s="5">
        <f t="shared" si="237"/>
        <v>-13.912413327508919</v>
      </c>
      <c r="CR62" s="5">
        <f t="shared" si="152"/>
        <v>50.424649948698068</v>
      </c>
      <c r="CS62" s="8">
        <f t="shared" si="153"/>
        <v>0.26782283006477314</v>
      </c>
      <c r="CT62" s="9">
        <f t="shared" si="154"/>
        <v>7.5289341587094096</v>
      </c>
      <c r="CU62" s="6">
        <f t="shared" si="155"/>
        <v>6.9888976913686855</v>
      </c>
      <c r="CV62" s="4">
        <f t="shared" si="238"/>
        <v>-4.448374522434051</v>
      </c>
      <c r="CW62" s="5">
        <f t="shared" si="156"/>
        <v>3.495448909380209</v>
      </c>
      <c r="CX62" s="8">
        <f t="shared" si="157"/>
        <v>-1.0623224804908826</v>
      </c>
      <c r="CY62" s="9">
        <f t="shared" si="158"/>
        <v>-4.1293008777635336</v>
      </c>
      <c r="CZ62" s="5">
        <f t="shared" si="159"/>
        <v>3.0739402712191799</v>
      </c>
      <c r="DA62" s="6">
        <f t="shared" si="160"/>
        <v>-1.0623224804908826</v>
      </c>
      <c r="DB62" s="4">
        <f t="shared" si="555"/>
        <v>0</v>
      </c>
      <c r="DC62" s="5">
        <f t="shared" si="555"/>
        <v>0</v>
      </c>
      <c r="DD62" s="10">
        <f t="shared" si="162"/>
        <v>-10</v>
      </c>
      <c r="DE62" s="9">
        <f t="shared" si="556"/>
        <v>0</v>
      </c>
      <c r="DF62" s="5">
        <f t="shared" si="556"/>
        <v>0</v>
      </c>
      <c r="DG62" s="10">
        <f t="shared" si="164"/>
        <v>10</v>
      </c>
      <c r="DH62" s="70">
        <f t="shared" si="165"/>
        <v>5.6275000000000004</v>
      </c>
      <c r="DI62" s="4">
        <f t="shared" si="166"/>
        <v>0</v>
      </c>
      <c r="DJ62" s="5">
        <f t="shared" si="167"/>
        <v>0</v>
      </c>
      <c r="DK62" s="10">
        <f t="shared" si="168"/>
        <v>20</v>
      </c>
      <c r="DL62" s="9">
        <f t="shared" si="169"/>
        <v>-4.448374522434051</v>
      </c>
      <c r="DM62" s="173">
        <f t="shared" si="170"/>
        <v>3.495448909380209</v>
      </c>
      <c r="DN62" s="178">
        <f t="shared" si="171"/>
        <v>8.9376775195091174</v>
      </c>
      <c r="DO62" s="9">
        <f t="shared" si="172"/>
        <v>0.31907364467051735</v>
      </c>
      <c r="DP62" s="173">
        <f t="shared" si="173"/>
        <v>-0.42150863816102913</v>
      </c>
      <c r="DQ62" s="11">
        <f t="shared" si="174"/>
        <v>0</v>
      </c>
      <c r="DR62" s="173">
        <f t="shared" si="175"/>
        <v>178.75355039018234</v>
      </c>
      <c r="DS62" s="5">
        <f t="shared" si="176"/>
        <v>0</v>
      </c>
      <c r="DT62" s="5">
        <f t="shared" si="177"/>
        <v>400</v>
      </c>
      <c r="DU62" s="5">
        <f t="shared" si="178"/>
        <v>0.27947752276769294</v>
      </c>
      <c r="DV62" s="5">
        <f t="shared" si="179"/>
        <v>-2.8927209812868111</v>
      </c>
      <c r="DW62" s="5">
        <f t="shared" si="180"/>
        <v>111.8882784126663</v>
      </c>
      <c r="DX62" s="167">
        <f t="shared" si="181"/>
        <v>80.219522162666294</v>
      </c>
      <c r="DY62" s="9">
        <f t="shared" si="182"/>
        <v>111.79100910707717</v>
      </c>
      <c r="DZ62" s="5">
        <f t="shared" si="183"/>
        <v>-1157.0883925147245</v>
      </c>
      <c r="EA62" s="10">
        <f t="shared" si="184"/>
        <v>134.97708797105952</v>
      </c>
      <c r="EB62" s="6">
        <f t="shared" si="185"/>
        <v>1323764.3232216898</v>
      </c>
      <c r="EC62" s="173">
        <f t="shared" si="186"/>
        <v>20.642428987600137</v>
      </c>
      <c r="ED62" s="5">
        <f t="shared" si="187"/>
        <v>5.849144879070995E-2</v>
      </c>
      <c r="EE62" s="4">
        <f t="shared" si="188"/>
        <v>2.1380805294918623</v>
      </c>
      <c r="EF62" s="5">
        <f t="shared" si="189"/>
        <v>-5.2055132215188769</v>
      </c>
      <c r="EG62" s="10">
        <f t="shared" si="190"/>
        <v>-1.0623224804908826</v>
      </c>
      <c r="EH62" s="9">
        <f t="shared" si="191"/>
        <v>-4.4297114426863402</v>
      </c>
      <c r="EI62" s="5">
        <f t="shared" si="192"/>
        <v>3.4707942584563711</v>
      </c>
      <c r="EJ62" s="6">
        <f t="shared" si="193"/>
        <v>-1.0623224804908826</v>
      </c>
      <c r="EK62" s="236" t="b">
        <f t="shared" si="194"/>
        <v>0</v>
      </c>
      <c r="EL62" s="238" t="b">
        <f t="shared" si="195"/>
        <v>1</v>
      </c>
      <c r="EM62" s="4">
        <f t="shared" si="196"/>
        <v>-4.4297114426863402</v>
      </c>
      <c r="EN62" s="5">
        <f t="shared" si="197"/>
        <v>3.4707942584563711</v>
      </c>
      <c r="EO62" s="10">
        <f t="shared" si="198"/>
        <v>-1.0623224804908826</v>
      </c>
      <c r="EP62" s="9">
        <f t="shared" si="199"/>
        <v>141.92037622914847</v>
      </c>
      <c r="EQ62" s="5">
        <f t="shared" si="200"/>
        <v>5.6275000000000004</v>
      </c>
      <c r="ER62" s="7">
        <f t="shared" si="201"/>
        <v>-1.0623224804908826</v>
      </c>
      <c r="ES62" s="21">
        <f t="shared" si="397"/>
        <v>0.78051884206384037</v>
      </c>
      <c r="ET62" s="5">
        <f t="shared" si="398"/>
        <v>0.5908372192746848</v>
      </c>
      <c r="EU62" s="10">
        <f t="shared" si="399"/>
        <v>-0.20420998384770486</v>
      </c>
      <c r="EV62" s="174">
        <f t="shared" si="557"/>
        <v>308.07962377085153</v>
      </c>
      <c r="EW62" s="9">
        <f t="shared" si="558"/>
        <v>0.9464697834985768</v>
      </c>
      <c r="EX62" s="5">
        <f t="shared" si="559"/>
        <v>-0.2499864624756255</v>
      </c>
      <c r="EY62" s="6">
        <f t="shared" si="202"/>
        <v>-0.20420998384770486</v>
      </c>
      <c r="EZ62" s="51">
        <f t="shared" si="203"/>
        <v>0.24871387417829682</v>
      </c>
      <c r="FA62" s="173">
        <f t="shared" si="560"/>
        <v>0.61675016580449926</v>
      </c>
      <c r="FB62" s="5">
        <f t="shared" si="561"/>
        <v>0.78714699382900022</v>
      </c>
      <c r="FC62" s="6">
        <f t="shared" si="562"/>
        <v>-4.3408623671460402E-3</v>
      </c>
      <c r="FD62" s="4">
        <f t="shared" si="563"/>
        <v>0.99999057841257155</v>
      </c>
      <c r="FE62" s="5">
        <f t="shared" si="564"/>
        <v>-3.3306690738754696E-16</v>
      </c>
      <c r="FF62" s="7">
        <f t="shared" si="204"/>
        <v>-4.3408623671460402E-3</v>
      </c>
      <c r="FG62" s="173">
        <f t="shared" si="565"/>
        <v>-5.3520794913994751E-2</v>
      </c>
      <c r="FH62" s="5">
        <f t="shared" si="566"/>
        <v>-0.24998646247562517</v>
      </c>
      <c r="FI62" s="10">
        <f t="shared" si="567"/>
        <v>-0.19986912148055883</v>
      </c>
      <c r="FJ62" s="279">
        <f t="shared" si="206"/>
        <v>18.675495238899053</v>
      </c>
      <c r="FK62" s="4">
        <f t="shared" si="568"/>
        <v>0.97892710785682102</v>
      </c>
      <c r="FL62" s="5">
        <f t="shared" si="207"/>
        <v>0.99999057841257155</v>
      </c>
      <c r="FM62" s="8">
        <f t="shared" si="208"/>
        <v>0.25565153414228331</v>
      </c>
      <c r="FN62" s="9">
        <f t="shared" si="209"/>
        <v>14.795380149958927</v>
      </c>
      <c r="FO62" s="10">
        <f t="shared" si="569"/>
        <v>1</v>
      </c>
      <c r="FP62" s="277">
        <f t="shared" si="570"/>
        <v>14.795380149958927</v>
      </c>
      <c r="FQ62" s="173">
        <f t="shared" si="239"/>
        <v>0.25536780059439129</v>
      </c>
      <c r="FR62" s="10">
        <f t="shared" si="210"/>
        <v>0.96684398246024328</v>
      </c>
      <c r="FS62" s="9">
        <f t="shared" si="211"/>
        <v>0.20893907597270805</v>
      </c>
      <c r="FT62" s="6">
        <f t="shared" si="212"/>
        <v>0.79106092402729189</v>
      </c>
      <c r="FU62" s="4">
        <f t="shared" si="213"/>
        <v>0.96824933182467143</v>
      </c>
      <c r="FV62" s="5">
        <f t="shared" si="214"/>
        <v>1</v>
      </c>
      <c r="FW62" s="8">
        <f t="shared" si="240"/>
        <v>0.20691094995102668</v>
      </c>
      <c r="FX62" s="9">
        <f t="shared" si="241"/>
        <v>11.926761185147811</v>
      </c>
      <c r="FY62" s="10">
        <f t="shared" si="571"/>
        <v>1</v>
      </c>
      <c r="FZ62" s="277">
        <f t="shared" si="242"/>
        <v>11.926761185147811</v>
      </c>
      <c r="GA62" s="177">
        <f t="shared" si="215"/>
        <v>11.547528904436435</v>
      </c>
      <c r="GB62" s="4">
        <f t="shared" si="216"/>
        <v>-0.24985506516048792</v>
      </c>
      <c r="GC62" s="5">
        <f t="shared" si="217"/>
        <v>0.94597230220627682</v>
      </c>
      <c r="GD62" s="10">
        <f t="shared" si="218"/>
        <v>-0.20666119585496631</v>
      </c>
      <c r="GE62" s="311">
        <f t="shared" si="219"/>
        <v>1.402488563221731</v>
      </c>
      <c r="GF62" s="341">
        <f t="shared" si="243"/>
        <v>0.71301829207280443</v>
      </c>
      <c r="GG62" s="285">
        <f t="shared" si="572"/>
        <v>0.17815123182647036</v>
      </c>
      <c r="GH62" s="286">
        <f t="shared" si="573"/>
        <v>0.67449555526729832</v>
      </c>
      <c r="GI62" s="281">
        <f t="shared" si="574"/>
        <v>0.14735321290623141</v>
      </c>
      <c r="GJ62" s="167">
        <f t="shared" si="220"/>
        <v>5.6275000000000004</v>
      </c>
      <c r="GK62" s="174">
        <f t="shared" si="575"/>
        <v>2.9465798711392979</v>
      </c>
      <c r="GL62" s="174">
        <f t="shared" si="221"/>
        <v>8.0000000000000002E-3</v>
      </c>
      <c r="GM62" s="177">
        <f t="shared" si="244"/>
        <v>0.2828716676293726</v>
      </c>
      <c r="GN62" s="280">
        <f t="shared" si="222"/>
        <v>1.5671220037051351E-2</v>
      </c>
      <c r="GO62" s="4">
        <f t="shared" si="223"/>
        <v>14.795380149958927</v>
      </c>
      <c r="GP62" s="8">
        <f t="shared" si="245"/>
        <v>11.926761185147811</v>
      </c>
      <c r="GQ62" s="177">
        <f t="shared" si="224"/>
        <v>18.675495238899053</v>
      </c>
      <c r="GR62" s="371">
        <f t="shared" si="246"/>
        <v>1048.4563812925066</v>
      </c>
      <c r="GS62" s="342">
        <f t="shared" si="576"/>
        <v>186.78379584358356</v>
      </c>
      <c r="GT62" s="343">
        <f t="shared" si="577"/>
        <v>63.390033195116963</v>
      </c>
      <c r="GU62" s="344">
        <f t="shared" si="578"/>
        <v>707.17916907343147</v>
      </c>
      <c r="GV62" s="343">
        <f t="shared" si="253"/>
        <v>240</v>
      </c>
      <c r="GW62" s="345">
        <f t="shared" si="579"/>
        <v>30000</v>
      </c>
      <c r="GX62" s="346">
        <f t="shared" si="580"/>
        <v>112.55000000000001</v>
      </c>
      <c r="GY62" s="344">
        <f t="shared" si="581"/>
        <v>154.49341637549168</v>
      </c>
      <c r="GZ62" s="345">
        <f t="shared" si="582"/>
        <v>52.431436829084376</v>
      </c>
      <c r="HA62" s="342">
        <f t="shared" si="583"/>
        <v>186.78379584358356</v>
      </c>
      <c r="HB62" s="5">
        <f t="shared" si="225"/>
        <v>308.07962377085153</v>
      </c>
      <c r="HC62" s="343">
        <f t="shared" si="226"/>
        <v>115.20002242320687</v>
      </c>
      <c r="HD62" s="363">
        <f t="shared" si="227"/>
        <v>-147.02768862846935</v>
      </c>
      <c r="HE62" s="344">
        <f t="shared" si="584"/>
        <v>240</v>
      </c>
      <c r="HF62" s="5">
        <f t="shared" si="585"/>
        <v>398.07962377085153</v>
      </c>
      <c r="HG62" s="343">
        <f t="shared" si="228"/>
        <v>188.91705841754271</v>
      </c>
      <c r="HH62" s="349">
        <f t="shared" si="229"/>
        <v>148.02143438996515</v>
      </c>
      <c r="HI62" s="317">
        <f t="shared" si="453"/>
        <v>6.1379999999999999</v>
      </c>
      <c r="HK62" s="310" t="str">
        <f t="shared" si="506"/>
        <v/>
      </c>
      <c r="HL62" s="348" t="str">
        <f t="shared" si="454"/>
        <v/>
      </c>
      <c r="HM62" s="935" t="str">
        <f t="shared" si="455"/>
        <v/>
      </c>
      <c r="HN62" s="936" t="str">
        <f t="shared" si="456"/>
        <v/>
      </c>
      <c r="HO62" s="937"/>
      <c r="HP62" s="938"/>
      <c r="HQ62" s="936" t="str">
        <f t="shared" si="457"/>
        <v/>
      </c>
      <c r="HR62" s="939" t="str">
        <f t="shared" si="458"/>
        <v/>
      </c>
      <c r="HS62" s="940" t="str">
        <f t="shared" si="507"/>
        <v/>
      </c>
      <c r="HT62" s="941" t="str">
        <f t="shared" si="459"/>
        <v/>
      </c>
      <c r="HU62" s="942" t="str">
        <f t="shared" si="460"/>
        <v/>
      </c>
      <c r="HV62" s="943" t="str">
        <f t="shared" si="461"/>
        <v/>
      </c>
      <c r="HW62" s="944" t="str">
        <f t="shared" si="462"/>
        <v/>
      </c>
      <c r="HX62" s="947" t="str">
        <f t="shared" si="463"/>
        <v/>
      </c>
      <c r="HY62" s="952" t="str">
        <f t="shared" si="464"/>
        <v/>
      </c>
      <c r="HZ62" s="953" t="str">
        <f t="shared" si="465"/>
        <v/>
      </c>
      <c r="IA62" s="954" t="str">
        <f t="shared" si="466"/>
        <v/>
      </c>
      <c r="IB62" s="955" t="str">
        <f t="shared" si="467"/>
        <v/>
      </c>
      <c r="IC62" s="842" t="str">
        <f t="shared" si="468"/>
        <v/>
      </c>
      <c r="ID62" s="351" t="str">
        <f t="shared" si="469"/>
        <v/>
      </c>
      <c r="IE62" s="844" t="str">
        <f t="shared" si="470"/>
        <v/>
      </c>
      <c r="IF62" s="845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0"/>
        <v>6.1379999999999999</v>
      </c>
      <c r="IJ62" s="96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71"/>
        <v>1613</v>
      </c>
      <c r="IM62" s="482" t="str">
        <f t="shared" si="231"/>
        <v/>
      </c>
      <c r="IN62" s="670" t="str">
        <f t="shared" si="472"/>
        <v/>
      </c>
      <c r="IO62" s="702"/>
      <c r="IP62" s="5" t="str">
        <f t="shared" si="473"/>
        <v/>
      </c>
      <c r="IQ62" s="714"/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>
        <f t="shared" si="308"/>
        <v>0</v>
      </c>
      <c r="B63" s="578">
        <f t="shared" ref="B63:D63" si="603">IFERROR(O218+($A63*-E63),"")</f>
        <v>-4.5397113049621183</v>
      </c>
      <c r="C63" s="572">
        <f t="shared" si="603"/>
        <v>3.4897414001808635</v>
      </c>
      <c r="D63" s="576">
        <f t="shared" si="603"/>
        <v>-1.9039057421797185</v>
      </c>
      <c r="E63" s="580">
        <f t="shared" ref="E63:K63" si="604">R218</f>
        <v>-0.8494762762305107</v>
      </c>
      <c r="F63" s="572">
        <f t="shared" si="604"/>
        <v>-0.50544787763847132</v>
      </c>
      <c r="G63" s="579">
        <f t="shared" si="604"/>
        <v>0.15136875209999634</v>
      </c>
      <c r="H63" s="580">
        <f t="shared" si="604"/>
        <v>0.3125</v>
      </c>
      <c r="I63" s="572">
        <f t="shared" si="604"/>
        <v>0.52</v>
      </c>
      <c r="J63" s="483">
        <f t="shared" si="92"/>
        <v>6.1440000000000001</v>
      </c>
      <c r="K63" s="806">
        <f t="shared" si="604"/>
        <v>1613</v>
      </c>
      <c r="L63" s="309"/>
      <c r="M63" s="164">
        <f t="shared" si="311"/>
        <v>6.1440000000000001</v>
      </c>
      <c r="N63" s="575">
        <f t="shared" si="312"/>
        <v>-4.5397113049621183</v>
      </c>
      <c r="O63" s="572">
        <f t="shared" si="313"/>
        <v>3.4897414001808635</v>
      </c>
      <c r="P63" s="576">
        <f t="shared" si="314"/>
        <v>-1.9039057421797185</v>
      </c>
      <c r="Q63" s="528">
        <f t="shared" si="134"/>
        <v>142.45000036817439</v>
      </c>
      <c r="R63" s="572">
        <f t="shared" si="93"/>
        <v>5.7260172696680858</v>
      </c>
      <c r="S63" s="577">
        <f t="shared" si="94"/>
        <v>-1.9039057421797185</v>
      </c>
      <c r="T63" s="578">
        <f t="shared" si="95"/>
        <v>3.488949018053884</v>
      </c>
      <c r="U63" s="572">
        <f t="shared" si="96"/>
        <v>4.5403203105021124</v>
      </c>
      <c r="V63" s="579">
        <f t="shared" si="135"/>
        <v>-1.9039057421797185</v>
      </c>
      <c r="W63" s="528">
        <f t="shared" si="256"/>
        <v>52.460000366730569</v>
      </c>
      <c r="X63" s="572">
        <f t="shared" si="97"/>
        <v>5.7260172696680858</v>
      </c>
      <c r="Y63" s="573">
        <f t="shared" si="259"/>
        <v>-1.9039057421797185</v>
      </c>
      <c r="Z63" s="575">
        <f t="shared" si="315"/>
        <v>0.8494762762305107</v>
      </c>
      <c r="AA63" s="572">
        <f t="shared" si="316"/>
        <v>0.50544787763847132</v>
      </c>
      <c r="AB63" s="572">
        <f t="shared" si="317"/>
        <v>-0.15136875209999634</v>
      </c>
      <c r="AC63" s="579">
        <f t="shared" si="98"/>
        <v>1</v>
      </c>
      <c r="AD63" s="580">
        <f t="shared" si="136"/>
        <v>0.8494762762305107</v>
      </c>
      <c r="AE63" s="572">
        <f t="shared" si="99"/>
        <v>0.50544787763847132</v>
      </c>
      <c r="AF63" s="576">
        <f t="shared" si="100"/>
        <v>-0.15136875209999634</v>
      </c>
      <c r="AG63" s="545">
        <f t="shared" si="101"/>
        <v>73.328382459607866</v>
      </c>
      <c r="AH63" s="546">
        <f t="shared" si="102"/>
        <v>31.845248084266665</v>
      </c>
      <c r="AI63" s="528">
        <f t="shared" si="103"/>
        <v>-81.293743925585446</v>
      </c>
      <c r="AJ63" s="529">
        <f t="shared" si="104"/>
        <v>120.75311843980586</v>
      </c>
      <c r="AK63" s="578">
        <f t="shared" si="234"/>
        <v>0.91844640456741278</v>
      </c>
      <c r="AL63" s="572">
        <f t="shared" si="105"/>
        <v>-0.36543631842618252</v>
      </c>
      <c r="AM63" s="577">
        <f t="shared" si="106"/>
        <v>-0.15136875209999634</v>
      </c>
      <c r="AN63" s="524">
        <f t="shared" si="107"/>
        <v>-67.499990254207034</v>
      </c>
      <c r="AO63" s="525">
        <f t="shared" si="590"/>
        <v>23.299996635896704</v>
      </c>
      <c r="AP63" s="528">
        <f t="shared" si="109"/>
        <v>-21.696881928368541</v>
      </c>
      <c r="AQ63" s="529">
        <f t="shared" si="318"/>
        <v>0.2444347547218306</v>
      </c>
      <c r="AS63" s="900">
        <f t="shared" si="510"/>
        <v>-307.53999963326942</v>
      </c>
      <c r="AT63" s="896">
        <f t="shared" si="319"/>
        <v>-1.7727797733444439</v>
      </c>
      <c r="AU63" s="418"/>
      <c r="AV63" s="164">
        <f t="shared" si="320"/>
        <v>6.1440000000000001</v>
      </c>
      <c r="AW63" s="797">
        <f>IFERROR(INDEX(MassProp!C$9:C$150,MATCH($M63,MassProp!$B$9:$B$150,0)),"")</f>
        <v>5.9837999999999996</v>
      </c>
      <c r="AX63" s="744">
        <f>IFERROR(INDEX(MassProp!D$9:D$150,MATCH($M63,MassProp!$B$9:$B$150,0)),"")</f>
        <v>-1.5334000000000001</v>
      </c>
      <c r="AY63" s="731">
        <f>IFERROR(INDEX(MassProp!E$9:E$150,MATCH($M63,MassProp!$B$9:$B$150,0)),"")</f>
        <v>4.3E-3</v>
      </c>
      <c r="AZ63" s="297">
        <f t="shared" si="138"/>
        <v>0.16166984143238738</v>
      </c>
      <c r="BA63" s="296">
        <f t="shared" si="322"/>
        <v>8.9565833145286902E-3</v>
      </c>
      <c r="BB63" s="177">
        <f t="shared" si="139"/>
        <v>8.5891401251420474E-2</v>
      </c>
      <c r="BC63" s="9"/>
      <c r="BD63" s="5">
        <f t="shared" si="235"/>
        <v>5.9837999999999996</v>
      </c>
      <c r="BE63" s="6">
        <f t="shared" si="324"/>
        <v>-1.8180143409282981</v>
      </c>
      <c r="BF63" s="4">
        <f t="shared" si="325"/>
        <v>-4.5397113049621183</v>
      </c>
      <c r="BG63" s="5">
        <f t="shared" si="326"/>
        <v>3.4897414001808635</v>
      </c>
      <c r="BH63" s="10">
        <f t="shared" si="327"/>
        <v>-1.9039057421797185</v>
      </c>
      <c r="BI63" s="9">
        <f t="shared" si="140"/>
        <v>-4.5397113049621183</v>
      </c>
      <c r="BJ63" s="5">
        <f t="shared" si="329"/>
        <v>3.7766274107822793</v>
      </c>
      <c r="BK63" s="8">
        <f t="shared" si="330"/>
        <v>-0.94594101583474266</v>
      </c>
      <c r="BL63" s="173">
        <f t="shared" si="331"/>
        <v>-4.0120844897588492</v>
      </c>
      <c r="BM63" s="5">
        <f t="shared" si="332"/>
        <v>2.6759730916851532</v>
      </c>
      <c r="BN63" s="6">
        <f t="shared" si="333"/>
        <v>-1.6602028821914012</v>
      </c>
      <c r="BO63" s="4">
        <f t="shared" si="141"/>
        <v>0.84947627623051103</v>
      </c>
      <c r="BP63" s="5">
        <f t="shared" si="142"/>
        <v>0.50544787763847077</v>
      </c>
      <c r="BQ63" s="5">
        <f t="shared" si="143"/>
        <v>-0.15136875209999534</v>
      </c>
      <c r="BR63" s="6">
        <f t="shared" si="144"/>
        <v>1.8043028339624918</v>
      </c>
      <c r="BS63" s="4">
        <f t="shared" si="554"/>
        <v>0</v>
      </c>
      <c r="BT63" s="5">
        <f t="shared" si="554"/>
        <v>0</v>
      </c>
      <c r="BU63" s="10">
        <f t="shared" si="111"/>
        <v>-1.8180143409282981</v>
      </c>
      <c r="BV63" s="9">
        <f t="shared" si="112"/>
        <v>0</v>
      </c>
      <c r="BW63" s="5">
        <f t="shared" si="113"/>
        <v>1</v>
      </c>
      <c r="BX63" s="8">
        <f t="shared" si="114"/>
        <v>-1.8180143409282981</v>
      </c>
      <c r="BY63" s="173">
        <f t="shared" si="115"/>
        <v>1</v>
      </c>
      <c r="BZ63" s="5">
        <f t="shared" si="116"/>
        <v>0</v>
      </c>
      <c r="CA63" s="6">
        <f t="shared" si="117"/>
        <v>-1.8180143409282981</v>
      </c>
      <c r="CB63" s="4">
        <f t="shared" si="145"/>
        <v>0</v>
      </c>
      <c r="CC63" s="5">
        <f t="shared" si="146"/>
        <v>0</v>
      </c>
      <c r="CD63" s="5">
        <f t="shared" si="147"/>
        <v>-1</v>
      </c>
      <c r="CE63" s="6">
        <f t="shared" si="148"/>
        <v>-1.8180143409282981</v>
      </c>
      <c r="CF63" s="4">
        <f t="shared" si="149"/>
        <v>-0.50544787763847077</v>
      </c>
      <c r="CG63" s="5">
        <f t="shared" si="150"/>
        <v>0.84947627623051103</v>
      </c>
      <c r="CH63" s="5">
        <f t="shared" si="151"/>
        <v>0</v>
      </c>
      <c r="CI63" s="4">
        <f t="shared" si="118"/>
        <v>0</v>
      </c>
      <c r="CJ63" s="5">
        <f t="shared" si="119"/>
        <v>-4.1141599125203827</v>
      </c>
      <c r="CK63" s="8">
        <f t="shared" si="120"/>
        <v>-1.8180143409282981</v>
      </c>
      <c r="CL63" s="173">
        <f t="shared" si="121"/>
        <v>-0.50544787763847077</v>
      </c>
      <c r="CM63" s="5">
        <f t="shared" si="122"/>
        <v>-3.2646836362898717</v>
      </c>
      <c r="CN63" s="6">
        <f t="shared" si="123"/>
        <v>-1.8180143409282981</v>
      </c>
      <c r="CO63" s="167">
        <f t="shared" si="350"/>
        <v>0.3125</v>
      </c>
      <c r="CP63" s="4">
        <f t="shared" si="236"/>
        <v>0.97708750088769003</v>
      </c>
      <c r="CQ63" s="5">
        <f t="shared" si="237"/>
        <v>-17.507842432244448</v>
      </c>
      <c r="CR63" s="5">
        <f t="shared" si="152"/>
        <v>78.338014988509528</v>
      </c>
      <c r="CS63" s="8">
        <f t="shared" si="153"/>
        <v>0.35216547379849317</v>
      </c>
      <c r="CT63" s="9">
        <f t="shared" si="154"/>
        <v>9.2628744771563376</v>
      </c>
      <c r="CU63" s="6">
        <f t="shared" si="155"/>
        <v>8.6555232265687287</v>
      </c>
      <c r="CV63" s="4">
        <f t="shared" si="238"/>
        <v>-4.6819002453102305</v>
      </c>
      <c r="CW63" s="5">
        <f t="shared" si="156"/>
        <v>3.754432205525025</v>
      </c>
      <c r="CX63" s="8">
        <f t="shared" si="157"/>
        <v>-1.8180143409282981</v>
      </c>
      <c r="CY63" s="9">
        <f t="shared" si="158"/>
        <v>-4.3749158447196521</v>
      </c>
      <c r="CZ63" s="5">
        <f t="shared" si="159"/>
        <v>3.2385017268119185</v>
      </c>
      <c r="DA63" s="6">
        <f t="shared" si="160"/>
        <v>-1.8180143409282981</v>
      </c>
      <c r="DB63" s="4">
        <f t="shared" si="555"/>
        <v>0</v>
      </c>
      <c r="DC63" s="5">
        <f t="shared" si="555"/>
        <v>0</v>
      </c>
      <c r="DD63" s="10">
        <f t="shared" si="162"/>
        <v>-10</v>
      </c>
      <c r="DE63" s="9">
        <f t="shared" si="556"/>
        <v>0</v>
      </c>
      <c r="DF63" s="5">
        <f t="shared" si="556"/>
        <v>0</v>
      </c>
      <c r="DG63" s="10">
        <f t="shared" si="164"/>
        <v>10</v>
      </c>
      <c r="DH63" s="70">
        <f t="shared" si="165"/>
        <v>5.9837999999999996</v>
      </c>
      <c r="DI63" s="4">
        <f t="shared" si="166"/>
        <v>0</v>
      </c>
      <c r="DJ63" s="5">
        <f t="shared" si="167"/>
        <v>0</v>
      </c>
      <c r="DK63" s="10">
        <f t="shared" si="168"/>
        <v>20</v>
      </c>
      <c r="DL63" s="9">
        <f t="shared" si="169"/>
        <v>-4.6819002453102305</v>
      </c>
      <c r="DM63" s="173">
        <f t="shared" si="170"/>
        <v>3.754432205525025</v>
      </c>
      <c r="DN63" s="178">
        <f t="shared" si="171"/>
        <v>8.1819856590717013</v>
      </c>
      <c r="DO63" s="9">
        <f t="shared" si="172"/>
        <v>0.30698440059057841</v>
      </c>
      <c r="DP63" s="173">
        <f t="shared" si="173"/>
        <v>-0.51593047871310649</v>
      </c>
      <c r="DQ63" s="11">
        <f t="shared" si="174"/>
        <v>0</v>
      </c>
      <c r="DR63" s="173">
        <f t="shared" si="175"/>
        <v>163.63971318143402</v>
      </c>
      <c r="DS63" s="5">
        <f t="shared" si="176"/>
        <v>0</v>
      </c>
      <c r="DT63" s="5">
        <f t="shared" si="177"/>
        <v>400</v>
      </c>
      <c r="DU63" s="5">
        <f t="shared" si="178"/>
        <v>0.36042368107109196</v>
      </c>
      <c r="DV63" s="5">
        <f t="shared" si="179"/>
        <v>-3.3742963455238737</v>
      </c>
      <c r="DW63" s="5">
        <f t="shared" si="180"/>
        <v>102.96084041817448</v>
      </c>
      <c r="DX63" s="167">
        <f t="shared" si="181"/>
        <v>67.154977978174486</v>
      </c>
      <c r="DY63" s="9">
        <f t="shared" si="182"/>
        <v>144.16947242843679</v>
      </c>
      <c r="DZ63" s="5">
        <f t="shared" si="183"/>
        <v>-1349.7185382095495</v>
      </c>
      <c r="EA63" s="10">
        <f t="shared" si="184"/>
        <v>84.035461167801259</v>
      </c>
      <c r="EB63" s="6">
        <f t="shared" si="185"/>
        <v>1809624.7842846808</v>
      </c>
      <c r="EC63" s="173">
        <f t="shared" si="186"/>
        <v>18.692871954598914</v>
      </c>
      <c r="ED63" s="5">
        <f t="shared" si="187"/>
        <v>3.1182666319897086E-2</v>
      </c>
      <c r="EE63" s="4">
        <f t="shared" si="188"/>
        <v>1.0565198469887509</v>
      </c>
      <c r="EF63" s="5">
        <f t="shared" si="189"/>
        <v>-5.8897901705339946</v>
      </c>
      <c r="EG63" s="10">
        <f t="shared" si="190"/>
        <v>-1.8180143409282981</v>
      </c>
      <c r="EH63" s="9">
        <f t="shared" si="191"/>
        <v>-4.6723276531812008</v>
      </c>
      <c r="EI63" s="5">
        <f t="shared" si="192"/>
        <v>3.7383441175630496</v>
      </c>
      <c r="EJ63" s="6">
        <f t="shared" si="193"/>
        <v>-1.8180143409282981</v>
      </c>
      <c r="EK63" s="236" t="b">
        <f t="shared" si="194"/>
        <v>0</v>
      </c>
      <c r="EL63" s="238" t="b">
        <f t="shared" si="195"/>
        <v>1</v>
      </c>
      <c r="EM63" s="4">
        <f t="shared" si="196"/>
        <v>-4.6723276531812008</v>
      </c>
      <c r="EN63" s="5">
        <f t="shared" si="197"/>
        <v>3.7383441175630496</v>
      </c>
      <c r="EO63" s="10">
        <f t="shared" si="198"/>
        <v>-1.8180143409282981</v>
      </c>
      <c r="EP63" s="9">
        <f t="shared" si="199"/>
        <v>141.33658790020652</v>
      </c>
      <c r="EQ63" s="5">
        <f t="shared" si="200"/>
        <v>5.9837999999999996</v>
      </c>
      <c r="ER63" s="7">
        <f t="shared" si="201"/>
        <v>-1.8180143409282981</v>
      </c>
      <c r="ES63" s="21">
        <f t="shared" si="397"/>
        <v>0.8494762762305107</v>
      </c>
      <c r="ET63" s="5">
        <f t="shared" si="398"/>
        <v>0.50544787763847132</v>
      </c>
      <c r="EU63" s="10">
        <f t="shared" si="399"/>
        <v>-0.15136875209999634</v>
      </c>
      <c r="EV63" s="174">
        <f t="shared" si="557"/>
        <v>308.6634120997935</v>
      </c>
      <c r="EW63" s="9">
        <f t="shared" si="558"/>
        <v>0.9253739657387734</v>
      </c>
      <c r="EX63" s="5">
        <f t="shared" si="559"/>
        <v>-0.34752053812772743</v>
      </c>
      <c r="EY63" s="6">
        <f t="shared" si="202"/>
        <v>-0.15136875209999634</v>
      </c>
      <c r="EZ63" s="51">
        <f t="shared" si="203"/>
        <v>0.2339045995348949</v>
      </c>
      <c r="FA63" s="173">
        <f t="shared" si="560"/>
        <v>0.62473895616858033</v>
      </c>
      <c r="FB63" s="5">
        <f t="shared" si="561"/>
        <v>0.78082300856477649</v>
      </c>
      <c r="FC63" s="6">
        <f t="shared" si="562"/>
        <v>-4.0823940578677527E-3</v>
      </c>
      <c r="FD63" s="4">
        <f t="shared" si="563"/>
        <v>0.99999166699465858</v>
      </c>
      <c r="FE63" s="5">
        <f t="shared" si="564"/>
        <v>6.106226635438361E-16</v>
      </c>
      <c r="FF63" s="7">
        <f t="shared" si="204"/>
        <v>-4.0823940578677527E-3</v>
      </c>
      <c r="FG63" s="173">
        <f t="shared" si="565"/>
        <v>-7.4617701255885183E-2</v>
      </c>
      <c r="FH63" s="5">
        <f t="shared" si="566"/>
        <v>-0.34752053812772804</v>
      </c>
      <c r="FI63" s="10">
        <f t="shared" si="567"/>
        <v>-0.14728635804212858</v>
      </c>
      <c r="FJ63" s="279">
        <f t="shared" si="206"/>
        <v>22.182764813953249</v>
      </c>
      <c r="FK63" s="4">
        <f t="shared" si="568"/>
        <v>0.98847736488383486</v>
      </c>
      <c r="FL63" s="5">
        <f t="shared" si="207"/>
        <v>0.99999166699465869</v>
      </c>
      <c r="FM63" s="8">
        <f t="shared" si="208"/>
        <v>0.35544102993506282</v>
      </c>
      <c r="FN63" s="9">
        <f t="shared" si="209"/>
        <v>20.583469460400639</v>
      </c>
      <c r="FO63" s="10">
        <f t="shared" si="569"/>
        <v>1</v>
      </c>
      <c r="FP63" s="277">
        <f t="shared" si="570"/>
        <v>20.583469460400639</v>
      </c>
      <c r="FQ63" s="173">
        <f t="shared" si="239"/>
        <v>0.35157156903493492</v>
      </c>
      <c r="FR63" s="10">
        <f t="shared" si="210"/>
        <v>0.93616100743745678</v>
      </c>
      <c r="FS63" s="9">
        <f t="shared" si="211"/>
        <v>0.27301597820723644</v>
      </c>
      <c r="FT63" s="6">
        <f t="shared" si="212"/>
        <v>0.72698402179276356</v>
      </c>
      <c r="FU63" s="4">
        <f t="shared" si="213"/>
        <v>0.93767237112939117</v>
      </c>
      <c r="FV63" s="5">
        <f t="shared" si="214"/>
        <v>1</v>
      </c>
      <c r="FW63" s="8">
        <f t="shared" si="240"/>
        <v>0.16510927474259773</v>
      </c>
      <c r="FX63" s="9">
        <f t="shared" si="241"/>
        <v>9.0560223309636907</v>
      </c>
      <c r="FY63" s="10">
        <f t="shared" si="571"/>
        <v>1</v>
      </c>
      <c r="FZ63" s="277">
        <f t="shared" si="242"/>
        <v>9.0560223309636907</v>
      </c>
      <c r="GA63" s="177">
        <f t="shared" si="215"/>
        <v>8.4912028890477931</v>
      </c>
      <c r="GB63" s="4">
        <f t="shared" si="216"/>
        <v>-0.34718919810565158</v>
      </c>
      <c r="GC63" s="5">
        <f t="shared" si="217"/>
        <v>0.92449167707782576</v>
      </c>
      <c r="GD63" s="10">
        <f t="shared" si="218"/>
        <v>-0.15740012621527261</v>
      </c>
      <c r="GE63" s="311">
        <f t="shared" si="219"/>
        <v>1.4290810013987501</v>
      </c>
      <c r="GF63" s="341">
        <f t="shared" si="243"/>
        <v>0.6997503983477662</v>
      </c>
      <c r="GG63" s="285">
        <f t="shared" si="572"/>
        <v>0.24294577967647121</v>
      </c>
      <c r="GH63" s="286">
        <f t="shared" si="573"/>
        <v>0.64691341930440305</v>
      </c>
      <c r="GI63" s="281">
        <f t="shared" si="574"/>
        <v>0.11014080101912568</v>
      </c>
      <c r="GJ63" s="167">
        <f t="shared" si="220"/>
        <v>5.9837999999999996</v>
      </c>
      <c r="GK63" s="174">
        <f t="shared" si="575"/>
        <v>3.1331364618679722</v>
      </c>
      <c r="GL63" s="174">
        <f t="shared" si="221"/>
        <v>4.3E-3</v>
      </c>
      <c r="GM63" s="177">
        <f t="shared" si="244"/>
        <v>0.16166984143238738</v>
      </c>
      <c r="GN63" s="280">
        <f t="shared" si="222"/>
        <v>8.9565833145286902E-3</v>
      </c>
      <c r="GO63" s="4">
        <f t="shared" si="223"/>
        <v>20.583469460400639</v>
      </c>
      <c r="GP63" s="8">
        <f t="shared" si="245"/>
        <v>9.0560223309636907</v>
      </c>
      <c r="GQ63" s="177">
        <f t="shared" si="224"/>
        <v>22.182764813953249</v>
      </c>
      <c r="GR63" s="371">
        <f t="shared" si="246"/>
        <v>624.77387471040447</v>
      </c>
      <c r="GS63" s="342">
        <f t="shared" si="576"/>
        <v>151.78617611300916</v>
      </c>
      <c r="GT63" s="343">
        <f t="shared" si="577"/>
        <v>48.445440522726045</v>
      </c>
      <c r="GU63" s="344">
        <f t="shared" si="578"/>
        <v>404.17460358096844</v>
      </c>
      <c r="GV63" s="343">
        <f t="shared" si="253"/>
        <v>129</v>
      </c>
      <c r="GW63" s="345">
        <f t="shared" si="579"/>
        <v>30000</v>
      </c>
      <c r="GX63" s="346">
        <f t="shared" si="580"/>
        <v>64.325850000000003</v>
      </c>
      <c r="GY63" s="344">
        <f t="shared" si="581"/>
        <v>68.813095016426814</v>
      </c>
      <c r="GZ63" s="345">
        <f t="shared" si="582"/>
        <v>21.963006033704811</v>
      </c>
      <c r="HA63" s="342">
        <f t="shared" si="583"/>
        <v>151.78617611300916</v>
      </c>
      <c r="HB63" s="5">
        <f t="shared" si="225"/>
        <v>308.6634120997935</v>
      </c>
      <c r="HC63" s="343">
        <f t="shared" si="226"/>
        <v>94.827527423954237</v>
      </c>
      <c r="HD63" s="363">
        <f t="shared" si="227"/>
        <v>-118.51912631161537</v>
      </c>
      <c r="HE63" s="344">
        <f t="shared" si="584"/>
        <v>129</v>
      </c>
      <c r="HF63" s="5">
        <f t="shared" si="585"/>
        <v>398.6634120997935</v>
      </c>
      <c r="HG63" s="343">
        <f t="shared" si="228"/>
        <v>100.72700746354734</v>
      </c>
      <c r="HH63" s="349">
        <f t="shared" si="229"/>
        <v>80.591996919287709</v>
      </c>
      <c r="HI63" s="317">
        <f t="shared" si="453"/>
        <v>6.1440000000000001</v>
      </c>
      <c r="HK63" s="310" t="str">
        <f t="shared" si="506"/>
        <v/>
      </c>
      <c r="HL63" s="348" t="str">
        <f t="shared" si="454"/>
        <v/>
      </c>
      <c r="HM63" s="935" t="str">
        <f t="shared" si="455"/>
        <v/>
      </c>
      <c r="HN63" s="936" t="str">
        <f t="shared" si="456"/>
        <v/>
      </c>
      <c r="HO63" s="937"/>
      <c r="HP63" s="938"/>
      <c r="HQ63" s="936" t="str">
        <f t="shared" si="457"/>
        <v/>
      </c>
      <c r="HR63" s="939" t="str">
        <f t="shared" si="458"/>
        <v/>
      </c>
      <c r="HS63" s="940" t="str">
        <f t="shared" si="507"/>
        <v/>
      </c>
      <c r="HT63" s="941" t="str">
        <f t="shared" si="459"/>
        <v/>
      </c>
      <c r="HU63" s="942" t="str">
        <f t="shared" si="460"/>
        <v/>
      </c>
      <c r="HV63" s="943" t="str">
        <f t="shared" si="461"/>
        <v/>
      </c>
      <c r="HW63" s="944" t="str">
        <f t="shared" si="462"/>
        <v/>
      </c>
      <c r="HX63" s="947" t="str">
        <f t="shared" si="463"/>
        <v/>
      </c>
      <c r="HY63" s="952" t="str">
        <f t="shared" si="464"/>
        <v/>
      </c>
      <c r="HZ63" s="953" t="str">
        <f t="shared" si="465"/>
        <v/>
      </c>
      <c r="IA63" s="954" t="str">
        <f t="shared" si="466"/>
        <v/>
      </c>
      <c r="IB63" s="955" t="str">
        <f t="shared" si="467"/>
        <v/>
      </c>
      <c r="IC63" s="842" t="str">
        <f t="shared" si="468"/>
        <v/>
      </c>
      <c r="ID63" s="351" t="str">
        <f t="shared" si="469"/>
        <v/>
      </c>
      <c r="IE63" s="844" t="str">
        <f t="shared" si="470"/>
        <v/>
      </c>
      <c r="IF63" s="845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0"/>
        <v>6.1440000000000001</v>
      </c>
      <c r="IJ63" s="96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71"/>
        <v>1613</v>
      </c>
      <c r="IM63" s="482" t="str">
        <f t="shared" si="231"/>
        <v/>
      </c>
      <c r="IN63" s="670" t="str">
        <f t="shared" si="472"/>
        <v/>
      </c>
      <c r="IO63" s="702"/>
      <c r="IP63" s="5" t="str">
        <f t="shared" si="473"/>
        <v/>
      </c>
      <c r="IQ63" s="714"/>
      <c r="IR63" s="9" t="str">
        <f t="shared" si="474"/>
        <v/>
      </c>
      <c r="IS63" s="5" t="str">
        <f t="shared" si="475"/>
        <v/>
      </c>
      <c r="IT63" s="5" t="str">
        <f t="shared" si="476"/>
        <v/>
      </c>
      <c r="IU63" s="5" t="str">
        <f t="shared" si="477"/>
        <v/>
      </c>
      <c r="IV63" s="670" t="str">
        <f t="shared" si="478"/>
        <v/>
      </c>
      <c r="IW63" s="9" t="str">
        <f t="shared" si="479"/>
        <v/>
      </c>
      <c r="IX63" s="5" t="str">
        <f t="shared" si="480"/>
        <v/>
      </c>
      <c r="IY63" s="5" t="str">
        <f t="shared" si="481"/>
        <v/>
      </c>
      <c r="IZ63" s="5" t="str">
        <f t="shared" si="482"/>
        <v/>
      </c>
      <c r="JA63" s="705" t="str">
        <f t="shared" si="483"/>
        <v/>
      </c>
    </row>
    <row r="64" spans="1:261" ht="15" customHeight="1" x14ac:dyDescent="0.25">
      <c r="A64" s="75">
        <f t="shared" si="308"/>
        <v>0</v>
      </c>
      <c r="B64" s="578">
        <f t="shared" ref="B64:D64" si="605">IFERROR(O219+($A64*-E64),"")</f>
        <v>-4.6277545954400097</v>
      </c>
      <c r="C64" s="572">
        <f t="shared" si="605"/>
        <v>3.581898655268088</v>
      </c>
      <c r="D64" s="576">
        <f t="shared" si="605"/>
        <v>-2.6411079655816243</v>
      </c>
      <c r="E64" s="580">
        <f t="shared" ref="E64:K64" si="606">R219</f>
        <v>-0.9161198567789206</v>
      </c>
      <c r="F64" s="572">
        <f t="shared" si="606"/>
        <v>-0.39584687538397667</v>
      </c>
      <c r="G64" s="579">
        <f t="shared" si="606"/>
        <v>6.347959722708317E-2</v>
      </c>
      <c r="H64" s="580">
        <f t="shared" si="606"/>
        <v>0.3125</v>
      </c>
      <c r="I64" s="572">
        <f t="shared" si="606"/>
        <v>0.52</v>
      </c>
      <c r="J64" s="483">
        <f t="shared" si="92"/>
        <v>6.15</v>
      </c>
      <c r="K64" s="806">
        <f t="shared" si="606"/>
        <v>1613</v>
      </c>
      <c r="L64" s="309"/>
      <c r="M64" s="164">
        <f t="shared" si="311"/>
        <v>6.15</v>
      </c>
      <c r="N64" s="575">
        <f t="shared" si="312"/>
        <v>-4.6277545954400097</v>
      </c>
      <c r="O64" s="572">
        <f t="shared" si="313"/>
        <v>3.581898655268088</v>
      </c>
      <c r="P64" s="576">
        <f t="shared" si="314"/>
        <v>-2.6411079655816243</v>
      </c>
      <c r="Q64" s="528">
        <f t="shared" si="134"/>
        <v>142.26000039560702</v>
      </c>
      <c r="R64" s="572">
        <f t="shared" si="93"/>
        <v>5.8520176496852319</v>
      </c>
      <c r="S64" s="577">
        <f t="shared" si="94"/>
        <v>-2.6411079655816243</v>
      </c>
      <c r="T64" s="578">
        <f t="shared" si="95"/>
        <v>3.5810909052867359</v>
      </c>
      <c r="U64" s="572">
        <f t="shared" si="96"/>
        <v>4.628379684111934</v>
      </c>
      <c r="V64" s="579">
        <f t="shared" si="135"/>
        <v>-2.6411079655816243</v>
      </c>
      <c r="W64" s="528">
        <f t="shared" si="256"/>
        <v>52.270000394163205</v>
      </c>
      <c r="X64" s="572">
        <f t="shared" si="97"/>
        <v>5.8520176496852319</v>
      </c>
      <c r="Y64" s="573">
        <f t="shared" si="259"/>
        <v>-2.6411079655816243</v>
      </c>
      <c r="Z64" s="575">
        <f t="shared" si="315"/>
        <v>0.9161198567789206</v>
      </c>
      <c r="AA64" s="572">
        <f t="shared" si="316"/>
        <v>0.39584687538397667</v>
      </c>
      <c r="AB64" s="572">
        <f t="shared" si="317"/>
        <v>-6.347959722708317E-2</v>
      </c>
      <c r="AC64" s="579">
        <f t="shared" si="98"/>
        <v>1</v>
      </c>
      <c r="AD64" s="580">
        <f t="shared" si="136"/>
        <v>0.9161198567789206</v>
      </c>
      <c r="AE64" s="572">
        <f t="shared" si="99"/>
        <v>0.39584687538397667</v>
      </c>
      <c r="AF64" s="576">
        <f t="shared" si="100"/>
        <v>-6.347959722708317E-2</v>
      </c>
      <c r="AG64" s="545">
        <f t="shared" si="101"/>
        <v>80.889387892833938</v>
      </c>
      <c r="AH64" s="546">
        <f t="shared" si="102"/>
        <v>23.634734536997431</v>
      </c>
      <c r="AI64" s="528">
        <f t="shared" si="103"/>
        <v>-86.360439832523809</v>
      </c>
      <c r="AJ64" s="529">
        <f t="shared" si="104"/>
        <v>113.36872402663838</v>
      </c>
      <c r="AK64" s="578">
        <f t="shared" si="234"/>
        <v>0.87377225869860653</v>
      </c>
      <c r="AL64" s="572">
        <f t="shared" si="105"/>
        <v>-0.48217463710218422</v>
      </c>
      <c r="AM64" s="577">
        <f t="shared" si="106"/>
        <v>-6.347959722708317E-2</v>
      </c>
      <c r="AN64" s="524">
        <f t="shared" si="107"/>
        <v>-82.499988088475433</v>
      </c>
      <c r="AO64" s="525">
        <f t="shared" si="590"/>
        <v>29.099995798480432</v>
      </c>
      <c r="AP64" s="528">
        <f t="shared" si="109"/>
        <v>-28.891276368968647</v>
      </c>
      <c r="AQ64" s="529">
        <f t="shared" si="318"/>
        <v>0.23917186726815487</v>
      </c>
      <c r="AS64" s="900">
        <f t="shared" si="510"/>
        <v>-307.72999960583678</v>
      </c>
      <c r="AT64" s="896">
        <f t="shared" si="319"/>
        <v>-2.5099009890061081</v>
      </c>
      <c r="AU64" s="418"/>
      <c r="AV64" s="164" t="str">
        <f t="shared" si="320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8"/>
        <v/>
      </c>
      <c r="BA64" s="296" t="str">
        <f t="shared" si="322"/>
        <v/>
      </c>
      <c r="BB64" s="177" t="str">
        <f t="shared" si="139"/>
        <v/>
      </c>
      <c r="BC64" s="9"/>
      <c r="BD64" s="5" t="str">
        <f t="shared" si="235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0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1"/>
        <v/>
      </c>
      <c r="BP64" s="5" t="str">
        <f t="shared" si="142"/>
        <v/>
      </c>
      <c r="BQ64" s="5" t="str">
        <f t="shared" si="143"/>
        <v/>
      </c>
      <c r="BR64" s="6" t="str">
        <f t="shared" si="144"/>
        <v/>
      </c>
      <c r="BS64" s="4" t="str">
        <f t="shared" si="554"/>
        <v/>
      </c>
      <c r="BT64" s="5" t="str">
        <f t="shared" si="554"/>
        <v/>
      </c>
      <c r="BU64" s="10" t="str">
        <f t="shared" si="111"/>
        <v/>
      </c>
      <c r="BV64" s="9" t="str">
        <f t="shared" si="112"/>
        <v/>
      </c>
      <c r="BW64" s="5" t="str">
        <f t="shared" si="113"/>
        <v/>
      </c>
      <c r="BX64" s="8" t="str">
        <f t="shared" si="114"/>
        <v/>
      </c>
      <c r="BY64" s="173" t="str">
        <f t="shared" si="115"/>
        <v/>
      </c>
      <c r="BZ64" s="5" t="str">
        <f t="shared" si="116"/>
        <v/>
      </c>
      <c r="CA64" s="6" t="str">
        <f t="shared" si="117"/>
        <v/>
      </c>
      <c r="CB64" s="4" t="str">
        <f t="shared" si="145"/>
        <v/>
      </c>
      <c r="CC64" s="5" t="str">
        <f t="shared" si="146"/>
        <v/>
      </c>
      <c r="CD64" s="5" t="str">
        <f t="shared" si="147"/>
        <v/>
      </c>
      <c r="CE64" s="6" t="str">
        <f t="shared" si="148"/>
        <v/>
      </c>
      <c r="CF64" s="4" t="str">
        <f t="shared" si="149"/>
        <v/>
      </c>
      <c r="CG64" s="5" t="str">
        <f t="shared" si="150"/>
        <v/>
      </c>
      <c r="CH64" s="5" t="str">
        <f t="shared" si="151"/>
        <v/>
      </c>
      <c r="CI64" s="4" t="str">
        <f t="shared" si="118"/>
        <v/>
      </c>
      <c r="CJ64" s="5" t="str">
        <f t="shared" si="119"/>
        <v/>
      </c>
      <c r="CK64" s="8" t="str">
        <f t="shared" si="120"/>
        <v/>
      </c>
      <c r="CL64" s="173" t="str">
        <f t="shared" si="121"/>
        <v/>
      </c>
      <c r="CM64" s="5" t="str">
        <f t="shared" si="122"/>
        <v/>
      </c>
      <c r="CN64" s="6" t="str">
        <f t="shared" si="123"/>
        <v/>
      </c>
      <c r="CO64" s="167" t="str">
        <f t="shared" si="350"/>
        <v/>
      </c>
      <c r="CP64" s="4" t="str">
        <f t="shared" si="236"/>
        <v/>
      </c>
      <c r="CQ64" s="5" t="str">
        <f t="shared" si="237"/>
        <v/>
      </c>
      <c r="CR64" s="5" t="str">
        <f t="shared" si="152"/>
        <v/>
      </c>
      <c r="CS64" s="8" t="str">
        <f t="shared" si="153"/>
        <v/>
      </c>
      <c r="CT64" s="9" t="str">
        <f t="shared" si="154"/>
        <v/>
      </c>
      <c r="CU64" s="6" t="str">
        <f t="shared" si="155"/>
        <v/>
      </c>
      <c r="CV64" s="4" t="str">
        <f t="shared" si="238"/>
        <v/>
      </c>
      <c r="CW64" s="5" t="str">
        <f t="shared" si="156"/>
        <v/>
      </c>
      <c r="CX64" s="8" t="str">
        <f t="shared" si="157"/>
        <v/>
      </c>
      <c r="CY64" s="9" t="str">
        <f t="shared" si="158"/>
        <v/>
      </c>
      <c r="CZ64" s="5" t="str">
        <f t="shared" si="159"/>
        <v/>
      </c>
      <c r="DA64" s="6" t="str">
        <f t="shared" si="160"/>
        <v/>
      </c>
      <c r="DB64" s="4" t="str">
        <f t="shared" si="555"/>
        <v/>
      </c>
      <c r="DC64" s="5" t="str">
        <f t="shared" si="555"/>
        <v/>
      </c>
      <c r="DD64" s="10" t="str">
        <f t="shared" si="162"/>
        <v/>
      </c>
      <c r="DE64" s="9" t="str">
        <f t="shared" si="556"/>
        <v/>
      </c>
      <c r="DF64" s="5" t="str">
        <f t="shared" si="556"/>
        <v/>
      </c>
      <c r="DG64" s="10" t="str">
        <f t="shared" si="164"/>
        <v/>
      </c>
      <c r="DH64" s="70" t="str">
        <f t="shared" si="165"/>
        <v/>
      </c>
      <c r="DI64" s="4" t="str">
        <f t="shared" si="166"/>
        <v/>
      </c>
      <c r="DJ64" s="5" t="str">
        <f t="shared" si="167"/>
        <v/>
      </c>
      <c r="DK64" s="10" t="str">
        <f t="shared" si="168"/>
        <v/>
      </c>
      <c r="DL64" s="9" t="str">
        <f t="shared" si="169"/>
        <v/>
      </c>
      <c r="DM64" s="173" t="str">
        <f t="shared" si="170"/>
        <v/>
      </c>
      <c r="DN64" s="178" t="str">
        <f t="shared" si="171"/>
        <v/>
      </c>
      <c r="DO64" s="9" t="str">
        <f t="shared" si="172"/>
        <v/>
      </c>
      <c r="DP64" s="173" t="str">
        <f t="shared" si="173"/>
        <v/>
      </c>
      <c r="DQ64" s="11" t="str">
        <f t="shared" si="174"/>
        <v/>
      </c>
      <c r="DR64" s="173" t="str">
        <f t="shared" si="175"/>
        <v/>
      </c>
      <c r="DS64" s="5" t="str">
        <f t="shared" si="176"/>
        <v/>
      </c>
      <c r="DT64" s="5" t="str">
        <f t="shared" si="177"/>
        <v/>
      </c>
      <c r="DU64" s="5" t="str">
        <f t="shared" si="178"/>
        <v/>
      </c>
      <c r="DV64" s="5" t="str">
        <f t="shared" si="179"/>
        <v/>
      </c>
      <c r="DW64" s="5" t="str">
        <f t="shared" si="180"/>
        <v/>
      </c>
      <c r="DX64" s="167" t="str">
        <f t="shared" si="181"/>
        <v/>
      </c>
      <c r="DY64" s="9" t="str">
        <f t="shared" si="182"/>
        <v/>
      </c>
      <c r="DZ64" s="5" t="str">
        <f t="shared" si="183"/>
        <v/>
      </c>
      <c r="EA64" s="10" t="str">
        <f t="shared" si="184"/>
        <v/>
      </c>
      <c r="EB64" s="6" t="str">
        <f t="shared" si="185"/>
        <v/>
      </c>
      <c r="EC64" s="173" t="str">
        <f t="shared" si="186"/>
        <v/>
      </c>
      <c r="ED64" s="5" t="str">
        <f t="shared" si="187"/>
        <v/>
      </c>
      <c r="EE64" s="4" t="str">
        <f t="shared" si="188"/>
        <v/>
      </c>
      <c r="EF64" s="5" t="str">
        <f t="shared" si="189"/>
        <v/>
      </c>
      <c r="EG64" s="10" t="str">
        <f t="shared" si="190"/>
        <v/>
      </c>
      <c r="EH64" s="9" t="str">
        <f t="shared" si="191"/>
        <v/>
      </c>
      <c r="EI64" s="5" t="str">
        <f t="shared" si="192"/>
        <v/>
      </c>
      <c r="EJ64" s="6" t="str">
        <f t="shared" si="193"/>
        <v/>
      </c>
      <c r="EK64" s="236" t="str">
        <f t="shared" si="194"/>
        <v/>
      </c>
      <c r="EL64" s="238" t="str">
        <f t="shared" si="195"/>
        <v/>
      </c>
      <c r="EM64" s="4" t="str">
        <f t="shared" si="196"/>
        <v/>
      </c>
      <c r="EN64" s="5" t="str">
        <f t="shared" si="197"/>
        <v/>
      </c>
      <c r="EO64" s="10" t="str">
        <f t="shared" si="198"/>
        <v/>
      </c>
      <c r="EP64" s="9" t="str">
        <f t="shared" si="199"/>
        <v/>
      </c>
      <c r="EQ64" s="5" t="str">
        <f t="shared" si="200"/>
        <v/>
      </c>
      <c r="ER64" s="7" t="str">
        <f t="shared" si="201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2"/>
        <v/>
      </c>
      <c r="EZ64" s="51" t="str">
        <f t="shared" si="203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4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6"/>
        <v/>
      </c>
      <c r="FK64" s="4" t="str">
        <f t="shared" si="568"/>
        <v/>
      </c>
      <c r="FL64" s="5" t="str">
        <f t="shared" si="207"/>
        <v/>
      </c>
      <c r="FM64" s="8" t="str">
        <f t="shared" si="208"/>
        <v/>
      </c>
      <c r="FN64" s="9" t="str">
        <f t="shared" si="209"/>
        <v/>
      </c>
      <c r="FO64" s="10" t="str">
        <f t="shared" si="569"/>
        <v/>
      </c>
      <c r="FP64" s="277" t="str">
        <f t="shared" si="570"/>
        <v/>
      </c>
      <c r="FQ64" s="173" t="str">
        <f t="shared" si="239"/>
        <v/>
      </c>
      <c r="FR64" s="10" t="str">
        <f t="shared" si="210"/>
        <v/>
      </c>
      <c r="FS64" s="9" t="str">
        <f t="shared" si="211"/>
        <v/>
      </c>
      <c r="FT64" s="6" t="str">
        <f t="shared" si="212"/>
        <v/>
      </c>
      <c r="FU64" s="4" t="str">
        <f t="shared" si="213"/>
        <v/>
      </c>
      <c r="FV64" s="5" t="str">
        <f t="shared" si="214"/>
        <v/>
      </c>
      <c r="FW64" s="8" t="str">
        <f t="shared" si="240"/>
        <v/>
      </c>
      <c r="FX64" s="9" t="str">
        <f t="shared" si="241"/>
        <v/>
      </c>
      <c r="FY64" s="10" t="str">
        <f t="shared" si="571"/>
        <v/>
      </c>
      <c r="FZ64" s="277" t="str">
        <f t="shared" si="242"/>
        <v/>
      </c>
      <c r="GA64" s="177" t="str">
        <f t="shared" si="215"/>
        <v/>
      </c>
      <c r="GB64" s="4" t="str">
        <f t="shared" si="216"/>
        <v/>
      </c>
      <c r="GC64" s="5" t="str">
        <f t="shared" si="217"/>
        <v/>
      </c>
      <c r="GD64" s="10" t="str">
        <f t="shared" si="218"/>
        <v/>
      </c>
      <c r="GE64" s="311" t="str">
        <f t="shared" si="219"/>
        <v/>
      </c>
      <c r="GF64" s="341" t="str">
        <f t="shared" si="243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0"/>
        <v/>
      </c>
      <c r="GK64" s="174" t="str">
        <f t="shared" si="575"/>
        <v/>
      </c>
      <c r="GL64" s="174" t="str">
        <f t="shared" si="221"/>
        <v/>
      </c>
      <c r="GM64" s="177" t="str">
        <f t="shared" si="244"/>
        <v/>
      </c>
      <c r="GN64" s="280" t="str">
        <f t="shared" si="222"/>
        <v/>
      </c>
      <c r="GO64" s="4" t="str">
        <f t="shared" si="223"/>
        <v/>
      </c>
      <c r="GP64" s="8" t="str">
        <f t="shared" si="245"/>
        <v/>
      </c>
      <c r="GQ64" s="177" t="str">
        <f t="shared" si="224"/>
        <v/>
      </c>
      <c r="GR64" s="371" t="str">
        <f t="shared" si="246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3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5"/>
        <v/>
      </c>
      <c r="HC64" s="343" t="str">
        <f t="shared" si="226"/>
        <v/>
      </c>
      <c r="HD64" s="363" t="str">
        <f t="shared" si="227"/>
        <v/>
      </c>
      <c r="HE64" s="344" t="str">
        <f t="shared" si="584"/>
        <v/>
      </c>
      <c r="HF64" s="5" t="str">
        <f t="shared" si="585"/>
        <v/>
      </c>
      <c r="HG64" s="343" t="str">
        <f t="shared" si="228"/>
        <v/>
      </c>
      <c r="HH64" s="349" t="str">
        <f t="shared" si="229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935" t="str">
        <f t="shared" si="455"/>
        <v/>
      </c>
      <c r="HN64" s="936" t="str">
        <f t="shared" si="456"/>
        <v/>
      </c>
      <c r="HO64" s="937"/>
      <c r="HP64" s="938"/>
      <c r="HQ64" s="936" t="str">
        <f t="shared" si="457"/>
        <v/>
      </c>
      <c r="HR64" s="939" t="str">
        <f t="shared" si="458"/>
        <v/>
      </c>
      <c r="HS64" s="940" t="str">
        <f t="shared" si="507"/>
        <v/>
      </c>
      <c r="HT64" s="941" t="str">
        <f t="shared" si="459"/>
        <v/>
      </c>
      <c r="HU64" s="942" t="str">
        <f t="shared" si="460"/>
        <v/>
      </c>
      <c r="HV64" s="943" t="str">
        <f t="shared" si="461"/>
        <v/>
      </c>
      <c r="HW64" s="944" t="str">
        <f t="shared" si="462"/>
        <v/>
      </c>
      <c r="HX64" s="947" t="str">
        <f t="shared" si="463"/>
        <v/>
      </c>
      <c r="HY64" s="952" t="str">
        <f t="shared" si="464"/>
        <v/>
      </c>
      <c r="HZ64" s="953" t="str">
        <f t="shared" si="465"/>
        <v/>
      </c>
      <c r="IA64" s="954" t="str">
        <f t="shared" si="466"/>
        <v/>
      </c>
      <c r="IB64" s="955" t="str">
        <f t="shared" si="467"/>
        <v/>
      </c>
      <c r="IC64" s="842" t="str">
        <f t="shared" si="468"/>
        <v/>
      </c>
      <c r="ID64" s="351" t="str">
        <f t="shared" si="469"/>
        <v/>
      </c>
      <c r="IE64" s="844" t="str">
        <f t="shared" si="470"/>
        <v/>
      </c>
      <c r="IF64" s="845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0"/>
        <v>6.15</v>
      </c>
      <c r="IJ64" s="96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71"/>
        <v>1613</v>
      </c>
      <c r="IM64" s="482" t="str">
        <f t="shared" si="231"/>
        <v/>
      </c>
      <c r="IN64" s="670" t="str">
        <f t="shared" si="472"/>
        <v/>
      </c>
      <c r="IO64" s="702"/>
      <c r="IP64" s="5" t="str">
        <f t="shared" si="473"/>
        <v/>
      </c>
      <c r="IQ64" s="714"/>
      <c r="IR64" s="9" t="str">
        <f t="shared" si="474"/>
        <v/>
      </c>
      <c r="IS64" s="5" t="str">
        <f t="shared" si="475"/>
        <v/>
      </c>
      <c r="IT64" s="5" t="str">
        <f t="shared" si="476"/>
        <v/>
      </c>
      <c r="IU64" s="5" t="str">
        <f t="shared" si="477"/>
        <v/>
      </c>
      <c r="IV64" s="670" t="str">
        <f t="shared" si="478"/>
        <v/>
      </c>
      <c r="IW64" s="9" t="str">
        <f t="shared" si="479"/>
        <v/>
      </c>
      <c r="IX64" s="5" t="str">
        <f t="shared" si="480"/>
        <v/>
      </c>
      <c r="IY64" s="5" t="str">
        <f t="shared" si="481"/>
        <v/>
      </c>
      <c r="IZ64" s="5" t="str">
        <f t="shared" si="482"/>
        <v/>
      </c>
      <c r="JA64" s="705" t="str">
        <f t="shared" si="483"/>
        <v/>
      </c>
    </row>
    <row r="65" spans="1:261" ht="15" customHeight="1" x14ac:dyDescent="0.25">
      <c r="A65" s="75">
        <f t="shared" si="308"/>
        <v>0</v>
      </c>
      <c r="B65" s="578">
        <f t="shared" ref="B65:D65" si="607">IFERROR(O220+($A65*-E65),"")</f>
        <v>-4.646592856273096</v>
      </c>
      <c r="C65" s="572">
        <f t="shared" si="607"/>
        <v>3.6016696559825574</v>
      </c>
      <c r="D65" s="576">
        <f t="shared" si="607"/>
        <v>-3.4042102670981649</v>
      </c>
      <c r="E65" s="580">
        <f t="shared" ref="E65:K65" si="608">R220</f>
        <v>-0.92423480250426615</v>
      </c>
      <c r="F65" s="572">
        <f t="shared" si="608"/>
        <v>-0.37932965895785853</v>
      </c>
      <c r="G65" s="579">
        <f t="shared" si="608"/>
        <v>4.3577972357775677E-2</v>
      </c>
      <c r="H65" s="580">
        <f t="shared" si="608"/>
        <v>0.3125</v>
      </c>
      <c r="I65" s="572">
        <f t="shared" si="608"/>
        <v>0.52</v>
      </c>
      <c r="J65" s="483">
        <f t="shared" si="92"/>
        <v>6.1559999999999997</v>
      </c>
      <c r="K65" s="806">
        <f t="shared" si="608"/>
        <v>1613</v>
      </c>
      <c r="L65" s="309"/>
      <c r="M65" s="164">
        <f t="shared" si="311"/>
        <v>6.1559999999999997</v>
      </c>
      <c r="N65" s="575">
        <f t="shared" si="312"/>
        <v>-4.646592856273096</v>
      </c>
      <c r="O65" s="572">
        <f t="shared" si="313"/>
        <v>3.6016696559825574</v>
      </c>
      <c r="P65" s="576">
        <f t="shared" si="314"/>
        <v>-3.4042102670981649</v>
      </c>
      <c r="Q65" s="528">
        <f t="shared" si="134"/>
        <v>142.22000040138229</v>
      </c>
      <c r="R65" s="572">
        <f t="shared" si="93"/>
        <v>5.8790177311174761</v>
      </c>
      <c r="S65" s="577">
        <f t="shared" si="94"/>
        <v>-3.4042102670981649</v>
      </c>
      <c r="T65" s="578">
        <f t="shared" si="95"/>
        <v>3.6008586178037998</v>
      </c>
      <c r="U65" s="572">
        <f t="shared" si="96"/>
        <v>4.6472213953481694</v>
      </c>
      <c r="V65" s="579">
        <f t="shared" si="135"/>
        <v>-3.4042102670981649</v>
      </c>
      <c r="W65" s="528">
        <f t="shared" si="256"/>
        <v>52.230000399938476</v>
      </c>
      <c r="X65" s="572">
        <f t="shared" si="97"/>
        <v>5.8790177311174761</v>
      </c>
      <c r="Y65" s="573">
        <f t="shared" si="259"/>
        <v>-3.4042102670981649</v>
      </c>
      <c r="Z65" s="575">
        <f t="shared" si="315"/>
        <v>0.92423480250426615</v>
      </c>
      <c r="AA65" s="572">
        <f t="shared" si="316"/>
        <v>0.37932965895785853</v>
      </c>
      <c r="AB65" s="572">
        <f t="shared" si="317"/>
        <v>-4.3577972357775677E-2</v>
      </c>
      <c r="AC65" s="579">
        <f t="shared" si="98"/>
        <v>1</v>
      </c>
      <c r="AD65" s="580">
        <f t="shared" si="136"/>
        <v>0.92423480250426615</v>
      </c>
      <c r="AE65" s="572">
        <f t="shared" si="99"/>
        <v>0.37932965895785853</v>
      </c>
      <c r="AF65" s="576">
        <f t="shared" si="100"/>
        <v>-4.3577972357775677E-2</v>
      </c>
      <c r="AG65" s="545">
        <f t="shared" si="101"/>
        <v>83.446502809468441</v>
      </c>
      <c r="AH65" s="546">
        <f t="shared" si="102"/>
        <v>22.446748840573601</v>
      </c>
      <c r="AI65" s="528">
        <f t="shared" si="103"/>
        <v>-87.50237516362445</v>
      </c>
      <c r="AJ65" s="529">
        <f t="shared" si="104"/>
        <v>112.31450378232996</v>
      </c>
      <c r="AK65" s="578">
        <f t="shared" si="234"/>
        <v>0.86602544158358563</v>
      </c>
      <c r="AL65" s="572">
        <f t="shared" si="105"/>
        <v>-0.49809727449077718</v>
      </c>
      <c r="AM65" s="577">
        <f t="shared" si="106"/>
        <v>-4.3577972357775677E-2</v>
      </c>
      <c r="AN65" s="524">
        <f t="shared" si="107"/>
        <v>-84.999987727520093</v>
      </c>
      <c r="AO65" s="525">
        <f t="shared" si="590"/>
        <v>29.999995668536535</v>
      </c>
      <c r="AP65" s="528">
        <f t="shared" si="109"/>
        <v>-29.905496619052318</v>
      </c>
      <c r="AQ65" s="529">
        <f t="shared" si="318"/>
        <v>0.23807345496744725</v>
      </c>
      <c r="AS65" s="900">
        <f t="shared" si="510"/>
        <v>-307.76999960006151</v>
      </c>
      <c r="AT65" s="896">
        <f t="shared" si="319"/>
        <v>-3.2729862362615449</v>
      </c>
      <c r="AU65" s="418"/>
      <c r="AV65" s="164" t="str">
        <f t="shared" si="320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8"/>
        <v/>
      </c>
      <c r="BA65" s="296" t="str">
        <f t="shared" si="322"/>
        <v/>
      </c>
      <c r="BB65" s="177" t="str">
        <f t="shared" si="139"/>
        <v/>
      </c>
      <c r="BC65" s="9"/>
      <c r="BD65" s="5" t="str">
        <f t="shared" si="235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0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1"/>
        <v/>
      </c>
      <c r="BP65" s="5" t="str">
        <f t="shared" si="142"/>
        <v/>
      </c>
      <c r="BQ65" s="5" t="str">
        <f t="shared" si="143"/>
        <v/>
      </c>
      <c r="BR65" s="6" t="str">
        <f t="shared" si="144"/>
        <v/>
      </c>
      <c r="BS65" s="4" t="str">
        <f t="shared" si="554"/>
        <v/>
      </c>
      <c r="BT65" s="5" t="str">
        <f t="shared" si="554"/>
        <v/>
      </c>
      <c r="BU65" s="10" t="str">
        <f t="shared" si="111"/>
        <v/>
      </c>
      <c r="BV65" s="9" t="str">
        <f t="shared" si="112"/>
        <v/>
      </c>
      <c r="BW65" s="5" t="str">
        <f t="shared" si="113"/>
        <v/>
      </c>
      <c r="BX65" s="8" t="str">
        <f t="shared" si="114"/>
        <v/>
      </c>
      <c r="BY65" s="173" t="str">
        <f t="shared" si="115"/>
        <v/>
      </c>
      <c r="BZ65" s="5" t="str">
        <f t="shared" si="116"/>
        <v/>
      </c>
      <c r="CA65" s="6" t="str">
        <f t="shared" si="117"/>
        <v/>
      </c>
      <c r="CB65" s="4" t="str">
        <f t="shared" si="145"/>
        <v/>
      </c>
      <c r="CC65" s="5" t="str">
        <f t="shared" si="146"/>
        <v/>
      </c>
      <c r="CD65" s="5" t="str">
        <f t="shared" si="147"/>
        <v/>
      </c>
      <c r="CE65" s="6" t="str">
        <f t="shared" si="148"/>
        <v/>
      </c>
      <c r="CF65" s="4" t="str">
        <f t="shared" si="149"/>
        <v/>
      </c>
      <c r="CG65" s="5" t="str">
        <f t="shared" si="150"/>
        <v/>
      </c>
      <c r="CH65" s="5" t="str">
        <f t="shared" si="151"/>
        <v/>
      </c>
      <c r="CI65" s="4" t="str">
        <f t="shared" si="118"/>
        <v/>
      </c>
      <c r="CJ65" s="5" t="str">
        <f t="shared" si="119"/>
        <v/>
      </c>
      <c r="CK65" s="8" t="str">
        <f t="shared" si="120"/>
        <v/>
      </c>
      <c r="CL65" s="173" t="str">
        <f t="shared" si="121"/>
        <v/>
      </c>
      <c r="CM65" s="5" t="str">
        <f t="shared" si="122"/>
        <v/>
      </c>
      <c r="CN65" s="6" t="str">
        <f t="shared" si="123"/>
        <v/>
      </c>
      <c r="CO65" s="167" t="str">
        <f t="shared" si="350"/>
        <v/>
      </c>
      <c r="CP65" s="4" t="str">
        <f t="shared" si="236"/>
        <v/>
      </c>
      <c r="CQ65" s="5" t="str">
        <f t="shared" si="237"/>
        <v/>
      </c>
      <c r="CR65" s="5" t="str">
        <f t="shared" si="152"/>
        <v/>
      </c>
      <c r="CS65" s="8" t="str">
        <f t="shared" si="153"/>
        <v/>
      </c>
      <c r="CT65" s="9" t="str">
        <f t="shared" si="154"/>
        <v/>
      </c>
      <c r="CU65" s="6" t="str">
        <f t="shared" si="155"/>
        <v/>
      </c>
      <c r="CV65" s="4" t="str">
        <f t="shared" si="238"/>
        <v/>
      </c>
      <c r="CW65" s="5" t="str">
        <f t="shared" si="156"/>
        <v/>
      </c>
      <c r="CX65" s="8" t="str">
        <f t="shared" si="157"/>
        <v/>
      </c>
      <c r="CY65" s="9" t="str">
        <f t="shared" si="158"/>
        <v/>
      </c>
      <c r="CZ65" s="5" t="str">
        <f t="shared" si="159"/>
        <v/>
      </c>
      <c r="DA65" s="6" t="str">
        <f t="shared" si="160"/>
        <v/>
      </c>
      <c r="DB65" s="4" t="str">
        <f t="shared" si="555"/>
        <v/>
      </c>
      <c r="DC65" s="5" t="str">
        <f t="shared" si="555"/>
        <v/>
      </c>
      <c r="DD65" s="10" t="str">
        <f t="shared" si="162"/>
        <v/>
      </c>
      <c r="DE65" s="9" t="str">
        <f t="shared" si="556"/>
        <v/>
      </c>
      <c r="DF65" s="5" t="str">
        <f t="shared" si="556"/>
        <v/>
      </c>
      <c r="DG65" s="10" t="str">
        <f t="shared" si="164"/>
        <v/>
      </c>
      <c r="DH65" s="70" t="str">
        <f t="shared" si="165"/>
        <v/>
      </c>
      <c r="DI65" s="4" t="str">
        <f t="shared" si="166"/>
        <v/>
      </c>
      <c r="DJ65" s="5" t="str">
        <f t="shared" si="167"/>
        <v/>
      </c>
      <c r="DK65" s="10" t="str">
        <f t="shared" si="168"/>
        <v/>
      </c>
      <c r="DL65" s="9" t="str">
        <f t="shared" si="169"/>
        <v/>
      </c>
      <c r="DM65" s="173" t="str">
        <f t="shared" si="170"/>
        <v/>
      </c>
      <c r="DN65" s="178" t="str">
        <f t="shared" si="171"/>
        <v/>
      </c>
      <c r="DO65" s="9" t="str">
        <f t="shared" si="172"/>
        <v/>
      </c>
      <c r="DP65" s="173" t="str">
        <f t="shared" si="173"/>
        <v/>
      </c>
      <c r="DQ65" s="11" t="str">
        <f t="shared" si="174"/>
        <v/>
      </c>
      <c r="DR65" s="173" t="str">
        <f t="shared" si="175"/>
        <v/>
      </c>
      <c r="DS65" s="5" t="str">
        <f t="shared" si="176"/>
        <v/>
      </c>
      <c r="DT65" s="5" t="str">
        <f t="shared" si="177"/>
        <v/>
      </c>
      <c r="DU65" s="5" t="str">
        <f t="shared" si="178"/>
        <v/>
      </c>
      <c r="DV65" s="5" t="str">
        <f t="shared" si="179"/>
        <v/>
      </c>
      <c r="DW65" s="5" t="str">
        <f t="shared" si="180"/>
        <v/>
      </c>
      <c r="DX65" s="167" t="str">
        <f t="shared" si="181"/>
        <v/>
      </c>
      <c r="DY65" s="9" t="str">
        <f t="shared" si="182"/>
        <v/>
      </c>
      <c r="DZ65" s="5" t="str">
        <f t="shared" si="183"/>
        <v/>
      </c>
      <c r="EA65" s="10" t="str">
        <f t="shared" si="184"/>
        <v/>
      </c>
      <c r="EB65" s="6" t="str">
        <f t="shared" si="185"/>
        <v/>
      </c>
      <c r="EC65" s="173" t="str">
        <f t="shared" si="186"/>
        <v/>
      </c>
      <c r="ED65" s="5" t="str">
        <f t="shared" si="187"/>
        <v/>
      </c>
      <c r="EE65" s="4" t="str">
        <f t="shared" si="188"/>
        <v/>
      </c>
      <c r="EF65" s="5" t="str">
        <f t="shared" si="189"/>
        <v/>
      </c>
      <c r="EG65" s="10" t="str">
        <f t="shared" si="190"/>
        <v/>
      </c>
      <c r="EH65" s="9" t="str">
        <f t="shared" si="191"/>
        <v/>
      </c>
      <c r="EI65" s="5" t="str">
        <f t="shared" si="192"/>
        <v/>
      </c>
      <c r="EJ65" s="6" t="str">
        <f t="shared" si="193"/>
        <v/>
      </c>
      <c r="EK65" s="236" t="str">
        <f t="shared" si="194"/>
        <v/>
      </c>
      <c r="EL65" s="238" t="str">
        <f t="shared" si="195"/>
        <v/>
      </c>
      <c r="EM65" s="4" t="str">
        <f t="shared" si="196"/>
        <v/>
      </c>
      <c r="EN65" s="5" t="str">
        <f t="shared" si="197"/>
        <v/>
      </c>
      <c r="EO65" s="10" t="str">
        <f t="shared" si="198"/>
        <v/>
      </c>
      <c r="EP65" s="9" t="str">
        <f t="shared" si="199"/>
        <v/>
      </c>
      <c r="EQ65" s="5" t="str">
        <f t="shared" si="200"/>
        <v/>
      </c>
      <c r="ER65" s="7" t="str">
        <f t="shared" si="201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2"/>
        <v/>
      </c>
      <c r="EZ65" s="51" t="str">
        <f t="shared" si="203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4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6"/>
        <v/>
      </c>
      <c r="FK65" s="4" t="str">
        <f t="shared" si="568"/>
        <v/>
      </c>
      <c r="FL65" s="5" t="str">
        <f t="shared" si="207"/>
        <v/>
      </c>
      <c r="FM65" s="8" t="str">
        <f t="shared" si="208"/>
        <v/>
      </c>
      <c r="FN65" s="9" t="str">
        <f t="shared" si="209"/>
        <v/>
      </c>
      <c r="FO65" s="10" t="str">
        <f t="shared" si="569"/>
        <v/>
      </c>
      <c r="FP65" s="277" t="str">
        <f t="shared" si="570"/>
        <v/>
      </c>
      <c r="FQ65" s="173" t="str">
        <f t="shared" si="239"/>
        <v/>
      </c>
      <c r="FR65" s="10" t="str">
        <f t="shared" si="210"/>
        <v/>
      </c>
      <c r="FS65" s="9" t="str">
        <f t="shared" si="211"/>
        <v/>
      </c>
      <c r="FT65" s="6" t="str">
        <f t="shared" si="212"/>
        <v/>
      </c>
      <c r="FU65" s="4" t="str">
        <f t="shared" si="213"/>
        <v/>
      </c>
      <c r="FV65" s="5" t="str">
        <f t="shared" si="214"/>
        <v/>
      </c>
      <c r="FW65" s="8" t="str">
        <f t="shared" si="240"/>
        <v/>
      </c>
      <c r="FX65" s="9" t="str">
        <f t="shared" si="241"/>
        <v/>
      </c>
      <c r="FY65" s="10" t="str">
        <f t="shared" si="571"/>
        <v/>
      </c>
      <c r="FZ65" s="277" t="str">
        <f t="shared" si="242"/>
        <v/>
      </c>
      <c r="GA65" s="177" t="str">
        <f t="shared" si="215"/>
        <v/>
      </c>
      <c r="GB65" s="4" t="str">
        <f t="shared" si="216"/>
        <v/>
      </c>
      <c r="GC65" s="5" t="str">
        <f t="shared" si="217"/>
        <v/>
      </c>
      <c r="GD65" s="10" t="str">
        <f t="shared" si="218"/>
        <v/>
      </c>
      <c r="GE65" s="311" t="str">
        <f t="shared" si="219"/>
        <v/>
      </c>
      <c r="GF65" s="341" t="str">
        <f t="shared" si="243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0"/>
        <v/>
      </c>
      <c r="GK65" s="174" t="str">
        <f t="shared" si="575"/>
        <v/>
      </c>
      <c r="GL65" s="174" t="str">
        <f t="shared" si="221"/>
        <v/>
      </c>
      <c r="GM65" s="177" t="str">
        <f t="shared" si="244"/>
        <v/>
      </c>
      <c r="GN65" s="280" t="str">
        <f t="shared" si="222"/>
        <v/>
      </c>
      <c r="GO65" s="4" t="str">
        <f t="shared" si="223"/>
        <v/>
      </c>
      <c r="GP65" s="8" t="str">
        <f t="shared" si="245"/>
        <v/>
      </c>
      <c r="GQ65" s="177" t="str">
        <f t="shared" si="224"/>
        <v/>
      </c>
      <c r="GR65" s="371" t="str">
        <f t="shared" si="246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3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5"/>
        <v/>
      </c>
      <c r="HC65" s="343" t="str">
        <f t="shared" si="226"/>
        <v/>
      </c>
      <c r="HD65" s="363" t="str">
        <f t="shared" si="227"/>
        <v/>
      </c>
      <c r="HE65" s="344" t="str">
        <f t="shared" si="584"/>
        <v/>
      </c>
      <c r="HF65" s="5" t="str">
        <f t="shared" si="585"/>
        <v/>
      </c>
      <c r="HG65" s="343" t="str">
        <f t="shared" si="228"/>
        <v/>
      </c>
      <c r="HH65" s="349" t="str">
        <f t="shared" si="229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935" t="str">
        <f t="shared" si="455"/>
        <v/>
      </c>
      <c r="HN65" s="936" t="str">
        <f t="shared" si="456"/>
        <v/>
      </c>
      <c r="HO65" s="937"/>
      <c r="HP65" s="938"/>
      <c r="HQ65" s="936" t="str">
        <f t="shared" si="457"/>
        <v/>
      </c>
      <c r="HR65" s="939" t="str">
        <f t="shared" si="458"/>
        <v/>
      </c>
      <c r="HS65" s="940" t="str">
        <f t="shared" si="507"/>
        <v/>
      </c>
      <c r="HT65" s="941" t="str">
        <f t="shared" si="459"/>
        <v/>
      </c>
      <c r="HU65" s="942" t="str">
        <f t="shared" si="460"/>
        <v/>
      </c>
      <c r="HV65" s="943" t="str">
        <f t="shared" si="461"/>
        <v/>
      </c>
      <c r="HW65" s="944" t="str">
        <f t="shared" si="462"/>
        <v/>
      </c>
      <c r="HX65" s="947" t="str">
        <f t="shared" si="463"/>
        <v/>
      </c>
      <c r="HY65" s="952" t="str">
        <f t="shared" si="464"/>
        <v/>
      </c>
      <c r="HZ65" s="953" t="str">
        <f t="shared" si="465"/>
        <v/>
      </c>
      <c r="IA65" s="954" t="str">
        <f t="shared" si="466"/>
        <v/>
      </c>
      <c r="IB65" s="955" t="str">
        <f t="shared" si="467"/>
        <v/>
      </c>
      <c r="IC65" s="842" t="str">
        <f t="shared" si="468"/>
        <v/>
      </c>
      <c r="ID65" s="351" t="str">
        <f t="shared" si="469"/>
        <v/>
      </c>
      <c r="IE65" s="844" t="str">
        <f t="shared" si="470"/>
        <v/>
      </c>
      <c r="IF65" s="845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0"/>
        <v>6.1559999999999997</v>
      </c>
      <c r="IJ65" s="96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71"/>
        <v>1613</v>
      </c>
      <c r="IM65" s="482" t="str">
        <f t="shared" si="231"/>
        <v/>
      </c>
      <c r="IN65" s="670" t="str">
        <f t="shared" si="472"/>
        <v/>
      </c>
      <c r="IO65" s="702"/>
      <c r="IP65" s="5" t="str">
        <f t="shared" si="473"/>
        <v/>
      </c>
      <c r="IQ65" s="714"/>
      <c r="IR65" s="9" t="str">
        <f t="shared" si="474"/>
        <v/>
      </c>
      <c r="IS65" s="5" t="str">
        <f t="shared" si="475"/>
        <v/>
      </c>
      <c r="IT65" s="5" t="str">
        <f t="shared" si="476"/>
        <v/>
      </c>
      <c r="IU65" s="5" t="str">
        <f t="shared" si="477"/>
        <v/>
      </c>
      <c r="IV65" s="670" t="str">
        <f t="shared" si="478"/>
        <v/>
      </c>
      <c r="IW65" s="9" t="str">
        <f t="shared" si="479"/>
        <v/>
      </c>
      <c r="IX65" s="5" t="str">
        <f t="shared" si="480"/>
        <v/>
      </c>
      <c r="IY65" s="5" t="str">
        <f t="shared" si="481"/>
        <v/>
      </c>
      <c r="IZ65" s="5" t="str">
        <f t="shared" si="482"/>
        <v/>
      </c>
      <c r="JA65" s="705" t="str">
        <f t="shared" si="483"/>
        <v/>
      </c>
    </row>
    <row r="66" spans="1:261" ht="15" customHeight="1" x14ac:dyDescent="0.25">
      <c r="A66" s="75" t="str">
        <f t="shared" si="308"/>
        <v/>
      </c>
      <c r="B66" s="578" t="str">
        <f t="shared" ref="B66:D66" si="609">IFERROR(O221+($A66*-E66),"")</f>
        <v/>
      </c>
      <c r="C66" s="572" t="str">
        <f t="shared" si="609"/>
        <v/>
      </c>
      <c r="D66" s="576" t="str">
        <f t="shared" si="609"/>
        <v/>
      </c>
      <c r="E66" s="580" t="str">
        <f t="shared" ref="E66:K66" si="610">R221</f>
        <v/>
      </c>
      <c r="F66" s="572" t="str">
        <f t="shared" si="610"/>
        <v/>
      </c>
      <c r="G66" s="579" t="str">
        <f t="shared" si="610"/>
        <v/>
      </c>
      <c r="H66" s="580" t="str">
        <f t="shared" si="610"/>
        <v/>
      </c>
      <c r="I66" s="572" t="str">
        <f t="shared" si="610"/>
        <v/>
      </c>
      <c r="J66" s="483" t="str">
        <f t="shared" si="92"/>
        <v/>
      </c>
      <c r="K66" s="806" t="str">
        <f t="shared" si="610"/>
        <v/>
      </c>
      <c r="L66" s="309"/>
      <c r="M66" s="164" t="str">
        <f t="shared" si="311"/>
        <v/>
      </c>
      <c r="N66" s="575" t="str">
        <f t="shared" si="312"/>
        <v/>
      </c>
      <c r="O66" s="572" t="str">
        <f t="shared" si="313"/>
        <v/>
      </c>
      <c r="P66" s="576" t="str">
        <f t="shared" si="314"/>
        <v/>
      </c>
      <c r="Q66" s="528" t="str">
        <f t="shared" si="134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135"/>
        <v/>
      </c>
      <c r="W66" s="528" t="str">
        <f t="shared" si="256"/>
        <v/>
      </c>
      <c r="X66" s="572" t="str">
        <f t="shared" si="97"/>
        <v/>
      </c>
      <c r="Y66" s="573" t="str">
        <f t="shared" si="259"/>
        <v/>
      </c>
      <c r="Z66" s="575" t="str">
        <f t="shared" si="315"/>
        <v/>
      </c>
      <c r="AA66" s="572" t="str">
        <f t="shared" si="316"/>
        <v/>
      </c>
      <c r="AB66" s="572" t="str">
        <f t="shared" si="317"/>
        <v/>
      </c>
      <c r="AC66" s="579" t="str">
        <f t="shared" si="98"/>
        <v/>
      </c>
      <c r="AD66" s="580" t="str">
        <f t="shared" si="136"/>
        <v/>
      </c>
      <c r="AE66" s="572" t="str">
        <f t="shared" si="99"/>
        <v/>
      </c>
      <c r="AF66" s="576" t="str">
        <f t="shared" si="100"/>
        <v/>
      </c>
      <c r="AG66" s="545" t="str">
        <f t="shared" si="101"/>
        <v/>
      </c>
      <c r="AH66" s="546" t="str">
        <f t="shared" si="102"/>
        <v/>
      </c>
      <c r="AI66" s="528" t="str">
        <f t="shared" si="103"/>
        <v/>
      </c>
      <c r="AJ66" s="529" t="str">
        <f t="shared" si="104"/>
        <v/>
      </c>
      <c r="AK66" s="578" t="str">
        <f t="shared" si="234"/>
        <v/>
      </c>
      <c r="AL66" s="572" t="str">
        <f t="shared" si="105"/>
        <v/>
      </c>
      <c r="AM66" s="577" t="str">
        <f t="shared" si="106"/>
        <v/>
      </c>
      <c r="AN66" s="524" t="str">
        <f t="shared" si="107"/>
        <v/>
      </c>
      <c r="AO66" s="525" t="str">
        <f t="shared" si="590"/>
        <v/>
      </c>
      <c r="AP66" s="528" t="str">
        <f t="shared" si="109"/>
        <v/>
      </c>
      <c r="AQ66" s="529" t="str">
        <f t="shared" si="318"/>
        <v/>
      </c>
      <c r="AS66" s="900" t="str">
        <f t="shared" si="510"/>
        <v/>
      </c>
      <c r="AT66" s="896" t="str">
        <f t="shared" si="319"/>
        <v/>
      </c>
      <c r="AU66" s="418"/>
      <c r="AV66" s="164" t="str">
        <f t="shared" si="320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8"/>
        <v/>
      </c>
      <c r="BA66" s="296" t="str">
        <f t="shared" si="322"/>
        <v/>
      </c>
      <c r="BB66" s="177" t="str">
        <f t="shared" si="139"/>
        <v/>
      </c>
      <c r="BC66" s="9"/>
      <c r="BD66" s="5" t="str">
        <f t="shared" si="235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0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1"/>
        <v/>
      </c>
      <c r="BP66" s="5" t="str">
        <f t="shared" si="142"/>
        <v/>
      </c>
      <c r="BQ66" s="5" t="str">
        <f t="shared" si="143"/>
        <v/>
      </c>
      <c r="BR66" s="6" t="str">
        <f t="shared" si="144"/>
        <v/>
      </c>
      <c r="BS66" s="4" t="str">
        <f t="shared" si="554"/>
        <v/>
      </c>
      <c r="BT66" s="5" t="str">
        <f t="shared" si="554"/>
        <v/>
      </c>
      <c r="BU66" s="10" t="str">
        <f t="shared" si="111"/>
        <v/>
      </c>
      <c r="BV66" s="9" t="str">
        <f t="shared" si="112"/>
        <v/>
      </c>
      <c r="BW66" s="5" t="str">
        <f t="shared" si="113"/>
        <v/>
      </c>
      <c r="BX66" s="8" t="str">
        <f t="shared" si="114"/>
        <v/>
      </c>
      <c r="BY66" s="173" t="str">
        <f t="shared" si="115"/>
        <v/>
      </c>
      <c r="BZ66" s="5" t="str">
        <f t="shared" si="116"/>
        <v/>
      </c>
      <c r="CA66" s="6" t="str">
        <f t="shared" si="117"/>
        <v/>
      </c>
      <c r="CB66" s="4" t="str">
        <f t="shared" si="145"/>
        <v/>
      </c>
      <c r="CC66" s="5" t="str">
        <f t="shared" si="146"/>
        <v/>
      </c>
      <c r="CD66" s="5" t="str">
        <f t="shared" si="147"/>
        <v/>
      </c>
      <c r="CE66" s="6" t="str">
        <f t="shared" si="148"/>
        <v/>
      </c>
      <c r="CF66" s="4" t="str">
        <f t="shared" si="149"/>
        <v/>
      </c>
      <c r="CG66" s="5" t="str">
        <f t="shared" si="150"/>
        <v/>
      </c>
      <c r="CH66" s="5" t="str">
        <f t="shared" si="151"/>
        <v/>
      </c>
      <c r="CI66" s="4" t="str">
        <f t="shared" si="118"/>
        <v/>
      </c>
      <c r="CJ66" s="5" t="str">
        <f t="shared" si="119"/>
        <v/>
      </c>
      <c r="CK66" s="8" t="str">
        <f t="shared" si="120"/>
        <v/>
      </c>
      <c r="CL66" s="173" t="str">
        <f t="shared" si="121"/>
        <v/>
      </c>
      <c r="CM66" s="5" t="str">
        <f t="shared" si="122"/>
        <v/>
      </c>
      <c r="CN66" s="6" t="str">
        <f t="shared" si="123"/>
        <v/>
      </c>
      <c r="CO66" s="167" t="str">
        <f t="shared" si="350"/>
        <v/>
      </c>
      <c r="CP66" s="4" t="str">
        <f t="shared" si="236"/>
        <v/>
      </c>
      <c r="CQ66" s="5" t="str">
        <f t="shared" si="237"/>
        <v/>
      </c>
      <c r="CR66" s="5" t="str">
        <f t="shared" si="152"/>
        <v/>
      </c>
      <c r="CS66" s="8" t="str">
        <f t="shared" si="153"/>
        <v/>
      </c>
      <c r="CT66" s="9" t="str">
        <f t="shared" si="154"/>
        <v/>
      </c>
      <c r="CU66" s="6" t="str">
        <f t="shared" si="155"/>
        <v/>
      </c>
      <c r="CV66" s="4" t="str">
        <f t="shared" si="238"/>
        <v/>
      </c>
      <c r="CW66" s="5" t="str">
        <f t="shared" si="156"/>
        <v/>
      </c>
      <c r="CX66" s="8" t="str">
        <f t="shared" si="157"/>
        <v/>
      </c>
      <c r="CY66" s="9" t="str">
        <f t="shared" si="158"/>
        <v/>
      </c>
      <c r="CZ66" s="5" t="str">
        <f t="shared" si="159"/>
        <v/>
      </c>
      <c r="DA66" s="6" t="str">
        <f t="shared" si="160"/>
        <v/>
      </c>
      <c r="DB66" s="4" t="str">
        <f t="shared" si="555"/>
        <v/>
      </c>
      <c r="DC66" s="5" t="str">
        <f t="shared" si="555"/>
        <v/>
      </c>
      <c r="DD66" s="10" t="str">
        <f t="shared" si="162"/>
        <v/>
      </c>
      <c r="DE66" s="9" t="str">
        <f t="shared" si="556"/>
        <v/>
      </c>
      <c r="DF66" s="5" t="str">
        <f t="shared" si="556"/>
        <v/>
      </c>
      <c r="DG66" s="10" t="str">
        <f t="shared" si="164"/>
        <v/>
      </c>
      <c r="DH66" s="70" t="str">
        <f t="shared" si="165"/>
        <v/>
      </c>
      <c r="DI66" s="4" t="str">
        <f t="shared" si="166"/>
        <v/>
      </c>
      <c r="DJ66" s="5" t="str">
        <f t="shared" si="167"/>
        <v/>
      </c>
      <c r="DK66" s="10" t="str">
        <f t="shared" si="168"/>
        <v/>
      </c>
      <c r="DL66" s="9" t="str">
        <f t="shared" si="169"/>
        <v/>
      </c>
      <c r="DM66" s="173" t="str">
        <f t="shared" si="170"/>
        <v/>
      </c>
      <c r="DN66" s="178" t="str">
        <f t="shared" si="171"/>
        <v/>
      </c>
      <c r="DO66" s="9" t="str">
        <f t="shared" si="172"/>
        <v/>
      </c>
      <c r="DP66" s="173" t="str">
        <f t="shared" si="173"/>
        <v/>
      </c>
      <c r="DQ66" s="11" t="str">
        <f t="shared" si="174"/>
        <v/>
      </c>
      <c r="DR66" s="173" t="str">
        <f t="shared" si="175"/>
        <v/>
      </c>
      <c r="DS66" s="5" t="str">
        <f t="shared" si="176"/>
        <v/>
      </c>
      <c r="DT66" s="5" t="str">
        <f t="shared" si="177"/>
        <v/>
      </c>
      <c r="DU66" s="5" t="str">
        <f t="shared" si="178"/>
        <v/>
      </c>
      <c r="DV66" s="5" t="str">
        <f t="shared" si="179"/>
        <v/>
      </c>
      <c r="DW66" s="5" t="str">
        <f t="shared" si="180"/>
        <v/>
      </c>
      <c r="DX66" s="167" t="str">
        <f t="shared" si="181"/>
        <v/>
      </c>
      <c r="DY66" s="9" t="str">
        <f t="shared" si="182"/>
        <v/>
      </c>
      <c r="DZ66" s="5" t="str">
        <f t="shared" si="183"/>
        <v/>
      </c>
      <c r="EA66" s="10" t="str">
        <f t="shared" si="184"/>
        <v/>
      </c>
      <c r="EB66" s="6" t="str">
        <f t="shared" si="185"/>
        <v/>
      </c>
      <c r="EC66" s="173" t="str">
        <f t="shared" si="186"/>
        <v/>
      </c>
      <c r="ED66" s="5" t="str">
        <f t="shared" si="187"/>
        <v/>
      </c>
      <c r="EE66" s="4" t="str">
        <f t="shared" si="188"/>
        <v/>
      </c>
      <c r="EF66" s="5" t="str">
        <f t="shared" si="189"/>
        <v/>
      </c>
      <c r="EG66" s="10" t="str">
        <f t="shared" si="190"/>
        <v/>
      </c>
      <c r="EH66" s="9" t="str">
        <f t="shared" si="191"/>
        <v/>
      </c>
      <c r="EI66" s="5" t="str">
        <f t="shared" si="192"/>
        <v/>
      </c>
      <c r="EJ66" s="6" t="str">
        <f t="shared" si="193"/>
        <v/>
      </c>
      <c r="EK66" s="236" t="str">
        <f t="shared" si="194"/>
        <v/>
      </c>
      <c r="EL66" s="238" t="str">
        <f t="shared" si="195"/>
        <v/>
      </c>
      <c r="EM66" s="4" t="str">
        <f t="shared" si="196"/>
        <v/>
      </c>
      <c r="EN66" s="5" t="str">
        <f t="shared" si="197"/>
        <v/>
      </c>
      <c r="EO66" s="10" t="str">
        <f t="shared" si="198"/>
        <v/>
      </c>
      <c r="EP66" s="9" t="str">
        <f t="shared" si="199"/>
        <v/>
      </c>
      <c r="EQ66" s="5" t="str">
        <f t="shared" si="200"/>
        <v/>
      </c>
      <c r="ER66" s="7" t="str">
        <f t="shared" si="201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2"/>
        <v/>
      </c>
      <c r="EZ66" s="51" t="str">
        <f t="shared" si="203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4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6"/>
        <v/>
      </c>
      <c r="FK66" s="4" t="str">
        <f t="shared" si="568"/>
        <v/>
      </c>
      <c r="FL66" s="5" t="str">
        <f t="shared" si="207"/>
        <v/>
      </c>
      <c r="FM66" s="8" t="str">
        <f t="shared" si="208"/>
        <v/>
      </c>
      <c r="FN66" s="9" t="str">
        <f t="shared" si="209"/>
        <v/>
      </c>
      <c r="FO66" s="10" t="str">
        <f t="shared" si="569"/>
        <v/>
      </c>
      <c r="FP66" s="277" t="str">
        <f t="shared" si="570"/>
        <v/>
      </c>
      <c r="FQ66" s="173" t="str">
        <f t="shared" si="239"/>
        <v/>
      </c>
      <c r="FR66" s="10" t="str">
        <f t="shared" si="210"/>
        <v/>
      </c>
      <c r="FS66" s="9" t="str">
        <f t="shared" si="211"/>
        <v/>
      </c>
      <c r="FT66" s="6" t="str">
        <f t="shared" si="212"/>
        <v/>
      </c>
      <c r="FU66" s="4" t="str">
        <f t="shared" si="213"/>
        <v/>
      </c>
      <c r="FV66" s="5" t="str">
        <f t="shared" si="214"/>
        <v/>
      </c>
      <c r="FW66" s="8" t="str">
        <f t="shared" si="240"/>
        <v/>
      </c>
      <c r="FX66" s="9" t="str">
        <f t="shared" si="241"/>
        <v/>
      </c>
      <c r="FY66" s="10" t="str">
        <f t="shared" si="571"/>
        <v/>
      </c>
      <c r="FZ66" s="277" t="str">
        <f t="shared" si="242"/>
        <v/>
      </c>
      <c r="GA66" s="177" t="str">
        <f t="shared" si="215"/>
        <v/>
      </c>
      <c r="GB66" s="4" t="str">
        <f t="shared" si="216"/>
        <v/>
      </c>
      <c r="GC66" s="5" t="str">
        <f t="shared" si="217"/>
        <v/>
      </c>
      <c r="GD66" s="10" t="str">
        <f t="shared" si="218"/>
        <v/>
      </c>
      <c r="GE66" s="311" t="str">
        <f t="shared" si="219"/>
        <v/>
      </c>
      <c r="GF66" s="341" t="str">
        <f t="shared" si="243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0"/>
        <v/>
      </c>
      <c r="GK66" s="174" t="str">
        <f t="shared" si="575"/>
        <v/>
      </c>
      <c r="GL66" s="174" t="str">
        <f t="shared" si="221"/>
        <v/>
      </c>
      <c r="GM66" s="177" t="str">
        <f t="shared" si="244"/>
        <v/>
      </c>
      <c r="GN66" s="280" t="str">
        <f t="shared" si="222"/>
        <v/>
      </c>
      <c r="GO66" s="4" t="str">
        <f t="shared" si="223"/>
        <v/>
      </c>
      <c r="GP66" s="8" t="str">
        <f t="shared" si="245"/>
        <v/>
      </c>
      <c r="GQ66" s="177" t="str">
        <f t="shared" si="224"/>
        <v/>
      </c>
      <c r="GR66" s="371" t="str">
        <f t="shared" si="246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3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5"/>
        <v/>
      </c>
      <c r="HC66" s="343" t="str">
        <f t="shared" si="226"/>
        <v/>
      </c>
      <c r="HD66" s="363" t="str">
        <f t="shared" si="227"/>
        <v/>
      </c>
      <c r="HE66" s="344" t="str">
        <f t="shared" si="584"/>
        <v/>
      </c>
      <c r="HF66" s="5" t="str">
        <f t="shared" si="585"/>
        <v/>
      </c>
      <c r="HG66" s="343" t="str">
        <f t="shared" si="228"/>
        <v/>
      </c>
      <c r="HH66" s="349" t="str">
        <f t="shared" si="229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935" t="str">
        <f t="shared" si="455"/>
        <v/>
      </c>
      <c r="HN66" s="936" t="str">
        <f t="shared" si="456"/>
        <v/>
      </c>
      <c r="HO66" s="937"/>
      <c r="HP66" s="938"/>
      <c r="HQ66" s="936" t="str">
        <f t="shared" si="457"/>
        <v/>
      </c>
      <c r="HR66" s="939" t="str">
        <f t="shared" si="458"/>
        <v/>
      </c>
      <c r="HS66" s="940" t="str">
        <f t="shared" si="507"/>
        <v/>
      </c>
      <c r="HT66" s="941" t="str">
        <f t="shared" si="459"/>
        <v/>
      </c>
      <c r="HU66" s="942" t="str">
        <f t="shared" si="460"/>
        <v/>
      </c>
      <c r="HV66" s="943" t="str">
        <f t="shared" si="461"/>
        <v/>
      </c>
      <c r="HW66" s="944" t="str">
        <f t="shared" si="462"/>
        <v/>
      </c>
      <c r="HX66" s="947" t="str">
        <f t="shared" si="463"/>
        <v/>
      </c>
      <c r="HY66" s="952" t="str">
        <f t="shared" si="464"/>
        <v/>
      </c>
      <c r="HZ66" s="953" t="str">
        <f t="shared" si="465"/>
        <v/>
      </c>
      <c r="IA66" s="954" t="str">
        <f t="shared" si="466"/>
        <v/>
      </c>
      <c r="IB66" s="955" t="str">
        <f t="shared" si="467"/>
        <v/>
      </c>
      <c r="IC66" s="842" t="str">
        <f t="shared" si="468"/>
        <v/>
      </c>
      <c r="ID66" s="351" t="str">
        <f t="shared" si="469"/>
        <v/>
      </c>
      <c r="IE66" s="844" t="str">
        <f t="shared" si="470"/>
        <v/>
      </c>
      <c r="IF66" s="845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0"/>
        <v/>
      </c>
      <c r="IJ66" s="96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71"/>
        <v/>
      </c>
      <c r="IM66" s="482" t="str">
        <f t="shared" si="231"/>
        <v/>
      </c>
      <c r="IN66" s="670" t="str">
        <f t="shared" si="472"/>
        <v/>
      </c>
      <c r="IO66" s="702"/>
      <c r="IP66" s="5" t="str">
        <f t="shared" si="473"/>
        <v/>
      </c>
      <c r="IQ66" s="714"/>
      <c r="IR66" s="9" t="str">
        <f t="shared" si="474"/>
        <v/>
      </c>
      <c r="IS66" s="5" t="str">
        <f t="shared" si="475"/>
        <v/>
      </c>
      <c r="IT66" s="5" t="str">
        <f t="shared" si="476"/>
        <v/>
      </c>
      <c r="IU66" s="5" t="str">
        <f t="shared" si="477"/>
        <v/>
      </c>
      <c r="IV66" s="670" t="str">
        <f t="shared" si="478"/>
        <v/>
      </c>
      <c r="IW66" s="9" t="str">
        <f t="shared" si="479"/>
        <v/>
      </c>
      <c r="IX66" s="5" t="str">
        <f t="shared" si="480"/>
        <v/>
      </c>
      <c r="IY66" s="5" t="str">
        <f t="shared" si="481"/>
        <v/>
      </c>
      <c r="IZ66" s="5" t="str">
        <f t="shared" si="482"/>
        <v/>
      </c>
      <c r="JA66" s="705" t="str">
        <f t="shared" si="483"/>
        <v/>
      </c>
    </row>
    <row r="67" spans="1:261" ht="15" customHeight="1" x14ac:dyDescent="0.25">
      <c r="A67" s="75" t="str">
        <f t="shared" si="308"/>
        <v/>
      </c>
      <c r="B67" s="578" t="str">
        <f t="shared" ref="B67:D67" si="611">IFERROR(O222+($A67*-E67),"")</f>
        <v/>
      </c>
      <c r="C67" s="572" t="str">
        <f t="shared" si="611"/>
        <v/>
      </c>
      <c r="D67" s="576" t="str">
        <f t="shared" si="611"/>
        <v/>
      </c>
      <c r="E67" s="580" t="str">
        <f t="shared" ref="E67:K67" si="612">R222</f>
        <v/>
      </c>
      <c r="F67" s="572" t="str">
        <f t="shared" si="612"/>
        <v/>
      </c>
      <c r="G67" s="579" t="str">
        <f t="shared" si="612"/>
        <v/>
      </c>
      <c r="H67" s="580" t="str">
        <f t="shared" si="612"/>
        <v/>
      </c>
      <c r="I67" s="572" t="str">
        <f t="shared" si="612"/>
        <v/>
      </c>
      <c r="J67" s="483" t="str">
        <f t="shared" si="92"/>
        <v/>
      </c>
      <c r="K67" s="806" t="str">
        <f t="shared" si="612"/>
        <v/>
      </c>
      <c r="L67" s="309"/>
      <c r="M67" s="164" t="str">
        <f t="shared" si="311"/>
        <v/>
      </c>
      <c r="N67" s="575" t="str">
        <f t="shared" si="312"/>
        <v/>
      </c>
      <c r="O67" s="572" t="str">
        <f t="shared" si="313"/>
        <v/>
      </c>
      <c r="P67" s="576" t="str">
        <f t="shared" si="314"/>
        <v/>
      </c>
      <c r="Q67" s="528" t="str">
        <f t="shared" si="13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6"/>
        <v/>
      </c>
      <c r="X67" s="572" t="str">
        <f>IF(M67="","",R67)</f>
        <v/>
      </c>
      <c r="Y67" s="573" t="str">
        <f t="shared" si="259"/>
        <v/>
      </c>
      <c r="Z67" s="575" t="str">
        <f t="shared" si="315"/>
        <v/>
      </c>
      <c r="AA67" s="572" t="str">
        <f t="shared" si="316"/>
        <v/>
      </c>
      <c r="AB67" s="572" t="str">
        <f t="shared" si="317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90"/>
        <v/>
      </c>
      <c r="AP67" s="528" t="str">
        <f>IF(M67="","",DEGREES(ATAN2(AK67,AL67)))</f>
        <v/>
      </c>
      <c r="AQ67" s="529" t="str">
        <f t="shared" si="318"/>
        <v/>
      </c>
      <c r="AS67" s="900" t="str">
        <f t="shared" si="510"/>
        <v/>
      </c>
      <c r="AT67" s="896" t="str">
        <f t="shared" si="319"/>
        <v/>
      </c>
      <c r="AU67" s="418"/>
      <c r="AV67" s="164" t="str">
        <f t="shared" si="320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8"/>
        <v/>
      </c>
      <c r="BA67" s="296" t="str">
        <f t="shared" si="322"/>
        <v/>
      </c>
      <c r="BB67" s="177" t="str">
        <f t="shared" si="139"/>
        <v/>
      </c>
      <c r="BC67" s="9"/>
      <c r="BD67" s="5" t="str">
        <f t="shared" si="235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0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1"/>
        <v/>
      </c>
      <c r="BP67" s="5" t="str">
        <f t="shared" si="142"/>
        <v/>
      </c>
      <c r="BQ67" s="5" t="str">
        <f t="shared" si="143"/>
        <v/>
      </c>
      <c r="BR67" s="6" t="str">
        <f t="shared" si="144"/>
        <v/>
      </c>
      <c r="BS67" s="4" t="str">
        <f t="shared" si="554"/>
        <v/>
      </c>
      <c r="BT67" s="5" t="str">
        <f t="shared" si="554"/>
        <v/>
      </c>
      <c r="BU67" s="10" t="str">
        <f t="shared" si="111"/>
        <v/>
      </c>
      <c r="BV67" s="9" t="str">
        <f t="shared" si="112"/>
        <v/>
      </c>
      <c r="BW67" s="5" t="str">
        <f t="shared" si="113"/>
        <v/>
      </c>
      <c r="BX67" s="8" t="str">
        <f t="shared" si="114"/>
        <v/>
      </c>
      <c r="BY67" s="173" t="str">
        <f t="shared" si="115"/>
        <v/>
      </c>
      <c r="BZ67" s="5" t="str">
        <f t="shared" si="116"/>
        <v/>
      </c>
      <c r="CA67" s="6" t="str">
        <f t="shared" si="117"/>
        <v/>
      </c>
      <c r="CB67" s="4" t="str">
        <f t="shared" si="145"/>
        <v/>
      </c>
      <c r="CC67" s="5" t="str">
        <f t="shared" si="146"/>
        <v/>
      </c>
      <c r="CD67" s="5" t="str">
        <f t="shared" si="147"/>
        <v/>
      </c>
      <c r="CE67" s="6" t="str">
        <f t="shared" si="148"/>
        <v/>
      </c>
      <c r="CF67" s="4" t="str">
        <f t="shared" si="149"/>
        <v/>
      </c>
      <c r="CG67" s="5" t="str">
        <f t="shared" si="150"/>
        <v/>
      </c>
      <c r="CH67" s="5" t="str">
        <f t="shared" si="151"/>
        <v/>
      </c>
      <c r="CI67" s="4" t="str">
        <f t="shared" si="118"/>
        <v/>
      </c>
      <c r="CJ67" s="5" t="str">
        <f t="shared" si="119"/>
        <v/>
      </c>
      <c r="CK67" s="8" t="str">
        <f t="shared" si="120"/>
        <v/>
      </c>
      <c r="CL67" s="173" t="str">
        <f t="shared" si="121"/>
        <v/>
      </c>
      <c r="CM67" s="5" t="str">
        <f t="shared" si="122"/>
        <v/>
      </c>
      <c r="CN67" s="6" t="str">
        <f t="shared" si="123"/>
        <v/>
      </c>
      <c r="CO67" s="167" t="str">
        <f t="shared" si="350"/>
        <v/>
      </c>
      <c r="CP67" s="4" t="str">
        <f t="shared" si="236"/>
        <v/>
      </c>
      <c r="CQ67" s="5" t="str">
        <f t="shared" si="237"/>
        <v/>
      </c>
      <c r="CR67" s="5" t="str">
        <f t="shared" si="152"/>
        <v/>
      </c>
      <c r="CS67" s="8" t="str">
        <f t="shared" si="153"/>
        <v/>
      </c>
      <c r="CT67" s="9" t="str">
        <f t="shared" si="154"/>
        <v/>
      </c>
      <c r="CU67" s="6" t="str">
        <f t="shared" si="155"/>
        <v/>
      </c>
      <c r="CV67" s="4" t="str">
        <f t="shared" si="238"/>
        <v/>
      </c>
      <c r="CW67" s="5" t="str">
        <f t="shared" si="156"/>
        <v/>
      </c>
      <c r="CX67" s="8" t="str">
        <f t="shared" si="157"/>
        <v/>
      </c>
      <c r="CY67" s="9" t="str">
        <f t="shared" si="158"/>
        <v/>
      </c>
      <c r="CZ67" s="5" t="str">
        <f t="shared" si="159"/>
        <v/>
      </c>
      <c r="DA67" s="6" t="str">
        <f t="shared" si="160"/>
        <v/>
      </c>
      <c r="DB67" s="4" t="str">
        <f t="shared" si="555"/>
        <v/>
      </c>
      <c r="DC67" s="5" t="str">
        <f t="shared" si="555"/>
        <v/>
      </c>
      <c r="DD67" s="10" t="str">
        <f t="shared" si="162"/>
        <v/>
      </c>
      <c r="DE67" s="9" t="str">
        <f t="shared" si="556"/>
        <v/>
      </c>
      <c r="DF67" s="5" t="str">
        <f t="shared" si="556"/>
        <v/>
      </c>
      <c r="DG67" s="10" t="str">
        <f t="shared" si="164"/>
        <v/>
      </c>
      <c r="DH67" s="70" t="str">
        <f t="shared" si="165"/>
        <v/>
      </c>
      <c r="DI67" s="4" t="str">
        <f t="shared" si="166"/>
        <v/>
      </c>
      <c r="DJ67" s="5" t="str">
        <f t="shared" si="167"/>
        <v/>
      </c>
      <c r="DK67" s="10" t="str">
        <f t="shared" si="168"/>
        <v/>
      </c>
      <c r="DL67" s="9" t="str">
        <f t="shared" si="169"/>
        <v/>
      </c>
      <c r="DM67" s="173" t="str">
        <f t="shared" si="170"/>
        <v/>
      </c>
      <c r="DN67" s="178" t="str">
        <f t="shared" si="171"/>
        <v/>
      </c>
      <c r="DO67" s="9" t="str">
        <f t="shared" si="172"/>
        <v/>
      </c>
      <c r="DP67" s="173" t="str">
        <f t="shared" si="173"/>
        <v/>
      </c>
      <c r="DQ67" s="11" t="str">
        <f t="shared" si="174"/>
        <v/>
      </c>
      <c r="DR67" s="173" t="str">
        <f t="shared" si="175"/>
        <v/>
      </c>
      <c r="DS67" s="5" t="str">
        <f t="shared" si="176"/>
        <v/>
      </c>
      <c r="DT67" s="5" t="str">
        <f t="shared" si="177"/>
        <v/>
      </c>
      <c r="DU67" s="5" t="str">
        <f t="shared" si="178"/>
        <v/>
      </c>
      <c r="DV67" s="5" t="str">
        <f t="shared" si="179"/>
        <v/>
      </c>
      <c r="DW67" s="5" t="str">
        <f t="shared" si="180"/>
        <v/>
      </c>
      <c r="DX67" s="167" t="str">
        <f t="shared" si="181"/>
        <v/>
      </c>
      <c r="DY67" s="9" t="str">
        <f t="shared" si="182"/>
        <v/>
      </c>
      <c r="DZ67" s="5" t="str">
        <f t="shared" si="183"/>
        <v/>
      </c>
      <c r="EA67" s="10" t="str">
        <f t="shared" si="184"/>
        <v/>
      </c>
      <c r="EB67" s="6" t="str">
        <f t="shared" si="185"/>
        <v/>
      </c>
      <c r="EC67" s="173" t="str">
        <f t="shared" si="186"/>
        <v/>
      </c>
      <c r="ED67" s="5" t="str">
        <f t="shared" si="187"/>
        <v/>
      </c>
      <c r="EE67" s="4" t="str">
        <f t="shared" si="188"/>
        <v/>
      </c>
      <c r="EF67" s="5" t="str">
        <f t="shared" si="189"/>
        <v/>
      </c>
      <c r="EG67" s="10" t="str">
        <f t="shared" si="190"/>
        <v/>
      </c>
      <c r="EH67" s="9" t="str">
        <f t="shared" si="191"/>
        <v/>
      </c>
      <c r="EI67" s="5" t="str">
        <f t="shared" si="192"/>
        <v/>
      </c>
      <c r="EJ67" s="6" t="str">
        <f t="shared" si="193"/>
        <v/>
      </c>
      <c r="EK67" s="236" t="str">
        <f t="shared" si="194"/>
        <v/>
      </c>
      <c r="EL67" s="238" t="str">
        <f t="shared" si="195"/>
        <v/>
      </c>
      <c r="EM67" s="4" t="str">
        <f t="shared" si="196"/>
        <v/>
      </c>
      <c r="EN67" s="5" t="str">
        <f t="shared" si="197"/>
        <v/>
      </c>
      <c r="EO67" s="10" t="str">
        <f t="shared" si="198"/>
        <v/>
      </c>
      <c r="EP67" s="9" t="str">
        <f t="shared" si="199"/>
        <v/>
      </c>
      <c r="EQ67" s="5" t="str">
        <f t="shared" si="200"/>
        <v/>
      </c>
      <c r="ER67" s="7" t="str">
        <f t="shared" si="201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2"/>
        <v/>
      </c>
      <c r="EZ67" s="51" t="str">
        <f t="shared" si="203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4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6"/>
        <v/>
      </c>
      <c r="FK67" s="4" t="str">
        <f t="shared" si="568"/>
        <v/>
      </c>
      <c r="FL67" s="5" t="str">
        <f t="shared" si="207"/>
        <v/>
      </c>
      <c r="FM67" s="8" t="str">
        <f t="shared" si="208"/>
        <v/>
      </c>
      <c r="FN67" s="9" t="str">
        <f t="shared" si="209"/>
        <v/>
      </c>
      <c r="FO67" s="10" t="str">
        <f t="shared" si="569"/>
        <v/>
      </c>
      <c r="FP67" s="277" t="str">
        <f t="shared" si="570"/>
        <v/>
      </c>
      <c r="FQ67" s="173" t="str">
        <f t="shared" si="239"/>
        <v/>
      </c>
      <c r="FR67" s="10" t="str">
        <f t="shared" si="210"/>
        <v/>
      </c>
      <c r="FS67" s="9" t="str">
        <f t="shared" si="211"/>
        <v/>
      </c>
      <c r="FT67" s="6" t="str">
        <f t="shared" si="212"/>
        <v/>
      </c>
      <c r="FU67" s="4" t="str">
        <f t="shared" si="213"/>
        <v/>
      </c>
      <c r="FV67" s="5" t="str">
        <f t="shared" si="214"/>
        <v/>
      </c>
      <c r="FW67" s="8" t="str">
        <f t="shared" si="240"/>
        <v/>
      </c>
      <c r="FX67" s="9" t="str">
        <f t="shared" si="241"/>
        <v/>
      </c>
      <c r="FY67" s="10" t="str">
        <f t="shared" si="571"/>
        <v/>
      </c>
      <c r="FZ67" s="277" t="str">
        <f t="shared" si="242"/>
        <v/>
      </c>
      <c r="GA67" s="177" t="str">
        <f t="shared" si="215"/>
        <v/>
      </c>
      <c r="GB67" s="4" t="str">
        <f t="shared" si="216"/>
        <v/>
      </c>
      <c r="GC67" s="5" t="str">
        <f t="shared" si="217"/>
        <v/>
      </c>
      <c r="GD67" s="10" t="str">
        <f t="shared" si="218"/>
        <v/>
      </c>
      <c r="GE67" s="311" t="str">
        <f t="shared" si="219"/>
        <v/>
      </c>
      <c r="GF67" s="341" t="str">
        <f t="shared" si="243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0"/>
        <v/>
      </c>
      <c r="GK67" s="174" t="str">
        <f t="shared" si="575"/>
        <v/>
      </c>
      <c r="GL67" s="174" t="str">
        <f t="shared" si="221"/>
        <v/>
      </c>
      <c r="GM67" s="177" t="str">
        <f t="shared" si="244"/>
        <v/>
      </c>
      <c r="GN67" s="280" t="str">
        <f t="shared" si="222"/>
        <v/>
      </c>
      <c r="GO67" s="4" t="str">
        <f t="shared" si="223"/>
        <v/>
      </c>
      <c r="GP67" s="8" t="str">
        <f t="shared" si="245"/>
        <v/>
      </c>
      <c r="GQ67" s="177" t="str">
        <f t="shared" si="224"/>
        <v/>
      </c>
      <c r="GR67" s="371" t="str">
        <f t="shared" si="246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3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5"/>
        <v/>
      </c>
      <c r="HC67" s="343" t="str">
        <f t="shared" si="226"/>
        <v/>
      </c>
      <c r="HD67" s="363" t="str">
        <f t="shared" si="227"/>
        <v/>
      </c>
      <c r="HE67" s="344" t="str">
        <f t="shared" si="584"/>
        <v/>
      </c>
      <c r="HF67" s="5" t="str">
        <f t="shared" si="585"/>
        <v/>
      </c>
      <c r="HG67" s="343" t="str">
        <f t="shared" si="228"/>
        <v/>
      </c>
      <c r="HH67" s="349" t="str">
        <f t="shared" si="229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935" t="str">
        <f t="shared" si="455"/>
        <v/>
      </c>
      <c r="HN67" s="936" t="str">
        <f t="shared" si="456"/>
        <v/>
      </c>
      <c r="HO67" s="937"/>
      <c r="HP67" s="938"/>
      <c r="HQ67" s="936" t="str">
        <f t="shared" si="457"/>
        <v/>
      </c>
      <c r="HR67" s="939" t="str">
        <f t="shared" si="458"/>
        <v/>
      </c>
      <c r="HS67" s="940" t="str">
        <f t="shared" si="507"/>
        <v/>
      </c>
      <c r="HT67" s="941" t="str">
        <f t="shared" si="459"/>
        <v/>
      </c>
      <c r="HU67" s="942" t="str">
        <f t="shared" si="460"/>
        <v/>
      </c>
      <c r="HV67" s="943" t="str">
        <f t="shared" si="461"/>
        <v/>
      </c>
      <c r="HW67" s="944" t="str">
        <f t="shared" si="462"/>
        <v/>
      </c>
      <c r="HX67" s="947" t="str">
        <f t="shared" si="463"/>
        <v/>
      </c>
      <c r="HY67" s="952" t="str">
        <f t="shared" si="464"/>
        <v/>
      </c>
      <c r="HZ67" s="953" t="str">
        <f t="shared" si="465"/>
        <v/>
      </c>
      <c r="IA67" s="954" t="str">
        <f t="shared" si="466"/>
        <v/>
      </c>
      <c r="IB67" s="955" t="str">
        <f t="shared" si="467"/>
        <v/>
      </c>
      <c r="IC67" s="842" t="str">
        <f t="shared" si="468"/>
        <v/>
      </c>
      <c r="ID67" s="351" t="str">
        <f t="shared" si="469"/>
        <v/>
      </c>
      <c r="IE67" s="844" t="str">
        <f t="shared" si="470"/>
        <v/>
      </c>
      <c r="IF67" s="845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0"/>
        <v/>
      </c>
      <c r="IJ67" s="96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71"/>
        <v/>
      </c>
      <c r="IM67" s="482" t="str">
        <f t="shared" si="231"/>
        <v/>
      </c>
      <c r="IN67" s="670" t="str">
        <f t="shared" si="472"/>
        <v/>
      </c>
      <c r="IO67" s="702"/>
      <c r="IP67" s="5" t="str">
        <f t="shared" si="473"/>
        <v/>
      </c>
      <c r="IQ67" s="714"/>
      <c r="IR67" s="9" t="str">
        <f t="shared" si="474"/>
        <v/>
      </c>
      <c r="IS67" s="5" t="str">
        <f t="shared" si="475"/>
        <v/>
      </c>
      <c r="IT67" s="5" t="str">
        <f t="shared" si="476"/>
        <v/>
      </c>
      <c r="IU67" s="5" t="str">
        <f t="shared" si="477"/>
        <v/>
      </c>
      <c r="IV67" s="670" t="str">
        <f t="shared" si="478"/>
        <v/>
      </c>
      <c r="IW67" s="9" t="str">
        <f t="shared" si="479"/>
        <v/>
      </c>
      <c r="IX67" s="5" t="str">
        <f t="shared" si="480"/>
        <v/>
      </c>
      <c r="IY67" s="5" t="str">
        <f t="shared" si="481"/>
        <v/>
      </c>
      <c r="IZ67" s="5" t="str">
        <f t="shared" si="482"/>
        <v/>
      </c>
      <c r="JA67" s="705" t="str">
        <f t="shared" si="483"/>
        <v/>
      </c>
    </row>
    <row r="68" spans="1:261" ht="15" customHeight="1" x14ac:dyDescent="0.25">
      <c r="A68" s="75" t="str">
        <f t="shared" si="308"/>
        <v/>
      </c>
      <c r="B68" s="578" t="str">
        <f t="shared" ref="B68:D68" si="613">IFERROR(O223+($A68*-E68),"")</f>
        <v/>
      </c>
      <c r="C68" s="572" t="str">
        <f t="shared" si="613"/>
        <v/>
      </c>
      <c r="D68" s="576" t="str">
        <f t="shared" si="613"/>
        <v/>
      </c>
      <c r="E68" s="580" t="str">
        <f t="shared" ref="E68:K68" si="614">R223</f>
        <v/>
      </c>
      <c r="F68" s="572" t="str">
        <f t="shared" si="614"/>
        <v/>
      </c>
      <c r="G68" s="579" t="str">
        <f t="shared" si="614"/>
        <v/>
      </c>
      <c r="H68" s="580" t="str">
        <f t="shared" si="614"/>
        <v/>
      </c>
      <c r="I68" s="572" t="str">
        <f t="shared" si="614"/>
        <v/>
      </c>
      <c r="J68" s="483" t="str">
        <f t="shared" si="92"/>
        <v/>
      </c>
      <c r="K68" s="806" t="str">
        <f t="shared" si="614"/>
        <v/>
      </c>
      <c r="L68" s="309"/>
      <c r="M68" s="164" t="str">
        <f t="shared" si="311"/>
        <v/>
      </c>
      <c r="N68" s="575" t="str">
        <f t="shared" si="312"/>
        <v/>
      </c>
      <c r="O68" s="572" t="str">
        <f t="shared" si="313"/>
        <v/>
      </c>
      <c r="P68" s="576" t="str">
        <f t="shared" si="314"/>
        <v/>
      </c>
      <c r="Q68" s="528" t="str">
        <f t="shared" si="13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6"/>
        <v/>
      </c>
      <c r="X68" s="572" t="str">
        <f>IF(M68="","",R68)</f>
        <v/>
      </c>
      <c r="Y68" s="573" t="str">
        <f t="shared" si="259"/>
        <v/>
      </c>
      <c r="Z68" s="575" t="str">
        <f t="shared" si="315"/>
        <v/>
      </c>
      <c r="AA68" s="572" t="str">
        <f t="shared" si="316"/>
        <v/>
      </c>
      <c r="AB68" s="572" t="str">
        <f t="shared" si="317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90"/>
        <v/>
      </c>
      <c r="AP68" s="528" t="str">
        <f>IF(M68="","",DEGREES(ATAN2(AK68,AL68)))</f>
        <v/>
      </c>
      <c r="AQ68" s="529" t="str">
        <f t="shared" si="318"/>
        <v/>
      </c>
      <c r="AS68" s="900" t="str">
        <f t="shared" si="510"/>
        <v/>
      </c>
      <c r="AT68" s="896" t="str">
        <f t="shared" si="319"/>
        <v/>
      </c>
      <c r="AU68" s="418"/>
      <c r="AV68" s="164" t="str">
        <f t="shared" si="320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8"/>
        <v/>
      </c>
      <c r="BA68" s="296" t="str">
        <f t="shared" si="322"/>
        <v/>
      </c>
      <c r="BB68" s="177" t="str">
        <f t="shared" si="139"/>
        <v/>
      </c>
      <c r="BC68" s="9"/>
      <c r="BD68" s="5" t="str">
        <f t="shared" si="235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0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1"/>
        <v/>
      </c>
      <c r="BP68" s="5" t="str">
        <f t="shared" si="142"/>
        <v/>
      </c>
      <c r="BQ68" s="5" t="str">
        <f t="shared" si="143"/>
        <v/>
      </c>
      <c r="BR68" s="6" t="str">
        <f t="shared" si="144"/>
        <v/>
      </c>
      <c r="BS68" s="4" t="str">
        <f t="shared" si="554"/>
        <v/>
      </c>
      <c r="BT68" s="5" t="str">
        <f t="shared" si="554"/>
        <v/>
      </c>
      <c r="BU68" s="10" t="str">
        <f t="shared" si="111"/>
        <v/>
      </c>
      <c r="BV68" s="9" t="str">
        <f t="shared" si="112"/>
        <v/>
      </c>
      <c r="BW68" s="5" t="str">
        <f t="shared" si="113"/>
        <v/>
      </c>
      <c r="BX68" s="8" t="str">
        <f t="shared" si="114"/>
        <v/>
      </c>
      <c r="BY68" s="173" t="str">
        <f t="shared" si="115"/>
        <v/>
      </c>
      <c r="BZ68" s="5" t="str">
        <f t="shared" si="116"/>
        <v/>
      </c>
      <c r="CA68" s="6" t="str">
        <f t="shared" si="117"/>
        <v/>
      </c>
      <c r="CB68" s="4" t="str">
        <f t="shared" si="145"/>
        <v/>
      </c>
      <c r="CC68" s="5" t="str">
        <f t="shared" si="146"/>
        <v/>
      </c>
      <c r="CD68" s="5" t="str">
        <f t="shared" si="147"/>
        <v/>
      </c>
      <c r="CE68" s="6" t="str">
        <f t="shared" si="148"/>
        <v/>
      </c>
      <c r="CF68" s="4" t="str">
        <f t="shared" si="149"/>
        <v/>
      </c>
      <c r="CG68" s="5" t="str">
        <f t="shared" si="150"/>
        <v/>
      </c>
      <c r="CH68" s="5" t="str">
        <f t="shared" si="151"/>
        <v/>
      </c>
      <c r="CI68" s="4" t="str">
        <f t="shared" si="118"/>
        <v/>
      </c>
      <c r="CJ68" s="5" t="str">
        <f t="shared" si="119"/>
        <v/>
      </c>
      <c r="CK68" s="8" t="str">
        <f t="shared" si="120"/>
        <v/>
      </c>
      <c r="CL68" s="173" t="str">
        <f t="shared" si="121"/>
        <v/>
      </c>
      <c r="CM68" s="5" t="str">
        <f t="shared" si="122"/>
        <v/>
      </c>
      <c r="CN68" s="6" t="str">
        <f t="shared" si="123"/>
        <v/>
      </c>
      <c r="CO68" s="167" t="str">
        <f t="shared" si="350"/>
        <v/>
      </c>
      <c r="CP68" s="4" t="str">
        <f t="shared" si="236"/>
        <v/>
      </c>
      <c r="CQ68" s="5" t="str">
        <f t="shared" si="237"/>
        <v/>
      </c>
      <c r="CR68" s="5" t="str">
        <f t="shared" si="152"/>
        <v/>
      </c>
      <c r="CS68" s="8" t="str">
        <f t="shared" si="153"/>
        <v/>
      </c>
      <c r="CT68" s="9" t="str">
        <f t="shared" si="154"/>
        <v/>
      </c>
      <c r="CU68" s="6" t="str">
        <f t="shared" si="155"/>
        <v/>
      </c>
      <c r="CV68" s="4" t="str">
        <f t="shared" si="238"/>
        <v/>
      </c>
      <c r="CW68" s="5" t="str">
        <f t="shared" si="156"/>
        <v/>
      </c>
      <c r="CX68" s="8" t="str">
        <f t="shared" si="157"/>
        <v/>
      </c>
      <c r="CY68" s="9" t="str">
        <f t="shared" si="158"/>
        <v/>
      </c>
      <c r="CZ68" s="5" t="str">
        <f t="shared" si="159"/>
        <v/>
      </c>
      <c r="DA68" s="6" t="str">
        <f t="shared" si="160"/>
        <v/>
      </c>
      <c r="DB68" s="4" t="str">
        <f t="shared" si="555"/>
        <v/>
      </c>
      <c r="DC68" s="5" t="str">
        <f t="shared" si="555"/>
        <v/>
      </c>
      <c r="DD68" s="10" t="str">
        <f t="shared" si="162"/>
        <v/>
      </c>
      <c r="DE68" s="9" t="str">
        <f t="shared" si="556"/>
        <v/>
      </c>
      <c r="DF68" s="5" t="str">
        <f t="shared" si="556"/>
        <v/>
      </c>
      <c r="DG68" s="10" t="str">
        <f t="shared" si="164"/>
        <v/>
      </c>
      <c r="DH68" s="70" t="str">
        <f t="shared" si="165"/>
        <v/>
      </c>
      <c r="DI68" s="4" t="str">
        <f t="shared" si="166"/>
        <v/>
      </c>
      <c r="DJ68" s="5" t="str">
        <f t="shared" si="167"/>
        <v/>
      </c>
      <c r="DK68" s="10" t="str">
        <f t="shared" si="168"/>
        <v/>
      </c>
      <c r="DL68" s="9" t="str">
        <f t="shared" si="169"/>
        <v/>
      </c>
      <c r="DM68" s="173" t="str">
        <f t="shared" si="170"/>
        <v/>
      </c>
      <c r="DN68" s="178" t="str">
        <f t="shared" si="171"/>
        <v/>
      </c>
      <c r="DO68" s="9" t="str">
        <f t="shared" si="172"/>
        <v/>
      </c>
      <c r="DP68" s="173" t="str">
        <f t="shared" si="173"/>
        <v/>
      </c>
      <c r="DQ68" s="11" t="str">
        <f t="shared" si="174"/>
        <v/>
      </c>
      <c r="DR68" s="173" t="str">
        <f t="shared" si="175"/>
        <v/>
      </c>
      <c r="DS68" s="5" t="str">
        <f t="shared" si="176"/>
        <v/>
      </c>
      <c r="DT68" s="5" t="str">
        <f t="shared" si="177"/>
        <v/>
      </c>
      <c r="DU68" s="5" t="str">
        <f t="shared" si="178"/>
        <v/>
      </c>
      <c r="DV68" s="5" t="str">
        <f t="shared" si="179"/>
        <v/>
      </c>
      <c r="DW68" s="5" t="str">
        <f t="shared" si="180"/>
        <v/>
      </c>
      <c r="DX68" s="167" t="str">
        <f t="shared" si="181"/>
        <v/>
      </c>
      <c r="DY68" s="9" t="str">
        <f t="shared" si="182"/>
        <v/>
      </c>
      <c r="DZ68" s="5" t="str">
        <f t="shared" si="183"/>
        <v/>
      </c>
      <c r="EA68" s="10" t="str">
        <f t="shared" si="184"/>
        <v/>
      </c>
      <c r="EB68" s="6" t="str">
        <f t="shared" si="185"/>
        <v/>
      </c>
      <c r="EC68" s="173" t="str">
        <f t="shared" si="186"/>
        <v/>
      </c>
      <c r="ED68" s="5" t="str">
        <f t="shared" si="187"/>
        <v/>
      </c>
      <c r="EE68" s="4" t="str">
        <f t="shared" si="188"/>
        <v/>
      </c>
      <c r="EF68" s="5" t="str">
        <f t="shared" si="189"/>
        <v/>
      </c>
      <c r="EG68" s="10" t="str">
        <f t="shared" si="190"/>
        <v/>
      </c>
      <c r="EH68" s="9" t="str">
        <f t="shared" si="191"/>
        <v/>
      </c>
      <c r="EI68" s="5" t="str">
        <f t="shared" si="192"/>
        <v/>
      </c>
      <c r="EJ68" s="6" t="str">
        <f t="shared" si="193"/>
        <v/>
      </c>
      <c r="EK68" s="236" t="str">
        <f t="shared" si="194"/>
        <v/>
      </c>
      <c r="EL68" s="238" t="str">
        <f t="shared" si="195"/>
        <v/>
      </c>
      <c r="EM68" s="4" t="str">
        <f t="shared" si="196"/>
        <v/>
      </c>
      <c r="EN68" s="5" t="str">
        <f t="shared" si="197"/>
        <v/>
      </c>
      <c r="EO68" s="10" t="str">
        <f t="shared" si="198"/>
        <v/>
      </c>
      <c r="EP68" s="9" t="str">
        <f t="shared" si="199"/>
        <v/>
      </c>
      <c r="EQ68" s="5" t="str">
        <f t="shared" si="200"/>
        <v/>
      </c>
      <c r="ER68" s="7" t="str">
        <f t="shared" si="201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2"/>
        <v/>
      </c>
      <c r="EZ68" s="51" t="str">
        <f t="shared" si="203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4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6"/>
        <v/>
      </c>
      <c r="FK68" s="4" t="str">
        <f t="shared" si="568"/>
        <v/>
      </c>
      <c r="FL68" s="5" t="str">
        <f t="shared" si="207"/>
        <v/>
      </c>
      <c r="FM68" s="8" t="str">
        <f t="shared" si="208"/>
        <v/>
      </c>
      <c r="FN68" s="9" t="str">
        <f t="shared" si="209"/>
        <v/>
      </c>
      <c r="FO68" s="10" t="str">
        <f t="shared" si="569"/>
        <v/>
      </c>
      <c r="FP68" s="277" t="str">
        <f t="shared" si="570"/>
        <v/>
      </c>
      <c r="FQ68" s="173" t="str">
        <f t="shared" si="239"/>
        <v/>
      </c>
      <c r="FR68" s="10" t="str">
        <f t="shared" si="210"/>
        <v/>
      </c>
      <c r="FS68" s="9" t="str">
        <f t="shared" si="211"/>
        <v/>
      </c>
      <c r="FT68" s="6" t="str">
        <f t="shared" si="212"/>
        <v/>
      </c>
      <c r="FU68" s="4" t="str">
        <f t="shared" si="213"/>
        <v/>
      </c>
      <c r="FV68" s="5" t="str">
        <f t="shared" si="214"/>
        <v/>
      </c>
      <c r="FW68" s="8" t="str">
        <f t="shared" si="240"/>
        <v/>
      </c>
      <c r="FX68" s="9" t="str">
        <f t="shared" si="241"/>
        <v/>
      </c>
      <c r="FY68" s="10" t="str">
        <f t="shared" si="571"/>
        <v/>
      </c>
      <c r="FZ68" s="277" t="str">
        <f t="shared" si="242"/>
        <v/>
      </c>
      <c r="GA68" s="177" t="str">
        <f t="shared" si="215"/>
        <v/>
      </c>
      <c r="GB68" s="4" t="str">
        <f t="shared" si="216"/>
        <v/>
      </c>
      <c r="GC68" s="5" t="str">
        <f t="shared" si="217"/>
        <v/>
      </c>
      <c r="GD68" s="10" t="str">
        <f t="shared" si="218"/>
        <v/>
      </c>
      <c r="GE68" s="311" t="str">
        <f t="shared" si="219"/>
        <v/>
      </c>
      <c r="GF68" s="341" t="str">
        <f t="shared" si="243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0"/>
        <v/>
      </c>
      <c r="GK68" s="174" t="str">
        <f t="shared" si="575"/>
        <v/>
      </c>
      <c r="GL68" s="174" t="str">
        <f t="shared" si="221"/>
        <v/>
      </c>
      <c r="GM68" s="177" t="str">
        <f t="shared" si="244"/>
        <v/>
      </c>
      <c r="GN68" s="280" t="str">
        <f t="shared" si="222"/>
        <v/>
      </c>
      <c r="GO68" s="4" t="str">
        <f t="shared" si="223"/>
        <v/>
      </c>
      <c r="GP68" s="8" t="str">
        <f t="shared" si="245"/>
        <v/>
      </c>
      <c r="GQ68" s="177" t="str">
        <f t="shared" si="224"/>
        <v/>
      </c>
      <c r="GR68" s="371" t="str">
        <f t="shared" si="246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3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5"/>
        <v/>
      </c>
      <c r="HC68" s="343" t="str">
        <f t="shared" si="226"/>
        <v/>
      </c>
      <c r="HD68" s="363" t="str">
        <f t="shared" si="227"/>
        <v/>
      </c>
      <c r="HE68" s="344" t="str">
        <f t="shared" si="584"/>
        <v/>
      </c>
      <c r="HF68" s="5" t="str">
        <f t="shared" si="585"/>
        <v/>
      </c>
      <c r="HG68" s="343" t="str">
        <f t="shared" si="228"/>
        <v/>
      </c>
      <c r="HH68" s="349" t="str">
        <f t="shared" si="229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935" t="str">
        <f t="shared" si="455"/>
        <v/>
      </c>
      <c r="HN68" s="936" t="str">
        <f t="shared" si="456"/>
        <v/>
      </c>
      <c r="HO68" s="937"/>
      <c r="HP68" s="938"/>
      <c r="HQ68" s="936" t="str">
        <f t="shared" si="457"/>
        <v/>
      </c>
      <c r="HR68" s="939" t="str">
        <f t="shared" si="458"/>
        <v/>
      </c>
      <c r="HS68" s="940" t="str">
        <f t="shared" si="507"/>
        <v/>
      </c>
      <c r="HT68" s="941" t="str">
        <f t="shared" si="459"/>
        <v/>
      </c>
      <c r="HU68" s="942" t="str">
        <f t="shared" si="460"/>
        <v/>
      </c>
      <c r="HV68" s="943" t="str">
        <f t="shared" si="461"/>
        <v/>
      </c>
      <c r="HW68" s="944" t="str">
        <f t="shared" si="462"/>
        <v/>
      </c>
      <c r="HX68" s="947" t="str">
        <f t="shared" si="463"/>
        <v/>
      </c>
      <c r="HY68" s="952" t="str">
        <f t="shared" si="464"/>
        <v/>
      </c>
      <c r="HZ68" s="953" t="str">
        <f t="shared" si="465"/>
        <v/>
      </c>
      <c r="IA68" s="954" t="str">
        <f t="shared" si="466"/>
        <v/>
      </c>
      <c r="IB68" s="955" t="str">
        <f t="shared" si="467"/>
        <v/>
      </c>
      <c r="IC68" s="842" t="str">
        <f t="shared" si="468"/>
        <v/>
      </c>
      <c r="ID68" s="351" t="str">
        <f t="shared" si="469"/>
        <v/>
      </c>
      <c r="IE68" s="844" t="str">
        <f t="shared" si="470"/>
        <v/>
      </c>
      <c r="IF68" s="845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0"/>
        <v/>
      </c>
      <c r="IJ68" s="96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71"/>
        <v/>
      </c>
      <c r="IM68" s="482" t="str">
        <f t="shared" si="231"/>
        <v/>
      </c>
      <c r="IN68" s="670" t="str">
        <f t="shared" si="472"/>
        <v/>
      </c>
      <c r="IO68" s="702"/>
      <c r="IP68" s="5" t="str">
        <f t="shared" si="473"/>
        <v/>
      </c>
      <c r="IQ68" s="714"/>
      <c r="IR68" s="9" t="str">
        <f t="shared" si="474"/>
        <v/>
      </c>
      <c r="IS68" s="5" t="str">
        <f t="shared" si="475"/>
        <v/>
      </c>
      <c r="IT68" s="5" t="str">
        <f t="shared" si="476"/>
        <v/>
      </c>
      <c r="IU68" s="5" t="str">
        <f t="shared" si="477"/>
        <v/>
      </c>
      <c r="IV68" s="670" t="str">
        <f t="shared" si="478"/>
        <v/>
      </c>
      <c r="IW68" s="9" t="str">
        <f t="shared" si="479"/>
        <v/>
      </c>
      <c r="IX68" s="5" t="str">
        <f t="shared" si="480"/>
        <v/>
      </c>
      <c r="IY68" s="5" t="str">
        <f t="shared" si="481"/>
        <v/>
      </c>
      <c r="IZ68" s="5" t="str">
        <f t="shared" si="482"/>
        <v/>
      </c>
      <c r="JA68" s="705" t="str">
        <f t="shared" si="483"/>
        <v/>
      </c>
    </row>
    <row r="69" spans="1:261" ht="15" customHeight="1" x14ac:dyDescent="0.25">
      <c r="A69" s="75" t="str">
        <f t="shared" si="308"/>
        <v/>
      </c>
      <c r="B69" s="578" t="str">
        <f t="shared" ref="B69:D69" si="615">IFERROR(O224+($A69*-E69),"")</f>
        <v/>
      </c>
      <c r="C69" s="572" t="str">
        <f t="shared" si="615"/>
        <v/>
      </c>
      <c r="D69" s="576" t="str">
        <f t="shared" si="615"/>
        <v/>
      </c>
      <c r="E69" s="580" t="str">
        <f t="shared" ref="E69:K69" si="616">R224</f>
        <v/>
      </c>
      <c r="F69" s="572" t="str">
        <f t="shared" si="616"/>
        <v/>
      </c>
      <c r="G69" s="579" t="str">
        <f t="shared" si="616"/>
        <v/>
      </c>
      <c r="H69" s="580" t="str">
        <f t="shared" si="616"/>
        <v/>
      </c>
      <c r="I69" s="572" t="str">
        <f t="shared" si="616"/>
        <v/>
      </c>
      <c r="J69" s="483" t="str">
        <f t="shared" si="92"/>
        <v/>
      </c>
      <c r="K69" s="806" t="str">
        <f t="shared" si="616"/>
        <v/>
      </c>
      <c r="L69" s="309"/>
      <c r="M69" s="164" t="str">
        <f t="shared" si="311"/>
        <v/>
      </c>
      <c r="N69" s="575" t="str">
        <f t="shared" si="312"/>
        <v/>
      </c>
      <c r="O69" s="572" t="str">
        <f t="shared" si="313"/>
        <v/>
      </c>
      <c r="P69" s="576" t="str">
        <f t="shared" si="314"/>
        <v/>
      </c>
      <c r="Q69" s="528" t="str">
        <f t="shared" si="134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135"/>
        <v/>
      </c>
      <c r="W69" s="528" t="str">
        <f t="shared" si="256"/>
        <v/>
      </c>
      <c r="X69" s="572" t="str">
        <f t="shared" si="97"/>
        <v/>
      </c>
      <c r="Y69" s="573" t="str">
        <f t="shared" si="259"/>
        <v/>
      </c>
      <c r="Z69" s="575" t="str">
        <f t="shared" si="315"/>
        <v/>
      </c>
      <c r="AA69" s="572" t="str">
        <f t="shared" si="316"/>
        <v/>
      </c>
      <c r="AB69" s="572" t="str">
        <f t="shared" si="317"/>
        <v/>
      </c>
      <c r="AC69" s="579" t="str">
        <f t="shared" si="98"/>
        <v/>
      </c>
      <c r="AD69" s="580" t="str">
        <f t="shared" si="136"/>
        <v/>
      </c>
      <c r="AE69" s="572" t="str">
        <f t="shared" si="99"/>
        <v/>
      </c>
      <c r="AF69" s="576" t="str">
        <f t="shared" si="100"/>
        <v/>
      </c>
      <c r="AG69" s="545" t="str">
        <f t="shared" si="101"/>
        <v/>
      </c>
      <c r="AH69" s="546" t="str">
        <f t="shared" si="102"/>
        <v/>
      </c>
      <c r="AI69" s="528" t="str">
        <f t="shared" si="103"/>
        <v/>
      </c>
      <c r="AJ69" s="529" t="str">
        <f t="shared" si="104"/>
        <v/>
      </c>
      <c r="AK69" s="578" t="str">
        <f t="shared" si="234"/>
        <v/>
      </c>
      <c r="AL69" s="572" t="str">
        <f t="shared" si="105"/>
        <v/>
      </c>
      <c r="AM69" s="577" t="str">
        <f t="shared" si="106"/>
        <v/>
      </c>
      <c r="AN69" s="524" t="str">
        <f t="shared" si="107"/>
        <v/>
      </c>
      <c r="AO69" s="525" t="str">
        <f t="shared" si="590"/>
        <v/>
      </c>
      <c r="AP69" s="528" t="str">
        <f t="shared" si="109"/>
        <v/>
      </c>
      <c r="AQ69" s="529" t="str">
        <f t="shared" si="318"/>
        <v/>
      </c>
      <c r="AS69" s="900" t="str">
        <f t="shared" si="510"/>
        <v/>
      </c>
      <c r="AT69" s="896" t="str">
        <f t="shared" si="319"/>
        <v/>
      </c>
      <c r="AU69" s="418"/>
      <c r="AV69" s="164" t="str">
        <f t="shared" si="320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8"/>
        <v/>
      </c>
      <c r="BA69" s="296" t="str">
        <f t="shared" si="322"/>
        <v/>
      </c>
      <c r="BB69" s="177" t="str">
        <f t="shared" si="139"/>
        <v/>
      </c>
      <c r="BC69" s="9"/>
      <c r="BD69" s="5" t="str">
        <f t="shared" si="235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0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1"/>
        <v/>
      </c>
      <c r="BP69" s="5" t="str">
        <f t="shared" si="142"/>
        <v/>
      </c>
      <c r="BQ69" s="5" t="str">
        <f t="shared" si="143"/>
        <v/>
      </c>
      <c r="BR69" s="6" t="str">
        <f t="shared" si="144"/>
        <v/>
      </c>
      <c r="BS69" s="4" t="str">
        <f t="shared" si="554"/>
        <v/>
      </c>
      <c r="BT69" s="5" t="str">
        <f t="shared" si="554"/>
        <v/>
      </c>
      <c r="BU69" s="10" t="str">
        <f t="shared" si="111"/>
        <v/>
      </c>
      <c r="BV69" s="9" t="str">
        <f t="shared" si="112"/>
        <v/>
      </c>
      <c r="BW69" s="5" t="str">
        <f t="shared" si="113"/>
        <v/>
      </c>
      <c r="BX69" s="8" t="str">
        <f t="shared" si="114"/>
        <v/>
      </c>
      <c r="BY69" s="173" t="str">
        <f t="shared" si="115"/>
        <v/>
      </c>
      <c r="BZ69" s="5" t="str">
        <f t="shared" si="116"/>
        <v/>
      </c>
      <c r="CA69" s="6" t="str">
        <f t="shared" si="117"/>
        <v/>
      </c>
      <c r="CB69" s="4" t="str">
        <f t="shared" si="145"/>
        <v/>
      </c>
      <c r="CC69" s="5" t="str">
        <f t="shared" si="146"/>
        <v/>
      </c>
      <c r="CD69" s="5" t="str">
        <f t="shared" si="147"/>
        <v/>
      </c>
      <c r="CE69" s="6" t="str">
        <f t="shared" si="148"/>
        <v/>
      </c>
      <c r="CF69" s="4" t="str">
        <f t="shared" si="149"/>
        <v/>
      </c>
      <c r="CG69" s="5" t="str">
        <f t="shared" si="150"/>
        <v/>
      </c>
      <c r="CH69" s="5" t="str">
        <f t="shared" si="151"/>
        <v/>
      </c>
      <c r="CI69" s="4" t="str">
        <f t="shared" si="118"/>
        <v/>
      </c>
      <c r="CJ69" s="5" t="str">
        <f t="shared" si="119"/>
        <v/>
      </c>
      <c r="CK69" s="8" t="str">
        <f t="shared" si="120"/>
        <v/>
      </c>
      <c r="CL69" s="173" t="str">
        <f t="shared" si="121"/>
        <v/>
      </c>
      <c r="CM69" s="5" t="str">
        <f t="shared" si="122"/>
        <v/>
      </c>
      <c r="CN69" s="6" t="str">
        <f t="shared" si="123"/>
        <v/>
      </c>
      <c r="CO69" s="167" t="str">
        <f t="shared" si="350"/>
        <v/>
      </c>
      <c r="CP69" s="4" t="str">
        <f t="shared" si="236"/>
        <v/>
      </c>
      <c r="CQ69" s="5" t="str">
        <f t="shared" si="237"/>
        <v/>
      </c>
      <c r="CR69" s="5" t="str">
        <f t="shared" si="152"/>
        <v/>
      </c>
      <c r="CS69" s="8" t="str">
        <f t="shared" si="153"/>
        <v/>
      </c>
      <c r="CT69" s="9" t="str">
        <f t="shared" si="154"/>
        <v/>
      </c>
      <c r="CU69" s="6" t="str">
        <f t="shared" si="155"/>
        <v/>
      </c>
      <c r="CV69" s="4" t="str">
        <f t="shared" si="238"/>
        <v/>
      </c>
      <c r="CW69" s="5" t="str">
        <f t="shared" si="156"/>
        <v/>
      </c>
      <c r="CX69" s="8" t="str">
        <f t="shared" si="157"/>
        <v/>
      </c>
      <c r="CY69" s="9" t="str">
        <f t="shared" si="158"/>
        <v/>
      </c>
      <c r="CZ69" s="5" t="str">
        <f t="shared" si="159"/>
        <v/>
      </c>
      <c r="DA69" s="6" t="str">
        <f t="shared" si="160"/>
        <v/>
      </c>
      <c r="DB69" s="4" t="str">
        <f t="shared" si="555"/>
        <v/>
      </c>
      <c r="DC69" s="5" t="str">
        <f t="shared" si="555"/>
        <v/>
      </c>
      <c r="DD69" s="10" t="str">
        <f t="shared" si="162"/>
        <v/>
      </c>
      <c r="DE69" s="9" t="str">
        <f t="shared" si="556"/>
        <v/>
      </c>
      <c r="DF69" s="5" t="str">
        <f t="shared" si="556"/>
        <v/>
      </c>
      <c r="DG69" s="10" t="str">
        <f t="shared" si="164"/>
        <v/>
      </c>
      <c r="DH69" s="70" t="str">
        <f t="shared" si="165"/>
        <v/>
      </c>
      <c r="DI69" s="4" t="str">
        <f t="shared" si="166"/>
        <v/>
      </c>
      <c r="DJ69" s="5" t="str">
        <f t="shared" si="167"/>
        <v/>
      </c>
      <c r="DK69" s="10" t="str">
        <f t="shared" si="168"/>
        <v/>
      </c>
      <c r="DL69" s="9" t="str">
        <f t="shared" si="169"/>
        <v/>
      </c>
      <c r="DM69" s="173" t="str">
        <f t="shared" si="170"/>
        <v/>
      </c>
      <c r="DN69" s="178" t="str">
        <f t="shared" si="171"/>
        <v/>
      </c>
      <c r="DO69" s="9" t="str">
        <f t="shared" si="172"/>
        <v/>
      </c>
      <c r="DP69" s="173" t="str">
        <f t="shared" si="173"/>
        <v/>
      </c>
      <c r="DQ69" s="11" t="str">
        <f t="shared" si="174"/>
        <v/>
      </c>
      <c r="DR69" s="173" t="str">
        <f t="shared" si="175"/>
        <v/>
      </c>
      <c r="DS69" s="5" t="str">
        <f t="shared" si="176"/>
        <v/>
      </c>
      <c r="DT69" s="5" t="str">
        <f t="shared" si="177"/>
        <v/>
      </c>
      <c r="DU69" s="5" t="str">
        <f t="shared" si="178"/>
        <v/>
      </c>
      <c r="DV69" s="5" t="str">
        <f t="shared" si="179"/>
        <v/>
      </c>
      <c r="DW69" s="5" t="str">
        <f t="shared" si="180"/>
        <v/>
      </c>
      <c r="DX69" s="167" t="str">
        <f t="shared" si="181"/>
        <v/>
      </c>
      <c r="DY69" s="9" t="str">
        <f t="shared" si="182"/>
        <v/>
      </c>
      <c r="DZ69" s="5" t="str">
        <f t="shared" si="183"/>
        <v/>
      </c>
      <c r="EA69" s="10" t="str">
        <f t="shared" si="184"/>
        <v/>
      </c>
      <c r="EB69" s="6" t="str">
        <f t="shared" si="185"/>
        <v/>
      </c>
      <c r="EC69" s="173" t="str">
        <f t="shared" si="186"/>
        <v/>
      </c>
      <c r="ED69" s="5" t="str">
        <f t="shared" si="187"/>
        <v/>
      </c>
      <c r="EE69" s="4" t="str">
        <f t="shared" si="188"/>
        <v/>
      </c>
      <c r="EF69" s="5" t="str">
        <f t="shared" si="189"/>
        <v/>
      </c>
      <c r="EG69" s="10" t="str">
        <f t="shared" si="190"/>
        <v/>
      </c>
      <c r="EH69" s="9" t="str">
        <f t="shared" si="191"/>
        <v/>
      </c>
      <c r="EI69" s="5" t="str">
        <f t="shared" si="192"/>
        <v/>
      </c>
      <c r="EJ69" s="6" t="str">
        <f t="shared" si="193"/>
        <v/>
      </c>
      <c r="EK69" s="236" t="str">
        <f t="shared" si="194"/>
        <v/>
      </c>
      <c r="EL69" s="238" t="str">
        <f t="shared" si="195"/>
        <v/>
      </c>
      <c r="EM69" s="4" t="str">
        <f t="shared" si="196"/>
        <v/>
      </c>
      <c r="EN69" s="5" t="str">
        <f t="shared" si="197"/>
        <v/>
      </c>
      <c r="EO69" s="10" t="str">
        <f t="shared" si="198"/>
        <v/>
      </c>
      <c r="EP69" s="9" t="str">
        <f t="shared" si="199"/>
        <v/>
      </c>
      <c r="EQ69" s="5" t="str">
        <f t="shared" si="200"/>
        <v/>
      </c>
      <c r="ER69" s="7" t="str">
        <f t="shared" si="201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2"/>
        <v/>
      </c>
      <c r="EZ69" s="51" t="str">
        <f t="shared" si="203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4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6"/>
        <v/>
      </c>
      <c r="FK69" s="4" t="str">
        <f t="shared" si="568"/>
        <v/>
      </c>
      <c r="FL69" s="5" t="str">
        <f t="shared" si="207"/>
        <v/>
      </c>
      <c r="FM69" s="8" t="str">
        <f t="shared" si="208"/>
        <v/>
      </c>
      <c r="FN69" s="9" t="str">
        <f t="shared" si="209"/>
        <v/>
      </c>
      <c r="FO69" s="10" t="str">
        <f t="shared" si="569"/>
        <v/>
      </c>
      <c r="FP69" s="277" t="str">
        <f t="shared" si="570"/>
        <v/>
      </c>
      <c r="FQ69" s="173" t="str">
        <f t="shared" si="239"/>
        <v/>
      </c>
      <c r="FR69" s="10" t="str">
        <f t="shared" si="210"/>
        <v/>
      </c>
      <c r="FS69" s="9" t="str">
        <f t="shared" si="211"/>
        <v/>
      </c>
      <c r="FT69" s="6" t="str">
        <f t="shared" si="212"/>
        <v/>
      </c>
      <c r="FU69" s="4" t="str">
        <f t="shared" si="213"/>
        <v/>
      </c>
      <c r="FV69" s="5" t="str">
        <f t="shared" si="214"/>
        <v/>
      </c>
      <c r="FW69" s="8" t="str">
        <f t="shared" si="240"/>
        <v/>
      </c>
      <c r="FX69" s="9" t="str">
        <f t="shared" si="241"/>
        <v/>
      </c>
      <c r="FY69" s="10" t="str">
        <f t="shared" si="571"/>
        <v/>
      </c>
      <c r="FZ69" s="277" t="str">
        <f t="shared" si="242"/>
        <v/>
      </c>
      <c r="GA69" s="177" t="str">
        <f t="shared" si="215"/>
        <v/>
      </c>
      <c r="GB69" s="4" t="str">
        <f t="shared" si="216"/>
        <v/>
      </c>
      <c r="GC69" s="5" t="str">
        <f t="shared" si="217"/>
        <v/>
      </c>
      <c r="GD69" s="10" t="str">
        <f t="shared" si="218"/>
        <v/>
      </c>
      <c r="GE69" s="311" t="str">
        <f t="shared" si="219"/>
        <v/>
      </c>
      <c r="GF69" s="341" t="str">
        <f t="shared" si="243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0"/>
        <v/>
      </c>
      <c r="GK69" s="174" t="str">
        <f t="shared" si="575"/>
        <v/>
      </c>
      <c r="GL69" s="174" t="str">
        <f t="shared" si="221"/>
        <v/>
      </c>
      <c r="GM69" s="177" t="str">
        <f t="shared" si="244"/>
        <v/>
      </c>
      <c r="GN69" s="280" t="str">
        <f t="shared" si="222"/>
        <v/>
      </c>
      <c r="GO69" s="4" t="str">
        <f t="shared" si="223"/>
        <v/>
      </c>
      <c r="GP69" s="8" t="str">
        <f t="shared" si="245"/>
        <v/>
      </c>
      <c r="GQ69" s="177" t="str">
        <f t="shared" si="224"/>
        <v/>
      </c>
      <c r="GR69" s="371" t="str">
        <f t="shared" si="246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3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5"/>
        <v/>
      </c>
      <c r="HC69" s="343" t="str">
        <f t="shared" si="226"/>
        <v/>
      </c>
      <c r="HD69" s="363" t="str">
        <f t="shared" si="227"/>
        <v/>
      </c>
      <c r="HE69" s="344" t="str">
        <f t="shared" si="584"/>
        <v/>
      </c>
      <c r="HF69" s="5" t="str">
        <f t="shared" si="585"/>
        <v/>
      </c>
      <c r="HG69" s="343" t="str">
        <f t="shared" si="228"/>
        <v/>
      </c>
      <c r="HH69" s="349" t="str">
        <f t="shared" si="229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935" t="str">
        <f t="shared" si="455"/>
        <v/>
      </c>
      <c r="HN69" s="936" t="str">
        <f t="shared" si="456"/>
        <v/>
      </c>
      <c r="HO69" s="937"/>
      <c r="HP69" s="938"/>
      <c r="HQ69" s="936" t="str">
        <f t="shared" si="457"/>
        <v/>
      </c>
      <c r="HR69" s="939" t="str">
        <f t="shared" si="458"/>
        <v/>
      </c>
      <c r="HS69" s="940" t="str">
        <f t="shared" si="507"/>
        <v/>
      </c>
      <c r="HT69" s="941" t="str">
        <f t="shared" si="459"/>
        <v/>
      </c>
      <c r="HU69" s="942" t="str">
        <f t="shared" si="460"/>
        <v/>
      </c>
      <c r="HV69" s="943" t="str">
        <f t="shared" si="461"/>
        <v/>
      </c>
      <c r="HW69" s="944" t="str">
        <f t="shared" si="462"/>
        <v/>
      </c>
      <c r="HX69" s="947" t="str">
        <f t="shared" si="463"/>
        <v/>
      </c>
      <c r="HY69" s="952" t="str">
        <f t="shared" si="464"/>
        <v/>
      </c>
      <c r="HZ69" s="953" t="str">
        <f t="shared" si="465"/>
        <v/>
      </c>
      <c r="IA69" s="954" t="str">
        <f t="shared" si="466"/>
        <v/>
      </c>
      <c r="IB69" s="955" t="str">
        <f t="shared" si="467"/>
        <v/>
      </c>
      <c r="IC69" s="842" t="str">
        <f t="shared" si="468"/>
        <v/>
      </c>
      <c r="ID69" s="351" t="str">
        <f t="shared" si="469"/>
        <v/>
      </c>
      <c r="IE69" s="844" t="str">
        <f t="shared" si="470"/>
        <v/>
      </c>
      <c r="IF69" s="845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0"/>
        <v/>
      </c>
      <c r="IJ69" s="96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71"/>
        <v/>
      </c>
      <c r="IM69" s="482" t="str">
        <f t="shared" si="231"/>
        <v/>
      </c>
      <c r="IN69" s="670" t="str">
        <f t="shared" si="472"/>
        <v/>
      </c>
      <c r="IO69" s="702"/>
      <c r="IP69" s="5" t="str">
        <f t="shared" si="473"/>
        <v/>
      </c>
      <c r="IQ69" s="714"/>
      <c r="IR69" s="9" t="str">
        <f t="shared" si="474"/>
        <v/>
      </c>
      <c r="IS69" s="5" t="str">
        <f t="shared" si="475"/>
        <v/>
      </c>
      <c r="IT69" s="5" t="str">
        <f t="shared" si="476"/>
        <v/>
      </c>
      <c r="IU69" s="5" t="str">
        <f t="shared" si="477"/>
        <v/>
      </c>
      <c r="IV69" s="670" t="str">
        <f t="shared" si="478"/>
        <v/>
      </c>
      <c r="IW69" s="9" t="str">
        <f t="shared" si="479"/>
        <v/>
      </c>
      <c r="IX69" s="5" t="str">
        <f t="shared" si="480"/>
        <v/>
      </c>
      <c r="IY69" s="5" t="str">
        <f t="shared" si="481"/>
        <v/>
      </c>
      <c r="IZ69" s="5" t="str">
        <f t="shared" si="482"/>
        <v/>
      </c>
      <c r="JA69" s="705" t="str">
        <f t="shared" si="483"/>
        <v/>
      </c>
    </row>
    <row r="70" spans="1:261" ht="15" customHeight="1" x14ac:dyDescent="0.25">
      <c r="A70" s="75" t="str">
        <f t="shared" si="308"/>
        <v/>
      </c>
      <c r="B70" s="578" t="str">
        <f t="shared" ref="B70:D70" si="617">IFERROR(O225+($A70*-E70),"")</f>
        <v/>
      </c>
      <c r="C70" s="572" t="str">
        <f t="shared" si="617"/>
        <v/>
      </c>
      <c r="D70" s="576" t="str">
        <f t="shared" si="617"/>
        <v/>
      </c>
      <c r="E70" s="580" t="str">
        <f t="shared" ref="E70:K70" si="618">R225</f>
        <v/>
      </c>
      <c r="F70" s="572" t="str">
        <f t="shared" si="618"/>
        <v/>
      </c>
      <c r="G70" s="579" t="str">
        <f t="shared" si="618"/>
        <v/>
      </c>
      <c r="H70" s="580" t="str">
        <f t="shared" si="618"/>
        <v/>
      </c>
      <c r="I70" s="572" t="str">
        <f t="shared" si="618"/>
        <v/>
      </c>
      <c r="J70" s="483" t="str">
        <f t="shared" si="92"/>
        <v/>
      </c>
      <c r="K70" s="806" t="str">
        <f t="shared" si="618"/>
        <v/>
      </c>
      <c r="L70" s="309"/>
      <c r="M70" s="164" t="str">
        <f t="shared" si="311"/>
        <v/>
      </c>
      <c r="N70" s="575" t="str">
        <f t="shared" si="312"/>
        <v/>
      </c>
      <c r="O70" s="572" t="str">
        <f t="shared" si="313"/>
        <v/>
      </c>
      <c r="P70" s="576" t="str">
        <f t="shared" si="314"/>
        <v/>
      </c>
      <c r="Q70" s="528" t="str">
        <f t="shared" si="134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135"/>
        <v/>
      </c>
      <c r="W70" s="528" t="str">
        <f t="shared" si="256"/>
        <v/>
      </c>
      <c r="X70" s="572" t="str">
        <f t="shared" si="97"/>
        <v/>
      </c>
      <c r="Y70" s="573" t="str">
        <f t="shared" si="259"/>
        <v/>
      </c>
      <c r="Z70" s="575" t="str">
        <f t="shared" si="315"/>
        <v/>
      </c>
      <c r="AA70" s="572" t="str">
        <f t="shared" si="316"/>
        <v/>
      </c>
      <c r="AB70" s="572" t="str">
        <f t="shared" si="317"/>
        <v/>
      </c>
      <c r="AC70" s="579" t="str">
        <f t="shared" si="98"/>
        <v/>
      </c>
      <c r="AD70" s="580" t="str">
        <f t="shared" si="136"/>
        <v/>
      </c>
      <c r="AE70" s="572" t="str">
        <f t="shared" si="99"/>
        <v/>
      </c>
      <c r="AF70" s="576" t="str">
        <f t="shared" si="100"/>
        <v/>
      </c>
      <c r="AG70" s="545" t="str">
        <f t="shared" si="101"/>
        <v/>
      </c>
      <c r="AH70" s="546" t="str">
        <f t="shared" si="102"/>
        <v/>
      </c>
      <c r="AI70" s="528" t="str">
        <f t="shared" si="103"/>
        <v/>
      </c>
      <c r="AJ70" s="529" t="str">
        <f t="shared" si="104"/>
        <v/>
      </c>
      <c r="AK70" s="578" t="str">
        <f t="shared" si="234"/>
        <v/>
      </c>
      <c r="AL70" s="572" t="str">
        <f t="shared" si="105"/>
        <v/>
      </c>
      <c r="AM70" s="577" t="str">
        <f t="shared" si="106"/>
        <v/>
      </c>
      <c r="AN70" s="524" t="str">
        <f t="shared" si="107"/>
        <v/>
      </c>
      <c r="AO70" s="525" t="str">
        <f t="shared" si="590"/>
        <v/>
      </c>
      <c r="AP70" s="528" t="str">
        <f t="shared" si="109"/>
        <v/>
      </c>
      <c r="AQ70" s="529" t="str">
        <f t="shared" si="318"/>
        <v/>
      </c>
      <c r="AS70" s="900" t="str">
        <f t="shared" si="510"/>
        <v/>
      </c>
      <c r="AT70" s="896" t="str">
        <f t="shared" si="319"/>
        <v/>
      </c>
      <c r="AU70" s="418"/>
      <c r="AV70" s="164" t="str">
        <f t="shared" si="320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8"/>
        <v/>
      </c>
      <c r="BA70" s="296" t="str">
        <f t="shared" si="322"/>
        <v/>
      </c>
      <c r="BB70" s="177" t="str">
        <f t="shared" si="139"/>
        <v/>
      </c>
      <c r="BC70" s="9"/>
      <c r="BD70" s="5" t="str">
        <f t="shared" si="235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0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1"/>
        <v/>
      </c>
      <c r="BP70" s="5" t="str">
        <f t="shared" si="142"/>
        <v/>
      </c>
      <c r="BQ70" s="5" t="str">
        <f t="shared" si="143"/>
        <v/>
      </c>
      <c r="BR70" s="6" t="str">
        <f t="shared" si="144"/>
        <v/>
      </c>
      <c r="BS70" s="4" t="str">
        <f t="shared" si="554"/>
        <v/>
      </c>
      <c r="BT70" s="5" t="str">
        <f t="shared" si="554"/>
        <v/>
      </c>
      <c r="BU70" s="10" t="str">
        <f t="shared" si="111"/>
        <v/>
      </c>
      <c r="BV70" s="9" t="str">
        <f t="shared" si="112"/>
        <v/>
      </c>
      <c r="BW70" s="5" t="str">
        <f t="shared" si="113"/>
        <v/>
      </c>
      <c r="BX70" s="8" t="str">
        <f t="shared" si="114"/>
        <v/>
      </c>
      <c r="BY70" s="173" t="str">
        <f t="shared" si="115"/>
        <v/>
      </c>
      <c r="BZ70" s="5" t="str">
        <f t="shared" si="116"/>
        <v/>
      </c>
      <c r="CA70" s="6" t="str">
        <f t="shared" si="117"/>
        <v/>
      </c>
      <c r="CB70" s="4" t="str">
        <f t="shared" si="145"/>
        <v/>
      </c>
      <c r="CC70" s="5" t="str">
        <f t="shared" si="146"/>
        <v/>
      </c>
      <c r="CD70" s="5" t="str">
        <f t="shared" si="147"/>
        <v/>
      </c>
      <c r="CE70" s="6" t="str">
        <f t="shared" si="148"/>
        <v/>
      </c>
      <c r="CF70" s="4" t="str">
        <f t="shared" si="149"/>
        <v/>
      </c>
      <c r="CG70" s="5" t="str">
        <f t="shared" si="150"/>
        <v/>
      </c>
      <c r="CH70" s="5" t="str">
        <f t="shared" si="151"/>
        <v/>
      </c>
      <c r="CI70" s="4" t="str">
        <f t="shared" si="118"/>
        <v/>
      </c>
      <c r="CJ70" s="5" t="str">
        <f t="shared" si="119"/>
        <v/>
      </c>
      <c r="CK70" s="8" t="str">
        <f t="shared" si="120"/>
        <v/>
      </c>
      <c r="CL70" s="173" t="str">
        <f t="shared" si="121"/>
        <v/>
      </c>
      <c r="CM70" s="5" t="str">
        <f t="shared" si="122"/>
        <v/>
      </c>
      <c r="CN70" s="6" t="str">
        <f t="shared" si="123"/>
        <v/>
      </c>
      <c r="CO70" s="167" t="str">
        <f t="shared" si="350"/>
        <v/>
      </c>
      <c r="CP70" s="4" t="str">
        <f t="shared" si="236"/>
        <v/>
      </c>
      <c r="CQ70" s="5" t="str">
        <f t="shared" si="237"/>
        <v/>
      </c>
      <c r="CR70" s="5" t="str">
        <f t="shared" si="152"/>
        <v/>
      </c>
      <c r="CS70" s="8" t="str">
        <f t="shared" si="153"/>
        <v/>
      </c>
      <c r="CT70" s="9" t="str">
        <f t="shared" si="154"/>
        <v/>
      </c>
      <c r="CU70" s="6" t="str">
        <f t="shared" si="155"/>
        <v/>
      </c>
      <c r="CV70" s="4" t="str">
        <f t="shared" si="238"/>
        <v/>
      </c>
      <c r="CW70" s="5" t="str">
        <f t="shared" si="156"/>
        <v/>
      </c>
      <c r="CX70" s="8" t="str">
        <f t="shared" si="157"/>
        <v/>
      </c>
      <c r="CY70" s="9" t="str">
        <f t="shared" si="158"/>
        <v/>
      </c>
      <c r="CZ70" s="5" t="str">
        <f t="shared" si="159"/>
        <v/>
      </c>
      <c r="DA70" s="6" t="str">
        <f t="shared" si="160"/>
        <v/>
      </c>
      <c r="DB70" s="4" t="str">
        <f t="shared" si="555"/>
        <v/>
      </c>
      <c r="DC70" s="5" t="str">
        <f t="shared" si="555"/>
        <v/>
      </c>
      <c r="DD70" s="10" t="str">
        <f t="shared" si="162"/>
        <v/>
      </c>
      <c r="DE70" s="9" t="str">
        <f t="shared" si="556"/>
        <v/>
      </c>
      <c r="DF70" s="5" t="str">
        <f t="shared" si="556"/>
        <v/>
      </c>
      <c r="DG70" s="10" t="str">
        <f t="shared" si="164"/>
        <v/>
      </c>
      <c r="DH70" s="70" t="str">
        <f t="shared" si="165"/>
        <v/>
      </c>
      <c r="DI70" s="4" t="str">
        <f t="shared" si="166"/>
        <v/>
      </c>
      <c r="DJ70" s="5" t="str">
        <f t="shared" si="167"/>
        <v/>
      </c>
      <c r="DK70" s="10" t="str">
        <f t="shared" si="168"/>
        <v/>
      </c>
      <c r="DL70" s="9" t="str">
        <f t="shared" si="169"/>
        <v/>
      </c>
      <c r="DM70" s="173" t="str">
        <f t="shared" si="170"/>
        <v/>
      </c>
      <c r="DN70" s="178" t="str">
        <f t="shared" si="171"/>
        <v/>
      </c>
      <c r="DO70" s="9" t="str">
        <f t="shared" si="172"/>
        <v/>
      </c>
      <c r="DP70" s="173" t="str">
        <f t="shared" si="173"/>
        <v/>
      </c>
      <c r="DQ70" s="11" t="str">
        <f t="shared" si="174"/>
        <v/>
      </c>
      <c r="DR70" s="173" t="str">
        <f t="shared" si="175"/>
        <v/>
      </c>
      <c r="DS70" s="5" t="str">
        <f t="shared" si="176"/>
        <v/>
      </c>
      <c r="DT70" s="5" t="str">
        <f t="shared" si="177"/>
        <v/>
      </c>
      <c r="DU70" s="5" t="str">
        <f t="shared" si="178"/>
        <v/>
      </c>
      <c r="DV70" s="5" t="str">
        <f t="shared" si="179"/>
        <v/>
      </c>
      <c r="DW70" s="5" t="str">
        <f t="shared" si="180"/>
        <v/>
      </c>
      <c r="DX70" s="167" t="str">
        <f t="shared" si="181"/>
        <v/>
      </c>
      <c r="DY70" s="9" t="str">
        <f t="shared" si="182"/>
        <v/>
      </c>
      <c r="DZ70" s="5" t="str">
        <f t="shared" si="183"/>
        <v/>
      </c>
      <c r="EA70" s="10" t="str">
        <f t="shared" si="184"/>
        <v/>
      </c>
      <c r="EB70" s="6" t="str">
        <f t="shared" si="185"/>
        <v/>
      </c>
      <c r="EC70" s="173" t="str">
        <f t="shared" si="186"/>
        <v/>
      </c>
      <c r="ED70" s="5" t="str">
        <f t="shared" si="187"/>
        <v/>
      </c>
      <c r="EE70" s="4" t="str">
        <f t="shared" si="188"/>
        <v/>
      </c>
      <c r="EF70" s="5" t="str">
        <f t="shared" si="189"/>
        <v/>
      </c>
      <c r="EG70" s="10" t="str">
        <f t="shared" si="190"/>
        <v/>
      </c>
      <c r="EH70" s="9" t="str">
        <f t="shared" si="191"/>
        <v/>
      </c>
      <c r="EI70" s="5" t="str">
        <f t="shared" si="192"/>
        <v/>
      </c>
      <c r="EJ70" s="6" t="str">
        <f t="shared" si="193"/>
        <v/>
      </c>
      <c r="EK70" s="236" t="str">
        <f t="shared" si="194"/>
        <v/>
      </c>
      <c r="EL70" s="238" t="str">
        <f t="shared" si="195"/>
        <v/>
      </c>
      <c r="EM70" s="4" t="str">
        <f t="shared" si="196"/>
        <v/>
      </c>
      <c r="EN70" s="5" t="str">
        <f t="shared" si="197"/>
        <v/>
      </c>
      <c r="EO70" s="10" t="str">
        <f t="shared" si="198"/>
        <v/>
      </c>
      <c r="EP70" s="9" t="str">
        <f t="shared" si="199"/>
        <v/>
      </c>
      <c r="EQ70" s="5" t="str">
        <f t="shared" si="200"/>
        <v/>
      </c>
      <c r="ER70" s="7" t="str">
        <f t="shared" si="201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2"/>
        <v/>
      </c>
      <c r="EZ70" s="51" t="str">
        <f t="shared" si="203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4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6"/>
        <v/>
      </c>
      <c r="FK70" s="4" t="str">
        <f t="shared" si="568"/>
        <v/>
      </c>
      <c r="FL70" s="5" t="str">
        <f t="shared" si="207"/>
        <v/>
      </c>
      <c r="FM70" s="8" t="str">
        <f t="shared" si="208"/>
        <v/>
      </c>
      <c r="FN70" s="9" t="str">
        <f t="shared" si="209"/>
        <v/>
      </c>
      <c r="FO70" s="10" t="str">
        <f t="shared" si="569"/>
        <v/>
      </c>
      <c r="FP70" s="277" t="str">
        <f t="shared" si="570"/>
        <v/>
      </c>
      <c r="FQ70" s="173" t="str">
        <f t="shared" si="239"/>
        <v/>
      </c>
      <c r="FR70" s="10" t="str">
        <f t="shared" si="210"/>
        <v/>
      </c>
      <c r="FS70" s="9" t="str">
        <f t="shared" si="211"/>
        <v/>
      </c>
      <c r="FT70" s="6" t="str">
        <f t="shared" si="212"/>
        <v/>
      </c>
      <c r="FU70" s="4" t="str">
        <f t="shared" si="213"/>
        <v/>
      </c>
      <c r="FV70" s="5" t="str">
        <f t="shared" si="214"/>
        <v/>
      </c>
      <c r="FW70" s="8" t="str">
        <f t="shared" si="240"/>
        <v/>
      </c>
      <c r="FX70" s="9" t="str">
        <f t="shared" si="241"/>
        <v/>
      </c>
      <c r="FY70" s="10" t="str">
        <f t="shared" si="571"/>
        <v/>
      </c>
      <c r="FZ70" s="277" t="str">
        <f t="shared" si="242"/>
        <v/>
      </c>
      <c r="GA70" s="177" t="str">
        <f t="shared" si="215"/>
        <v/>
      </c>
      <c r="GB70" s="4" t="str">
        <f t="shared" si="216"/>
        <v/>
      </c>
      <c r="GC70" s="5" t="str">
        <f t="shared" si="217"/>
        <v/>
      </c>
      <c r="GD70" s="10" t="str">
        <f t="shared" si="218"/>
        <v/>
      </c>
      <c r="GE70" s="311" t="str">
        <f t="shared" si="219"/>
        <v/>
      </c>
      <c r="GF70" s="341" t="str">
        <f t="shared" si="243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0"/>
        <v/>
      </c>
      <c r="GK70" s="174" t="str">
        <f t="shared" si="575"/>
        <v/>
      </c>
      <c r="GL70" s="174" t="str">
        <f t="shared" si="221"/>
        <v/>
      </c>
      <c r="GM70" s="177" t="str">
        <f t="shared" si="244"/>
        <v/>
      </c>
      <c r="GN70" s="280" t="str">
        <f t="shared" si="222"/>
        <v/>
      </c>
      <c r="GO70" s="4" t="str">
        <f t="shared" si="223"/>
        <v/>
      </c>
      <c r="GP70" s="8" t="str">
        <f t="shared" si="245"/>
        <v/>
      </c>
      <c r="GQ70" s="177" t="str">
        <f t="shared" si="224"/>
        <v/>
      </c>
      <c r="GR70" s="371" t="str">
        <f t="shared" si="246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3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5"/>
        <v/>
      </c>
      <c r="HC70" s="343" t="str">
        <f t="shared" si="226"/>
        <v/>
      </c>
      <c r="HD70" s="363" t="str">
        <f t="shared" si="227"/>
        <v/>
      </c>
      <c r="HE70" s="344" t="str">
        <f t="shared" si="584"/>
        <v/>
      </c>
      <c r="HF70" s="5" t="str">
        <f t="shared" si="585"/>
        <v/>
      </c>
      <c r="HG70" s="343" t="str">
        <f t="shared" si="228"/>
        <v/>
      </c>
      <c r="HH70" s="349" t="str">
        <f t="shared" si="229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935" t="str">
        <f t="shared" si="455"/>
        <v/>
      </c>
      <c r="HN70" s="936" t="str">
        <f t="shared" si="456"/>
        <v/>
      </c>
      <c r="HO70" s="937"/>
      <c r="HP70" s="938"/>
      <c r="HQ70" s="936" t="str">
        <f t="shared" si="457"/>
        <v/>
      </c>
      <c r="HR70" s="939" t="str">
        <f t="shared" si="458"/>
        <v/>
      </c>
      <c r="HS70" s="940" t="str">
        <f t="shared" si="507"/>
        <v/>
      </c>
      <c r="HT70" s="941" t="str">
        <f t="shared" si="459"/>
        <v/>
      </c>
      <c r="HU70" s="942" t="str">
        <f t="shared" si="460"/>
        <v/>
      </c>
      <c r="HV70" s="943" t="str">
        <f t="shared" si="461"/>
        <v/>
      </c>
      <c r="HW70" s="944" t="str">
        <f t="shared" si="462"/>
        <v/>
      </c>
      <c r="HX70" s="947" t="str">
        <f t="shared" si="463"/>
        <v/>
      </c>
      <c r="HY70" s="952" t="str">
        <f t="shared" si="464"/>
        <v/>
      </c>
      <c r="HZ70" s="953" t="str">
        <f t="shared" si="465"/>
        <v/>
      </c>
      <c r="IA70" s="954" t="str">
        <f t="shared" si="466"/>
        <v/>
      </c>
      <c r="IB70" s="955" t="str">
        <f t="shared" si="467"/>
        <v/>
      </c>
      <c r="IC70" s="842" t="str">
        <f t="shared" si="468"/>
        <v/>
      </c>
      <c r="ID70" s="351" t="str">
        <f t="shared" si="469"/>
        <v/>
      </c>
      <c r="IE70" s="844" t="str">
        <f t="shared" si="470"/>
        <v/>
      </c>
      <c r="IF70" s="845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0"/>
        <v/>
      </c>
      <c r="IJ70" s="96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71"/>
        <v/>
      </c>
      <c r="IM70" s="482" t="str">
        <f t="shared" si="231"/>
        <v/>
      </c>
      <c r="IN70" s="670" t="str">
        <f t="shared" si="472"/>
        <v/>
      </c>
      <c r="IO70" s="702"/>
      <c r="IP70" s="5" t="str">
        <f t="shared" si="473"/>
        <v/>
      </c>
      <c r="IQ70" s="714"/>
      <c r="IR70" s="9" t="str">
        <f t="shared" si="474"/>
        <v/>
      </c>
      <c r="IS70" s="5" t="str">
        <f t="shared" si="475"/>
        <v/>
      </c>
      <c r="IT70" s="5" t="str">
        <f t="shared" si="476"/>
        <v/>
      </c>
      <c r="IU70" s="5" t="str">
        <f t="shared" si="477"/>
        <v/>
      </c>
      <c r="IV70" s="670" t="str">
        <f t="shared" si="478"/>
        <v/>
      </c>
      <c r="IW70" s="9" t="str">
        <f t="shared" si="479"/>
        <v/>
      </c>
      <c r="IX70" s="5" t="str">
        <f t="shared" si="480"/>
        <v/>
      </c>
      <c r="IY70" s="5" t="str">
        <f t="shared" si="481"/>
        <v/>
      </c>
      <c r="IZ70" s="5" t="str">
        <f t="shared" si="482"/>
        <v/>
      </c>
      <c r="JA70" s="705" t="str">
        <f t="shared" si="483"/>
        <v/>
      </c>
    </row>
    <row r="71" spans="1:261" ht="15" customHeight="1" x14ac:dyDescent="0.25">
      <c r="A71" s="75" t="str">
        <f t="shared" si="308"/>
        <v/>
      </c>
      <c r="B71" s="578" t="str">
        <f t="shared" ref="B71:D71" si="619">IFERROR(O226+($A71*-E71),"")</f>
        <v/>
      </c>
      <c r="C71" s="572" t="str">
        <f t="shared" si="619"/>
        <v/>
      </c>
      <c r="D71" s="576" t="str">
        <f t="shared" si="619"/>
        <v/>
      </c>
      <c r="E71" s="580" t="str">
        <f t="shared" ref="E71:K71" si="620">R226</f>
        <v/>
      </c>
      <c r="F71" s="572" t="str">
        <f t="shared" si="620"/>
        <v/>
      </c>
      <c r="G71" s="579" t="str">
        <f t="shared" si="620"/>
        <v/>
      </c>
      <c r="H71" s="580" t="str">
        <f t="shared" si="620"/>
        <v/>
      </c>
      <c r="I71" s="572" t="str">
        <f t="shared" si="620"/>
        <v/>
      </c>
      <c r="J71" s="483" t="str">
        <f t="shared" si="92"/>
        <v/>
      </c>
      <c r="K71" s="806" t="str">
        <f t="shared" si="620"/>
        <v/>
      </c>
      <c r="L71" s="309"/>
      <c r="M71" s="164" t="str">
        <f t="shared" si="311"/>
        <v/>
      </c>
      <c r="N71" s="575" t="str">
        <f t="shared" si="312"/>
        <v/>
      </c>
      <c r="O71" s="572" t="str">
        <f t="shared" si="313"/>
        <v/>
      </c>
      <c r="P71" s="576" t="str">
        <f t="shared" si="314"/>
        <v/>
      </c>
      <c r="Q71" s="528" t="str">
        <f t="shared" si="134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135"/>
        <v/>
      </c>
      <c r="W71" s="528" t="str">
        <f t="shared" si="256"/>
        <v/>
      </c>
      <c r="X71" s="572" t="str">
        <f t="shared" si="97"/>
        <v/>
      </c>
      <c r="Y71" s="573" t="str">
        <f t="shared" si="259"/>
        <v/>
      </c>
      <c r="Z71" s="575" t="str">
        <f t="shared" si="315"/>
        <v/>
      </c>
      <c r="AA71" s="572" t="str">
        <f t="shared" si="316"/>
        <v/>
      </c>
      <c r="AB71" s="572" t="str">
        <f t="shared" si="317"/>
        <v/>
      </c>
      <c r="AC71" s="579" t="str">
        <f t="shared" si="98"/>
        <v/>
      </c>
      <c r="AD71" s="580" t="str">
        <f t="shared" si="136"/>
        <v/>
      </c>
      <c r="AE71" s="572" t="str">
        <f t="shared" si="99"/>
        <v/>
      </c>
      <c r="AF71" s="576" t="str">
        <f t="shared" si="100"/>
        <v/>
      </c>
      <c r="AG71" s="545" t="str">
        <f t="shared" si="101"/>
        <v/>
      </c>
      <c r="AH71" s="546" t="str">
        <f t="shared" si="102"/>
        <v/>
      </c>
      <c r="AI71" s="528" t="str">
        <f t="shared" si="103"/>
        <v/>
      </c>
      <c r="AJ71" s="529" t="str">
        <f t="shared" si="104"/>
        <v/>
      </c>
      <c r="AK71" s="578" t="str">
        <f t="shared" si="234"/>
        <v/>
      </c>
      <c r="AL71" s="572" t="str">
        <f t="shared" si="105"/>
        <v/>
      </c>
      <c r="AM71" s="577" t="str">
        <f t="shared" si="106"/>
        <v/>
      </c>
      <c r="AN71" s="524" t="str">
        <f t="shared" si="107"/>
        <v/>
      </c>
      <c r="AO71" s="525" t="str">
        <f t="shared" si="590"/>
        <v/>
      </c>
      <c r="AP71" s="528" t="str">
        <f t="shared" si="109"/>
        <v/>
      </c>
      <c r="AQ71" s="529" t="str">
        <f t="shared" si="318"/>
        <v/>
      </c>
      <c r="AS71" s="900" t="str">
        <f t="shared" si="510"/>
        <v/>
      </c>
      <c r="AT71" s="896" t="str">
        <f t="shared" si="319"/>
        <v/>
      </c>
      <c r="AU71" s="418"/>
      <c r="AV71" s="164" t="str">
        <f t="shared" si="320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8"/>
        <v/>
      </c>
      <c r="BA71" s="296" t="str">
        <f t="shared" si="322"/>
        <v/>
      </c>
      <c r="BB71" s="177" t="str">
        <f t="shared" si="139"/>
        <v/>
      </c>
      <c r="BC71" s="9"/>
      <c r="BD71" s="5" t="str">
        <f t="shared" si="235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0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1"/>
        <v/>
      </c>
      <c r="BP71" s="5" t="str">
        <f t="shared" si="142"/>
        <v/>
      </c>
      <c r="BQ71" s="5" t="str">
        <f t="shared" si="143"/>
        <v/>
      </c>
      <c r="BR71" s="6" t="str">
        <f t="shared" si="144"/>
        <v/>
      </c>
      <c r="BS71" s="4" t="str">
        <f t="shared" si="554"/>
        <v/>
      </c>
      <c r="BT71" s="5" t="str">
        <f t="shared" si="554"/>
        <v/>
      </c>
      <c r="BU71" s="10" t="str">
        <f t="shared" si="111"/>
        <v/>
      </c>
      <c r="BV71" s="9" t="str">
        <f t="shared" si="112"/>
        <v/>
      </c>
      <c r="BW71" s="5" t="str">
        <f t="shared" si="113"/>
        <v/>
      </c>
      <c r="BX71" s="8" t="str">
        <f t="shared" si="114"/>
        <v/>
      </c>
      <c r="BY71" s="173" t="str">
        <f t="shared" si="115"/>
        <v/>
      </c>
      <c r="BZ71" s="5" t="str">
        <f t="shared" si="116"/>
        <v/>
      </c>
      <c r="CA71" s="6" t="str">
        <f t="shared" si="117"/>
        <v/>
      </c>
      <c r="CB71" s="4" t="str">
        <f t="shared" si="145"/>
        <v/>
      </c>
      <c r="CC71" s="5" t="str">
        <f t="shared" si="146"/>
        <v/>
      </c>
      <c r="CD71" s="5" t="str">
        <f t="shared" si="147"/>
        <v/>
      </c>
      <c r="CE71" s="6" t="str">
        <f t="shared" si="148"/>
        <v/>
      </c>
      <c r="CF71" s="4" t="str">
        <f t="shared" si="149"/>
        <v/>
      </c>
      <c r="CG71" s="5" t="str">
        <f t="shared" si="150"/>
        <v/>
      </c>
      <c r="CH71" s="5" t="str">
        <f t="shared" si="151"/>
        <v/>
      </c>
      <c r="CI71" s="4" t="str">
        <f t="shared" si="118"/>
        <v/>
      </c>
      <c r="CJ71" s="5" t="str">
        <f t="shared" si="119"/>
        <v/>
      </c>
      <c r="CK71" s="8" t="str">
        <f t="shared" si="120"/>
        <v/>
      </c>
      <c r="CL71" s="173" t="str">
        <f t="shared" si="121"/>
        <v/>
      </c>
      <c r="CM71" s="5" t="str">
        <f t="shared" si="122"/>
        <v/>
      </c>
      <c r="CN71" s="6" t="str">
        <f t="shared" si="123"/>
        <v/>
      </c>
      <c r="CO71" s="167" t="str">
        <f t="shared" si="350"/>
        <v/>
      </c>
      <c r="CP71" s="4" t="str">
        <f t="shared" si="236"/>
        <v/>
      </c>
      <c r="CQ71" s="5" t="str">
        <f t="shared" si="237"/>
        <v/>
      </c>
      <c r="CR71" s="5" t="str">
        <f t="shared" si="152"/>
        <v/>
      </c>
      <c r="CS71" s="8" t="str">
        <f t="shared" si="153"/>
        <v/>
      </c>
      <c r="CT71" s="9" t="str">
        <f t="shared" si="154"/>
        <v/>
      </c>
      <c r="CU71" s="6" t="str">
        <f t="shared" si="155"/>
        <v/>
      </c>
      <c r="CV71" s="4" t="str">
        <f t="shared" si="238"/>
        <v/>
      </c>
      <c r="CW71" s="5" t="str">
        <f t="shared" si="156"/>
        <v/>
      </c>
      <c r="CX71" s="8" t="str">
        <f t="shared" si="157"/>
        <v/>
      </c>
      <c r="CY71" s="9" t="str">
        <f t="shared" si="158"/>
        <v/>
      </c>
      <c r="CZ71" s="5" t="str">
        <f t="shared" si="159"/>
        <v/>
      </c>
      <c r="DA71" s="6" t="str">
        <f t="shared" si="160"/>
        <v/>
      </c>
      <c r="DB71" s="4" t="str">
        <f t="shared" si="555"/>
        <v/>
      </c>
      <c r="DC71" s="5" t="str">
        <f t="shared" si="555"/>
        <v/>
      </c>
      <c r="DD71" s="10" t="str">
        <f t="shared" si="162"/>
        <v/>
      </c>
      <c r="DE71" s="9" t="str">
        <f t="shared" si="556"/>
        <v/>
      </c>
      <c r="DF71" s="5" t="str">
        <f t="shared" si="556"/>
        <v/>
      </c>
      <c r="DG71" s="10" t="str">
        <f t="shared" si="164"/>
        <v/>
      </c>
      <c r="DH71" s="70" t="str">
        <f t="shared" si="165"/>
        <v/>
      </c>
      <c r="DI71" s="4" t="str">
        <f t="shared" si="166"/>
        <v/>
      </c>
      <c r="DJ71" s="5" t="str">
        <f t="shared" si="167"/>
        <v/>
      </c>
      <c r="DK71" s="10" t="str">
        <f t="shared" si="168"/>
        <v/>
      </c>
      <c r="DL71" s="9" t="str">
        <f t="shared" si="169"/>
        <v/>
      </c>
      <c r="DM71" s="173" t="str">
        <f t="shared" si="170"/>
        <v/>
      </c>
      <c r="DN71" s="178" t="str">
        <f t="shared" si="171"/>
        <v/>
      </c>
      <c r="DO71" s="9" t="str">
        <f t="shared" si="172"/>
        <v/>
      </c>
      <c r="DP71" s="173" t="str">
        <f t="shared" si="173"/>
        <v/>
      </c>
      <c r="DQ71" s="11" t="str">
        <f t="shared" si="174"/>
        <v/>
      </c>
      <c r="DR71" s="173" t="str">
        <f t="shared" si="175"/>
        <v/>
      </c>
      <c r="DS71" s="5" t="str">
        <f t="shared" si="176"/>
        <v/>
      </c>
      <c r="DT71" s="5" t="str">
        <f t="shared" si="177"/>
        <v/>
      </c>
      <c r="DU71" s="5" t="str">
        <f t="shared" si="178"/>
        <v/>
      </c>
      <c r="DV71" s="5" t="str">
        <f t="shared" si="179"/>
        <v/>
      </c>
      <c r="DW71" s="5" t="str">
        <f t="shared" si="180"/>
        <v/>
      </c>
      <c r="DX71" s="167" t="str">
        <f t="shared" si="181"/>
        <v/>
      </c>
      <c r="DY71" s="9" t="str">
        <f t="shared" si="182"/>
        <v/>
      </c>
      <c r="DZ71" s="5" t="str">
        <f t="shared" si="183"/>
        <v/>
      </c>
      <c r="EA71" s="10" t="str">
        <f t="shared" si="184"/>
        <v/>
      </c>
      <c r="EB71" s="6" t="str">
        <f t="shared" si="185"/>
        <v/>
      </c>
      <c r="EC71" s="173" t="str">
        <f t="shared" si="186"/>
        <v/>
      </c>
      <c r="ED71" s="5" t="str">
        <f t="shared" si="187"/>
        <v/>
      </c>
      <c r="EE71" s="4" t="str">
        <f t="shared" si="188"/>
        <v/>
      </c>
      <c r="EF71" s="5" t="str">
        <f t="shared" si="189"/>
        <v/>
      </c>
      <c r="EG71" s="10" t="str">
        <f t="shared" si="190"/>
        <v/>
      </c>
      <c r="EH71" s="9" t="str">
        <f t="shared" si="191"/>
        <v/>
      </c>
      <c r="EI71" s="5" t="str">
        <f t="shared" si="192"/>
        <v/>
      </c>
      <c r="EJ71" s="6" t="str">
        <f t="shared" si="193"/>
        <v/>
      </c>
      <c r="EK71" s="236" t="str">
        <f t="shared" si="194"/>
        <v/>
      </c>
      <c r="EL71" s="238" t="str">
        <f t="shared" si="195"/>
        <v/>
      </c>
      <c r="EM71" s="4" t="str">
        <f t="shared" si="196"/>
        <v/>
      </c>
      <c r="EN71" s="5" t="str">
        <f t="shared" si="197"/>
        <v/>
      </c>
      <c r="EO71" s="10" t="str">
        <f t="shared" si="198"/>
        <v/>
      </c>
      <c r="EP71" s="9" t="str">
        <f t="shared" si="199"/>
        <v/>
      </c>
      <c r="EQ71" s="5" t="str">
        <f t="shared" si="200"/>
        <v/>
      </c>
      <c r="ER71" s="7" t="str">
        <f t="shared" si="201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2"/>
        <v/>
      </c>
      <c r="EZ71" s="51" t="str">
        <f t="shared" si="203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4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6"/>
        <v/>
      </c>
      <c r="FK71" s="4" t="str">
        <f t="shared" si="568"/>
        <v/>
      </c>
      <c r="FL71" s="5" t="str">
        <f t="shared" si="207"/>
        <v/>
      </c>
      <c r="FM71" s="8" t="str">
        <f t="shared" si="208"/>
        <v/>
      </c>
      <c r="FN71" s="9" t="str">
        <f t="shared" si="209"/>
        <v/>
      </c>
      <c r="FO71" s="10" t="str">
        <f t="shared" si="569"/>
        <v/>
      </c>
      <c r="FP71" s="277" t="str">
        <f t="shared" si="570"/>
        <v/>
      </c>
      <c r="FQ71" s="173" t="str">
        <f t="shared" si="239"/>
        <v/>
      </c>
      <c r="FR71" s="10" t="str">
        <f t="shared" si="210"/>
        <v/>
      </c>
      <c r="FS71" s="9" t="str">
        <f t="shared" si="211"/>
        <v/>
      </c>
      <c r="FT71" s="6" t="str">
        <f t="shared" si="212"/>
        <v/>
      </c>
      <c r="FU71" s="4" t="str">
        <f t="shared" si="213"/>
        <v/>
      </c>
      <c r="FV71" s="5" t="str">
        <f t="shared" si="214"/>
        <v/>
      </c>
      <c r="FW71" s="8" t="str">
        <f t="shared" si="240"/>
        <v/>
      </c>
      <c r="FX71" s="9" t="str">
        <f t="shared" si="241"/>
        <v/>
      </c>
      <c r="FY71" s="10" t="str">
        <f t="shared" si="571"/>
        <v/>
      </c>
      <c r="FZ71" s="277" t="str">
        <f t="shared" si="242"/>
        <v/>
      </c>
      <c r="GA71" s="177" t="str">
        <f t="shared" si="215"/>
        <v/>
      </c>
      <c r="GB71" s="4" t="str">
        <f t="shared" si="216"/>
        <v/>
      </c>
      <c r="GC71" s="5" t="str">
        <f t="shared" si="217"/>
        <v/>
      </c>
      <c r="GD71" s="10" t="str">
        <f t="shared" si="218"/>
        <v/>
      </c>
      <c r="GE71" s="311" t="str">
        <f t="shared" si="219"/>
        <v/>
      </c>
      <c r="GF71" s="341" t="str">
        <f t="shared" si="243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0"/>
        <v/>
      </c>
      <c r="GK71" s="174" t="str">
        <f t="shared" si="575"/>
        <v/>
      </c>
      <c r="GL71" s="174" t="str">
        <f t="shared" si="221"/>
        <v/>
      </c>
      <c r="GM71" s="177" t="str">
        <f t="shared" si="244"/>
        <v/>
      </c>
      <c r="GN71" s="280" t="str">
        <f t="shared" si="222"/>
        <v/>
      </c>
      <c r="GO71" s="4" t="str">
        <f t="shared" si="223"/>
        <v/>
      </c>
      <c r="GP71" s="8" t="str">
        <f t="shared" si="245"/>
        <v/>
      </c>
      <c r="GQ71" s="177" t="str">
        <f t="shared" si="224"/>
        <v/>
      </c>
      <c r="GR71" s="371" t="str">
        <f t="shared" si="246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3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5"/>
        <v/>
      </c>
      <c r="HC71" s="343" t="str">
        <f t="shared" si="226"/>
        <v/>
      </c>
      <c r="HD71" s="363" t="str">
        <f t="shared" si="227"/>
        <v/>
      </c>
      <c r="HE71" s="344" t="str">
        <f t="shared" si="584"/>
        <v/>
      </c>
      <c r="HF71" s="5" t="str">
        <f t="shared" si="585"/>
        <v/>
      </c>
      <c r="HG71" s="343" t="str">
        <f t="shared" si="228"/>
        <v/>
      </c>
      <c r="HH71" s="349" t="str">
        <f t="shared" si="229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935" t="str">
        <f t="shared" si="455"/>
        <v/>
      </c>
      <c r="HN71" s="936" t="str">
        <f t="shared" si="456"/>
        <v/>
      </c>
      <c r="HO71" s="937"/>
      <c r="HP71" s="938"/>
      <c r="HQ71" s="936" t="str">
        <f t="shared" si="457"/>
        <v/>
      </c>
      <c r="HR71" s="939" t="str">
        <f t="shared" si="458"/>
        <v/>
      </c>
      <c r="HS71" s="940" t="str">
        <f t="shared" si="507"/>
        <v/>
      </c>
      <c r="HT71" s="941" t="str">
        <f t="shared" si="459"/>
        <v/>
      </c>
      <c r="HU71" s="942" t="str">
        <f t="shared" si="460"/>
        <v/>
      </c>
      <c r="HV71" s="943" t="str">
        <f t="shared" si="461"/>
        <v/>
      </c>
      <c r="HW71" s="944" t="str">
        <f t="shared" si="462"/>
        <v/>
      </c>
      <c r="HX71" s="947" t="str">
        <f t="shared" si="463"/>
        <v/>
      </c>
      <c r="HY71" s="952" t="str">
        <f t="shared" si="464"/>
        <v/>
      </c>
      <c r="HZ71" s="953" t="str">
        <f t="shared" si="465"/>
        <v/>
      </c>
      <c r="IA71" s="954" t="str">
        <f t="shared" si="466"/>
        <v/>
      </c>
      <c r="IB71" s="955" t="str">
        <f t="shared" si="467"/>
        <v/>
      </c>
      <c r="IC71" s="842" t="str">
        <f t="shared" si="468"/>
        <v/>
      </c>
      <c r="ID71" s="351" t="str">
        <f t="shared" si="469"/>
        <v/>
      </c>
      <c r="IE71" s="844" t="str">
        <f t="shared" si="470"/>
        <v/>
      </c>
      <c r="IF71" s="845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0"/>
        <v/>
      </c>
      <c r="IJ71" s="96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71"/>
        <v/>
      </c>
      <c r="IM71" s="482" t="str">
        <f t="shared" si="231"/>
        <v/>
      </c>
      <c r="IN71" s="670" t="str">
        <f t="shared" si="472"/>
        <v/>
      </c>
      <c r="IO71" s="702"/>
      <c r="IP71" s="5" t="str">
        <f t="shared" si="473"/>
        <v/>
      </c>
      <c r="IQ71" s="714"/>
      <c r="IR71" s="9" t="str">
        <f t="shared" si="474"/>
        <v/>
      </c>
      <c r="IS71" s="5" t="str">
        <f t="shared" si="475"/>
        <v/>
      </c>
      <c r="IT71" s="5" t="str">
        <f t="shared" si="476"/>
        <v/>
      </c>
      <c r="IU71" s="5" t="str">
        <f t="shared" si="477"/>
        <v/>
      </c>
      <c r="IV71" s="670" t="str">
        <f t="shared" si="478"/>
        <v/>
      </c>
      <c r="IW71" s="9" t="str">
        <f t="shared" si="479"/>
        <v/>
      </c>
      <c r="IX71" s="5" t="str">
        <f t="shared" si="480"/>
        <v/>
      </c>
      <c r="IY71" s="5" t="str">
        <f t="shared" si="481"/>
        <v/>
      </c>
      <c r="IZ71" s="5" t="str">
        <f t="shared" si="482"/>
        <v/>
      </c>
      <c r="JA71" s="705" t="str">
        <f t="shared" si="483"/>
        <v/>
      </c>
    </row>
    <row r="72" spans="1:261" ht="15" customHeight="1" x14ac:dyDescent="0.25">
      <c r="A72" s="75" t="str">
        <f t="shared" si="308"/>
        <v/>
      </c>
      <c r="B72" s="578" t="str">
        <f t="shared" ref="B72:D72" si="621">IFERROR(O227+($A72*-E72),"")</f>
        <v/>
      </c>
      <c r="C72" s="572" t="str">
        <f t="shared" si="621"/>
        <v/>
      </c>
      <c r="D72" s="576" t="str">
        <f t="shared" si="621"/>
        <v/>
      </c>
      <c r="E72" s="580" t="str">
        <f t="shared" ref="E72:K72" si="622">R227</f>
        <v/>
      </c>
      <c r="F72" s="572" t="str">
        <f t="shared" si="622"/>
        <v/>
      </c>
      <c r="G72" s="579" t="str">
        <f t="shared" si="622"/>
        <v/>
      </c>
      <c r="H72" s="580" t="str">
        <f t="shared" si="622"/>
        <v/>
      </c>
      <c r="I72" s="572" t="str">
        <f t="shared" si="622"/>
        <v/>
      </c>
      <c r="J72" s="483" t="str">
        <f t="shared" si="92"/>
        <v/>
      </c>
      <c r="K72" s="806" t="str">
        <f t="shared" si="622"/>
        <v/>
      </c>
      <c r="L72" s="309"/>
      <c r="M72" s="164" t="str">
        <f t="shared" si="311"/>
        <v/>
      </c>
      <c r="N72" s="575" t="str">
        <f t="shared" si="312"/>
        <v/>
      </c>
      <c r="O72" s="572" t="str">
        <f t="shared" si="313"/>
        <v/>
      </c>
      <c r="P72" s="576" t="str">
        <f t="shared" si="314"/>
        <v/>
      </c>
      <c r="Q72" s="528" t="str">
        <f t="shared" si="134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135"/>
        <v/>
      </c>
      <c r="W72" s="528" t="str">
        <f t="shared" si="256"/>
        <v/>
      </c>
      <c r="X72" s="572" t="str">
        <f t="shared" si="97"/>
        <v/>
      </c>
      <c r="Y72" s="573" t="str">
        <f t="shared" si="259"/>
        <v/>
      </c>
      <c r="Z72" s="575" t="str">
        <f t="shared" si="315"/>
        <v/>
      </c>
      <c r="AA72" s="572" t="str">
        <f t="shared" si="316"/>
        <v/>
      </c>
      <c r="AB72" s="572" t="str">
        <f t="shared" si="317"/>
        <v/>
      </c>
      <c r="AC72" s="579" t="str">
        <f t="shared" si="98"/>
        <v/>
      </c>
      <c r="AD72" s="580" t="str">
        <f t="shared" si="136"/>
        <v/>
      </c>
      <c r="AE72" s="572" t="str">
        <f t="shared" si="99"/>
        <v/>
      </c>
      <c r="AF72" s="576" t="str">
        <f t="shared" si="100"/>
        <v/>
      </c>
      <c r="AG72" s="545" t="str">
        <f t="shared" si="101"/>
        <v/>
      </c>
      <c r="AH72" s="546" t="str">
        <f t="shared" si="102"/>
        <v/>
      </c>
      <c r="AI72" s="528" t="str">
        <f t="shared" si="103"/>
        <v/>
      </c>
      <c r="AJ72" s="529" t="str">
        <f t="shared" si="104"/>
        <v/>
      </c>
      <c r="AK72" s="578" t="str">
        <f t="shared" si="234"/>
        <v/>
      </c>
      <c r="AL72" s="572" t="str">
        <f t="shared" si="105"/>
        <v/>
      </c>
      <c r="AM72" s="577" t="str">
        <f t="shared" si="106"/>
        <v/>
      </c>
      <c r="AN72" s="524" t="str">
        <f t="shared" si="107"/>
        <v/>
      </c>
      <c r="AO72" s="525" t="str">
        <f t="shared" si="590"/>
        <v/>
      </c>
      <c r="AP72" s="528" t="str">
        <f t="shared" si="109"/>
        <v/>
      </c>
      <c r="AQ72" s="529" t="str">
        <f t="shared" si="318"/>
        <v/>
      </c>
      <c r="AS72" s="900" t="str">
        <f t="shared" si="510"/>
        <v/>
      </c>
      <c r="AT72" s="896" t="str">
        <f t="shared" si="319"/>
        <v/>
      </c>
      <c r="AU72" s="418"/>
      <c r="AV72" s="164" t="str">
        <f t="shared" si="320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8"/>
        <v/>
      </c>
      <c r="BA72" s="296" t="str">
        <f t="shared" si="322"/>
        <v/>
      </c>
      <c r="BB72" s="177" t="str">
        <f t="shared" si="139"/>
        <v/>
      </c>
      <c r="BC72" s="9"/>
      <c r="BD72" s="5" t="str">
        <f t="shared" si="235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0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1"/>
        <v/>
      </c>
      <c r="BP72" s="5" t="str">
        <f t="shared" si="142"/>
        <v/>
      </c>
      <c r="BQ72" s="5" t="str">
        <f t="shared" si="143"/>
        <v/>
      </c>
      <c r="BR72" s="6" t="str">
        <f t="shared" si="144"/>
        <v/>
      </c>
      <c r="BS72" s="4" t="str">
        <f t="shared" si="554"/>
        <v/>
      </c>
      <c r="BT72" s="5" t="str">
        <f t="shared" si="554"/>
        <v/>
      </c>
      <c r="BU72" s="10" t="str">
        <f t="shared" si="111"/>
        <v/>
      </c>
      <c r="BV72" s="9" t="str">
        <f t="shared" si="112"/>
        <v/>
      </c>
      <c r="BW72" s="5" t="str">
        <f t="shared" si="113"/>
        <v/>
      </c>
      <c r="BX72" s="8" t="str">
        <f t="shared" si="114"/>
        <v/>
      </c>
      <c r="BY72" s="173" t="str">
        <f t="shared" si="115"/>
        <v/>
      </c>
      <c r="BZ72" s="5" t="str">
        <f t="shared" si="116"/>
        <v/>
      </c>
      <c r="CA72" s="6" t="str">
        <f t="shared" si="117"/>
        <v/>
      </c>
      <c r="CB72" s="4" t="str">
        <f t="shared" si="145"/>
        <v/>
      </c>
      <c r="CC72" s="5" t="str">
        <f t="shared" si="146"/>
        <v/>
      </c>
      <c r="CD72" s="5" t="str">
        <f t="shared" si="147"/>
        <v/>
      </c>
      <c r="CE72" s="6" t="str">
        <f t="shared" si="148"/>
        <v/>
      </c>
      <c r="CF72" s="4" t="str">
        <f t="shared" si="149"/>
        <v/>
      </c>
      <c r="CG72" s="5" t="str">
        <f t="shared" si="150"/>
        <v/>
      </c>
      <c r="CH72" s="5" t="str">
        <f t="shared" si="151"/>
        <v/>
      </c>
      <c r="CI72" s="4" t="str">
        <f t="shared" si="118"/>
        <v/>
      </c>
      <c r="CJ72" s="5" t="str">
        <f t="shared" si="119"/>
        <v/>
      </c>
      <c r="CK72" s="8" t="str">
        <f t="shared" si="120"/>
        <v/>
      </c>
      <c r="CL72" s="173" t="str">
        <f t="shared" si="121"/>
        <v/>
      </c>
      <c r="CM72" s="5" t="str">
        <f t="shared" si="122"/>
        <v/>
      </c>
      <c r="CN72" s="6" t="str">
        <f t="shared" si="123"/>
        <v/>
      </c>
      <c r="CO72" s="167" t="str">
        <f t="shared" si="350"/>
        <v/>
      </c>
      <c r="CP72" s="4" t="str">
        <f t="shared" si="236"/>
        <v/>
      </c>
      <c r="CQ72" s="5" t="str">
        <f t="shared" si="237"/>
        <v/>
      </c>
      <c r="CR72" s="5" t="str">
        <f t="shared" si="152"/>
        <v/>
      </c>
      <c r="CS72" s="8" t="str">
        <f t="shared" si="153"/>
        <v/>
      </c>
      <c r="CT72" s="9" t="str">
        <f t="shared" si="154"/>
        <v/>
      </c>
      <c r="CU72" s="6" t="str">
        <f t="shared" si="155"/>
        <v/>
      </c>
      <c r="CV72" s="4" t="str">
        <f t="shared" si="238"/>
        <v/>
      </c>
      <c r="CW72" s="5" t="str">
        <f t="shared" si="156"/>
        <v/>
      </c>
      <c r="CX72" s="8" t="str">
        <f t="shared" si="157"/>
        <v/>
      </c>
      <c r="CY72" s="9" t="str">
        <f t="shared" si="158"/>
        <v/>
      </c>
      <c r="CZ72" s="5" t="str">
        <f t="shared" si="159"/>
        <v/>
      </c>
      <c r="DA72" s="6" t="str">
        <f t="shared" si="160"/>
        <v/>
      </c>
      <c r="DB72" s="4" t="str">
        <f t="shared" si="555"/>
        <v/>
      </c>
      <c r="DC72" s="5" t="str">
        <f t="shared" si="555"/>
        <v/>
      </c>
      <c r="DD72" s="10" t="str">
        <f t="shared" si="162"/>
        <v/>
      </c>
      <c r="DE72" s="9" t="str">
        <f t="shared" si="556"/>
        <v/>
      </c>
      <c r="DF72" s="5" t="str">
        <f t="shared" si="556"/>
        <v/>
      </c>
      <c r="DG72" s="10" t="str">
        <f t="shared" si="164"/>
        <v/>
      </c>
      <c r="DH72" s="70" t="str">
        <f t="shared" si="165"/>
        <v/>
      </c>
      <c r="DI72" s="4" t="str">
        <f t="shared" si="166"/>
        <v/>
      </c>
      <c r="DJ72" s="5" t="str">
        <f t="shared" si="167"/>
        <v/>
      </c>
      <c r="DK72" s="10" t="str">
        <f t="shared" si="168"/>
        <v/>
      </c>
      <c r="DL72" s="9" t="str">
        <f t="shared" si="169"/>
        <v/>
      </c>
      <c r="DM72" s="173" t="str">
        <f t="shared" si="170"/>
        <v/>
      </c>
      <c r="DN72" s="178" t="str">
        <f t="shared" si="171"/>
        <v/>
      </c>
      <c r="DO72" s="9" t="str">
        <f t="shared" si="172"/>
        <v/>
      </c>
      <c r="DP72" s="173" t="str">
        <f t="shared" si="173"/>
        <v/>
      </c>
      <c r="DQ72" s="11" t="str">
        <f t="shared" si="174"/>
        <v/>
      </c>
      <c r="DR72" s="173" t="str">
        <f t="shared" si="175"/>
        <v/>
      </c>
      <c r="DS72" s="5" t="str">
        <f t="shared" si="176"/>
        <v/>
      </c>
      <c r="DT72" s="5" t="str">
        <f t="shared" si="177"/>
        <v/>
      </c>
      <c r="DU72" s="5" t="str">
        <f t="shared" si="178"/>
        <v/>
      </c>
      <c r="DV72" s="5" t="str">
        <f t="shared" si="179"/>
        <v/>
      </c>
      <c r="DW72" s="5" t="str">
        <f t="shared" si="180"/>
        <v/>
      </c>
      <c r="DX72" s="167" t="str">
        <f t="shared" si="181"/>
        <v/>
      </c>
      <c r="DY72" s="9" t="str">
        <f t="shared" si="182"/>
        <v/>
      </c>
      <c r="DZ72" s="5" t="str">
        <f t="shared" si="183"/>
        <v/>
      </c>
      <c r="EA72" s="10" t="str">
        <f t="shared" si="184"/>
        <v/>
      </c>
      <c r="EB72" s="6" t="str">
        <f t="shared" si="185"/>
        <v/>
      </c>
      <c r="EC72" s="173" t="str">
        <f t="shared" si="186"/>
        <v/>
      </c>
      <c r="ED72" s="5" t="str">
        <f t="shared" si="187"/>
        <v/>
      </c>
      <c r="EE72" s="4" t="str">
        <f t="shared" si="188"/>
        <v/>
      </c>
      <c r="EF72" s="5" t="str">
        <f t="shared" si="189"/>
        <v/>
      </c>
      <c r="EG72" s="10" t="str">
        <f t="shared" si="190"/>
        <v/>
      </c>
      <c r="EH72" s="9" t="str">
        <f t="shared" si="191"/>
        <v/>
      </c>
      <c r="EI72" s="5" t="str">
        <f t="shared" si="192"/>
        <v/>
      </c>
      <c r="EJ72" s="6" t="str">
        <f t="shared" si="193"/>
        <v/>
      </c>
      <c r="EK72" s="236" t="str">
        <f t="shared" si="194"/>
        <v/>
      </c>
      <c r="EL72" s="238" t="str">
        <f t="shared" si="195"/>
        <v/>
      </c>
      <c r="EM72" s="4" t="str">
        <f t="shared" si="196"/>
        <v/>
      </c>
      <c r="EN72" s="5" t="str">
        <f t="shared" si="197"/>
        <v/>
      </c>
      <c r="EO72" s="10" t="str">
        <f t="shared" si="198"/>
        <v/>
      </c>
      <c r="EP72" s="9" t="str">
        <f t="shared" si="199"/>
        <v/>
      </c>
      <c r="EQ72" s="5" t="str">
        <f t="shared" si="200"/>
        <v/>
      </c>
      <c r="ER72" s="7" t="str">
        <f t="shared" si="201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2"/>
        <v/>
      </c>
      <c r="EZ72" s="51" t="str">
        <f t="shared" si="203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4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6"/>
        <v/>
      </c>
      <c r="FK72" s="4" t="str">
        <f t="shared" si="568"/>
        <v/>
      </c>
      <c r="FL72" s="5" t="str">
        <f t="shared" si="207"/>
        <v/>
      </c>
      <c r="FM72" s="8" t="str">
        <f t="shared" si="208"/>
        <v/>
      </c>
      <c r="FN72" s="9" t="str">
        <f t="shared" si="209"/>
        <v/>
      </c>
      <c r="FO72" s="10" t="str">
        <f t="shared" si="569"/>
        <v/>
      </c>
      <c r="FP72" s="277" t="str">
        <f t="shared" si="570"/>
        <v/>
      </c>
      <c r="FQ72" s="173" t="str">
        <f t="shared" si="239"/>
        <v/>
      </c>
      <c r="FR72" s="10" t="str">
        <f t="shared" si="210"/>
        <v/>
      </c>
      <c r="FS72" s="9" t="str">
        <f t="shared" si="211"/>
        <v/>
      </c>
      <c r="FT72" s="6" t="str">
        <f t="shared" si="212"/>
        <v/>
      </c>
      <c r="FU72" s="4" t="str">
        <f t="shared" si="213"/>
        <v/>
      </c>
      <c r="FV72" s="5" t="str">
        <f t="shared" si="214"/>
        <v/>
      </c>
      <c r="FW72" s="8" t="str">
        <f t="shared" si="240"/>
        <v/>
      </c>
      <c r="FX72" s="9" t="str">
        <f t="shared" si="241"/>
        <v/>
      </c>
      <c r="FY72" s="10" t="str">
        <f t="shared" si="571"/>
        <v/>
      </c>
      <c r="FZ72" s="277" t="str">
        <f t="shared" si="242"/>
        <v/>
      </c>
      <c r="GA72" s="177" t="str">
        <f t="shared" si="215"/>
        <v/>
      </c>
      <c r="GB72" s="4" t="str">
        <f t="shared" si="216"/>
        <v/>
      </c>
      <c r="GC72" s="5" t="str">
        <f t="shared" si="217"/>
        <v/>
      </c>
      <c r="GD72" s="10" t="str">
        <f t="shared" si="218"/>
        <v/>
      </c>
      <c r="GE72" s="311" t="str">
        <f t="shared" si="219"/>
        <v/>
      </c>
      <c r="GF72" s="341" t="str">
        <f t="shared" si="243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0"/>
        <v/>
      </c>
      <c r="GK72" s="174" t="str">
        <f t="shared" si="575"/>
        <v/>
      </c>
      <c r="GL72" s="174" t="str">
        <f t="shared" si="221"/>
        <v/>
      </c>
      <c r="GM72" s="177" t="str">
        <f t="shared" si="244"/>
        <v/>
      </c>
      <c r="GN72" s="280" t="str">
        <f t="shared" si="222"/>
        <v/>
      </c>
      <c r="GO72" s="4" t="str">
        <f t="shared" si="223"/>
        <v/>
      </c>
      <c r="GP72" s="8" t="str">
        <f t="shared" si="245"/>
        <v/>
      </c>
      <c r="GQ72" s="177" t="str">
        <f t="shared" si="224"/>
        <v/>
      </c>
      <c r="GR72" s="371" t="str">
        <f t="shared" si="246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3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5"/>
        <v/>
      </c>
      <c r="HC72" s="343" t="str">
        <f t="shared" si="226"/>
        <v/>
      </c>
      <c r="HD72" s="363" t="str">
        <f t="shared" si="227"/>
        <v/>
      </c>
      <c r="HE72" s="344" t="str">
        <f t="shared" si="584"/>
        <v/>
      </c>
      <c r="HF72" s="5" t="str">
        <f t="shared" si="585"/>
        <v/>
      </c>
      <c r="HG72" s="343" t="str">
        <f t="shared" si="228"/>
        <v/>
      </c>
      <c r="HH72" s="349" t="str">
        <f t="shared" si="229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935" t="str">
        <f t="shared" si="455"/>
        <v/>
      </c>
      <c r="HN72" s="936" t="str">
        <f t="shared" si="456"/>
        <v/>
      </c>
      <c r="HO72" s="937"/>
      <c r="HP72" s="938"/>
      <c r="HQ72" s="936" t="str">
        <f t="shared" si="457"/>
        <v/>
      </c>
      <c r="HR72" s="939" t="str">
        <f t="shared" si="458"/>
        <v/>
      </c>
      <c r="HS72" s="940" t="str">
        <f t="shared" si="507"/>
        <v/>
      </c>
      <c r="HT72" s="941" t="str">
        <f t="shared" si="459"/>
        <v/>
      </c>
      <c r="HU72" s="942" t="str">
        <f t="shared" si="460"/>
        <v/>
      </c>
      <c r="HV72" s="943" t="str">
        <f t="shared" si="461"/>
        <v/>
      </c>
      <c r="HW72" s="944" t="str">
        <f t="shared" si="462"/>
        <v/>
      </c>
      <c r="HX72" s="947" t="str">
        <f t="shared" si="463"/>
        <v/>
      </c>
      <c r="HY72" s="952" t="str">
        <f t="shared" si="464"/>
        <v/>
      </c>
      <c r="HZ72" s="953" t="str">
        <f t="shared" si="465"/>
        <v/>
      </c>
      <c r="IA72" s="954" t="str">
        <f t="shared" si="466"/>
        <v/>
      </c>
      <c r="IB72" s="955" t="str">
        <f t="shared" si="467"/>
        <v/>
      </c>
      <c r="IC72" s="842" t="str">
        <f t="shared" si="468"/>
        <v/>
      </c>
      <c r="ID72" s="351" t="str">
        <f t="shared" si="469"/>
        <v/>
      </c>
      <c r="IE72" s="844" t="str">
        <f t="shared" si="470"/>
        <v/>
      </c>
      <c r="IF72" s="845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0"/>
        <v/>
      </c>
      <c r="IJ72" s="96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71"/>
        <v/>
      </c>
      <c r="IM72" s="482" t="str">
        <f t="shared" si="231"/>
        <v/>
      </c>
      <c r="IN72" s="670" t="str">
        <f t="shared" si="472"/>
        <v/>
      </c>
      <c r="IO72" s="702"/>
      <c r="IP72" s="5" t="str">
        <f t="shared" si="473"/>
        <v/>
      </c>
      <c r="IQ72" s="714"/>
      <c r="IR72" s="9" t="str">
        <f t="shared" si="474"/>
        <v/>
      </c>
      <c r="IS72" s="5" t="str">
        <f t="shared" si="475"/>
        <v/>
      </c>
      <c r="IT72" s="5" t="str">
        <f t="shared" si="476"/>
        <v/>
      </c>
      <c r="IU72" s="5" t="str">
        <f t="shared" si="477"/>
        <v/>
      </c>
      <c r="IV72" s="670" t="str">
        <f t="shared" si="478"/>
        <v/>
      </c>
      <c r="IW72" s="9" t="str">
        <f t="shared" si="479"/>
        <v/>
      </c>
      <c r="IX72" s="5" t="str">
        <f t="shared" si="480"/>
        <v/>
      </c>
      <c r="IY72" s="5" t="str">
        <f t="shared" si="481"/>
        <v/>
      </c>
      <c r="IZ72" s="5" t="str">
        <f t="shared" si="482"/>
        <v/>
      </c>
      <c r="JA72" s="705" t="str">
        <f t="shared" si="483"/>
        <v/>
      </c>
    </row>
    <row r="73" spans="1:261" ht="15" customHeight="1" x14ac:dyDescent="0.25">
      <c r="A73" s="75" t="str">
        <f t="shared" ref="A73:A104" si="623">IF($K73="","",IF(AND($A$8="Y",ISNUMBER($K73)),$A$5,0))</f>
        <v/>
      </c>
      <c r="B73" s="578" t="str">
        <f t="shared" ref="B73:D73" si="624">IFERROR(O228+($A73*-E73),"")</f>
        <v/>
      </c>
      <c r="C73" s="572" t="str">
        <f t="shared" si="624"/>
        <v/>
      </c>
      <c r="D73" s="576" t="str">
        <f t="shared" si="624"/>
        <v/>
      </c>
      <c r="E73" s="580" t="str">
        <f t="shared" ref="E73:K73" si="625">R228</f>
        <v/>
      </c>
      <c r="F73" s="572" t="str">
        <f t="shared" si="625"/>
        <v/>
      </c>
      <c r="G73" s="579" t="str">
        <f t="shared" si="625"/>
        <v/>
      </c>
      <c r="H73" s="580" t="str">
        <f t="shared" si="625"/>
        <v/>
      </c>
      <c r="I73" s="572" t="str">
        <f t="shared" si="625"/>
        <v/>
      </c>
      <c r="J73" s="483" t="str">
        <f t="shared" si="92"/>
        <v/>
      </c>
      <c r="K73" s="806" t="str">
        <f t="shared" si="625"/>
        <v/>
      </c>
      <c r="L73" s="309"/>
      <c r="M73" s="164" t="str">
        <f t="shared" ref="M73:M104" si="626">IF(J73="","",VALUE(J73))</f>
        <v/>
      </c>
      <c r="N73" s="575" t="str">
        <f t="shared" ref="N73:N104" si="627">IF(M73="","",B73)</f>
        <v/>
      </c>
      <c r="O73" s="572" t="str">
        <f t="shared" ref="O73:O104" si="628">IF(M73="","",C73)</f>
        <v/>
      </c>
      <c r="P73" s="576" t="str">
        <f t="shared" ref="P73:P104" si="629">IF(M73="","",D73)</f>
        <v/>
      </c>
      <c r="Q73" s="528" t="str">
        <f t="shared" si="13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6"/>
        <v/>
      </c>
      <c r="X73" s="572" t="str">
        <f>IF(M73="","",R73)</f>
        <v/>
      </c>
      <c r="Y73" s="573" t="str">
        <f t="shared" si="259"/>
        <v/>
      </c>
      <c r="Z73" s="575" t="str">
        <f t="shared" ref="Z73:Z104" si="630">IF(M73="","",-E73)</f>
        <v/>
      </c>
      <c r="AA73" s="572" t="str">
        <f t="shared" ref="AA73:AA104" si="631">IF(M73="","",-F73)</f>
        <v/>
      </c>
      <c r="AB73" s="572" t="str">
        <f t="shared" ref="AB73:AB104" si="6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90"/>
        <v/>
      </c>
      <c r="AP73" s="528" t="str">
        <f>IF(M73="","",DEGREES(ATAN2(AK73,AL73)))</f>
        <v/>
      </c>
      <c r="AQ73" s="529" t="str">
        <f t="shared" ref="AQ73:AQ104" si="633">IF(M73="","",DEGREES(ATAN(($AS$5*SIN(RADIANS(90)))/(($X73*2*PI())-($AS$5*COS(RADIANS(90)))))))</f>
        <v/>
      </c>
      <c r="AS73" s="900" t="str">
        <f t="shared" si="510"/>
        <v/>
      </c>
      <c r="AT73" s="896" t="str">
        <f t="shared" ref="AT73:AT104" si="634">IF(M73="","",Y73+(((AS73-$AS$9)*$AS$6)*-1))</f>
        <v/>
      </c>
      <c r="AU73" s="418"/>
      <c r="AV73" s="164" t="str">
        <f t="shared" ref="AV73:AV104" si="6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8"/>
        <v/>
      </c>
      <c r="BA73" s="296" t="str">
        <f t="shared" ref="BA73:BA104" si="636">IF(ISNUMBER(AV73),AZ73/$AZ$151,"")</f>
        <v/>
      </c>
      <c r="BB73" s="177" t="str">
        <f t="shared" si="139"/>
        <v/>
      </c>
      <c r="BC73" s="9"/>
      <c r="BD73" s="5" t="str">
        <f t="shared" si="235"/>
        <v/>
      </c>
      <c r="BE73" s="6" t="str">
        <f t="shared" ref="BE73:BE104" si="637">IF(ISNUMBER(AV73),Y73+BB73,"")</f>
        <v/>
      </c>
      <c r="BF73" s="4" t="str">
        <f t="shared" ref="BF73:BF104" si="638">IF(ISNUMBER($AV73),N73,"")</f>
        <v/>
      </c>
      <c r="BG73" s="5" t="str">
        <f t="shared" ref="BG73:BG104" si="639">IF(ISNUMBER($AV73),O73,"")</f>
        <v/>
      </c>
      <c r="BH73" s="10" t="str">
        <f t="shared" ref="BH73:BH104" si="640">IF(ISNUMBER($AV73),P73,"")</f>
        <v/>
      </c>
      <c r="BI73" s="9" t="str">
        <f t="shared" si="140"/>
        <v/>
      </c>
      <c r="BJ73" s="5" t="str">
        <f t="shared" ref="BJ73:BJ104" si="641">IF(ISNUMBER($AV73),BG73+COS(RADIANS($AG73)),"")</f>
        <v/>
      </c>
      <c r="BK73" s="8" t="str">
        <f t="shared" ref="BK73:BK104" si="642">IF(ISNUMBER($AV73),BH73+SIN(RADIANS($AG73)),"")</f>
        <v/>
      </c>
      <c r="BL73" s="173" t="str">
        <f t="shared" ref="BL73:BL104" si="643">IF(ISNUMBER($AV73),BF73+SIN(RADIANS($AH73)),"")</f>
        <v/>
      </c>
      <c r="BM73" s="5" t="str">
        <f t="shared" ref="BM73:BM104" si="644">IF(ISNUMBER($AV73),BG73-SIN(RADIANS($AG73))*COS(RADIANS($AH73)),"")</f>
        <v/>
      </c>
      <c r="BN73" s="6" t="str">
        <f t="shared" ref="BN73:BN104" si="645">IF(ISNUMBER($AV73),BH73+COS(RADIANS($AG73))*COS(RADIANS($AH73)),"")</f>
        <v/>
      </c>
      <c r="BO73" s="4" t="str">
        <f t="shared" si="141"/>
        <v/>
      </c>
      <c r="BP73" s="5" t="str">
        <f t="shared" si="142"/>
        <v/>
      </c>
      <c r="BQ73" s="5" t="str">
        <f t="shared" si="143"/>
        <v/>
      </c>
      <c r="BR73" s="6" t="str">
        <f t="shared" si="144"/>
        <v/>
      </c>
      <c r="BS73" s="4" t="str">
        <f t="shared" si="554"/>
        <v/>
      </c>
      <c r="BT73" s="5" t="str">
        <f t="shared" si="554"/>
        <v/>
      </c>
      <c r="BU73" s="10" t="str">
        <f t="shared" si="111"/>
        <v/>
      </c>
      <c r="BV73" s="9" t="str">
        <f t="shared" si="112"/>
        <v/>
      </c>
      <c r="BW73" s="5" t="str">
        <f t="shared" si="113"/>
        <v/>
      </c>
      <c r="BX73" s="8" t="str">
        <f t="shared" si="114"/>
        <v/>
      </c>
      <c r="BY73" s="173" t="str">
        <f t="shared" si="115"/>
        <v/>
      </c>
      <c r="BZ73" s="5" t="str">
        <f t="shared" si="116"/>
        <v/>
      </c>
      <c r="CA73" s="6" t="str">
        <f t="shared" si="117"/>
        <v/>
      </c>
      <c r="CB73" s="4" t="str">
        <f t="shared" si="145"/>
        <v/>
      </c>
      <c r="CC73" s="5" t="str">
        <f t="shared" si="146"/>
        <v/>
      </c>
      <c r="CD73" s="5" t="str">
        <f t="shared" si="147"/>
        <v/>
      </c>
      <c r="CE73" s="6" t="str">
        <f t="shared" si="148"/>
        <v/>
      </c>
      <c r="CF73" s="4" t="str">
        <f t="shared" si="149"/>
        <v/>
      </c>
      <c r="CG73" s="5" t="str">
        <f t="shared" si="150"/>
        <v/>
      </c>
      <c r="CH73" s="5" t="str">
        <f t="shared" si="151"/>
        <v/>
      </c>
      <c r="CI73" s="4" t="str">
        <f t="shared" si="118"/>
        <v/>
      </c>
      <c r="CJ73" s="5" t="str">
        <f t="shared" si="119"/>
        <v/>
      </c>
      <c r="CK73" s="8" t="str">
        <f t="shared" si="120"/>
        <v/>
      </c>
      <c r="CL73" s="173" t="str">
        <f t="shared" si="121"/>
        <v/>
      </c>
      <c r="CM73" s="5" t="str">
        <f t="shared" si="122"/>
        <v/>
      </c>
      <c r="CN73" s="6" t="str">
        <f t="shared" si="123"/>
        <v/>
      </c>
      <c r="CO73" s="167" t="str">
        <f t="shared" ref="CO73:CO104" si="646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6"/>
        <v/>
      </c>
      <c r="CQ73" s="5" t="str">
        <f t="shared" si="237"/>
        <v/>
      </c>
      <c r="CR73" s="5" t="str">
        <f t="shared" si="152"/>
        <v/>
      </c>
      <c r="CS73" s="8" t="str">
        <f t="shared" si="153"/>
        <v/>
      </c>
      <c r="CT73" s="9" t="str">
        <f t="shared" si="154"/>
        <v/>
      </c>
      <c r="CU73" s="6" t="str">
        <f t="shared" si="155"/>
        <v/>
      </c>
      <c r="CV73" s="4" t="str">
        <f t="shared" si="238"/>
        <v/>
      </c>
      <c r="CW73" s="5" t="str">
        <f t="shared" si="156"/>
        <v/>
      </c>
      <c r="CX73" s="8" t="str">
        <f t="shared" si="157"/>
        <v/>
      </c>
      <c r="CY73" s="9" t="str">
        <f t="shared" si="158"/>
        <v/>
      </c>
      <c r="CZ73" s="5" t="str">
        <f t="shared" si="159"/>
        <v/>
      </c>
      <c r="DA73" s="6" t="str">
        <f t="shared" si="160"/>
        <v/>
      </c>
      <c r="DB73" s="4" t="str">
        <f t="shared" si="555"/>
        <v/>
      </c>
      <c r="DC73" s="5" t="str">
        <f t="shared" si="555"/>
        <v/>
      </c>
      <c r="DD73" s="10" t="str">
        <f t="shared" si="162"/>
        <v/>
      </c>
      <c r="DE73" s="9" t="str">
        <f t="shared" si="556"/>
        <v/>
      </c>
      <c r="DF73" s="5" t="str">
        <f t="shared" si="556"/>
        <v/>
      </c>
      <c r="DG73" s="10" t="str">
        <f t="shared" si="164"/>
        <v/>
      </c>
      <c r="DH73" s="70" t="str">
        <f t="shared" si="165"/>
        <v/>
      </c>
      <c r="DI73" s="4" t="str">
        <f t="shared" si="166"/>
        <v/>
      </c>
      <c r="DJ73" s="5" t="str">
        <f t="shared" si="167"/>
        <v/>
      </c>
      <c r="DK73" s="10" t="str">
        <f t="shared" si="168"/>
        <v/>
      </c>
      <c r="DL73" s="9" t="str">
        <f t="shared" si="169"/>
        <v/>
      </c>
      <c r="DM73" s="173" t="str">
        <f t="shared" si="170"/>
        <v/>
      </c>
      <c r="DN73" s="178" t="str">
        <f t="shared" si="171"/>
        <v/>
      </c>
      <c r="DO73" s="9" t="str">
        <f t="shared" si="172"/>
        <v/>
      </c>
      <c r="DP73" s="173" t="str">
        <f t="shared" si="173"/>
        <v/>
      </c>
      <c r="DQ73" s="11" t="str">
        <f t="shared" si="174"/>
        <v/>
      </c>
      <c r="DR73" s="173" t="str">
        <f t="shared" si="175"/>
        <v/>
      </c>
      <c r="DS73" s="5" t="str">
        <f t="shared" si="176"/>
        <v/>
      </c>
      <c r="DT73" s="5" t="str">
        <f t="shared" si="177"/>
        <v/>
      </c>
      <c r="DU73" s="5" t="str">
        <f t="shared" si="178"/>
        <v/>
      </c>
      <c r="DV73" s="5" t="str">
        <f t="shared" si="179"/>
        <v/>
      </c>
      <c r="DW73" s="5" t="str">
        <f t="shared" si="180"/>
        <v/>
      </c>
      <c r="DX73" s="167" t="str">
        <f t="shared" si="181"/>
        <v/>
      </c>
      <c r="DY73" s="9" t="str">
        <f t="shared" si="182"/>
        <v/>
      </c>
      <c r="DZ73" s="5" t="str">
        <f t="shared" si="183"/>
        <v/>
      </c>
      <c r="EA73" s="10" t="str">
        <f t="shared" si="184"/>
        <v/>
      </c>
      <c r="EB73" s="6" t="str">
        <f t="shared" si="185"/>
        <v/>
      </c>
      <c r="EC73" s="173" t="str">
        <f t="shared" si="186"/>
        <v/>
      </c>
      <c r="ED73" s="5" t="str">
        <f t="shared" si="187"/>
        <v/>
      </c>
      <c r="EE73" s="4" t="str">
        <f t="shared" si="188"/>
        <v/>
      </c>
      <c r="EF73" s="5" t="str">
        <f t="shared" si="189"/>
        <v/>
      </c>
      <c r="EG73" s="10" t="str">
        <f t="shared" si="190"/>
        <v/>
      </c>
      <c r="EH73" s="9" t="str">
        <f t="shared" si="191"/>
        <v/>
      </c>
      <c r="EI73" s="5" t="str">
        <f t="shared" si="192"/>
        <v/>
      </c>
      <c r="EJ73" s="6" t="str">
        <f t="shared" si="193"/>
        <v/>
      </c>
      <c r="EK73" s="236" t="str">
        <f t="shared" si="194"/>
        <v/>
      </c>
      <c r="EL73" s="238" t="str">
        <f t="shared" si="195"/>
        <v/>
      </c>
      <c r="EM73" s="4" t="str">
        <f t="shared" si="196"/>
        <v/>
      </c>
      <c r="EN73" s="5" t="str">
        <f t="shared" si="197"/>
        <v/>
      </c>
      <c r="EO73" s="10" t="str">
        <f t="shared" si="198"/>
        <v/>
      </c>
      <c r="EP73" s="9" t="str">
        <f t="shared" si="199"/>
        <v/>
      </c>
      <c r="EQ73" s="5" t="str">
        <f t="shared" si="200"/>
        <v/>
      </c>
      <c r="ER73" s="7" t="str">
        <f t="shared" si="201"/>
        <v/>
      </c>
      <c r="ES73" s="21" t="str">
        <f t="shared" ref="ES73:ES104" si="647">IF(ISNUMBER($AV73),AD73,"")</f>
        <v/>
      </c>
      <c r="ET73" s="5" t="str">
        <f t="shared" ref="ET73:ET104" si="648">IF(ISNUMBER($AV73),AE73,"")</f>
        <v/>
      </c>
      <c r="EU73" s="10" t="str">
        <f t="shared" ref="EU73:EU104" si="649">IF(ISNUMBER($AV73),AF73,"")</f>
        <v/>
      </c>
      <c r="EV73" s="174" t="str">
        <f t="shared" ref="EV73:EV104" si="650">IF(ISNUMBER($AV73),IF(($EV$1-EP73)&lt;0,(360+($EV$1-EP73)),($EV$1-EP73)),"")</f>
        <v/>
      </c>
      <c r="EW73" s="9" t="str">
        <f t="shared" ref="EW73:EW104" si="651">IF(ISNUMBER($AV73),(COS(RADIANS($EV73))*ES73)+(-SIN(RADIANS($EV73))*ET73),"")</f>
        <v/>
      </c>
      <c r="EX73" s="5" t="str">
        <f t="shared" ref="EX73:EX104" si="652">IF(ISNUMBER($AV73),(SIN(RADIANS($EV73))*ES73)+(COS(RADIANS($EV73))*ET73),"")</f>
        <v/>
      </c>
      <c r="EY73" s="6" t="str">
        <f t="shared" si="202"/>
        <v/>
      </c>
      <c r="EZ73" s="51" t="str">
        <f t="shared" si="203"/>
        <v/>
      </c>
      <c r="FA73" s="173" t="str">
        <f t="shared" ref="FA73:FA104" si="653">IF(ISNUMBER($AV73),SIN(RADIANS($EP73))*COS(RADIANS($EZ73)),"")</f>
        <v/>
      </c>
      <c r="FB73" s="5" t="str">
        <f t="shared" ref="FB73:FB104" si="654">IF(ISNUMBER($AV73),-1*COS(RADIANS($EP73))*COS(RADIANS($EZ73)),"")</f>
        <v/>
      </c>
      <c r="FC73" s="6" t="str">
        <f t="shared" ref="FC73:FC104" si="655">IF(ISNUMBER($AV73),-1*SIN(RADIANS($EZ73)),"")</f>
        <v/>
      </c>
      <c r="FD73" s="4" t="str">
        <f t="shared" ref="FD73:FD104" si="656">IF(ISNUMBER($AV73),(COS(RADIANS($EV73))*FA73)+(-SIN(RADIANS($EV73))*FB73),"")</f>
        <v/>
      </c>
      <c r="FE73" s="5" t="str">
        <f t="shared" ref="FE73:FE104" si="657">IF(ISNUMBER($AV73),(SIN(RADIANS($EV73))*FA73)+(COS(RADIANS($EV73))*FB73),"")</f>
        <v/>
      </c>
      <c r="FF73" s="7" t="str">
        <f t="shared" si="204"/>
        <v/>
      </c>
      <c r="FG73" s="173" t="str">
        <f t="shared" ref="FG73:FG104" si="658">IF(ISNUMBER($AV73),EW73-FD73,"")</f>
        <v/>
      </c>
      <c r="FH73" s="5" t="str">
        <f t="shared" ref="FH73:FH104" si="659">IF(ISNUMBER($AV73),EX73-FE73,"")</f>
        <v/>
      </c>
      <c r="FI73" s="10" t="str">
        <f t="shared" ref="FI73:FI104" si="660">IF(ISNUMBER($AV73),EY73-FF73,"")</f>
        <v/>
      </c>
      <c r="FJ73" s="279" t="str">
        <f t="shared" si="206"/>
        <v/>
      </c>
      <c r="FK73" s="4" t="str">
        <f t="shared" ref="FK73:FK104" si="661">IF(ISNUMBER($AV73),SQRT(ES73^2+ET73^2),"")</f>
        <v/>
      </c>
      <c r="FL73" s="5" t="str">
        <f t="shared" si="207"/>
        <v/>
      </c>
      <c r="FM73" s="8" t="str">
        <f t="shared" si="208"/>
        <v/>
      </c>
      <c r="FN73" s="9" t="str">
        <f t="shared" si="209"/>
        <v/>
      </c>
      <c r="FO73" s="10" t="str">
        <f t="shared" ref="FO73:FO104" si="6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39"/>
        <v/>
      </c>
      <c r="FR73" s="10" t="str">
        <f t="shared" si="210"/>
        <v/>
      </c>
      <c r="FS73" s="9" t="str">
        <f t="shared" si="211"/>
        <v/>
      </c>
      <c r="FT73" s="6" t="str">
        <f t="shared" si="212"/>
        <v/>
      </c>
      <c r="FU73" s="4" t="str">
        <f t="shared" si="213"/>
        <v/>
      </c>
      <c r="FV73" s="5" t="str">
        <f t="shared" si="214"/>
        <v/>
      </c>
      <c r="FW73" s="8" t="str">
        <f t="shared" si="240"/>
        <v/>
      </c>
      <c r="FX73" s="9" t="str">
        <f t="shared" si="241"/>
        <v/>
      </c>
      <c r="FY73" s="10" t="str">
        <f t="shared" ref="FY73:FY104" si="663">IF(ISNUMBER($AV73),IF(EU73&lt;FC73,1,-1),"")</f>
        <v/>
      </c>
      <c r="FZ73" s="277" t="str">
        <f t="shared" si="242"/>
        <v/>
      </c>
      <c r="GA73" s="177" t="str">
        <f t="shared" si="215"/>
        <v/>
      </c>
      <c r="GB73" s="4" t="str">
        <f t="shared" si="216"/>
        <v/>
      </c>
      <c r="GC73" s="5" t="str">
        <f t="shared" si="217"/>
        <v/>
      </c>
      <c r="GD73" s="10" t="str">
        <f t="shared" si="218"/>
        <v/>
      </c>
      <c r="GE73" s="311" t="str">
        <f t="shared" si="219"/>
        <v/>
      </c>
      <c r="GF73" s="341" t="str">
        <f t="shared" si="243"/>
        <v/>
      </c>
      <c r="GG73" s="285" t="str">
        <f t="shared" ref="GG73:GG104" si="664">IF(ISNUMBER($AV73),ABS(GB73)/(ABS($GB73)+ABS($GC73)+ABS($GD73)),"")</f>
        <v/>
      </c>
      <c r="GH73" s="286" t="str">
        <f t="shared" ref="GH73:GH104" si="665">IF(ISNUMBER($AV73),ABS(GC73)/(ABS($GB73)+ABS($GC73)+ABS($GD73)),"")</f>
        <v/>
      </c>
      <c r="GI73" s="281" t="str">
        <f t="shared" ref="GI73:GI104" si="666">IF(ISNUMBER($AV73),ABS(GD73)/(ABS($GB73)+ABS($GC73)+ABS($GD73)),"")</f>
        <v/>
      </c>
      <c r="GJ73" s="167" t="str">
        <f t="shared" si="220"/>
        <v/>
      </c>
      <c r="GK73" s="174" t="str">
        <f t="shared" ref="GK73:GK104" si="667">IF(ISNUMBER($AV73),SQRT((2*PI()*$GJ73)^2+$AS$5^2)/12,"")</f>
        <v/>
      </c>
      <c r="GL73" s="174" t="str">
        <f t="shared" si="221"/>
        <v/>
      </c>
      <c r="GM73" s="177" t="str">
        <f t="shared" si="244"/>
        <v/>
      </c>
      <c r="GN73" s="280" t="str">
        <f t="shared" si="222"/>
        <v/>
      </c>
      <c r="GO73" s="4" t="str">
        <f t="shared" si="223"/>
        <v/>
      </c>
      <c r="GP73" s="8" t="str">
        <f t="shared" si="245"/>
        <v/>
      </c>
      <c r="GQ73" s="177" t="str">
        <f t="shared" si="224"/>
        <v/>
      </c>
      <c r="GR73" s="371" t="str">
        <f t="shared" si="246"/>
        <v/>
      </c>
      <c r="GS73" s="342" t="str">
        <f t="shared" ref="GS73:GS104" si="668">IF(ISNUMBER($AV73),GU73/GH73*GG73,"")</f>
        <v/>
      </c>
      <c r="GT73" s="343" t="str">
        <f t="shared" ref="GT73:GT104" si="669">IF(ISNUMBER($AV73),GS73/$GK73,"")</f>
        <v/>
      </c>
      <c r="GU73" s="344" t="str">
        <f t="shared" ref="GU73:GU104" si="670">IF(ISNUMBER($AV73),$GV73*$GK73,"")</f>
        <v/>
      </c>
      <c r="GV73" s="343" t="str">
        <f t="shared" si="253"/>
        <v/>
      </c>
      <c r="GW73" s="345" t="str">
        <f t="shared" ref="GW73:GW104" si="671">IF(ISNUMBER($AV73),$GW$2,"")</f>
        <v/>
      </c>
      <c r="GX73" s="346" t="str">
        <f t="shared" ref="GX73:GX104" si="672">IF(ISNUMBER($AV73),($GJ73/12)*$GV73,"")</f>
        <v/>
      </c>
      <c r="GY73" s="344" t="str">
        <f t="shared" ref="GY73:GY104" si="673">IF(ISNUMBER($AV73),GU73/GH73*GI73,"")</f>
        <v/>
      </c>
      <c r="GZ73" s="345" t="str">
        <f t="shared" ref="GZ73:GZ104" si="674">IF(ISNUMBER($AV73),GY73/$GK73,"")</f>
        <v/>
      </c>
      <c r="HA73" s="342" t="str">
        <f t="shared" ref="HA73:HA104" si="675">IF(ISNUMBER($AV73),$FO73*$GS73,"")</f>
        <v/>
      </c>
      <c r="HB73" s="5" t="str">
        <f t="shared" si="225"/>
        <v/>
      </c>
      <c r="HC73" s="343" t="str">
        <f t="shared" si="226"/>
        <v/>
      </c>
      <c r="HD73" s="363" t="str">
        <f t="shared" si="227"/>
        <v/>
      </c>
      <c r="HE73" s="344" t="str">
        <f t="shared" ref="HE73:HE104" si="676">IF(ISNUMBER($AV73),$FY73*$GV73,"")</f>
        <v/>
      </c>
      <c r="HF73" s="5" t="str">
        <f t="shared" ref="HF73:HF104" si="677">IF(ISNUMBER($AV73),IF(($HB73+90)&lt;0,(360+($HB73+90)),($HB73+90)),"")</f>
        <v/>
      </c>
      <c r="HG73" s="343" t="str">
        <f t="shared" si="228"/>
        <v/>
      </c>
      <c r="HH73" s="349" t="str">
        <f t="shared" si="229"/>
        <v/>
      </c>
      <c r="HI73" s="317" t="str">
        <f t="shared" ref="HI73:HI104" si="678">IF(ISNUMBER($AV73),$M73,"")</f>
        <v/>
      </c>
      <c r="HK73" s="310" t="str">
        <f t="shared" si="506"/>
        <v/>
      </c>
      <c r="HL73" s="348" t="str">
        <f t="shared" ref="HL73:HL104" si="679">IF(ISNUMBER($HS73),INDEX(HI$9:HI$150,MATCH($HS73,$GJ$9:$GJ$150,0)),"")</f>
        <v/>
      </c>
      <c r="HM73" s="935" t="str">
        <f t="shared" ref="HM73:HM104" si="680">IF(ISNUMBER($HL73),INDEX(GO$9:GO$150,MATCH($HL73,$AV$9:$AV$150,0)),"")</f>
        <v/>
      </c>
      <c r="HN73" s="936" t="str">
        <f t="shared" ref="HN73:HN104" si="681">IF(ISNUMBER($HL73),INDEX(AO$9:AO$150,MATCH($HL73,$AV$9:$AV$150,0)),"")</f>
        <v/>
      </c>
      <c r="HO73" s="937"/>
      <c r="HP73" s="938"/>
      <c r="HQ73" s="936" t="str">
        <f t="shared" ref="HQ73:HQ104" si="682">IF(ISNUMBER($HL73),INDEX(GQ$9:GQ$150,MATCH($HL73,$AV$9:$AV$150,0)),"")</f>
        <v/>
      </c>
      <c r="HR73" s="939" t="str">
        <f t="shared" ref="HR73:HR104" si="683">IF(ISNUMBER($HL73),INDEX(GP$9:GP$150,MATCH($HL73,$AV$9:$AV$150,0)),"")</f>
        <v/>
      </c>
      <c r="HS73" s="940" t="str">
        <f t="shared" si="507"/>
        <v/>
      </c>
      <c r="HT73" s="941" t="str">
        <f t="shared" ref="HT73:HT104" si="684">IF(ISNUMBER($HL73),INDEX(GL$9:GL$150,MATCH($HL73,$AV$9:$AV$150,0)),"")</f>
        <v/>
      </c>
      <c r="HU73" s="942" t="str">
        <f t="shared" ref="HU73:HU104" si="685">IF(ISNUMBER($HL73),INDEX(GM$9:GM$150,MATCH($HL73,$AV$9:$AV$150,0)),"")</f>
        <v/>
      </c>
      <c r="HV73" s="943" t="str">
        <f t="shared" ref="HV73:HV104" si="686">IF(ISNUMBER($HL73),INDEX(GN$9:GN$150,MATCH($HL73,$AV$9:$AV$150,0)),"")</f>
        <v/>
      </c>
      <c r="HW73" s="944" t="str">
        <f t="shared" ref="HW73:HW104" si="687">IF(ISNUMBER($HL73),INDEX(GW$9:GW$150,MATCH($HL73,$AV$9:$AV$150,0)),"")</f>
        <v/>
      </c>
      <c r="HX73" s="947" t="str">
        <f t="shared" ref="HX73:HX104" si="688">IF(ISNUMBER($HL73),INDEX(GX$9:GX$150,MATCH($HL73,$AV$9:$AV$150,0)),"")</f>
        <v/>
      </c>
      <c r="HY73" s="952" t="str">
        <f t="shared" ref="HY73:HY104" si="689">IF(ISNUMBER($HL73),INDEX(GS$9:GS$150,MATCH($HL73,$AV$9:$AV$150,0)),"")</f>
        <v/>
      </c>
      <c r="HZ73" s="953" t="str">
        <f t="shared" ref="HZ73:HZ104" si="690">IF(ISNUMBER($HL73),INDEX(GU$9:GU$150,MATCH($HL73,$AV$9:$AV$150,0)),"")</f>
        <v/>
      </c>
      <c r="IA73" s="954" t="str">
        <f t="shared" ref="IA73:IA104" si="691">IF(ISNUMBER($HL73),INDEX(GY$9:GY$150,MATCH($HL73,$AV$9:$AV$150,0)),"")</f>
        <v/>
      </c>
      <c r="IB73" s="955" t="str">
        <f t="shared" ref="IB73:IB104" si="692">IF(ISNUMBER($HL73),INDEX(GR$9:GR$150,MATCH($HL73,$AV$9:$AV$150,0)),"")</f>
        <v/>
      </c>
      <c r="IC73" s="842" t="str">
        <f t="shared" ref="IC73:IC104" si="693">IF(ISNUMBER($HL73),INDEX(GT$9:GT$150,MATCH($HL73,$AV$9:$AV$150,0)),"")</f>
        <v/>
      </c>
      <c r="ID73" s="351" t="str">
        <f t="shared" ref="ID73:ID104" si="694">IF(ISNUMBER($HL73),INDEX(GV$9:GV$150,MATCH($HL73,$AV$9:$AV$150,0)),"")</f>
        <v/>
      </c>
      <c r="IE73" s="844" t="str">
        <f t="shared" ref="IE73:IE104" si="695">IF(ISNUMBER($HL73),INDEX(GZ$9:GZ$150,MATCH($HL73,$AV$9:$AV$150,0)),"")</f>
        <v/>
      </c>
      <c r="IF73" s="845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0"/>
        <v/>
      </c>
      <c r="IJ73" s="96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696">IF(ISNUMBER($IK73),INDEX($K$9:$K$150,MATCH($IK73,$M$9:$M$150,0)),$K73)</f>
        <v/>
      </c>
      <c r="IM73" s="482" t="str">
        <f t="shared" si="231"/>
        <v/>
      </c>
      <c r="IN73" s="670" t="str">
        <f t="shared" ref="IN73:IN104" si="6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698">IF(ISNUMBER($IK73),(($IQ73*12)/60)/$AS$3,"")</f>
        <v/>
      </c>
      <c r="IQ73" s="714"/>
      <c r="IR73" s="9" t="str">
        <f t="shared" ref="IR73:IR104" si="699">IF(ISNUMBER($IK73),(INDEX($X$9:$X$150,MATCH($IK73,$M$9:$M$150,0))*-1),"")</f>
        <v/>
      </c>
      <c r="IS73" s="5" t="str">
        <f t="shared" ref="IS73:IS104" si="700">IF(ISNUMBER($IK73),INDEX($Y$9:$Y$150,MATCH($IK73,$M$9:$M$150,0)),"")</f>
        <v/>
      </c>
      <c r="IT73" s="5" t="str">
        <f t="shared" ref="IT73:IT104" si="701">IF(ISNUMBER($IK73),INDEX($H$9:$H$150,MATCH($IK73,$M$9:$M$150,0)),"")</f>
        <v/>
      </c>
      <c r="IU73" s="5" t="str">
        <f t="shared" ref="IU73:IU104" si="702">IF(ISNUMBER($IK73),$IT73*COS(RADIANS(INDEX($AO$9:$AO$150,MATCH($IK73,$M$9:$M$150,0)))),"")</f>
        <v/>
      </c>
      <c r="IV73" s="670" t="str">
        <f t="shared" ref="IV73:IV104" si="703">IF(ISNUMBER($IK73),(-1*INDEX($AN$9:$AN$150,MATCH($IK73,$M$9:$M$150,0))),"")</f>
        <v/>
      </c>
      <c r="IW73" s="9" t="str">
        <f t="shared" ref="IW73:IW104" si="704">IF(ISNUMBER($IK73),-$X73,"")</f>
        <v/>
      </c>
      <c r="IX73" s="5" t="str">
        <f t="shared" ref="IX73:IX104" si="705">IF(ISNUMBER($IK73),$Y73,"")</f>
        <v/>
      </c>
      <c r="IY73" s="5" t="str">
        <f t="shared" ref="IY73:IY104" si="706">IF(ISNUMBER($IK73),$H73,"")</f>
        <v/>
      </c>
      <c r="IZ73" s="5" t="str">
        <f t="shared" ref="IZ73:IZ104" si="707">IF(ISNUMBER($IK73),$IY73*COS(RADIANS($AO73)),"")</f>
        <v/>
      </c>
      <c r="JA73" s="705" t="str">
        <f t="shared" ref="JA73:JA104" si="708">IF(ISNUMBER($IK73),(-1*$AN73),"")</f>
        <v/>
      </c>
    </row>
    <row r="74" spans="1:261" ht="15" customHeight="1" x14ac:dyDescent="0.25">
      <c r="A74" s="75" t="str">
        <f t="shared" si="623"/>
        <v/>
      </c>
      <c r="B74" s="578" t="str">
        <f t="shared" ref="B74:D74" si="709">IFERROR(O229+($A74*-E74),"")</f>
        <v/>
      </c>
      <c r="C74" s="572" t="str">
        <f t="shared" si="709"/>
        <v/>
      </c>
      <c r="D74" s="576" t="str">
        <f t="shared" si="709"/>
        <v/>
      </c>
      <c r="E74" s="580" t="str">
        <f t="shared" ref="E74:K74" si="710">R229</f>
        <v/>
      </c>
      <c r="F74" s="572" t="str">
        <f t="shared" si="710"/>
        <v/>
      </c>
      <c r="G74" s="579" t="str">
        <f t="shared" si="710"/>
        <v/>
      </c>
      <c r="H74" s="580" t="str">
        <f t="shared" si="710"/>
        <v/>
      </c>
      <c r="I74" s="572" t="str">
        <f t="shared" si="710"/>
        <v/>
      </c>
      <c r="J74" s="483" t="str">
        <f t="shared" ref="J74:J137" si="711">IF(W229=0,"",W229)</f>
        <v/>
      </c>
      <c r="K74" s="806" t="str">
        <f t="shared" si="710"/>
        <v/>
      </c>
      <c r="L74" s="309"/>
      <c r="M74" s="164" t="str">
        <f t="shared" si="626"/>
        <v/>
      </c>
      <c r="N74" s="575" t="str">
        <f t="shared" si="627"/>
        <v/>
      </c>
      <c r="O74" s="572" t="str">
        <f t="shared" si="628"/>
        <v/>
      </c>
      <c r="P74" s="576" t="str">
        <f t="shared" si="629"/>
        <v/>
      </c>
      <c r="Q74" s="528" t="str">
        <f t="shared" ref="Q74:Q129" si="712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6"/>
        <v/>
      </c>
      <c r="X74" s="572" t="str">
        <f>IF(M74="","",R74)</f>
        <v/>
      </c>
      <c r="Y74" s="573" t="str">
        <f t="shared" si="259"/>
        <v/>
      </c>
      <c r="Z74" s="575" t="str">
        <f t="shared" si="630"/>
        <v/>
      </c>
      <c r="AA74" s="572" t="str">
        <f t="shared" si="631"/>
        <v/>
      </c>
      <c r="AB74" s="572" t="str">
        <f t="shared" si="6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90"/>
        <v/>
      </c>
      <c r="AP74" s="528" t="str">
        <f>IF(M74="","",DEGREES(ATAN2(AK74,AL74)))</f>
        <v/>
      </c>
      <c r="AQ74" s="529" t="str">
        <f t="shared" si="633"/>
        <v/>
      </c>
      <c r="AS74" s="900" t="str">
        <f t="shared" si="510"/>
        <v/>
      </c>
      <c r="AT74" s="896" t="str">
        <f t="shared" si="634"/>
        <v/>
      </c>
      <c r="AU74" s="418"/>
      <c r="AV74" s="164" t="str">
        <f t="shared" si="6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8"/>
        <v/>
      </c>
      <c r="BA74" s="296" t="str">
        <f t="shared" si="636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7"/>
        <v/>
      </c>
      <c r="BF74" s="4" t="str">
        <f t="shared" si="638"/>
        <v/>
      </c>
      <c r="BG74" s="5" t="str">
        <f t="shared" si="639"/>
        <v/>
      </c>
      <c r="BH74" s="10" t="str">
        <f t="shared" si="640"/>
        <v/>
      </c>
      <c r="BI74" s="9" t="str">
        <f t="shared" si="140"/>
        <v/>
      </c>
      <c r="BJ74" s="5" t="str">
        <f t="shared" si="641"/>
        <v/>
      </c>
      <c r="BK74" s="8" t="str">
        <f t="shared" si="642"/>
        <v/>
      </c>
      <c r="BL74" s="173" t="str">
        <f t="shared" si="643"/>
        <v/>
      </c>
      <c r="BM74" s="5" t="str">
        <f t="shared" si="644"/>
        <v/>
      </c>
      <c r="BN74" s="6" t="str">
        <f t="shared" si="645"/>
        <v/>
      </c>
      <c r="BO74" s="4" t="str">
        <f t="shared" si="141"/>
        <v/>
      </c>
      <c r="BP74" s="5" t="str">
        <f t="shared" si="142"/>
        <v/>
      </c>
      <c r="BQ74" s="5" t="str">
        <f t="shared" si="143"/>
        <v/>
      </c>
      <c r="BR74" s="6" t="str">
        <f t="shared" si="144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5"/>
        <v/>
      </c>
      <c r="CC74" s="5" t="str">
        <f t="shared" si="146"/>
        <v/>
      </c>
      <c r="CD74" s="5" t="str">
        <f t="shared" si="147"/>
        <v/>
      </c>
      <c r="CE74" s="6" t="str">
        <f t="shared" si="148"/>
        <v/>
      </c>
      <c r="CF74" s="4" t="str">
        <f t="shared" si="149"/>
        <v/>
      </c>
      <c r="CG74" s="5" t="str">
        <f t="shared" si="150"/>
        <v/>
      </c>
      <c r="CH74" s="5" t="str">
        <f t="shared" si="151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6"/>
        <v/>
      </c>
      <c r="CP74" s="4" t="str">
        <f t="shared" si="236"/>
        <v/>
      </c>
      <c r="CQ74" s="5" t="str">
        <f t="shared" si="237"/>
        <v/>
      </c>
      <c r="CR74" s="5" t="str">
        <f t="shared" si="152"/>
        <v/>
      </c>
      <c r="CS74" s="8" t="str">
        <f t="shared" si="153"/>
        <v/>
      </c>
      <c r="CT74" s="9" t="str">
        <f t="shared" si="154"/>
        <v/>
      </c>
      <c r="CU74" s="6" t="str">
        <f t="shared" si="155"/>
        <v/>
      </c>
      <c r="CV74" s="4" t="str">
        <f t="shared" si="238"/>
        <v/>
      </c>
      <c r="CW74" s="5" t="str">
        <f t="shared" si="156"/>
        <v/>
      </c>
      <c r="CX74" s="8" t="str">
        <f t="shared" si="157"/>
        <v/>
      </c>
      <c r="CY74" s="9" t="str">
        <f t="shared" si="158"/>
        <v/>
      </c>
      <c r="CZ74" s="5" t="str">
        <f t="shared" si="159"/>
        <v/>
      </c>
      <c r="DA74" s="6" t="str">
        <f t="shared" si="160"/>
        <v/>
      </c>
      <c r="DB74" s="4" t="str">
        <f t="shared" si="555"/>
        <v/>
      </c>
      <c r="DC74" s="5" t="str">
        <f t="shared" si="555"/>
        <v/>
      </c>
      <c r="DD74" s="10" t="str">
        <f t="shared" si="162"/>
        <v/>
      </c>
      <c r="DE74" s="9" t="str">
        <f t="shared" si="556"/>
        <v/>
      </c>
      <c r="DF74" s="5" t="str">
        <f t="shared" si="556"/>
        <v/>
      </c>
      <c r="DG74" s="10" t="str">
        <f t="shared" si="164"/>
        <v/>
      </c>
      <c r="DH74" s="70" t="str">
        <f t="shared" si="165"/>
        <v/>
      </c>
      <c r="DI74" s="4" t="str">
        <f t="shared" si="166"/>
        <v/>
      </c>
      <c r="DJ74" s="5" t="str">
        <f t="shared" si="167"/>
        <v/>
      </c>
      <c r="DK74" s="10" t="str">
        <f t="shared" si="168"/>
        <v/>
      </c>
      <c r="DL74" s="9" t="str">
        <f t="shared" si="169"/>
        <v/>
      </c>
      <c r="DM74" s="173" t="str">
        <f t="shared" si="170"/>
        <v/>
      </c>
      <c r="DN74" s="178" t="str">
        <f t="shared" si="171"/>
        <v/>
      </c>
      <c r="DO74" s="9" t="str">
        <f t="shared" si="172"/>
        <v/>
      </c>
      <c r="DP74" s="173" t="str">
        <f t="shared" si="173"/>
        <v/>
      </c>
      <c r="DQ74" s="11" t="str">
        <f t="shared" si="174"/>
        <v/>
      </c>
      <c r="DR74" s="173" t="str">
        <f t="shared" si="175"/>
        <v/>
      </c>
      <c r="DS74" s="5" t="str">
        <f t="shared" si="176"/>
        <v/>
      </c>
      <c r="DT74" s="5" t="str">
        <f t="shared" si="177"/>
        <v/>
      </c>
      <c r="DU74" s="5" t="str">
        <f t="shared" si="178"/>
        <v/>
      </c>
      <c r="DV74" s="5" t="str">
        <f t="shared" si="179"/>
        <v/>
      </c>
      <c r="DW74" s="5" t="str">
        <f t="shared" si="180"/>
        <v/>
      </c>
      <c r="DX74" s="167" t="str">
        <f t="shared" si="181"/>
        <v/>
      </c>
      <c r="DY74" s="9" t="str">
        <f t="shared" si="182"/>
        <v/>
      </c>
      <c r="DZ74" s="5" t="str">
        <f t="shared" si="183"/>
        <v/>
      </c>
      <c r="EA74" s="10" t="str">
        <f t="shared" si="184"/>
        <v/>
      </c>
      <c r="EB74" s="6" t="str">
        <f t="shared" si="185"/>
        <v/>
      </c>
      <c r="EC74" s="173" t="str">
        <f t="shared" si="186"/>
        <v/>
      </c>
      <c r="ED74" s="5" t="str">
        <f t="shared" si="187"/>
        <v/>
      </c>
      <c r="EE74" s="4" t="str">
        <f t="shared" si="188"/>
        <v/>
      </c>
      <c r="EF74" s="5" t="str">
        <f t="shared" si="189"/>
        <v/>
      </c>
      <c r="EG74" s="10" t="str">
        <f t="shared" si="190"/>
        <v/>
      </c>
      <c r="EH74" s="9" t="str">
        <f t="shared" si="191"/>
        <v/>
      </c>
      <c r="EI74" s="5" t="str">
        <f t="shared" si="192"/>
        <v/>
      </c>
      <c r="EJ74" s="6" t="str">
        <f t="shared" si="193"/>
        <v/>
      </c>
      <c r="EK74" s="236" t="str">
        <f t="shared" si="194"/>
        <v/>
      </c>
      <c r="EL74" s="238" t="str">
        <f t="shared" si="195"/>
        <v/>
      </c>
      <c r="EM74" s="4" t="str">
        <f t="shared" si="196"/>
        <v/>
      </c>
      <c r="EN74" s="5" t="str">
        <f t="shared" si="197"/>
        <v/>
      </c>
      <c r="EO74" s="10" t="str">
        <f t="shared" si="198"/>
        <v/>
      </c>
      <c r="EP74" s="9" t="str">
        <f t="shared" si="199"/>
        <v/>
      </c>
      <c r="EQ74" s="5" t="str">
        <f t="shared" si="200"/>
        <v/>
      </c>
      <c r="ER74" s="7" t="str">
        <f t="shared" si="201"/>
        <v/>
      </c>
      <c r="ES74" s="21" t="str">
        <f t="shared" si="647"/>
        <v/>
      </c>
      <c r="ET74" s="5" t="str">
        <f t="shared" si="648"/>
        <v/>
      </c>
      <c r="EU74" s="10" t="str">
        <f t="shared" si="649"/>
        <v/>
      </c>
      <c r="EV74" s="174" t="str">
        <f t="shared" si="650"/>
        <v/>
      </c>
      <c r="EW74" s="9" t="str">
        <f t="shared" si="651"/>
        <v/>
      </c>
      <c r="EX74" s="5" t="str">
        <f t="shared" si="652"/>
        <v/>
      </c>
      <c r="EY74" s="6" t="str">
        <f t="shared" si="202"/>
        <v/>
      </c>
      <c r="EZ74" s="51" t="str">
        <f t="shared" si="203"/>
        <v/>
      </c>
      <c r="FA74" s="173" t="str">
        <f t="shared" si="653"/>
        <v/>
      </c>
      <c r="FB74" s="5" t="str">
        <f t="shared" si="654"/>
        <v/>
      </c>
      <c r="FC74" s="6" t="str">
        <f t="shared" si="655"/>
        <v/>
      </c>
      <c r="FD74" s="4" t="str">
        <f t="shared" si="656"/>
        <v/>
      </c>
      <c r="FE74" s="5" t="str">
        <f t="shared" si="657"/>
        <v/>
      </c>
      <c r="FF74" s="7" t="str">
        <f t="shared" si="204"/>
        <v/>
      </c>
      <c r="FG74" s="173" t="str">
        <f t="shared" si="658"/>
        <v/>
      </c>
      <c r="FH74" s="5" t="str">
        <f t="shared" si="659"/>
        <v/>
      </c>
      <c r="FI74" s="10" t="str">
        <f t="shared" si="660"/>
        <v/>
      </c>
      <c r="FJ74" s="279" t="str">
        <f t="shared" si="206"/>
        <v/>
      </c>
      <c r="FK74" s="4" t="str">
        <f t="shared" si="661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2"/>
        <v/>
      </c>
      <c r="FP74" s="277" t="str">
        <f t="shared" ref="FP74:FP129" si="732">IF(ISNUMBER($AV74),FN74*FO74,"")</f>
        <v/>
      </c>
      <c r="FQ74" s="173" t="str">
        <f t="shared" si="239"/>
        <v/>
      </c>
      <c r="FR74" s="10" t="str">
        <f t="shared" si="210"/>
        <v/>
      </c>
      <c r="FS74" s="9" t="str">
        <f t="shared" si="211"/>
        <v/>
      </c>
      <c r="FT74" s="6" t="str">
        <f t="shared" si="212"/>
        <v/>
      </c>
      <c r="FU74" s="4" t="str">
        <f t="shared" si="213"/>
        <v/>
      </c>
      <c r="FV74" s="5" t="str">
        <f t="shared" si="214"/>
        <v/>
      </c>
      <c r="FW74" s="8" t="str">
        <f t="shared" si="240"/>
        <v/>
      </c>
      <c r="FX74" s="9" t="str">
        <f t="shared" si="241"/>
        <v/>
      </c>
      <c r="FY74" s="10" t="str">
        <f t="shared" si="663"/>
        <v/>
      </c>
      <c r="FZ74" s="277" t="str">
        <f t="shared" si="242"/>
        <v/>
      </c>
      <c r="GA74" s="177" t="str">
        <f t="shared" si="215"/>
        <v/>
      </c>
      <c r="GB74" s="4" t="str">
        <f t="shared" si="216"/>
        <v/>
      </c>
      <c r="GC74" s="5" t="str">
        <f t="shared" si="217"/>
        <v/>
      </c>
      <c r="GD74" s="10" t="str">
        <f t="shared" si="218"/>
        <v/>
      </c>
      <c r="GE74" s="311" t="str">
        <f t="shared" si="219"/>
        <v/>
      </c>
      <c r="GF74" s="341" t="str">
        <f t="shared" si="243"/>
        <v/>
      </c>
      <c r="GG74" s="285" t="str">
        <f t="shared" si="664"/>
        <v/>
      </c>
      <c r="GH74" s="286" t="str">
        <f t="shared" si="665"/>
        <v/>
      </c>
      <c r="GI74" s="281" t="str">
        <f t="shared" si="666"/>
        <v/>
      </c>
      <c r="GJ74" s="167" t="str">
        <f t="shared" si="220"/>
        <v/>
      </c>
      <c r="GK74" s="174" t="str">
        <f t="shared" si="667"/>
        <v/>
      </c>
      <c r="GL74" s="174" t="str">
        <f t="shared" si="221"/>
        <v/>
      </c>
      <c r="GM74" s="177" t="str">
        <f t="shared" si="244"/>
        <v/>
      </c>
      <c r="GN74" s="280" t="str">
        <f t="shared" si="222"/>
        <v/>
      </c>
      <c r="GO74" s="4" t="str">
        <f t="shared" si="223"/>
        <v/>
      </c>
      <c r="GP74" s="8" t="str">
        <f t="shared" si="245"/>
        <v/>
      </c>
      <c r="GQ74" s="177" t="str">
        <f t="shared" si="224"/>
        <v/>
      </c>
      <c r="GR74" s="371" t="str">
        <f t="shared" si="246"/>
        <v/>
      </c>
      <c r="GS74" s="342" t="str">
        <f t="shared" si="668"/>
        <v/>
      </c>
      <c r="GT74" s="343" t="str">
        <f t="shared" si="669"/>
        <v/>
      </c>
      <c r="GU74" s="344" t="str">
        <f t="shared" si="670"/>
        <v/>
      </c>
      <c r="GV74" s="343" t="str">
        <f t="shared" si="253"/>
        <v/>
      </c>
      <c r="GW74" s="345" t="str">
        <f t="shared" si="671"/>
        <v/>
      </c>
      <c r="GX74" s="346" t="str">
        <f t="shared" si="672"/>
        <v/>
      </c>
      <c r="GY74" s="344" t="str">
        <f t="shared" si="673"/>
        <v/>
      </c>
      <c r="GZ74" s="345" t="str">
        <f t="shared" si="674"/>
        <v/>
      </c>
      <c r="HA74" s="342" t="str">
        <f t="shared" si="675"/>
        <v/>
      </c>
      <c r="HB74" s="5" t="str">
        <f t="shared" si="225"/>
        <v/>
      </c>
      <c r="HC74" s="343" t="str">
        <f t="shared" si="226"/>
        <v/>
      </c>
      <c r="HD74" s="363" t="str">
        <f t="shared" si="227"/>
        <v/>
      </c>
      <c r="HE74" s="344" t="str">
        <f t="shared" si="676"/>
        <v/>
      </c>
      <c r="HF74" s="5" t="str">
        <f t="shared" si="677"/>
        <v/>
      </c>
      <c r="HG74" s="343" t="str">
        <f t="shared" si="228"/>
        <v/>
      </c>
      <c r="HH74" s="349" t="str">
        <f t="shared" si="229"/>
        <v/>
      </c>
      <c r="HI74" s="317" t="str">
        <f t="shared" si="678"/>
        <v/>
      </c>
      <c r="HK74" s="310" t="str">
        <f t="shared" ref="HK74:HK105" si="733">IF(ISNUMBER(HS74),HK73+1,"")</f>
        <v/>
      </c>
      <c r="HL74" s="348" t="str">
        <f t="shared" si="679"/>
        <v/>
      </c>
      <c r="HM74" s="935" t="str">
        <f t="shared" si="680"/>
        <v/>
      </c>
      <c r="HN74" s="936" t="str">
        <f t="shared" si="681"/>
        <v/>
      </c>
      <c r="HO74" s="937"/>
      <c r="HP74" s="938"/>
      <c r="HQ74" s="936" t="str">
        <f t="shared" si="682"/>
        <v/>
      </c>
      <c r="HR74" s="939" t="str">
        <f t="shared" si="683"/>
        <v/>
      </c>
      <c r="HS74" s="940" t="str">
        <f t="shared" ref="HS74:HS105" si="734">IFERROR(SMALL($GJ$9:$GJ$150,($HK73+1)),"")</f>
        <v/>
      </c>
      <c r="HT74" s="941" t="str">
        <f t="shared" si="684"/>
        <v/>
      </c>
      <c r="HU74" s="942" t="str">
        <f t="shared" si="685"/>
        <v/>
      </c>
      <c r="HV74" s="943" t="str">
        <f t="shared" si="686"/>
        <v/>
      </c>
      <c r="HW74" s="944" t="str">
        <f t="shared" si="687"/>
        <v/>
      </c>
      <c r="HX74" s="947" t="str">
        <f t="shared" si="688"/>
        <v/>
      </c>
      <c r="HY74" s="952" t="str">
        <f t="shared" si="689"/>
        <v/>
      </c>
      <c r="HZ74" s="953" t="str">
        <f t="shared" si="690"/>
        <v/>
      </c>
      <c r="IA74" s="954" t="str">
        <f t="shared" si="691"/>
        <v/>
      </c>
      <c r="IB74" s="955" t="str">
        <f t="shared" si="692"/>
        <v/>
      </c>
      <c r="IC74" s="842" t="str">
        <f t="shared" si="693"/>
        <v/>
      </c>
      <c r="ID74" s="351" t="str">
        <f t="shared" si="694"/>
        <v/>
      </c>
      <c r="IE74" s="844" t="str">
        <f t="shared" si="695"/>
        <v/>
      </c>
      <c r="IF74" s="845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0"/>
        <v/>
      </c>
      <c r="IJ74" s="96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696"/>
        <v/>
      </c>
      <c r="IM74" s="482" t="str">
        <f t="shared" si="231"/>
        <v/>
      </c>
      <c r="IN74" s="670" t="str">
        <f t="shared" si="697"/>
        <v/>
      </c>
      <c r="IO74" s="702"/>
      <c r="IP74" s="5" t="str">
        <f t="shared" si="698"/>
        <v/>
      </c>
      <c r="IQ74" s="714"/>
      <c r="IR74" s="9" t="str">
        <f t="shared" si="699"/>
        <v/>
      </c>
      <c r="IS74" s="5" t="str">
        <f t="shared" si="700"/>
        <v/>
      </c>
      <c r="IT74" s="5" t="str">
        <f t="shared" si="701"/>
        <v/>
      </c>
      <c r="IU74" s="5" t="str">
        <f t="shared" si="702"/>
        <v/>
      </c>
      <c r="IV74" s="670" t="str">
        <f t="shared" si="703"/>
        <v/>
      </c>
      <c r="IW74" s="9" t="str">
        <f t="shared" si="704"/>
        <v/>
      </c>
      <c r="IX74" s="5" t="str">
        <f t="shared" si="705"/>
        <v/>
      </c>
      <c r="IY74" s="5" t="str">
        <f t="shared" si="706"/>
        <v/>
      </c>
      <c r="IZ74" s="5" t="str">
        <f t="shared" si="707"/>
        <v/>
      </c>
      <c r="JA74" s="705" t="str">
        <f t="shared" si="708"/>
        <v/>
      </c>
    </row>
    <row r="75" spans="1:261" ht="15" customHeight="1" x14ac:dyDescent="0.25">
      <c r="A75" s="75" t="str">
        <f t="shared" si="623"/>
        <v/>
      </c>
      <c r="B75" s="578" t="str">
        <f t="shared" ref="B75:D75" si="735">IFERROR(O230+($A75*-E75),"")</f>
        <v/>
      </c>
      <c r="C75" s="572" t="str">
        <f t="shared" si="735"/>
        <v/>
      </c>
      <c r="D75" s="576" t="str">
        <f t="shared" si="735"/>
        <v/>
      </c>
      <c r="E75" s="580" t="str">
        <f t="shared" ref="E75:K75" si="736">R230</f>
        <v/>
      </c>
      <c r="F75" s="572" t="str">
        <f t="shared" si="736"/>
        <v/>
      </c>
      <c r="G75" s="579" t="str">
        <f t="shared" si="736"/>
        <v/>
      </c>
      <c r="H75" s="580" t="str">
        <f t="shared" si="736"/>
        <v/>
      </c>
      <c r="I75" s="572" t="str">
        <f t="shared" si="736"/>
        <v/>
      </c>
      <c r="J75" s="483" t="str">
        <f t="shared" si="711"/>
        <v/>
      </c>
      <c r="K75" s="806" t="str">
        <f t="shared" si="736"/>
        <v/>
      </c>
      <c r="L75" s="309"/>
      <c r="M75" s="164" t="str">
        <f t="shared" si="626"/>
        <v/>
      </c>
      <c r="N75" s="575" t="str">
        <f t="shared" si="627"/>
        <v/>
      </c>
      <c r="O75" s="572" t="str">
        <f t="shared" si="628"/>
        <v/>
      </c>
      <c r="P75" s="576" t="str">
        <f t="shared" si="629"/>
        <v/>
      </c>
      <c r="Q75" s="528" t="str">
        <f t="shared" si="712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6"/>
        <v/>
      </c>
      <c r="X75" s="572" t="str">
        <f>IF(M75="","",R75)</f>
        <v/>
      </c>
      <c r="Y75" s="573" t="str">
        <f t="shared" si="259"/>
        <v/>
      </c>
      <c r="Z75" s="575" t="str">
        <f t="shared" si="630"/>
        <v/>
      </c>
      <c r="AA75" s="572" t="str">
        <f t="shared" si="631"/>
        <v/>
      </c>
      <c r="AB75" s="572" t="str">
        <f t="shared" si="6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90"/>
        <v/>
      </c>
      <c r="AP75" s="528" t="str">
        <f>IF(M75="","",DEGREES(ATAN2(AK75,AL75)))</f>
        <v/>
      </c>
      <c r="AQ75" s="529" t="str">
        <f t="shared" si="633"/>
        <v/>
      </c>
      <c r="AS75" s="900" t="str">
        <f t="shared" ref="AS75:AS106" si="737">IF(G75="","",IF(AND(W75&lt;(AS74+180),W75&gt;(AS74-180)),W75,IF(W75&gt;(AS74+180),W75-360,IF(W75&lt;(AS74-180),W75+360,"Error"))))</f>
        <v/>
      </c>
      <c r="AT75" s="896" t="str">
        <f t="shared" si="634"/>
        <v/>
      </c>
      <c r="AU75" s="418"/>
      <c r="AV75" s="164" t="str">
        <f t="shared" si="6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6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7"/>
        <v/>
      </c>
      <c r="BF75" s="4" t="str">
        <f t="shared" si="638"/>
        <v/>
      </c>
      <c r="BG75" s="5" t="str">
        <f t="shared" si="639"/>
        <v/>
      </c>
      <c r="BH75" s="10" t="str">
        <f t="shared" si="640"/>
        <v/>
      </c>
      <c r="BI75" s="9" t="str">
        <f t="shared" ref="BI75:BI129" si="739">IF(ISNUMBER($AV75),BF75+0,"")</f>
        <v/>
      </c>
      <c r="BJ75" s="5" t="str">
        <f t="shared" si="641"/>
        <v/>
      </c>
      <c r="BK75" s="8" t="str">
        <f t="shared" si="642"/>
        <v/>
      </c>
      <c r="BL75" s="173" t="str">
        <f t="shared" si="643"/>
        <v/>
      </c>
      <c r="BM75" s="5" t="str">
        <f t="shared" si="644"/>
        <v/>
      </c>
      <c r="BN75" s="6" t="str">
        <f t="shared" si="645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6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7"/>
        <v/>
      </c>
      <c r="ET75" s="5" t="str">
        <f t="shared" si="648"/>
        <v/>
      </c>
      <c r="EU75" s="10" t="str">
        <f t="shared" si="649"/>
        <v/>
      </c>
      <c r="EV75" s="174" t="str">
        <f t="shared" si="650"/>
        <v/>
      </c>
      <c r="EW75" s="9" t="str">
        <f t="shared" si="651"/>
        <v/>
      </c>
      <c r="EX75" s="5" t="str">
        <f t="shared" si="652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3"/>
        <v/>
      </c>
      <c r="FB75" s="5" t="str">
        <f t="shared" si="654"/>
        <v/>
      </c>
      <c r="FC75" s="6" t="str">
        <f t="shared" si="655"/>
        <v/>
      </c>
      <c r="FD75" s="4" t="str">
        <f t="shared" si="656"/>
        <v/>
      </c>
      <c r="FE75" s="5" t="str">
        <f t="shared" si="657"/>
        <v/>
      </c>
      <c r="FF75" s="7" t="str">
        <f t="shared" ref="FF75:FF129" si="806">IF(ISNUMBER($AV75),FC75,"")</f>
        <v/>
      </c>
      <c r="FG75" s="173" t="str">
        <f t="shared" si="658"/>
        <v/>
      </c>
      <c r="FH75" s="5" t="str">
        <f t="shared" si="659"/>
        <v/>
      </c>
      <c r="FI75" s="10" t="str">
        <f t="shared" si="660"/>
        <v/>
      </c>
      <c r="FJ75" s="279" t="str">
        <f t="shared" ref="FJ75:FJ129" si="807">IF(ISNUMBER($AV75),DEGREES(ACOS((2-SQRT((FG75)^2+(FH75)^2+(FI75)^2)^2)/2)),"")</f>
        <v/>
      </c>
      <c r="FK75" s="4" t="str">
        <f t="shared" si="661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2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3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4"/>
        <v/>
      </c>
      <c r="GH75" s="286" t="str">
        <f t="shared" si="665"/>
        <v/>
      </c>
      <c r="GI75" s="281" t="str">
        <f t="shared" si="666"/>
        <v/>
      </c>
      <c r="GJ75" s="167" t="str">
        <f t="shared" ref="GJ75:GJ129" si="823">IF(ISNUMBER($AV75),AW75,"")</f>
        <v/>
      </c>
      <c r="GK75" s="174" t="str">
        <f t="shared" si="667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8"/>
        <v/>
      </c>
      <c r="GT75" s="343" t="str">
        <f t="shared" si="669"/>
        <v/>
      </c>
      <c r="GU75" s="344" t="str">
        <f t="shared" si="670"/>
        <v/>
      </c>
      <c r="GV75" s="343" t="str">
        <f t="shared" ref="GV75:GV129" si="831">IF(ISNUMBER($AV75),GW75*$GL75,"")</f>
        <v/>
      </c>
      <c r="GW75" s="345" t="str">
        <f t="shared" si="671"/>
        <v/>
      </c>
      <c r="GX75" s="346" t="str">
        <f t="shared" si="672"/>
        <v/>
      </c>
      <c r="GY75" s="344" t="str">
        <f t="shared" si="673"/>
        <v/>
      </c>
      <c r="GZ75" s="345" t="str">
        <f t="shared" si="674"/>
        <v/>
      </c>
      <c r="HA75" s="342" t="str">
        <f t="shared" si="675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6"/>
        <v/>
      </c>
      <c r="HF75" s="5" t="str">
        <f t="shared" si="677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8"/>
        <v/>
      </c>
      <c r="HK75" s="310" t="str">
        <f t="shared" si="733"/>
        <v/>
      </c>
      <c r="HL75" s="348" t="str">
        <f t="shared" si="679"/>
        <v/>
      </c>
      <c r="HM75" s="935" t="str">
        <f t="shared" si="680"/>
        <v/>
      </c>
      <c r="HN75" s="936" t="str">
        <f t="shared" si="681"/>
        <v/>
      </c>
      <c r="HO75" s="937"/>
      <c r="HP75" s="938"/>
      <c r="HQ75" s="936" t="str">
        <f t="shared" si="682"/>
        <v/>
      </c>
      <c r="HR75" s="939" t="str">
        <f t="shared" si="683"/>
        <v/>
      </c>
      <c r="HS75" s="940" t="str">
        <f t="shared" si="734"/>
        <v/>
      </c>
      <c r="HT75" s="941" t="str">
        <f t="shared" si="684"/>
        <v/>
      </c>
      <c r="HU75" s="942" t="str">
        <f t="shared" si="685"/>
        <v/>
      </c>
      <c r="HV75" s="943" t="str">
        <f t="shared" si="686"/>
        <v/>
      </c>
      <c r="HW75" s="944" t="str">
        <f t="shared" si="687"/>
        <v/>
      </c>
      <c r="HX75" s="947" t="str">
        <f t="shared" si="688"/>
        <v/>
      </c>
      <c r="HY75" s="952" t="str">
        <f t="shared" si="689"/>
        <v/>
      </c>
      <c r="HZ75" s="953" t="str">
        <f t="shared" si="690"/>
        <v/>
      </c>
      <c r="IA75" s="954" t="str">
        <f t="shared" si="691"/>
        <v/>
      </c>
      <c r="IB75" s="955" t="str">
        <f t="shared" si="692"/>
        <v/>
      </c>
      <c r="IC75" s="842" t="str">
        <f t="shared" si="693"/>
        <v/>
      </c>
      <c r="ID75" s="351" t="str">
        <f t="shared" si="694"/>
        <v/>
      </c>
      <c r="IE75" s="844" t="str">
        <f t="shared" si="695"/>
        <v/>
      </c>
      <c r="IF75" s="845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37">$M75</f>
        <v/>
      </c>
      <c r="IJ75" s="96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696"/>
        <v/>
      </c>
      <c r="IM75" s="482" t="str">
        <f t="shared" ref="IM75:IM138" si="838">IF(ISNUMBER($IK75),INDEX($K$9:$K$150,MATCH($II75,$M$9:$M$150,0)),"")</f>
        <v/>
      </c>
      <c r="IN75" s="670" t="str">
        <f t="shared" si="697"/>
        <v/>
      </c>
      <c r="IO75" s="702"/>
      <c r="IP75" s="5" t="str">
        <f t="shared" si="698"/>
        <v/>
      </c>
      <c r="IQ75" s="714"/>
      <c r="IR75" s="9" t="str">
        <f t="shared" si="699"/>
        <v/>
      </c>
      <c r="IS75" s="5" t="str">
        <f t="shared" si="700"/>
        <v/>
      </c>
      <c r="IT75" s="5" t="str">
        <f t="shared" si="701"/>
        <v/>
      </c>
      <c r="IU75" s="5" t="str">
        <f t="shared" si="702"/>
        <v/>
      </c>
      <c r="IV75" s="670" t="str">
        <f t="shared" si="703"/>
        <v/>
      </c>
      <c r="IW75" s="9" t="str">
        <f t="shared" si="704"/>
        <v/>
      </c>
      <c r="IX75" s="5" t="str">
        <f t="shared" si="705"/>
        <v/>
      </c>
      <c r="IY75" s="5" t="str">
        <f t="shared" si="706"/>
        <v/>
      </c>
      <c r="IZ75" s="5" t="str">
        <f t="shared" si="707"/>
        <v/>
      </c>
      <c r="JA75" s="705" t="str">
        <f t="shared" si="708"/>
        <v/>
      </c>
    </row>
    <row r="76" spans="1:261" ht="15" customHeight="1" x14ac:dyDescent="0.25">
      <c r="A76" s="75" t="str">
        <f t="shared" si="623"/>
        <v/>
      </c>
      <c r="B76" s="578" t="str">
        <f t="shared" ref="B76:D76" si="839">IFERROR(O231+($A76*-E76),"")</f>
        <v/>
      </c>
      <c r="C76" s="572" t="str">
        <f t="shared" si="839"/>
        <v/>
      </c>
      <c r="D76" s="576" t="str">
        <f t="shared" si="839"/>
        <v/>
      </c>
      <c r="E76" s="580" t="str">
        <f t="shared" ref="E76:K76" si="840">R231</f>
        <v/>
      </c>
      <c r="F76" s="572" t="str">
        <f t="shared" si="840"/>
        <v/>
      </c>
      <c r="G76" s="579" t="str">
        <f t="shared" si="840"/>
        <v/>
      </c>
      <c r="H76" s="580" t="str">
        <f t="shared" si="840"/>
        <v/>
      </c>
      <c r="I76" s="572" t="str">
        <f t="shared" si="840"/>
        <v/>
      </c>
      <c r="J76" s="483" t="str">
        <f t="shared" si="711"/>
        <v/>
      </c>
      <c r="K76" s="806" t="str">
        <f t="shared" si="840"/>
        <v/>
      </c>
      <c r="L76" s="309"/>
      <c r="M76" s="164" t="str">
        <f t="shared" si="626"/>
        <v/>
      </c>
      <c r="N76" s="575" t="str">
        <f t="shared" si="627"/>
        <v/>
      </c>
      <c r="O76" s="572" t="str">
        <f t="shared" si="628"/>
        <v/>
      </c>
      <c r="P76" s="576" t="str">
        <f t="shared" si="629"/>
        <v/>
      </c>
      <c r="Q76" s="528" t="str">
        <f t="shared" si="71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135"/>
        <v/>
      </c>
      <c r="W76" s="528" t="str">
        <f t="shared" si="256"/>
        <v/>
      </c>
      <c r="X76" s="572" t="str">
        <f t="shared" si="97"/>
        <v/>
      </c>
      <c r="Y76" s="573" t="str">
        <f t="shared" ref="Y76:Y129" si="841">IF(M76="","",S76)</f>
        <v/>
      </c>
      <c r="Z76" s="575" t="str">
        <f t="shared" si="630"/>
        <v/>
      </c>
      <c r="AA76" s="572" t="str">
        <f t="shared" si="631"/>
        <v/>
      </c>
      <c r="AB76" s="572" t="str">
        <f t="shared" si="632"/>
        <v/>
      </c>
      <c r="AC76" s="579" t="str">
        <f t="shared" si="98"/>
        <v/>
      </c>
      <c r="AD76" s="580" t="str">
        <f t="shared" si="136"/>
        <v/>
      </c>
      <c r="AE76" s="572" t="str">
        <f t="shared" si="99"/>
        <v/>
      </c>
      <c r="AF76" s="576" t="str">
        <f t="shared" si="100"/>
        <v/>
      </c>
      <c r="AG76" s="545" t="str">
        <f t="shared" si="101"/>
        <v/>
      </c>
      <c r="AH76" s="546" t="str">
        <f t="shared" si="102"/>
        <v/>
      </c>
      <c r="AI76" s="528" t="str">
        <f t="shared" si="103"/>
        <v/>
      </c>
      <c r="AJ76" s="529" t="str">
        <f t="shared" si="104"/>
        <v/>
      </c>
      <c r="AK76" s="578" t="str">
        <f t="shared" si="234"/>
        <v/>
      </c>
      <c r="AL76" s="572" t="str">
        <f t="shared" si="105"/>
        <v/>
      </c>
      <c r="AM76" s="577" t="str">
        <f t="shared" si="106"/>
        <v/>
      </c>
      <c r="AN76" s="524" t="str">
        <f t="shared" si="107"/>
        <v/>
      </c>
      <c r="AO76" s="525" t="str">
        <f t="shared" si="590"/>
        <v/>
      </c>
      <c r="AP76" s="528" t="str">
        <f t="shared" si="109"/>
        <v/>
      </c>
      <c r="AQ76" s="529" t="str">
        <f t="shared" si="633"/>
        <v/>
      </c>
      <c r="AS76" s="900" t="str">
        <f t="shared" si="737"/>
        <v/>
      </c>
      <c r="AT76" s="896" t="str">
        <f t="shared" si="634"/>
        <v/>
      </c>
      <c r="AU76" s="418"/>
      <c r="AV76" s="164" t="str">
        <f t="shared" si="6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6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7"/>
        <v/>
      </c>
      <c r="BF76" s="4" t="str">
        <f t="shared" si="638"/>
        <v/>
      </c>
      <c r="BG76" s="5" t="str">
        <f t="shared" si="639"/>
        <v/>
      </c>
      <c r="BH76" s="10" t="str">
        <f t="shared" si="640"/>
        <v/>
      </c>
      <c r="BI76" s="9" t="str">
        <f t="shared" si="739"/>
        <v/>
      </c>
      <c r="BJ76" s="5" t="str">
        <f t="shared" si="641"/>
        <v/>
      </c>
      <c r="BK76" s="8" t="str">
        <f t="shared" si="642"/>
        <v/>
      </c>
      <c r="BL76" s="173" t="str">
        <f t="shared" si="643"/>
        <v/>
      </c>
      <c r="BM76" s="5" t="str">
        <f t="shared" si="644"/>
        <v/>
      </c>
      <c r="BN76" s="6" t="str">
        <f t="shared" si="645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6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7"/>
        <v/>
      </c>
      <c r="ET76" s="5" t="str">
        <f t="shared" si="648"/>
        <v/>
      </c>
      <c r="EU76" s="10" t="str">
        <f t="shared" si="649"/>
        <v/>
      </c>
      <c r="EV76" s="174" t="str">
        <f t="shared" si="650"/>
        <v/>
      </c>
      <c r="EW76" s="9" t="str">
        <f t="shared" si="651"/>
        <v/>
      </c>
      <c r="EX76" s="5" t="str">
        <f t="shared" si="652"/>
        <v/>
      </c>
      <c r="EY76" s="6" t="str">
        <f t="shared" si="804"/>
        <v/>
      </c>
      <c r="EZ76" s="51" t="str">
        <f t="shared" si="805"/>
        <v/>
      </c>
      <c r="FA76" s="173" t="str">
        <f t="shared" si="653"/>
        <v/>
      </c>
      <c r="FB76" s="5" t="str">
        <f t="shared" si="654"/>
        <v/>
      </c>
      <c r="FC76" s="6" t="str">
        <f t="shared" si="655"/>
        <v/>
      </c>
      <c r="FD76" s="4" t="str">
        <f t="shared" si="656"/>
        <v/>
      </c>
      <c r="FE76" s="5" t="str">
        <f t="shared" si="657"/>
        <v/>
      </c>
      <c r="FF76" s="7" t="str">
        <f t="shared" si="806"/>
        <v/>
      </c>
      <c r="FG76" s="173" t="str">
        <f t="shared" si="658"/>
        <v/>
      </c>
      <c r="FH76" s="5" t="str">
        <f t="shared" si="659"/>
        <v/>
      </c>
      <c r="FI76" s="10" t="str">
        <f t="shared" si="660"/>
        <v/>
      </c>
      <c r="FJ76" s="279" t="str">
        <f t="shared" si="807"/>
        <v/>
      </c>
      <c r="FK76" s="4" t="str">
        <f t="shared" si="661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2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3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4"/>
        <v/>
      </c>
      <c r="GH76" s="286" t="str">
        <f t="shared" si="665"/>
        <v/>
      </c>
      <c r="GI76" s="281" t="str">
        <f t="shared" si="666"/>
        <v/>
      </c>
      <c r="GJ76" s="167" t="str">
        <f t="shared" si="823"/>
        <v/>
      </c>
      <c r="GK76" s="174" t="str">
        <f t="shared" si="667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8"/>
        <v/>
      </c>
      <c r="GT76" s="343" t="str">
        <f t="shared" si="669"/>
        <v/>
      </c>
      <c r="GU76" s="344" t="str">
        <f t="shared" si="670"/>
        <v/>
      </c>
      <c r="GV76" s="343" t="str">
        <f t="shared" si="831"/>
        <v/>
      </c>
      <c r="GW76" s="345" t="str">
        <f t="shared" si="671"/>
        <v/>
      </c>
      <c r="GX76" s="346" t="str">
        <f t="shared" si="672"/>
        <v/>
      </c>
      <c r="GY76" s="344" t="str">
        <f t="shared" si="673"/>
        <v/>
      </c>
      <c r="GZ76" s="345" t="str">
        <f t="shared" si="674"/>
        <v/>
      </c>
      <c r="HA76" s="342" t="str">
        <f t="shared" si="675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6"/>
        <v/>
      </c>
      <c r="HF76" s="5" t="str">
        <f t="shared" si="677"/>
        <v/>
      </c>
      <c r="HG76" s="343" t="str">
        <f t="shared" si="835"/>
        <v/>
      </c>
      <c r="HH76" s="349" t="str">
        <f t="shared" si="836"/>
        <v/>
      </c>
      <c r="HI76" s="317" t="str">
        <f t="shared" si="678"/>
        <v/>
      </c>
      <c r="HK76" s="310" t="str">
        <f t="shared" si="733"/>
        <v/>
      </c>
      <c r="HL76" s="348" t="str">
        <f t="shared" si="679"/>
        <v/>
      </c>
      <c r="HM76" s="935" t="str">
        <f t="shared" si="680"/>
        <v/>
      </c>
      <c r="HN76" s="936" t="str">
        <f t="shared" si="681"/>
        <v/>
      </c>
      <c r="HO76" s="937"/>
      <c r="HP76" s="938"/>
      <c r="HQ76" s="936" t="str">
        <f t="shared" si="682"/>
        <v/>
      </c>
      <c r="HR76" s="939" t="str">
        <f t="shared" si="683"/>
        <v/>
      </c>
      <c r="HS76" s="940" t="str">
        <f t="shared" si="734"/>
        <v/>
      </c>
      <c r="HT76" s="941" t="str">
        <f t="shared" si="684"/>
        <v/>
      </c>
      <c r="HU76" s="942" t="str">
        <f t="shared" si="685"/>
        <v/>
      </c>
      <c r="HV76" s="943" t="str">
        <f t="shared" si="686"/>
        <v/>
      </c>
      <c r="HW76" s="944" t="str">
        <f t="shared" si="687"/>
        <v/>
      </c>
      <c r="HX76" s="947" t="str">
        <f t="shared" si="688"/>
        <v/>
      </c>
      <c r="HY76" s="952" t="str">
        <f t="shared" si="689"/>
        <v/>
      </c>
      <c r="HZ76" s="953" t="str">
        <f t="shared" si="690"/>
        <v/>
      </c>
      <c r="IA76" s="954" t="str">
        <f t="shared" si="691"/>
        <v/>
      </c>
      <c r="IB76" s="955" t="str">
        <f t="shared" si="692"/>
        <v/>
      </c>
      <c r="IC76" s="842" t="str">
        <f t="shared" si="693"/>
        <v/>
      </c>
      <c r="ID76" s="351" t="str">
        <f t="shared" si="694"/>
        <v/>
      </c>
      <c r="IE76" s="844" t="str">
        <f t="shared" si="695"/>
        <v/>
      </c>
      <c r="IF76" s="845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37"/>
        <v/>
      </c>
      <c r="IJ76" s="96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696"/>
        <v/>
      </c>
      <c r="IM76" s="482" t="str">
        <f t="shared" si="838"/>
        <v/>
      </c>
      <c r="IN76" s="670" t="str">
        <f t="shared" si="697"/>
        <v/>
      </c>
      <c r="IO76" s="702"/>
      <c r="IP76" s="5" t="str">
        <f t="shared" si="698"/>
        <v/>
      </c>
      <c r="IQ76" s="714"/>
      <c r="IR76" s="9" t="str">
        <f t="shared" si="699"/>
        <v/>
      </c>
      <c r="IS76" s="5" t="str">
        <f t="shared" si="700"/>
        <v/>
      </c>
      <c r="IT76" s="5" t="str">
        <f t="shared" si="701"/>
        <v/>
      </c>
      <c r="IU76" s="5" t="str">
        <f t="shared" si="702"/>
        <v/>
      </c>
      <c r="IV76" s="670" t="str">
        <f t="shared" si="703"/>
        <v/>
      </c>
      <c r="IW76" s="9" t="str">
        <f t="shared" si="704"/>
        <v/>
      </c>
      <c r="IX76" s="5" t="str">
        <f t="shared" si="705"/>
        <v/>
      </c>
      <c r="IY76" s="5" t="str">
        <f t="shared" si="706"/>
        <v/>
      </c>
      <c r="IZ76" s="5" t="str">
        <f t="shared" si="707"/>
        <v/>
      </c>
      <c r="JA76" s="705" t="str">
        <f t="shared" si="708"/>
        <v/>
      </c>
    </row>
    <row r="77" spans="1:261" ht="15" customHeight="1" x14ac:dyDescent="0.25">
      <c r="A77" s="75" t="str">
        <f t="shared" si="623"/>
        <v/>
      </c>
      <c r="B77" s="578" t="str">
        <f t="shared" ref="B77:D77" si="842">IFERROR(O232+($A77*-E77),"")</f>
        <v/>
      </c>
      <c r="C77" s="572" t="str">
        <f t="shared" si="842"/>
        <v/>
      </c>
      <c r="D77" s="576" t="str">
        <f t="shared" si="842"/>
        <v/>
      </c>
      <c r="E77" s="580" t="str">
        <f t="shared" ref="E77:K77" si="843">R232</f>
        <v/>
      </c>
      <c r="F77" s="572" t="str">
        <f t="shared" si="843"/>
        <v/>
      </c>
      <c r="G77" s="579" t="str">
        <f t="shared" si="843"/>
        <v/>
      </c>
      <c r="H77" s="580" t="str">
        <f t="shared" si="843"/>
        <v/>
      </c>
      <c r="I77" s="572" t="str">
        <f t="shared" si="843"/>
        <v/>
      </c>
      <c r="J77" s="483" t="str">
        <f t="shared" si="711"/>
        <v/>
      </c>
      <c r="K77" s="806" t="str">
        <f t="shared" si="843"/>
        <v/>
      </c>
      <c r="L77" s="309"/>
      <c r="M77" s="164" t="str">
        <f t="shared" si="626"/>
        <v/>
      </c>
      <c r="N77" s="575" t="str">
        <f t="shared" si="627"/>
        <v/>
      </c>
      <c r="O77" s="572" t="str">
        <f t="shared" si="628"/>
        <v/>
      </c>
      <c r="P77" s="576" t="str">
        <f t="shared" si="629"/>
        <v/>
      </c>
      <c r="Q77" s="528" t="str">
        <f t="shared" si="71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135"/>
        <v/>
      </c>
      <c r="W77" s="528" t="str">
        <f t="shared" si="256"/>
        <v/>
      </c>
      <c r="X77" s="572" t="str">
        <f t="shared" si="97"/>
        <v/>
      </c>
      <c r="Y77" s="573" t="str">
        <f t="shared" si="841"/>
        <v/>
      </c>
      <c r="Z77" s="575" t="str">
        <f t="shared" si="630"/>
        <v/>
      </c>
      <c r="AA77" s="572" t="str">
        <f t="shared" si="631"/>
        <v/>
      </c>
      <c r="AB77" s="572" t="str">
        <f t="shared" si="632"/>
        <v/>
      </c>
      <c r="AC77" s="579" t="str">
        <f t="shared" si="98"/>
        <v/>
      </c>
      <c r="AD77" s="580" t="str">
        <f t="shared" si="136"/>
        <v/>
      </c>
      <c r="AE77" s="572" t="str">
        <f t="shared" si="99"/>
        <v/>
      </c>
      <c r="AF77" s="576" t="str">
        <f t="shared" si="100"/>
        <v/>
      </c>
      <c r="AG77" s="545" t="str">
        <f t="shared" si="101"/>
        <v/>
      </c>
      <c r="AH77" s="546" t="str">
        <f t="shared" si="102"/>
        <v/>
      </c>
      <c r="AI77" s="528" t="str">
        <f t="shared" si="103"/>
        <v/>
      </c>
      <c r="AJ77" s="529" t="str">
        <f t="shared" si="104"/>
        <v/>
      </c>
      <c r="AK77" s="578" t="str">
        <f t="shared" si="234"/>
        <v/>
      </c>
      <c r="AL77" s="572" t="str">
        <f t="shared" si="105"/>
        <v/>
      </c>
      <c r="AM77" s="577" t="str">
        <f t="shared" si="106"/>
        <v/>
      </c>
      <c r="AN77" s="524" t="str">
        <f t="shared" si="107"/>
        <v/>
      </c>
      <c r="AO77" s="525" t="str">
        <f t="shared" si="590"/>
        <v/>
      </c>
      <c r="AP77" s="528" t="str">
        <f t="shared" si="109"/>
        <v/>
      </c>
      <c r="AQ77" s="529" t="str">
        <f t="shared" si="633"/>
        <v/>
      </c>
      <c r="AS77" s="900" t="str">
        <f t="shared" si="737"/>
        <v/>
      </c>
      <c r="AT77" s="896" t="str">
        <f t="shared" si="634"/>
        <v/>
      </c>
      <c r="AU77" s="418"/>
      <c r="AV77" s="164" t="str">
        <f t="shared" si="6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6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7"/>
        <v/>
      </c>
      <c r="BF77" s="4" t="str">
        <f t="shared" si="638"/>
        <v/>
      </c>
      <c r="BG77" s="5" t="str">
        <f t="shared" si="639"/>
        <v/>
      </c>
      <c r="BH77" s="10" t="str">
        <f t="shared" si="640"/>
        <v/>
      </c>
      <c r="BI77" s="9" t="str">
        <f t="shared" si="739"/>
        <v/>
      </c>
      <c r="BJ77" s="5" t="str">
        <f t="shared" si="641"/>
        <v/>
      </c>
      <c r="BK77" s="8" t="str">
        <f t="shared" si="642"/>
        <v/>
      </c>
      <c r="BL77" s="173" t="str">
        <f t="shared" si="643"/>
        <v/>
      </c>
      <c r="BM77" s="5" t="str">
        <f t="shared" si="644"/>
        <v/>
      </c>
      <c r="BN77" s="6" t="str">
        <f t="shared" si="645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6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7"/>
        <v/>
      </c>
      <c r="ET77" s="5" t="str">
        <f t="shared" si="648"/>
        <v/>
      </c>
      <c r="EU77" s="10" t="str">
        <f t="shared" si="649"/>
        <v/>
      </c>
      <c r="EV77" s="174" t="str">
        <f t="shared" si="650"/>
        <v/>
      </c>
      <c r="EW77" s="9" t="str">
        <f t="shared" si="651"/>
        <v/>
      </c>
      <c r="EX77" s="5" t="str">
        <f t="shared" si="652"/>
        <v/>
      </c>
      <c r="EY77" s="6" t="str">
        <f t="shared" si="804"/>
        <v/>
      </c>
      <c r="EZ77" s="51" t="str">
        <f t="shared" si="805"/>
        <v/>
      </c>
      <c r="FA77" s="173" t="str">
        <f t="shared" si="653"/>
        <v/>
      </c>
      <c r="FB77" s="5" t="str">
        <f t="shared" si="654"/>
        <v/>
      </c>
      <c r="FC77" s="6" t="str">
        <f t="shared" si="655"/>
        <v/>
      </c>
      <c r="FD77" s="4" t="str">
        <f t="shared" si="656"/>
        <v/>
      </c>
      <c r="FE77" s="5" t="str">
        <f t="shared" si="657"/>
        <v/>
      </c>
      <c r="FF77" s="7" t="str">
        <f t="shared" si="806"/>
        <v/>
      </c>
      <c r="FG77" s="173" t="str">
        <f t="shared" si="658"/>
        <v/>
      </c>
      <c r="FH77" s="5" t="str">
        <f t="shared" si="659"/>
        <v/>
      </c>
      <c r="FI77" s="10" t="str">
        <f t="shared" si="660"/>
        <v/>
      </c>
      <c r="FJ77" s="279" t="str">
        <f t="shared" si="807"/>
        <v/>
      </c>
      <c r="FK77" s="4" t="str">
        <f t="shared" si="661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2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3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4"/>
        <v/>
      </c>
      <c r="GH77" s="286" t="str">
        <f t="shared" si="665"/>
        <v/>
      </c>
      <c r="GI77" s="281" t="str">
        <f t="shared" si="666"/>
        <v/>
      </c>
      <c r="GJ77" s="167" t="str">
        <f t="shared" si="823"/>
        <v/>
      </c>
      <c r="GK77" s="174" t="str">
        <f t="shared" si="667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8"/>
        <v/>
      </c>
      <c r="GT77" s="343" t="str">
        <f t="shared" si="669"/>
        <v/>
      </c>
      <c r="GU77" s="344" t="str">
        <f t="shared" si="670"/>
        <v/>
      </c>
      <c r="GV77" s="343" t="str">
        <f t="shared" si="831"/>
        <v/>
      </c>
      <c r="GW77" s="345" t="str">
        <f t="shared" si="671"/>
        <v/>
      </c>
      <c r="GX77" s="346" t="str">
        <f t="shared" si="672"/>
        <v/>
      </c>
      <c r="GY77" s="344" t="str">
        <f t="shared" si="673"/>
        <v/>
      </c>
      <c r="GZ77" s="345" t="str">
        <f t="shared" si="674"/>
        <v/>
      </c>
      <c r="HA77" s="342" t="str">
        <f t="shared" si="675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6"/>
        <v/>
      </c>
      <c r="HF77" s="5" t="str">
        <f t="shared" si="677"/>
        <v/>
      </c>
      <c r="HG77" s="343" t="str">
        <f t="shared" si="835"/>
        <v/>
      </c>
      <c r="HH77" s="349" t="str">
        <f t="shared" si="836"/>
        <v/>
      </c>
      <c r="HI77" s="317" t="str">
        <f t="shared" si="678"/>
        <v/>
      </c>
      <c r="HK77" s="310" t="str">
        <f t="shared" si="733"/>
        <v/>
      </c>
      <c r="HL77" s="348" t="str">
        <f t="shared" si="679"/>
        <v/>
      </c>
      <c r="HM77" s="935" t="str">
        <f t="shared" si="680"/>
        <v/>
      </c>
      <c r="HN77" s="936" t="str">
        <f t="shared" si="681"/>
        <v/>
      </c>
      <c r="HO77" s="937"/>
      <c r="HP77" s="938"/>
      <c r="HQ77" s="936" t="str">
        <f t="shared" si="682"/>
        <v/>
      </c>
      <c r="HR77" s="939" t="str">
        <f t="shared" si="683"/>
        <v/>
      </c>
      <c r="HS77" s="940" t="str">
        <f t="shared" si="734"/>
        <v/>
      </c>
      <c r="HT77" s="941" t="str">
        <f t="shared" si="684"/>
        <v/>
      </c>
      <c r="HU77" s="942" t="str">
        <f t="shared" si="685"/>
        <v/>
      </c>
      <c r="HV77" s="943" t="str">
        <f t="shared" si="686"/>
        <v/>
      </c>
      <c r="HW77" s="944" t="str">
        <f t="shared" si="687"/>
        <v/>
      </c>
      <c r="HX77" s="947" t="str">
        <f t="shared" si="688"/>
        <v/>
      </c>
      <c r="HY77" s="952" t="str">
        <f t="shared" si="689"/>
        <v/>
      </c>
      <c r="HZ77" s="953" t="str">
        <f t="shared" si="690"/>
        <v/>
      </c>
      <c r="IA77" s="954" t="str">
        <f t="shared" si="691"/>
        <v/>
      </c>
      <c r="IB77" s="955" t="str">
        <f t="shared" si="692"/>
        <v/>
      </c>
      <c r="IC77" s="842" t="str">
        <f t="shared" si="693"/>
        <v/>
      </c>
      <c r="ID77" s="351" t="str">
        <f t="shared" si="694"/>
        <v/>
      </c>
      <c r="IE77" s="844" t="str">
        <f t="shared" si="695"/>
        <v/>
      </c>
      <c r="IF77" s="845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37"/>
        <v/>
      </c>
      <c r="IJ77" s="96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696"/>
        <v/>
      </c>
      <c r="IM77" s="482" t="str">
        <f t="shared" si="838"/>
        <v/>
      </c>
      <c r="IN77" s="670" t="str">
        <f t="shared" si="697"/>
        <v/>
      </c>
      <c r="IO77" s="702"/>
      <c r="IP77" s="5" t="str">
        <f t="shared" si="698"/>
        <v/>
      </c>
      <c r="IQ77" s="714"/>
      <c r="IR77" s="9" t="str">
        <f t="shared" si="699"/>
        <v/>
      </c>
      <c r="IS77" s="5" t="str">
        <f t="shared" si="700"/>
        <v/>
      </c>
      <c r="IT77" s="5" t="str">
        <f t="shared" si="701"/>
        <v/>
      </c>
      <c r="IU77" s="5" t="str">
        <f t="shared" si="702"/>
        <v/>
      </c>
      <c r="IV77" s="670" t="str">
        <f t="shared" si="703"/>
        <v/>
      </c>
      <c r="IW77" s="9" t="str">
        <f t="shared" si="704"/>
        <v/>
      </c>
      <c r="IX77" s="5" t="str">
        <f t="shared" si="705"/>
        <v/>
      </c>
      <c r="IY77" s="5" t="str">
        <f t="shared" si="706"/>
        <v/>
      </c>
      <c r="IZ77" s="5" t="str">
        <f t="shared" si="707"/>
        <v/>
      </c>
      <c r="JA77" s="705" t="str">
        <f t="shared" si="708"/>
        <v/>
      </c>
    </row>
    <row r="78" spans="1:261" ht="15" customHeight="1" x14ac:dyDescent="0.25">
      <c r="A78" s="75" t="str">
        <f t="shared" si="623"/>
        <v/>
      </c>
      <c r="B78" s="578" t="str">
        <f t="shared" ref="B78:D78" si="844">IFERROR(O233+($A78*-E78),"")</f>
        <v/>
      </c>
      <c r="C78" s="572" t="str">
        <f t="shared" si="844"/>
        <v/>
      </c>
      <c r="D78" s="576" t="str">
        <f t="shared" si="844"/>
        <v/>
      </c>
      <c r="E78" s="580" t="str">
        <f t="shared" ref="E78:K78" si="845">R233</f>
        <v/>
      </c>
      <c r="F78" s="572" t="str">
        <f t="shared" si="845"/>
        <v/>
      </c>
      <c r="G78" s="579" t="str">
        <f t="shared" si="845"/>
        <v/>
      </c>
      <c r="H78" s="580" t="str">
        <f t="shared" si="845"/>
        <v/>
      </c>
      <c r="I78" s="572" t="str">
        <f t="shared" si="845"/>
        <v/>
      </c>
      <c r="J78" s="483" t="str">
        <f t="shared" si="711"/>
        <v/>
      </c>
      <c r="K78" s="806" t="str">
        <f t="shared" si="845"/>
        <v/>
      </c>
      <c r="L78" s="309"/>
      <c r="M78" s="164" t="str">
        <f t="shared" si="626"/>
        <v/>
      </c>
      <c r="N78" s="575" t="str">
        <f t="shared" si="627"/>
        <v/>
      </c>
      <c r="O78" s="572" t="str">
        <f t="shared" si="628"/>
        <v/>
      </c>
      <c r="P78" s="576" t="str">
        <f t="shared" si="629"/>
        <v/>
      </c>
      <c r="Q78" s="528" t="str">
        <f t="shared" si="712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6"/>
        <v/>
      </c>
      <c r="X78" s="572" t="str">
        <f>IF(M78="","",R78)</f>
        <v/>
      </c>
      <c r="Y78" s="573" t="str">
        <f t="shared" si="841"/>
        <v/>
      </c>
      <c r="Z78" s="575" t="str">
        <f t="shared" si="630"/>
        <v/>
      </c>
      <c r="AA78" s="572" t="str">
        <f t="shared" si="631"/>
        <v/>
      </c>
      <c r="AB78" s="572" t="str">
        <f t="shared" si="6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90"/>
        <v/>
      </c>
      <c r="AP78" s="528" t="str">
        <f>IF(M78="","",DEGREES(ATAN2(AK78,AL78)))</f>
        <v/>
      </c>
      <c r="AQ78" s="529" t="str">
        <f t="shared" si="633"/>
        <v/>
      </c>
      <c r="AS78" s="900" t="str">
        <f t="shared" si="737"/>
        <v/>
      </c>
      <c r="AT78" s="896" t="str">
        <f t="shared" si="634"/>
        <v/>
      </c>
      <c r="AU78" s="418"/>
      <c r="AV78" s="164" t="str">
        <f t="shared" si="6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6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7"/>
        <v/>
      </c>
      <c r="BF78" s="4" t="str">
        <f t="shared" si="638"/>
        <v/>
      </c>
      <c r="BG78" s="5" t="str">
        <f t="shared" si="639"/>
        <v/>
      </c>
      <c r="BH78" s="10" t="str">
        <f t="shared" si="640"/>
        <v/>
      </c>
      <c r="BI78" s="9" t="str">
        <f t="shared" si="739"/>
        <v/>
      </c>
      <c r="BJ78" s="5" t="str">
        <f t="shared" si="641"/>
        <v/>
      </c>
      <c r="BK78" s="8" t="str">
        <f t="shared" si="642"/>
        <v/>
      </c>
      <c r="BL78" s="173" t="str">
        <f t="shared" si="643"/>
        <v/>
      </c>
      <c r="BM78" s="5" t="str">
        <f t="shared" si="644"/>
        <v/>
      </c>
      <c r="BN78" s="6" t="str">
        <f t="shared" si="645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6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7"/>
        <v/>
      </c>
      <c r="ET78" s="5" t="str">
        <f t="shared" si="648"/>
        <v/>
      </c>
      <c r="EU78" s="10" t="str">
        <f t="shared" si="649"/>
        <v/>
      </c>
      <c r="EV78" s="174" t="str">
        <f t="shared" si="650"/>
        <v/>
      </c>
      <c r="EW78" s="9" t="str">
        <f t="shared" si="651"/>
        <v/>
      </c>
      <c r="EX78" s="5" t="str">
        <f t="shared" si="652"/>
        <v/>
      </c>
      <c r="EY78" s="6" t="str">
        <f t="shared" si="804"/>
        <v/>
      </c>
      <c r="EZ78" s="51" t="str">
        <f t="shared" si="805"/>
        <v/>
      </c>
      <c r="FA78" s="173" t="str">
        <f t="shared" si="653"/>
        <v/>
      </c>
      <c r="FB78" s="5" t="str">
        <f t="shared" si="654"/>
        <v/>
      </c>
      <c r="FC78" s="6" t="str">
        <f t="shared" si="655"/>
        <v/>
      </c>
      <c r="FD78" s="4" t="str">
        <f t="shared" si="656"/>
        <v/>
      </c>
      <c r="FE78" s="5" t="str">
        <f t="shared" si="657"/>
        <v/>
      </c>
      <c r="FF78" s="7" t="str">
        <f t="shared" si="806"/>
        <v/>
      </c>
      <c r="FG78" s="173" t="str">
        <f t="shared" si="658"/>
        <v/>
      </c>
      <c r="FH78" s="5" t="str">
        <f t="shared" si="659"/>
        <v/>
      </c>
      <c r="FI78" s="10" t="str">
        <f t="shared" si="660"/>
        <v/>
      </c>
      <c r="FJ78" s="279" t="str">
        <f t="shared" si="807"/>
        <v/>
      </c>
      <c r="FK78" s="4" t="str">
        <f t="shared" si="661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2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3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4"/>
        <v/>
      </c>
      <c r="GH78" s="286" t="str">
        <f t="shared" si="665"/>
        <v/>
      </c>
      <c r="GI78" s="281" t="str">
        <f t="shared" si="666"/>
        <v/>
      </c>
      <c r="GJ78" s="167" t="str">
        <f t="shared" si="823"/>
        <v/>
      </c>
      <c r="GK78" s="174" t="str">
        <f t="shared" si="667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8"/>
        <v/>
      </c>
      <c r="GT78" s="343" t="str">
        <f t="shared" si="669"/>
        <v/>
      </c>
      <c r="GU78" s="344" t="str">
        <f t="shared" si="670"/>
        <v/>
      </c>
      <c r="GV78" s="343" t="str">
        <f t="shared" si="831"/>
        <v/>
      </c>
      <c r="GW78" s="345" t="str">
        <f t="shared" si="671"/>
        <v/>
      </c>
      <c r="GX78" s="346" t="str">
        <f t="shared" si="672"/>
        <v/>
      </c>
      <c r="GY78" s="344" t="str">
        <f t="shared" si="673"/>
        <v/>
      </c>
      <c r="GZ78" s="345" t="str">
        <f t="shared" si="674"/>
        <v/>
      </c>
      <c r="HA78" s="342" t="str">
        <f t="shared" si="675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6"/>
        <v/>
      </c>
      <c r="HF78" s="5" t="str">
        <f t="shared" si="677"/>
        <v/>
      </c>
      <c r="HG78" s="343" t="str">
        <f t="shared" si="835"/>
        <v/>
      </c>
      <c r="HH78" s="349" t="str">
        <f t="shared" si="836"/>
        <v/>
      </c>
      <c r="HI78" s="317" t="str">
        <f t="shared" si="678"/>
        <v/>
      </c>
      <c r="HK78" s="310" t="str">
        <f t="shared" si="733"/>
        <v/>
      </c>
      <c r="HL78" s="348" t="str">
        <f t="shared" si="679"/>
        <v/>
      </c>
      <c r="HM78" s="935" t="str">
        <f t="shared" si="680"/>
        <v/>
      </c>
      <c r="HN78" s="936" t="str">
        <f t="shared" si="681"/>
        <v/>
      </c>
      <c r="HO78" s="937"/>
      <c r="HP78" s="938"/>
      <c r="HQ78" s="936" t="str">
        <f t="shared" si="682"/>
        <v/>
      </c>
      <c r="HR78" s="939" t="str">
        <f t="shared" si="683"/>
        <v/>
      </c>
      <c r="HS78" s="940" t="str">
        <f t="shared" si="734"/>
        <v/>
      </c>
      <c r="HT78" s="941" t="str">
        <f t="shared" si="684"/>
        <v/>
      </c>
      <c r="HU78" s="942" t="str">
        <f t="shared" si="685"/>
        <v/>
      </c>
      <c r="HV78" s="943" t="str">
        <f t="shared" si="686"/>
        <v/>
      </c>
      <c r="HW78" s="944" t="str">
        <f t="shared" si="687"/>
        <v/>
      </c>
      <c r="HX78" s="947" t="str">
        <f t="shared" si="688"/>
        <v/>
      </c>
      <c r="HY78" s="952" t="str">
        <f t="shared" si="689"/>
        <v/>
      </c>
      <c r="HZ78" s="953" t="str">
        <f t="shared" si="690"/>
        <v/>
      </c>
      <c r="IA78" s="954" t="str">
        <f t="shared" si="691"/>
        <v/>
      </c>
      <c r="IB78" s="955" t="str">
        <f t="shared" si="692"/>
        <v/>
      </c>
      <c r="IC78" s="842" t="str">
        <f t="shared" si="693"/>
        <v/>
      </c>
      <c r="ID78" s="351" t="str">
        <f t="shared" si="694"/>
        <v/>
      </c>
      <c r="IE78" s="844" t="str">
        <f t="shared" si="695"/>
        <v/>
      </c>
      <c r="IF78" s="845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37"/>
        <v/>
      </c>
      <c r="IJ78" s="96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696"/>
        <v/>
      </c>
      <c r="IM78" s="482" t="str">
        <f t="shared" si="838"/>
        <v/>
      </c>
      <c r="IN78" s="670" t="str">
        <f t="shared" si="697"/>
        <v/>
      </c>
      <c r="IO78" s="702"/>
      <c r="IP78" s="5" t="str">
        <f t="shared" si="698"/>
        <v/>
      </c>
      <c r="IQ78" s="714"/>
      <c r="IR78" s="9" t="str">
        <f t="shared" si="699"/>
        <v/>
      </c>
      <c r="IS78" s="5" t="str">
        <f t="shared" si="700"/>
        <v/>
      </c>
      <c r="IT78" s="5" t="str">
        <f t="shared" si="701"/>
        <v/>
      </c>
      <c r="IU78" s="5" t="str">
        <f t="shared" si="702"/>
        <v/>
      </c>
      <c r="IV78" s="670" t="str">
        <f t="shared" si="703"/>
        <v/>
      </c>
      <c r="IW78" s="9" t="str">
        <f t="shared" si="704"/>
        <v/>
      </c>
      <c r="IX78" s="5" t="str">
        <f t="shared" si="705"/>
        <v/>
      </c>
      <c r="IY78" s="5" t="str">
        <f t="shared" si="706"/>
        <v/>
      </c>
      <c r="IZ78" s="5" t="str">
        <f t="shared" si="707"/>
        <v/>
      </c>
      <c r="JA78" s="705" t="str">
        <f t="shared" si="708"/>
        <v/>
      </c>
    </row>
    <row r="79" spans="1:261" ht="15" customHeight="1" x14ac:dyDescent="0.25">
      <c r="A79" s="75" t="str">
        <f t="shared" si="623"/>
        <v/>
      </c>
      <c r="B79" s="578" t="str">
        <f t="shared" ref="B79:D79" si="846">IFERROR(O234+($A79*-E79),"")</f>
        <v/>
      </c>
      <c r="C79" s="572" t="str">
        <f t="shared" si="846"/>
        <v/>
      </c>
      <c r="D79" s="576" t="str">
        <f t="shared" si="846"/>
        <v/>
      </c>
      <c r="E79" s="580" t="str">
        <f t="shared" ref="E79:K79" si="847">R234</f>
        <v/>
      </c>
      <c r="F79" s="572" t="str">
        <f t="shared" si="847"/>
        <v/>
      </c>
      <c r="G79" s="579" t="str">
        <f t="shared" si="847"/>
        <v/>
      </c>
      <c r="H79" s="580" t="str">
        <f t="shared" si="847"/>
        <v/>
      </c>
      <c r="I79" s="572" t="str">
        <f t="shared" si="847"/>
        <v/>
      </c>
      <c r="J79" s="483" t="str">
        <f t="shared" si="711"/>
        <v/>
      </c>
      <c r="K79" s="806" t="str">
        <f t="shared" si="847"/>
        <v/>
      </c>
      <c r="L79" s="309"/>
      <c r="M79" s="164" t="str">
        <f t="shared" si="626"/>
        <v/>
      </c>
      <c r="N79" s="575" t="str">
        <f t="shared" si="627"/>
        <v/>
      </c>
      <c r="O79" s="572" t="str">
        <f t="shared" si="628"/>
        <v/>
      </c>
      <c r="P79" s="576" t="str">
        <f t="shared" si="629"/>
        <v/>
      </c>
      <c r="Q79" s="528" t="str">
        <f t="shared" si="712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48">IF(M79="","",IF(Q79-$Q$8&lt;0,360+Q79-$Q$8,Q79-$Q$8))</f>
        <v/>
      </c>
      <c r="X79" s="572" t="str">
        <f>IF(M79="","",R79)</f>
        <v/>
      </c>
      <c r="Y79" s="573" t="str">
        <f t="shared" si="841"/>
        <v/>
      </c>
      <c r="Z79" s="575" t="str">
        <f t="shared" si="630"/>
        <v/>
      </c>
      <c r="AA79" s="572" t="str">
        <f t="shared" si="631"/>
        <v/>
      </c>
      <c r="AB79" s="572" t="str">
        <f t="shared" si="6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90"/>
        <v/>
      </c>
      <c r="AP79" s="528" t="str">
        <f>IF(M79="","",DEGREES(ATAN2(AK79,AL79)))</f>
        <v/>
      </c>
      <c r="AQ79" s="529" t="str">
        <f t="shared" si="633"/>
        <v/>
      </c>
      <c r="AS79" s="900" t="str">
        <f t="shared" si="737"/>
        <v/>
      </c>
      <c r="AT79" s="896" t="str">
        <f t="shared" si="634"/>
        <v/>
      </c>
      <c r="AU79" s="418"/>
      <c r="AV79" s="164" t="str">
        <f t="shared" si="6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6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7"/>
        <v/>
      </c>
      <c r="BF79" s="4" t="str">
        <f t="shared" si="638"/>
        <v/>
      </c>
      <c r="BG79" s="5" t="str">
        <f t="shared" si="639"/>
        <v/>
      </c>
      <c r="BH79" s="10" t="str">
        <f t="shared" si="640"/>
        <v/>
      </c>
      <c r="BI79" s="9" t="str">
        <f t="shared" si="739"/>
        <v/>
      </c>
      <c r="BJ79" s="5" t="str">
        <f t="shared" si="641"/>
        <v/>
      </c>
      <c r="BK79" s="8" t="str">
        <f t="shared" si="642"/>
        <v/>
      </c>
      <c r="BL79" s="173" t="str">
        <f t="shared" si="643"/>
        <v/>
      </c>
      <c r="BM79" s="5" t="str">
        <f t="shared" si="644"/>
        <v/>
      </c>
      <c r="BN79" s="6" t="str">
        <f t="shared" si="645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6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7"/>
        <v/>
      </c>
      <c r="ET79" s="5" t="str">
        <f t="shared" si="648"/>
        <v/>
      </c>
      <c r="EU79" s="10" t="str">
        <f t="shared" si="649"/>
        <v/>
      </c>
      <c r="EV79" s="174" t="str">
        <f t="shared" si="650"/>
        <v/>
      </c>
      <c r="EW79" s="9" t="str">
        <f t="shared" si="651"/>
        <v/>
      </c>
      <c r="EX79" s="5" t="str">
        <f t="shared" si="652"/>
        <v/>
      </c>
      <c r="EY79" s="6" t="str">
        <f t="shared" si="804"/>
        <v/>
      </c>
      <c r="EZ79" s="51" t="str">
        <f t="shared" si="805"/>
        <v/>
      </c>
      <c r="FA79" s="173" t="str">
        <f t="shared" si="653"/>
        <v/>
      </c>
      <c r="FB79" s="5" t="str">
        <f t="shared" si="654"/>
        <v/>
      </c>
      <c r="FC79" s="6" t="str">
        <f t="shared" si="655"/>
        <v/>
      </c>
      <c r="FD79" s="4" t="str">
        <f t="shared" si="656"/>
        <v/>
      </c>
      <c r="FE79" s="5" t="str">
        <f t="shared" si="657"/>
        <v/>
      </c>
      <c r="FF79" s="7" t="str">
        <f t="shared" si="806"/>
        <v/>
      </c>
      <c r="FG79" s="173" t="str">
        <f t="shared" si="658"/>
        <v/>
      </c>
      <c r="FH79" s="5" t="str">
        <f t="shared" si="659"/>
        <v/>
      </c>
      <c r="FI79" s="10" t="str">
        <f t="shared" si="660"/>
        <v/>
      </c>
      <c r="FJ79" s="279" t="str">
        <f t="shared" si="807"/>
        <v/>
      </c>
      <c r="FK79" s="4" t="str">
        <f t="shared" si="661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2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3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4"/>
        <v/>
      </c>
      <c r="GH79" s="286" t="str">
        <f t="shared" si="665"/>
        <v/>
      </c>
      <c r="GI79" s="281" t="str">
        <f t="shared" si="666"/>
        <v/>
      </c>
      <c r="GJ79" s="167" t="str">
        <f t="shared" si="823"/>
        <v/>
      </c>
      <c r="GK79" s="174" t="str">
        <f t="shared" si="667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8"/>
        <v/>
      </c>
      <c r="GT79" s="343" t="str">
        <f t="shared" si="669"/>
        <v/>
      </c>
      <c r="GU79" s="344" t="str">
        <f t="shared" si="670"/>
        <v/>
      </c>
      <c r="GV79" s="343" t="str">
        <f t="shared" si="831"/>
        <v/>
      </c>
      <c r="GW79" s="345" t="str">
        <f t="shared" si="671"/>
        <v/>
      </c>
      <c r="GX79" s="346" t="str">
        <f t="shared" si="672"/>
        <v/>
      </c>
      <c r="GY79" s="344" t="str">
        <f t="shared" si="673"/>
        <v/>
      </c>
      <c r="GZ79" s="345" t="str">
        <f t="shared" si="674"/>
        <v/>
      </c>
      <c r="HA79" s="342" t="str">
        <f t="shared" si="675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6"/>
        <v/>
      </c>
      <c r="HF79" s="5" t="str">
        <f t="shared" si="677"/>
        <v/>
      </c>
      <c r="HG79" s="343" t="str">
        <f t="shared" si="835"/>
        <v/>
      </c>
      <c r="HH79" s="349" t="str">
        <f t="shared" si="836"/>
        <v/>
      </c>
      <c r="HI79" s="317" t="str">
        <f t="shared" si="678"/>
        <v/>
      </c>
      <c r="HK79" s="310" t="str">
        <f t="shared" si="733"/>
        <v/>
      </c>
      <c r="HL79" s="348" t="str">
        <f t="shared" si="679"/>
        <v/>
      </c>
      <c r="HM79" s="935" t="str">
        <f t="shared" si="680"/>
        <v/>
      </c>
      <c r="HN79" s="936" t="str">
        <f t="shared" si="681"/>
        <v/>
      </c>
      <c r="HO79" s="937"/>
      <c r="HP79" s="938"/>
      <c r="HQ79" s="936" t="str">
        <f t="shared" si="682"/>
        <v/>
      </c>
      <c r="HR79" s="939" t="str">
        <f t="shared" si="683"/>
        <v/>
      </c>
      <c r="HS79" s="940" t="str">
        <f t="shared" si="734"/>
        <v/>
      </c>
      <c r="HT79" s="941" t="str">
        <f t="shared" si="684"/>
        <v/>
      </c>
      <c r="HU79" s="942" t="str">
        <f t="shared" si="685"/>
        <v/>
      </c>
      <c r="HV79" s="943" t="str">
        <f t="shared" si="686"/>
        <v/>
      </c>
      <c r="HW79" s="944" t="str">
        <f t="shared" si="687"/>
        <v/>
      </c>
      <c r="HX79" s="947" t="str">
        <f t="shared" si="688"/>
        <v/>
      </c>
      <c r="HY79" s="952" t="str">
        <f t="shared" si="689"/>
        <v/>
      </c>
      <c r="HZ79" s="953" t="str">
        <f t="shared" si="690"/>
        <v/>
      </c>
      <c r="IA79" s="954" t="str">
        <f t="shared" si="691"/>
        <v/>
      </c>
      <c r="IB79" s="955" t="str">
        <f t="shared" si="692"/>
        <v/>
      </c>
      <c r="IC79" s="842" t="str">
        <f t="shared" si="693"/>
        <v/>
      </c>
      <c r="ID79" s="351" t="str">
        <f t="shared" si="694"/>
        <v/>
      </c>
      <c r="IE79" s="844" t="str">
        <f t="shared" si="695"/>
        <v/>
      </c>
      <c r="IF79" s="845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37"/>
        <v/>
      </c>
      <c r="IJ79" s="96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696"/>
        <v/>
      </c>
      <c r="IM79" s="482" t="str">
        <f t="shared" si="838"/>
        <v/>
      </c>
      <c r="IN79" s="670" t="str">
        <f t="shared" si="697"/>
        <v/>
      </c>
      <c r="IO79" s="702"/>
      <c r="IP79" s="5" t="str">
        <f t="shared" si="698"/>
        <v/>
      </c>
      <c r="IQ79" s="714"/>
      <c r="IR79" s="9" t="str">
        <f t="shared" si="699"/>
        <v/>
      </c>
      <c r="IS79" s="5" t="str">
        <f t="shared" si="700"/>
        <v/>
      </c>
      <c r="IT79" s="5" t="str">
        <f t="shared" si="701"/>
        <v/>
      </c>
      <c r="IU79" s="5" t="str">
        <f t="shared" si="702"/>
        <v/>
      </c>
      <c r="IV79" s="670" t="str">
        <f t="shared" si="703"/>
        <v/>
      </c>
      <c r="IW79" s="9" t="str">
        <f t="shared" si="704"/>
        <v/>
      </c>
      <c r="IX79" s="5" t="str">
        <f t="shared" si="705"/>
        <v/>
      </c>
      <c r="IY79" s="5" t="str">
        <f t="shared" si="706"/>
        <v/>
      </c>
      <c r="IZ79" s="5" t="str">
        <f t="shared" si="707"/>
        <v/>
      </c>
      <c r="JA79" s="705" t="str">
        <f t="shared" si="708"/>
        <v/>
      </c>
    </row>
    <row r="80" spans="1:261" ht="15" customHeight="1" x14ac:dyDescent="0.25">
      <c r="A80" s="75" t="str">
        <f t="shared" si="623"/>
        <v/>
      </c>
      <c r="B80" s="578" t="str">
        <f t="shared" ref="B80:D80" si="849">IFERROR(O235+($A80*-E80),"")</f>
        <v/>
      </c>
      <c r="C80" s="572" t="str">
        <f t="shared" si="849"/>
        <v/>
      </c>
      <c r="D80" s="576" t="str">
        <f t="shared" si="849"/>
        <v/>
      </c>
      <c r="E80" s="580" t="str">
        <f t="shared" ref="E80:K80" si="850">R235</f>
        <v/>
      </c>
      <c r="F80" s="572" t="str">
        <f t="shared" si="850"/>
        <v/>
      </c>
      <c r="G80" s="579" t="str">
        <f t="shared" si="850"/>
        <v/>
      </c>
      <c r="H80" s="580" t="str">
        <f t="shared" si="850"/>
        <v/>
      </c>
      <c r="I80" s="572" t="str">
        <f t="shared" si="850"/>
        <v/>
      </c>
      <c r="J80" s="483" t="str">
        <f t="shared" si="711"/>
        <v/>
      </c>
      <c r="K80" s="806" t="str">
        <f t="shared" si="850"/>
        <v/>
      </c>
      <c r="L80" s="309"/>
      <c r="M80" s="164" t="str">
        <f t="shared" si="626"/>
        <v/>
      </c>
      <c r="N80" s="575" t="str">
        <f t="shared" si="627"/>
        <v/>
      </c>
      <c r="O80" s="572" t="str">
        <f t="shared" si="628"/>
        <v/>
      </c>
      <c r="P80" s="576" t="str">
        <f t="shared" si="629"/>
        <v/>
      </c>
      <c r="Q80" s="528" t="str">
        <f t="shared" si="71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135"/>
        <v/>
      </c>
      <c r="W80" s="528" t="str">
        <f t="shared" si="848"/>
        <v/>
      </c>
      <c r="X80" s="572" t="str">
        <f t="shared" si="97"/>
        <v/>
      </c>
      <c r="Y80" s="573" t="str">
        <f t="shared" si="841"/>
        <v/>
      </c>
      <c r="Z80" s="575" t="str">
        <f t="shared" si="630"/>
        <v/>
      </c>
      <c r="AA80" s="572" t="str">
        <f t="shared" si="631"/>
        <v/>
      </c>
      <c r="AB80" s="572" t="str">
        <f t="shared" si="632"/>
        <v/>
      </c>
      <c r="AC80" s="579" t="str">
        <f t="shared" si="98"/>
        <v/>
      </c>
      <c r="AD80" s="580" t="str">
        <f t="shared" si="136"/>
        <v/>
      </c>
      <c r="AE80" s="572" t="str">
        <f t="shared" si="99"/>
        <v/>
      </c>
      <c r="AF80" s="576" t="str">
        <f t="shared" si="100"/>
        <v/>
      </c>
      <c r="AG80" s="545" t="str">
        <f t="shared" si="101"/>
        <v/>
      </c>
      <c r="AH80" s="546" t="str">
        <f t="shared" si="102"/>
        <v/>
      </c>
      <c r="AI80" s="528" t="str">
        <f t="shared" si="103"/>
        <v/>
      </c>
      <c r="AJ80" s="529" t="str">
        <f t="shared" si="104"/>
        <v/>
      </c>
      <c r="AK80" s="578" t="str">
        <f t="shared" si="234"/>
        <v/>
      </c>
      <c r="AL80" s="572" t="str">
        <f t="shared" si="105"/>
        <v/>
      </c>
      <c r="AM80" s="577" t="str">
        <f t="shared" si="106"/>
        <v/>
      </c>
      <c r="AN80" s="524" t="str">
        <f t="shared" si="107"/>
        <v/>
      </c>
      <c r="AO80" s="525" t="str">
        <f t="shared" si="590"/>
        <v/>
      </c>
      <c r="AP80" s="528" t="str">
        <f t="shared" si="109"/>
        <v/>
      </c>
      <c r="AQ80" s="529" t="str">
        <f t="shared" si="633"/>
        <v/>
      </c>
      <c r="AS80" s="900" t="str">
        <f t="shared" si="737"/>
        <v/>
      </c>
      <c r="AT80" s="896" t="str">
        <f t="shared" si="634"/>
        <v/>
      </c>
      <c r="AU80" s="418"/>
      <c r="AV80" s="164" t="str">
        <f t="shared" si="6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6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7"/>
        <v/>
      </c>
      <c r="BF80" s="4" t="str">
        <f t="shared" si="638"/>
        <v/>
      </c>
      <c r="BG80" s="5" t="str">
        <f t="shared" si="639"/>
        <v/>
      </c>
      <c r="BH80" s="10" t="str">
        <f t="shared" si="640"/>
        <v/>
      </c>
      <c r="BI80" s="9" t="str">
        <f t="shared" si="739"/>
        <v/>
      </c>
      <c r="BJ80" s="5" t="str">
        <f t="shared" si="641"/>
        <v/>
      </c>
      <c r="BK80" s="8" t="str">
        <f t="shared" si="642"/>
        <v/>
      </c>
      <c r="BL80" s="173" t="str">
        <f t="shared" si="643"/>
        <v/>
      </c>
      <c r="BM80" s="5" t="str">
        <f t="shared" si="644"/>
        <v/>
      </c>
      <c r="BN80" s="6" t="str">
        <f t="shared" si="645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6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7"/>
        <v/>
      </c>
      <c r="ET80" s="5" t="str">
        <f t="shared" si="648"/>
        <v/>
      </c>
      <c r="EU80" s="10" t="str">
        <f t="shared" si="649"/>
        <v/>
      </c>
      <c r="EV80" s="174" t="str">
        <f t="shared" si="650"/>
        <v/>
      </c>
      <c r="EW80" s="9" t="str">
        <f t="shared" si="651"/>
        <v/>
      </c>
      <c r="EX80" s="5" t="str">
        <f t="shared" si="652"/>
        <v/>
      </c>
      <c r="EY80" s="6" t="str">
        <f t="shared" si="804"/>
        <v/>
      </c>
      <c r="EZ80" s="51" t="str">
        <f t="shared" si="805"/>
        <v/>
      </c>
      <c r="FA80" s="173" t="str">
        <f t="shared" si="653"/>
        <v/>
      </c>
      <c r="FB80" s="5" t="str">
        <f t="shared" si="654"/>
        <v/>
      </c>
      <c r="FC80" s="6" t="str">
        <f t="shared" si="655"/>
        <v/>
      </c>
      <c r="FD80" s="4" t="str">
        <f t="shared" si="656"/>
        <v/>
      </c>
      <c r="FE80" s="5" t="str">
        <f t="shared" si="657"/>
        <v/>
      </c>
      <c r="FF80" s="7" t="str">
        <f t="shared" si="806"/>
        <v/>
      </c>
      <c r="FG80" s="173" t="str">
        <f t="shared" si="658"/>
        <v/>
      </c>
      <c r="FH80" s="5" t="str">
        <f t="shared" si="659"/>
        <v/>
      </c>
      <c r="FI80" s="10" t="str">
        <f t="shared" si="660"/>
        <v/>
      </c>
      <c r="FJ80" s="279" t="str">
        <f t="shared" si="807"/>
        <v/>
      </c>
      <c r="FK80" s="4" t="str">
        <f t="shared" si="661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2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3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4"/>
        <v/>
      </c>
      <c r="GH80" s="286" t="str">
        <f t="shared" si="665"/>
        <v/>
      </c>
      <c r="GI80" s="281" t="str">
        <f t="shared" si="666"/>
        <v/>
      </c>
      <c r="GJ80" s="167" t="str">
        <f t="shared" si="823"/>
        <v/>
      </c>
      <c r="GK80" s="174" t="str">
        <f t="shared" si="667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8"/>
        <v/>
      </c>
      <c r="GT80" s="343" t="str">
        <f t="shared" si="669"/>
        <v/>
      </c>
      <c r="GU80" s="344" t="str">
        <f t="shared" si="670"/>
        <v/>
      </c>
      <c r="GV80" s="343" t="str">
        <f t="shared" si="831"/>
        <v/>
      </c>
      <c r="GW80" s="345" t="str">
        <f t="shared" si="671"/>
        <v/>
      </c>
      <c r="GX80" s="346" t="str">
        <f t="shared" si="672"/>
        <v/>
      </c>
      <c r="GY80" s="344" t="str">
        <f t="shared" si="673"/>
        <v/>
      </c>
      <c r="GZ80" s="345" t="str">
        <f t="shared" si="674"/>
        <v/>
      </c>
      <c r="HA80" s="342" t="str">
        <f t="shared" si="675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6"/>
        <v/>
      </c>
      <c r="HF80" s="5" t="str">
        <f t="shared" si="677"/>
        <v/>
      </c>
      <c r="HG80" s="343" t="str">
        <f t="shared" si="835"/>
        <v/>
      </c>
      <c r="HH80" s="349" t="str">
        <f t="shared" si="836"/>
        <v/>
      </c>
      <c r="HI80" s="317" t="str">
        <f t="shared" si="678"/>
        <v/>
      </c>
      <c r="HK80" s="310" t="str">
        <f t="shared" si="733"/>
        <v/>
      </c>
      <c r="HL80" s="348" t="str">
        <f t="shared" si="679"/>
        <v/>
      </c>
      <c r="HM80" s="935" t="str">
        <f t="shared" si="680"/>
        <v/>
      </c>
      <c r="HN80" s="936" t="str">
        <f t="shared" si="681"/>
        <v/>
      </c>
      <c r="HO80" s="937"/>
      <c r="HP80" s="938"/>
      <c r="HQ80" s="936" t="str">
        <f t="shared" si="682"/>
        <v/>
      </c>
      <c r="HR80" s="939" t="str">
        <f t="shared" si="683"/>
        <v/>
      </c>
      <c r="HS80" s="940" t="str">
        <f t="shared" si="734"/>
        <v/>
      </c>
      <c r="HT80" s="941" t="str">
        <f t="shared" si="684"/>
        <v/>
      </c>
      <c r="HU80" s="942" t="str">
        <f t="shared" si="685"/>
        <v/>
      </c>
      <c r="HV80" s="943" t="str">
        <f t="shared" si="686"/>
        <v/>
      </c>
      <c r="HW80" s="944" t="str">
        <f t="shared" si="687"/>
        <v/>
      </c>
      <c r="HX80" s="947" t="str">
        <f t="shared" si="688"/>
        <v/>
      </c>
      <c r="HY80" s="952" t="str">
        <f t="shared" si="689"/>
        <v/>
      </c>
      <c r="HZ80" s="953" t="str">
        <f t="shared" si="690"/>
        <v/>
      </c>
      <c r="IA80" s="954" t="str">
        <f t="shared" si="691"/>
        <v/>
      </c>
      <c r="IB80" s="955" t="str">
        <f t="shared" si="692"/>
        <v/>
      </c>
      <c r="IC80" s="842" t="str">
        <f t="shared" si="693"/>
        <v/>
      </c>
      <c r="ID80" s="351" t="str">
        <f t="shared" si="694"/>
        <v/>
      </c>
      <c r="IE80" s="844" t="str">
        <f t="shared" si="695"/>
        <v/>
      </c>
      <c r="IF80" s="845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37"/>
        <v/>
      </c>
      <c r="IJ80" s="96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696"/>
        <v/>
      </c>
      <c r="IM80" s="482" t="str">
        <f t="shared" si="838"/>
        <v/>
      </c>
      <c r="IN80" s="670" t="str">
        <f t="shared" si="697"/>
        <v/>
      </c>
      <c r="IO80" s="702"/>
      <c r="IP80" s="5" t="str">
        <f t="shared" si="698"/>
        <v/>
      </c>
      <c r="IQ80" s="714"/>
      <c r="IR80" s="9" t="str">
        <f t="shared" si="699"/>
        <v/>
      </c>
      <c r="IS80" s="5" t="str">
        <f t="shared" si="700"/>
        <v/>
      </c>
      <c r="IT80" s="5" t="str">
        <f t="shared" si="701"/>
        <v/>
      </c>
      <c r="IU80" s="5" t="str">
        <f t="shared" si="702"/>
        <v/>
      </c>
      <c r="IV80" s="670" t="str">
        <f t="shared" si="703"/>
        <v/>
      </c>
      <c r="IW80" s="9" t="str">
        <f t="shared" si="704"/>
        <v/>
      </c>
      <c r="IX80" s="5" t="str">
        <f t="shared" si="705"/>
        <v/>
      </c>
      <c r="IY80" s="5" t="str">
        <f t="shared" si="706"/>
        <v/>
      </c>
      <c r="IZ80" s="5" t="str">
        <f t="shared" si="707"/>
        <v/>
      </c>
      <c r="JA80" s="705" t="str">
        <f t="shared" si="708"/>
        <v/>
      </c>
    </row>
    <row r="81" spans="1:261" ht="15" customHeight="1" x14ac:dyDescent="0.25">
      <c r="A81" s="75" t="str">
        <f t="shared" si="623"/>
        <v/>
      </c>
      <c r="B81" s="578" t="str">
        <f t="shared" ref="B81:D81" si="851">IFERROR(O236+($A81*-E81),"")</f>
        <v/>
      </c>
      <c r="C81" s="572" t="str">
        <f t="shared" si="851"/>
        <v/>
      </c>
      <c r="D81" s="576" t="str">
        <f t="shared" si="851"/>
        <v/>
      </c>
      <c r="E81" s="580" t="str">
        <f t="shared" ref="E81:K81" si="852">R236</f>
        <v/>
      </c>
      <c r="F81" s="572" t="str">
        <f t="shared" si="852"/>
        <v/>
      </c>
      <c r="G81" s="579" t="str">
        <f t="shared" si="852"/>
        <v/>
      </c>
      <c r="H81" s="580" t="str">
        <f t="shared" si="852"/>
        <v/>
      </c>
      <c r="I81" s="572" t="str">
        <f t="shared" si="852"/>
        <v/>
      </c>
      <c r="J81" s="483" t="str">
        <f t="shared" si="711"/>
        <v/>
      </c>
      <c r="K81" s="806" t="str">
        <f t="shared" si="852"/>
        <v/>
      </c>
      <c r="L81" s="309"/>
      <c r="M81" s="164" t="str">
        <f t="shared" si="626"/>
        <v/>
      </c>
      <c r="N81" s="575" t="str">
        <f t="shared" si="627"/>
        <v/>
      </c>
      <c r="O81" s="572" t="str">
        <f t="shared" si="628"/>
        <v/>
      </c>
      <c r="P81" s="576" t="str">
        <f t="shared" si="629"/>
        <v/>
      </c>
      <c r="Q81" s="528" t="str">
        <f t="shared" si="71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135"/>
        <v/>
      </c>
      <c r="W81" s="528" t="str">
        <f t="shared" si="848"/>
        <v/>
      </c>
      <c r="X81" s="572" t="str">
        <f t="shared" si="97"/>
        <v/>
      </c>
      <c r="Y81" s="573" t="str">
        <f t="shared" si="841"/>
        <v/>
      </c>
      <c r="Z81" s="575" t="str">
        <f t="shared" si="630"/>
        <v/>
      </c>
      <c r="AA81" s="572" t="str">
        <f t="shared" si="631"/>
        <v/>
      </c>
      <c r="AB81" s="572" t="str">
        <f t="shared" si="632"/>
        <v/>
      </c>
      <c r="AC81" s="579" t="str">
        <f t="shared" si="98"/>
        <v/>
      </c>
      <c r="AD81" s="580" t="str">
        <f t="shared" si="136"/>
        <v/>
      </c>
      <c r="AE81" s="572" t="str">
        <f t="shared" si="99"/>
        <v/>
      </c>
      <c r="AF81" s="576" t="str">
        <f t="shared" si="100"/>
        <v/>
      </c>
      <c r="AG81" s="545" t="str">
        <f t="shared" si="101"/>
        <v/>
      </c>
      <c r="AH81" s="546" t="str">
        <f t="shared" si="102"/>
        <v/>
      </c>
      <c r="AI81" s="528" t="str">
        <f t="shared" si="103"/>
        <v/>
      </c>
      <c r="AJ81" s="529" t="str">
        <f t="shared" si="104"/>
        <v/>
      </c>
      <c r="AK81" s="578" t="str">
        <f t="shared" si="234"/>
        <v/>
      </c>
      <c r="AL81" s="572" t="str">
        <f t="shared" si="105"/>
        <v/>
      </c>
      <c r="AM81" s="577" t="str">
        <f t="shared" si="106"/>
        <v/>
      </c>
      <c r="AN81" s="524" t="str">
        <f t="shared" si="107"/>
        <v/>
      </c>
      <c r="AO81" s="525" t="str">
        <f t="shared" si="590"/>
        <v/>
      </c>
      <c r="AP81" s="528" t="str">
        <f t="shared" si="109"/>
        <v/>
      </c>
      <c r="AQ81" s="529" t="str">
        <f t="shared" si="633"/>
        <v/>
      </c>
      <c r="AS81" s="900" t="str">
        <f t="shared" si="737"/>
        <v/>
      </c>
      <c r="AT81" s="896" t="str">
        <f t="shared" si="634"/>
        <v/>
      </c>
      <c r="AU81" s="418"/>
      <c r="AV81" s="164" t="str">
        <f t="shared" si="6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6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7"/>
        <v/>
      </c>
      <c r="BF81" s="4" t="str">
        <f t="shared" si="638"/>
        <v/>
      </c>
      <c r="BG81" s="5" t="str">
        <f t="shared" si="639"/>
        <v/>
      </c>
      <c r="BH81" s="10" t="str">
        <f t="shared" si="640"/>
        <v/>
      </c>
      <c r="BI81" s="9" t="str">
        <f t="shared" si="739"/>
        <v/>
      </c>
      <c r="BJ81" s="5" t="str">
        <f t="shared" si="641"/>
        <v/>
      </c>
      <c r="BK81" s="8" t="str">
        <f t="shared" si="642"/>
        <v/>
      </c>
      <c r="BL81" s="173" t="str">
        <f t="shared" si="643"/>
        <v/>
      </c>
      <c r="BM81" s="5" t="str">
        <f t="shared" si="644"/>
        <v/>
      </c>
      <c r="BN81" s="6" t="str">
        <f t="shared" si="645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6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7"/>
        <v/>
      </c>
      <c r="ET81" s="5" t="str">
        <f t="shared" si="648"/>
        <v/>
      </c>
      <c r="EU81" s="10" t="str">
        <f t="shared" si="649"/>
        <v/>
      </c>
      <c r="EV81" s="174" t="str">
        <f t="shared" si="650"/>
        <v/>
      </c>
      <c r="EW81" s="9" t="str">
        <f t="shared" si="651"/>
        <v/>
      </c>
      <c r="EX81" s="5" t="str">
        <f t="shared" si="652"/>
        <v/>
      </c>
      <c r="EY81" s="6" t="str">
        <f t="shared" si="804"/>
        <v/>
      </c>
      <c r="EZ81" s="51" t="str">
        <f t="shared" si="805"/>
        <v/>
      </c>
      <c r="FA81" s="173" t="str">
        <f t="shared" si="653"/>
        <v/>
      </c>
      <c r="FB81" s="5" t="str">
        <f t="shared" si="654"/>
        <v/>
      </c>
      <c r="FC81" s="6" t="str">
        <f t="shared" si="655"/>
        <v/>
      </c>
      <c r="FD81" s="4" t="str">
        <f t="shared" si="656"/>
        <v/>
      </c>
      <c r="FE81" s="5" t="str">
        <f t="shared" si="657"/>
        <v/>
      </c>
      <c r="FF81" s="7" t="str">
        <f t="shared" si="806"/>
        <v/>
      </c>
      <c r="FG81" s="173" t="str">
        <f t="shared" si="658"/>
        <v/>
      </c>
      <c r="FH81" s="5" t="str">
        <f t="shared" si="659"/>
        <v/>
      </c>
      <c r="FI81" s="10" t="str">
        <f t="shared" si="660"/>
        <v/>
      </c>
      <c r="FJ81" s="279" t="str">
        <f t="shared" si="807"/>
        <v/>
      </c>
      <c r="FK81" s="4" t="str">
        <f t="shared" si="661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2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3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4"/>
        <v/>
      </c>
      <c r="GH81" s="286" t="str">
        <f t="shared" si="665"/>
        <v/>
      </c>
      <c r="GI81" s="281" t="str">
        <f t="shared" si="666"/>
        <v/>
      </c>
      <c r="GJ81" s="167" t="str">
        <f t="shared" si="823"/>
        <v/>
      </c>
      <c r="GK81" s="174" t="str">
        <f t="shared" si="667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8"/>
        <v/>
      </c>
      <c r="GT81" s="343" t="str">
        <f t="shared" si="669"/>
        <v/>
      </c>
      <c r="GU81" s="344" t="str">
        <f t="shared" si="670"/>
        <v/>
      </c>
      <c r="GV81" s="343" t="str">
        <f t="shared" si="831"/>
        <v/>
      </c>
      <c r="GW81" s="345" t="str">
        <f t="shared" si="671"/>
        <v/>
      </c>
      <c r="GX81" s="346" t="str">
        <f t="shared" si="672"/>
        <v/>
      </c>
      <c r="GY81" s="344" t="str">
        <f t="shared" si="673"/>
        <v/>
      </c>
      <c r="GZ81" s="345" t="str">
        <f t="shared" si="674"/>
        <v/>
      </c>
      <c r="HA81" s="342" t="str">
        <f t="shared" si="675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6"/>
        <v/>
      </c>
      <c r="HF81" s="5" t="str">
        <f t="shared" si="677"/>
        <v/>
      </c>
      <c r="HG81" s="343" t="str">
        <f t="shared" si="835"/>
        <v/>
      </c>
      <c r="HH81" s="349" t="str">
        <f t="shared" si="836"/>
        <v/>
      </c>
      <c r="HI81" s="317" t="str">
        <f t="shared" si="678"/>
        <v/>
      </c>
      <c r="HK81" s="310" t="str">
        <f t="shared" si="733"/>
        <v/>
      </c>
      <c r="HL81" s="348" t="str">
        <f t="shared" si="679"/>
        <v/>
      </c>
      <c r="HM81" s="935" t="str">
        <f t="shared" si="680"/>
        <v/>
      </c>
      <c r="HN81" s="936" t="str">
        <f t="shared" si="681"/>
        <v/>
      </c>
      <c r="HO81" s="937"/>
      <c r="HP81" s="938"/>
      <c r="HQ81" s="936" t="str">
        <f t="shared" si="682"/>
        <v/>
      </c>
      <c r="HR81" s="939" t="str">
        <f t="shared" si="683"/>
        <v/>
      </c>
      <c r="HS81" s="940" t="str">
        <f t="shared" si="734"/>
        <v/>
      </c>
      <c r="HT81" s="941" t="str">
        <f t="shared" si="684"/>
        <v/>
      </c>
      <c r="HU81" s="942" t="str">
        <f t="shared" si="685"/>
        <v/>
      </c>
      <c r="HV81" s="943" t="str">
        <f t="shared" si="686"/>
        <v/>
      </c>
      <c r="HW81" s="944" t="str">
        <f t="shared" si="687"/>
        <v/>
      </c>
      <c r="HX81" s="947" t="str">
        <f t="shared" si="688"/>
        <v/>
      </c>
      <c r="HY81" s="952" t="str">
        <f t="shared" si="689"/>
        <v/>
      </c>
      <c r="HZ81" s="953" t="str">
        <f t="shared" si="690"/>
        <v/>
      </c>
      <c r="IA81" s="954" t="str">
        <f t="shared" si="691"/>
        <v/>
      </c>
      <c r="IB81" s="955" t="str">
        <f t="shared" si="692"/>
        <v/>
      </c>
      <c r="IC81" s="842" t="str">
        <f t="shared" si="693"/>
        <v/>
      </c>
      <c r="ID81" s="351" t="str">
        <f t="shared" si="694"/>
        <v/>
      </c>
      <c r="IE81" s="844" t="str">
        <f t="shared" si="695"/>
        <v/>
      </c>
      <c r="IF81" s="845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37"/>
        <v/>
      </c>
      <c r="IJ81" s="96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696"/>
        <v/>
      </c>
      <c r="IM81" s="482" t="str">
        <f t="shared" si="838"/>
        <v/>
      </c>
      <c r="IN81" s="670" t="str">
        <f t="shared" si="697"/>
        <v/>
      </c>
      <c r="IO81" s="702"/>
      <c r="IP81" s="5" t="str">
        <f t="shared" si="698"/>
        <v/>
      </c>
      <c r="IQ81" s="714"/>
      <c r="IR81" s="9" t="str">
        <f t="shared" si="699"/>
        <v/>
      </c>
      <c r="IS81" s="5" t="str">
        <f t="shared" si="700"/>
        <v/>
      </c>
      <c r="IT81" s="5" t="str">
        <f t="shared" si="701"/>
        <v/>
      </c>
      <c r="IU81" s="5" t="str">
        <f t="shared" si="702"/>
        <v/>
      </c>
      <c r="IV81" s="670" t="str">
        <f t="shared" si="703"/>
        <v/>
      </c>
      <c r="IW81" s="9" t="str">
        <f t="shared" si="704"/>
        <v/>
      </c>
      <c r="IX81" s="5" t="str">
        <f t="shared" si="705"/>
        <v/>
      </c>
      <c r="IY81" s="5" t="str">
        <f t="shared" si="706"/>
        <v/>
      </c>
      <c r="IZ81" s="5" t="str">
        <f t="shared" si="707"/>
        <v/>
      </c>
      <c r="JA81" s="705" t="str">
        <f t="shared" si="708"/>
        <v/>
      </c>
    </row>
    <row r="82" spans="1:261" ht="15" customHeight="1" x14ac:dyDescent="0.25">
      <c r="A82" s="75" t="str">
        <f t="shared" si="623"/>
        <v/>
      </c>
      <c r="B82" s="578" t="str">
        <f t="shared" ref="B82:D82" si="853">IFERROR(O237+($A82*-E82),"")</f>
        <v/>
      </c>
      <c r="C82" s="572" t="str">
        <f t="shared" si="853"/>
        <v/>
      </c>
      <c r="D82" s="576" t="str">
        <f t="shared" si="853"/>
        <v/>
      </c>
      <c r="E82" s="580" t="str">
        <f t="shared" ref="E82:K82" si="854">R237</f>
        <v/>
      </c>
      <c r="F82" s="572" t="str">
        <f t="shared" si="854"/>
        <v/>
      </c>
      <c r="G82" s="579" t="str">
        <f t="shared" si="854"/>
        <v/>
      </c>
      <c r="H82" s="580" t="str">
        <f t="shared" si="854"/>
        <v/>
      </c>
      <c r="I82" s="572" t="str">
        <f t="shared" si="854"/>
        <v/>
      </c>
      <c r="J82" s="483" t="str">
        <f t="shared" si="711"/>
        <v/>
      </c>
      <c r="K82" s="806" t="str">
        <f t="shared" si="854"/>
        <v/>
      </c>
      <c r="L82" s="309"/>
      <c r="M82" s="164" t="str">
        <f t="shared" si="626"/>
        <v/>
      </c>
      <c r="N82" s="575" t="str">
        <f t="shared" si="627"/>
        <v/>
      </c>
      <c r="O82" s="572" t="str">
        <f t="shared" si="628"/>
        <v/>
      </c>
      <c r="P82" s="576" t="str">
        <f t="shared" si="629"/>
        <v/>
      </c>
      <c r="Q82" s="528" t="str">
        <f t="shared" si="71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135"/>
        <v/>
      </c>
      <c r="W82" s="528" t="str">
        <f t="shared" si="848"/>
        <v/>
      </c>
      <c r="X82" s="572" t="str">
        <f t="shared" si="97"/>
        <v/>
      </c>
      <c r="Y82" s="573" t="str">
        <f t="shared" si="841"/>
        <v/>
      </c>
      <c r="Z82" s="575" t="str">
        <f t="shared" si="630"/>
        <v/>
      </c>
      <c r="AA82" s="572" t="str">
        <f t="shared" si="631"/>
        <v/>
      </c>
      <c r="AB82" s="572" t="str">
        <f t="shared" si="632"/>
        <v/>
      </c>
      <c r="AC82" s="579" t="str">
        <f t="shared" si="98"/>
        <v/>
      </c>
      <c r="AD82" s="580" t="str">
        <f t="shared" si="136"/>
        <v/>
      </c>
      <c r="AE82" s="572" t="str">
        <f t="shared" si="99"/>
        <v/>
      </c>
      <c r="AF82" s="576" t="str">
        <f t="shared" si="100"/>
        <v/>
      </c>
      <c r="AG82" s="545" t="str">
        <f t="shared" si="101"/>
        <v/>
      </c>
      <c r="AH82" s="546" t="str">
        <f t="shared" si="102"/>
        <v/>
      </c>
      <c r="AI82" s="528" t="str">
        <f t="shared" si="103"/>
        <v/>
      </c>
      <c r="AJ82" s="529" t="str">
        <f t="shared" si="104"/>
        <v/>
      </c>
      <c r="AK82" s="578" t="str">
        <f t="shared" si="234"/>
        <v/>
      </c>
      <c r="AL82" s="572" t="str">
        <f t="shared" si="105"/>
        <v/>
      </c>
      <c r="AM82" s="577" t="str">
        <f t="shared" si="106"/>
        <v/>
      </c>
      <c r="AN82" s="524" t="str">
        <f t="shared" si="107"/>
        <v/>
      </c>
      <c r="AO82" s="525" t="str">
        <f t="shared" si="590"/>
        <v/>
      </c>
      <c r="AP82" s="528" t="str">
        <f t="shared" si="109"/>
        <v/>
      </c>
      <c r="AQ82" s="529" t="str">
        <f t="shared" si="633"/>
        <v/>
      </c>
      <c r="AS82" s="900" t="str">
        <f t="shared" si="737"/>
        <v/>
      </c>
      <c r="AT82" s="896" t="str">
        <f t="shared" si="634"/>
        <v/>
      </c>
      <c r="AU82" s="418"/>
      <c r="AV82" s="164" t="str">
        <f t="shared" si="6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6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7"/>
        <v/>
      </c>
      <c r="BF82" s="4" t="str">
        <f t="shared" si="638"/>
        <v/>
      </c>
      <c r="BG82" s="5" t="str">
        <f t="shared" si="639"/>
        <v/>
      </c>
      <c r="BH82" s="10" t="str">
        <f t="shared" si="640"/>
        <v/>
      </c>
      <c r="BI82" s="9" t="str">
        <f t="shared" si="739"/>
        <v/>
      </c>
      <c r="BJ82" s="5" t="str">
        <f t="shared" si="641"/>
        <v/>
      </c>
      <c r="BK82" s="8" t="str">
        <f t="shared" si="642"/>
        <v/>
      </c>
      <c r="BL82" s="173" t="str">
        <f t="shared" si="643"/>
        <v/>
      </c>
      <c r="BM82" s="5" t="str">
        <f t="shared" si="644"/>
        <v/>
      </c>
      <c r="BN82" s="6" t="str">
        <f t="shared" si="645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6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7"/>
        <v/>
      </c>
      <c r="ET82" s="5" t="str">
        <f t="shared" si="648"/>
        <v/>
      </c>
      <c r="EU82" s="10" t="str">
        <f t="shared" si="649"/>
        <v/>
      </c>
      <c r="EV82" s="174" t="str">
        <f t="shared" si="650"/>
        <v/>
      </c>
      <c r="EW82" s="9" t="str">
        <f t="shared" si="651"/>
        <v/>
      </c>
      <c r="EX82" s="5" t="str">
        <f t="shared" si="652"/>
        <v/>
      </c>
      <c r="EY82" s="6" t="str">
        <f t="shared" si="804"/>
        <v/>
      </c>
      <c r="EZ82" s="51" t="str">
        <f t="shared" si="805"/>
        <v/>
      </c>
      <c r="FA82" s="173" t="str">
        <f t="shared" si="653"/>
        <v/>
      </c>
      <c r="FB82" s="5" t="str">
        <f t="shared" si="654"/>
        <v/>
      </c>
      <c r="FC82" s="6" t="str">
        <f t="shared" si="655"/>
        <v/>
      </c>
      <c r="FD82" s="4" t="str">
        <f t="shared" si="656"/>
        <v/>
      </c>
      <c r="FE82" s="5" t="str">
        <f t="shared" si="657"/>
        <v/>
      </c>
      <c r="FF82" s="7" t="str">
        <f t="shared" si="806"/>
        <v/>
      </c>
      <c r="FG82" s="173" t="str">
        <f t="shared" si="658"/>
        <v/>
      </c>
      <c r="FH82" s="5" t="str">
        <f t="shared" si="659"/>
        <v/>
      </c>
      <c r="FI82" s="10" t="str">
        <f t="shared" si="660"/>
        <v/>
      </c>
      <c r="FJ82" s="279" t="str">
        <f t="shared" si="807"/>
        <v/>
      </c>
      <c r="FK82" s="4" t="str">
        <f t="shared" si="661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2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3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4"/>
        <v/>
      </c>
      <c r="GH82" s="286" t="str">
        <f t="shared" si="665"/>
        <v/>
      </c>
      <c r="GI82" s="281" t="str">
        <f t="shared" si="666"/>
        <v/>
      </c>
      <c r="GJ82" s="167" t="str">
        <f t="shared" si="823"/>
        <v/>
      </c>
      <c r="GK82" s="174" t="str">
        <f t="shared" si="667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8"/>
        <v/>
      </c>
      <c r="GT82" s="343" t="str">
        <f t="shared" si="669"/>
        <v/>
      </c>
      <c r="GU82" s="344" t="str">
        <f t="shared" si="670"/>
        <v/>
      </c>
      <c r="GV82" s="343" t="str">
        <f t="shared" si="831"/>
        <v/>
      </c>
      <c r="GW82" s="345" t="str">
        <f t="shared" si="671"/>
        <v/>
      </c>
      <c r="GX82" s="346" t="str">
        <f t="shared" si="672"/>
        <v/>
      </c>
      <c r="GY82" s="344" t="str">
        <f t="shared" si="673"/>
        <v/>
      </c>
      <c r="GZ82" s="345" t="str">
        <f t="shared" si="674"/>
        <v/>
      </c>
      <c r="HA82" s="342" t="str">
        <f t="shared" si="675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6"/>
        <v/>
      </c>
      <c r="HF82" s="5" t="str">
        <f t="shared" si="677"/>
        <v/>
      </c>
      <c r="HG82" s="343" t="str">
        <f t="shared" si="835"/>
        <v/>
      </c>
      <c r="HH82" s="349" t="str">
        <f t="shared" si="836"/>
        <v/>
      </c>
      <c r="HI82" s="317" t="str">
        <f t="shared" si="678"/>
        <v/>
      </c>
      <c r="HK82" s="310" t="str">
        <f t="shared" si="733"/>
        <v/>
      </c>
      <c r="HL82" s="348" t="str">
        <f t="shared" si="679"/>
        <v/>
      </c>
      <c r="HM82" s="935" t="str">
        <f t="shared" si="680"/>
        <v/>
      </c>
      <c r="HN82" s="936" t="str">
        <f t="shared" si="681"/>
        <v/>
      </c>
      <c r="HO82" s="937"/>
      <c r="HP82" s="938"/>
      <c r="HQ82" s="936" t="str">
        <f t="shared" si="682"/>
        <v/>
      </c>
      <c r="HR82" s="939" t="str">
        <f t="shared" si="683"/>
        <v/>
      </c>
      <c r="HS82" s="940" t="str">
        <f t="shared" si="734"/>
        <v/>
      </c>
      <c r="HT82" s="941" t="str">
        <f t="shared" si="684"/>
        <v/>
      </c>
      <c r="HU82" s="942" t="str">
        <f t="shared" si="685"/>
        <v/>
      </c>
      <c r="HV82" s="943" t="str">
        <f t="shared" si="686"/>
        <v/>
      </c>
      <c r="HW82" s="944" t="str">
        <f t="shared" si="687"/>
        <v/>
      </c>
      <c r="HX82" s="947" t="str">
        <f t="shared" si="688"/>
        <v/>
      </c>
      <c r="HY82" s="952" t="str">
        <f t="shared" si="689"/>
        <v/>
      </c>
      <c r="HZ82" s="953" t="str">
        <f t="shared" si="690"/>
        <v/>
      </c>
      <c r="IA82" s="954" t="str">
        <f t="shared" si="691"/>
        <v/>
      </c>
      <c r="IB82" s="955" t="str">
        <f t="shared" si="692"/>
        <v/>
      </c>
      <c r="IC82" s="842" t="str">
        <f t="shared" si="693"/>
        <v/>
      </c>
      <c r="ID82" s="351" t="str">
        <f t="shared" si="694"/>
        <v/>
      </c>
      <c r="IE82" s="844" t="str">
        <f t="shared" si="695"/>
        <v/>
      </c>
      <c r="IF82" s="845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37"/>
        <v/>
      </c>
      <c r="IJ82" s="96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696"/>
        <v/>
      </c>
      <c r="IM82" s="482" t="str">
        <f t="shared" si="838"/>
        <v/>
      </c>
      <c r="IN82" s="670" t="str">
        <f t="shared" si="697"/>
        <v/>
      </c>
      <c r="IO82" s="702"/>
      <c r="IP82" s="5" t="str">
        <f t="shared" si="698"/>
        <v/>
      </c>
      <c r="IQ82" s="714"/>
      <c r="IR82" s="9" t="str">
        <f t="shared" si="699"/>
        <v/>
      </c>
      <c r="IS82" s="5" t="str">
        <f t="shared" si="700"/>
        <v/>
      </c>
      <c r="IT82" s="5" t="str">
        <f t="shared" si="701"/>
        <v/>
      </c>
      <c r="IU82" s="5" t="str">
        <f t="shared" si="702"/>
        <v/>
      </c>
      <c r="IV82" s="670" t="str">
        <f t="shared" si="703"/>
        <v/>
      </c>
      <c r="IW82" s="9" t="str">
        <f t="shared" si="704"/>
        <v/>
      </c>
      <c r="IX82" s="5" t="str">
        <f t="shared" si="705"/>
        <v/>
      </c>
      <c r="IY82" s="5" t="str">
        <f t="shared" si="706"/>
        <v/>
      </c>
      <c r="IZ82" s="5" t="str">
        <f t="shared" si="707"/>
        <v/>
      </c>
      <c r="JA82" s="705" t="str">
        <f t="shared" si="708"/>
        <v/>
      </c>
    </row>
    <row r="83" spans="1:261" ht="15" customHeight="1" x14ac:dyDescent="0.25">
      <c r="A83" s="75" t="str">
        <f t="shared" si="623"/>
        <v/>
      </c>
      <c r="B83" s="578" t="str">
        <f t="shared" ref="B83:D83" si="855">IFERROR(O238+($A83*-E83),"")</f>
        <v/>
      </c>
      <c r="C83" s="572" t="str">
        <f t="shared" si="855"/>
        <v/>
      </c>
      <c r="D83" s="576" t="str">
        <f t="shared" si="855"/>
        <v/>
      </c>
      <c r="E83" s="580" t="str">
        <f t="shared" ref="E83:K83" si="856">R238</f>
        <v/>
      </c>
      <c r="F83" s="572" t="str">
        <f t="shared" si="856"/>
        <v/>
      </c>
      <c r="G83" s="579" t="str">
        <f t="shared" si="856"/>
        <v/>
      </c>
      <c r="H83" s="580" t="str">
        <f t="shared" si="856"/>
        <v/>
      </c>
      <c r="I83" s="572" t="str">
        <f t="shared" si="856"/>
        <v/>
      </c>
      <c r="J83" s="483" t="str">
        <f t="shared" si="711"/>
        <v/>
      </c>
      <c r="K83" s="806" t="str">
        <f t="shared" si="856"/>
        <v/>
      </c>
      <c r="L83" s="309"/>
      <c r="M83" s="164" t="str">
        <f t="shared" si="626"/>
        <v/>
      </c>
      <c r="N83" s="575" t="str">
        <f t="shared" si="627"/>
        <v/>
      </c>
      <c r="O83" s="572" t="str">
        <f t="shared" si="628"/>
        <v/>
      </c>
      <c r="P83" s="576" t="str">
        <f t="shared" si="629"/>
        <v/>
      </c>
      <c r="Q83" s="528" t="str">
        <f t="shared" si="71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135"/>
        <v/>
      </c>
      <c r="W83" s="528" t="str">
        <f t="shared" si="848"/>
        <v/>
      </c>
      <c r="X83" s="572" t="str">
        <f t="shared" si="97"/>
        <v/>
      </c>
      <c r="Y83" s="573" t="str">
        <f t="shared" si="841"/>
        <v/>
      </c>
      <c r="Z83" s="575" t="str">
        <f t="shared" si="630"/>
        <v/>
      </c>
      <c r="AA83" s="572" t="str">
        <f t="shared" si="631"/>
        <v/>
      </c>
      <c r="AB83" s="572" t="str">
        <f t="shared" si="632"/>
        <v/>
      </c>
      <c r="AC83" s="579" t="str">
        <f t="shared" si="98"/>
        <v/>
      </c>
      <c r="AD83" s="580" t="str">
        <f t="shared" si="136"/>
        <v/>
      </c>
      <c r="AE83" s="572" t="str">
        <f t="shared" si="99"/>
        <v/>
      </c>
      <c r="AF83" s="576" t="str">
        <f t="shared" si="100"/>
        <v/>
      </c>
      <c r="AG83" s="545" t="str">
        <f t="shared" si="101"/>
        <v/>
      </c>
      <c r="AH83" s="546" t="str">
        <f t="shared" si="102"/>
        <v/>
      </c>
      <c r="AI83" s="528" t="str">
        <f t="shared" si="103"/>
        <v/>
      </c>
      <c r="AJ83" s="529" t="str">
        <f t="shared" si="104"/>
        <v/>
      </c>
      <c r="AK83" s="578" t="str">
        <f t="shared" si="234"/>
        <v/>
      </c>
      <c r="AL83" s="572" t="str">
        <f t="shared" si="105"/>
        <v/>
      </c>
      <c r="AM83" s="577" t="str">
        <f t="shared" si="106"/>
        <v/>
      </c>
      <c r="AN83" s="524" t="str">
        <f t="shared" si="107"/>
        <v/>
      </c>
      <c r="AO83" s="525" t="str">
        <f t="shared" si="590"/>
        <v/>
      </c>
      <c r="AP83" s="528" t="str">
        <f t="shared" si="109"/>
        <v/>
      </c>
      <c r="AQ83" s="529" t="str">
        <f t="shared" si="633"/>
        <v/>
      </c>
      <c r="AS83" s="900" t="str">
        <f t="shared" si="737"/>
        <v/>
      </c>
      <c r="AT83" s="896" t="str">
        <f t="shared" si="634"/>
        <v/>
      </c>
      <c r="AU83" s="418"/>
      <c r="AV83" s="164" t="str">
        <f t="shared" si="6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6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7"/>
        <v/>
      </c>
      <c r="BF83" s="4" t="str">
        <f t="shared" si="638"/>
        <v/>
      </c>
      <c r="BG83" s="5" t="str">
        <f t="shared" si="639"/>
        <v/>
      </c>
      <c r="BH83" s="10" t="str">
        <f t="shared" si="640"/>
        <v/>
      </c>
      <c r="BI83" s="9" t="str">
        <f t="shared" si="739"/>
        <v/>
      </c>
      <c r="BJ83" s="5" t="str">
        <f t="shared" si="641"/>
        <v/>
      </c>
      <c r="BK83" s="8" t="str">
        <f t="shared" si="642"/>
        <v/>
      </c>
      <c r="BL83" s="173" t="str">
        <f t="shared" si="643"/>
        <v/>
      </c>
      <c r="BM83" s="5" t="str">
        <f t="shared" si="644"/>
        <v/>
      </c>
      <c r="BN83" s="6" t="str">
        <f t="shared" si="645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6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7"/>
        <v/>
      </c>
      <c r="ET83" s="5" t="str">
        <f t="shared" si="648"/>
        <v/>
      </c>
      <c r="EU83" s="10" t="str">
        <f t="shared" si="649"/>
        <v/>
      </c>
      <c r="EV83" s="174" t="str">
        <f t="shared" si="650"/>
        <v/>
      </c>
      <c r="EW83" s="9" t="str">
        <f t="shared" si="651"/>
        <v/>
      </c>
      <c r="EX83" s="5" t="str">
        <f t="shared" si="652"/>
        <v/>
      </c>
      <c r="EY83" s="6" t="str">
        <f t="shared" si="804"/>
        <v/>
      </c>
      <c r="EZ83" s="51" t="str">
        <f t="shared" si="805"/>
        <v/>
      </c>
      <c r="FA83" s="173" t="str">
        <f t="shared" si="653"/>
        <v/>
      </c>
      <c r="FB83" s="5" t="str">
        <f t="shared" si="654"/>
        <v/>
      </c>
      <c r="FC83" s="6" t="str">
        <f t="shared" si="655"/>
        <v/>
      </c>
      <c r="FD83" s="4" t="str">
        <f t="shared" si="656"/>
        <v/>
      </c>
      <c r="FE83" s="5" t="str">
        <f t="shared" si="657"/>
        <v/>
      </c>
      <c r="FF83" s="7" t="str">
        <f t="shared" si="806"/>
        <v/>
      </c>
      <c r="FG83" s="173" t="str">
        <f t="shared" si="658"/>
        <v/>
      </c>
      <c r="FH83" s="5" t="str">
        <f t="shared" si="659"/>
        <v/>
      </c>
      <c r="FI83" s="10" t="str">
        <f t="shared" si="660"/>
        <v/>
      </c>
      <c r="FJ83" s="279" t="str">
        <f t="shared" si="807"/>
        <v/>
      </c>
      <c r="FK83" s="4" t="str">
        <f t="shared" si="661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2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3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4"/>
        <v/>
      </c>
      <c r="GH83" s="286" t="str">
        <f t="shared" si="665"/>
        <v/>
      </c>
      <c r="GI83" s="281" t="str">
        <f t="shared" si="666"/>
        <v/>
      </c>
      <c r="GJ83" s="167" t="str">
        <f t="shared" si="823"/>
        <v/>
      </c>
      <c r="GK83" s="174" t="str">
        <f t="shared" si="667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8"/>
        <v/>
      </c>
      <c r="GT83" s="343" t="str">
        <f t="shared" si="669"/>
        <v/>
      </c>
      <c r="GU83" s="344" t="str">
        <f t="shared" si="670"/>
        <v/>
      </c>
      <c r="GV83" s="343" t="str">
        <f t="shared" si="831"/>
        <v/>
      </c>
      <c r="GW83" s="345" t="str">
        <f t="shared" si="671"/>
        <v/>
      </c>
      <c r="GX83" s="346" t="str">
        <f t="shared" si="672"/>
        <v/>
      </c>
      <c r="GY83" s="344" t="str">
        <f t="shared" si="673"/>
        <v/>
      </c>
      <c r="GZ83" s="345" t="str">
        <f t="shared" si="674"/>
        <v/>
      </c>
      <c r="HA83" s="342" t="str">
        <f t="shared" si="675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6"/>
        <v/>
      </c>
      <c r="HF83" s="5" t="str">
        <f t="shared" si="677"/>
        <v/>
      </c>
      <c r="HG83" s="343" t="str">
        <f t="shared" si="835"/>
        <v/>
      </c>
      <c r="HH83" s="349" t="str">
        <f t="shared" si="836"/>
        <v/>
      </c>
      <c r="HI83" s="317" t="str">
        <f t="shared" si="678"/>
        <v/>
      </c>
      <c r="HK83" s="310" t="str">
        <f t="shared" si="733"/>
        <v/>
      </c>
      <c r="HL83" s="348" t="str">
        <f t="shared" si="679"/>
        <v/>
      </c>
      <c r="HM83" s="935" t="str">
        <f t="shared" si="680"/>
        <v/>
      </c>
      <c r="HN83" s="936" t="str">
        <f t="shared" si="681"/>
        <v/>
      </c>
      <c r="HO83" s="937"/>
      <c r="HP83" s="938"/>
      <c r="HQ83" s="936" t="str">
        <f t="shared" si="682"/>
        <v/>
      </c>
      <c r="HR83" s="939" t="str">
        <f t="shared" si="683"/>
        <v/>
      </c>
      <c r="HS83" s="940" t="str">
        <f t="shared" si="734"/>
        <v/>
      </c>
      <c r="HT83" s="941" t="str">
        <f t="shared" si="684"/>
        <v/>
      </c>
      <c r="HU83" s="942" t="str">
        <f t="shared" si="685"/>
        <v/>
      </c>
      <c r="HV83" s="943" t="str">
        <f t="shared" si="686"/>
        <v/>
      </c>
      <c r="HW83" s="944" t="str">
        <f t="shared" si="687"/>
        <v/>
      </c>
      <c r="HX83" s="947" t="str">
        <f t="shared" si="688"/>
        <v/>
      </c>
      <c r="HY83" s="952" t="str">
        <f t="shared" si="689"/>
        <v/>
      </c>
      <c r="HZ83" s="953" t="str">
        <f t="shared" si="690"/>
        <v/>
      </c>
      <c r="IA83" s="954" t="str">
        <f t="shared" si="691"/>
        <v/>
      </c>
      <c r="IB83" s="955" t="str">
        <f t="shared" si="692"/>
        <v/>
      </c>
      <c r="IC83" s="842" t="str">
        <f t="shared" si="693"/>
        <v/>
      </c>
      <c r="ID83" s="351" t="str">
        <f t="shared" si="694"/>
        <v/>
      </c>
      <c r="IE83" s="844" t="str">
        <f t="shared" si="695"/>
        <v/>
      </c>
      <c r="IF83" s="845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37"/>
        <v/>
      </c>
      <c r="IJ83" s="96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696"/>
        <v/>
      </c>
      <c r="IM83" s="482" t="str">
        <f t="shared" si="838"/>
        <v/>
      </c>
      <c r="IN83" s="670" t="str">
        <f t="shared" si="697"/>
        <v/>
      </c>
      <c r="IO83" s="702"/>
      <c r="IP83" s="5" t="str">
        <f t="shared" si="698"/>
        <v/>
      </c>
      <c r="IQ83" s="714"/>
      <c r="IR83" s="9" t="str">
        <f t="shared" si="699"/>
        <v/>
      </c>
      <c r="IS83" s="5" t="str">
        <f t="shared" si="700"/>
        <v/>
      </c>
      <c r="IT83" s="5" t="str">
        <f t="shared" si="701"/>
        <v/>
      </c>
      <c r="IU83" s="5" t="str">
        <f t="shared" si="702"/>
        <v/>
      </c>
      <c r="IV83" s="670" t="str">
        <f t="shared" si="703"/>
        <v/>
      </c>
      <c r="IW83" s="9" t="str">
        <f t="shared" si="704"/>
        <v/>
      </c>
      <c r="IX83" s="5" t="str">
        <f t="shared" si="705"/>
        <v/>
      </c>
      <c r="IY83" s="5" t="str">
        <f t="shared" si="706"/>
        <v/>
      </c>
      <c r="IZ83" s="5" t="str">
        <f t="shared" si="707"/>
        <v/>
      </c>
      <c r="JA83" s="705" t="str">
        <f t="shared" si="708"/>
        <v/>
      </c>
    </row>
    <row r="84" spans="1:261" ht="15" customHeight="1" x14ac:dyDescent="0.25">
      <c r="A84" s="75" t="str">
        <f t="shared" si="623"/>
        <v/>
      </c>
      <c r="B84" s="578" t="str">
        <f t="shared" ref="B84:D84" si="857">IFERROR(O239+($A84*-E84),"")</f>
        <v/>
      </c>
      <c r="C84" s="572" t="str">
        <f t="shared" si="857"/>
        <v/>
      </c>
      <c r="D84" s="576" t="str">
        <f t="shared" si="857"/>
        <v/>
      </c>
      <c r="E84" s="580" t="str">
        <f t="shared" ref="E84:K84" si="858">R239</f>
        <v/>
      </c>
      <c r="F84" s="572" t="str">
        <f t="shared" si="858"/>
        <v/>
      </c>
      <c r="G84" s="579" t="str">
        <f t="shared" si="858"/>
        <v/>
      </c>
      <c r="H84" s="580" t="str">
        <f t="shared" si="858"/>
        <v/>
      </c>
      <c r="I84" s="572" t="str">
        <f t="shared" si="858"/>
        <v/>
      </c>
      <c r="J84" s="483" t="str">
        <f t="shared" si="711"/>
        <v/>
      </c>
      <c r="K84" s="806" t="str">
        <f t="shared" si="858"/>
        <v/>
      </c>
      <c r="L84" s="309"/>
      <c r="M84" s="164" t="str">
        <f t="shared" si="626"/>
        <v/>
      </c>
      <c r="N84" s="575" t="str">
        <f t="shared" si="627"/>
        <v/>
      </c>
      <c r="O84" s="572" t="str">
        <f t="shared" si="628"/>
        <v/>
      </c>
      <c r="P84" s="576" t="str">
        <f t="shared" si="629"/>
        <v/>
      </c>
      <c r="Q84" s="528" t="str">
        <f t="shared" si="71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135"/>
        <v/>
      </c>
      <c r="W84" s="528" t="str">
        <f t="shared" si="848"/>
        <v/>
      </c>
      <c r="X84" s="572" t="str">
        <f t="shared" si="97"/>
        <v/>
      </c>
      <c r="Y84" s="573" t="str">
        <f t="shared" si="841"/>
        <v/>
      </c>
      <c r="Z84" s="575" t="str">
        <f t="shared" si="630"/>
        <v/>
      </c>
      <c r="AA84" s="572" t="str">
        <f t="shared" si="631"/>
        <v/>
      </c>
      <c r="AB84" s="572" t="str">
        <f t="shared" si="632"/>
        <v/>
      </c>
      <c r="AC84" s="579" t="str">
        <f t="shared" si="98"/>
        <v/>
      </c>
      <c r="AD84" s="580" t="str">
        <f t="shared" si="136"/>
        <v/>
      </c>
      <c r="AE84" s="572" t="str">
        <f t="shared" si="99"/>
        <v/>
      </c>
      <c r="AF84" s="576" t="str">
        <f t="shared" si="100"/>
        <v/>
      </c>
      <c r="AG84" s="545" t="str">
        <f t="shared" si="101"/>
        <v/>
      </c>
      <c r="AH84" s="546" t="str">
        <f t="shared" si="102"/>
        <v/>
      </c>
      <c r="AI84" s="528" t="str">
        <f t="shared" si="103"/>
        <v/>
      </c>
      <c r="AJ84" s="529" t="str">
        <f t="shared" si="104"/>
        <v/>
      </c>
      <c r="AK84" s="578" t="str">
        <f t="shared" si="234"/>
        <v/>
      </c>
      <c r="AL84" s="572" t="str">
        <f t="shared" si="105"/>
        <v/>
      </c>
      <c r="AM84" s="577" t="str">
        <f t="shared" si="106"/>
        <v/>
      </c>
      <c r="AN84" s="524" t="str">
        <f t="shared" si="107"/>
        <v/>
      </c>
      <c r="AO84" s="525" t="str">
        <f t="shared" si="590"/>
        <v/>
      </c>
      <c r="AP84" s="528" t="str">
        <f t="shared" si="109"/>
        <v/>
      </c>
      <c r="AQ84" s="529" t="str">
        <f t="shared" si="633"/>
        <v/>
      </c>
      <c r="AS84" s="900" t="str">
        <f t="shared" si="737"/>
        <v/>
      </c>
      <c r="AT84" s="896" t="str">
        <f t="shared" si="634"/>
        <v/>
      </c>
      <c r="AU84" s="418"/>
      <c r="AV84" s="164" t="str">
        <f t="shared" si="6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6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7"/>
        <v/>
      </c>
      <c r="BF84" s="4" t="str">
        <f t="shared" si="638"/>
        <v/>
      </c>
      <c r="BG84" s="5" t="str">
        <f t="shared" si="639"/>
        <v/>
      </c>
      <c r="BH84" s="10" t="str">
        <f t="shared" si="640"/>
        <v/>
      </c>
      <c r="BI84" s="9" t="str">
        <f t="shared" si="739"/>
        <v/>
      </c>
      <c r="BJ84" s="5" t="str">
        <f t="shared" si="641"/>
        <v/>
      </c>
      <c r="BK84" s="8" t="str">
        <f t="shared" si="642"/>
        <v/>
      </c>
      <c r="BL84" s="173" t="str">
        <f t="shared" si="643"/>
        <v/>
      </c>
      <c r="BM84" s="5" t="str">
        <f t="shared" si="644"/>
        <v/>
      </c>
      <c r="BN84" s="6" t="str">
        <f t="shared" si="645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6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7"/>
        <v/>
      </c>
      <c r="ET84" s="5" t="str">
        <f t="shared" si="648"/>
        <v/>
      </c>
      <c r="EU84" s="10" t="str">
        <f t="shared" si="649"/>
        <v/>
      </c>
      <c r="EV84" s="174" t="str">
        <f t="shared" si="650"/>
        <v/>
      </c>
      <c r="EW84" s="9" t="str">
        <f t="shared" si="651"/>
        <v/>
      </c>
      <c r="EX84" s="5" t="str">
        <f t="shared" si="652"/>
        <v/>
      </c>
      <c r="EY84" s="6" t="str">
        <f t="shared" si="804"/>
        <v/>
      </c>
      <c r="EZ84" s="51" t="str">
        <f t="shared" si="805"/>
        <v/>
      </c>
      <c r="FA84" s="173" t="str">
        <f t="shared" si="653"/>
        <v/>
      </c>
      <c r="FB84" s="5" t="str">
        <f t="shared" si="654"/>
        <v/>
      </c>
      <c r="FC84" s="6" t="str">
        <f t="shared" si="655"/>
        <v/>
      </c>
      <c r="FD84" s="4" t="str">
        <f t="shared" si="656"/>
        <v/>
      </c>
      <c r="FE84" s="5" t="str">
        <f t="shared" si="657"/>
        <v/>
      </c>
      <c r="FF84" s="7" t="str">
        <f t="shared" si="806"/>
        <v/>
      </c>
      <c r="FG84" s="173" t="str">
        <f t="shared" si="658"/>
        <v/>
      </c>
      <c r="FH84" s="5" t="str">
        <f t="shared" si="659"/>
        <v/>
      </c>
      <c r="FI84" s="10" t="str">
        <f t="shared" si="660"/>
        <v/>
      </c>
      <c r="FJ84" s="279" t="str">
        <f t="shared" si="807"/>
        <v/>
      </c>
      <c r="FK84" s="4" t="str">
        <f t="shared" si="661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2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3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4"/>
        <v/>
      </c>
      <c r="GH84" s="286" t="str">
        <f t="shared" si="665"/>
        <v/>
      </c>
      <c r="GI84" s="281" t="str">
        <f t="shared" si="666"/>
        <v/>
      </c>
      <c r="GJ84" s="167" t="str">
        <f t="shared" si="823"/>
        <v/>
      </c>
      <c r="GK84" s="174" t="str">
        <f t="shared" si="667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8"/>
        <v/>
      </c>
      <c r="GT84" s="343" t="str">
        <f t="shared" si="669"/>
        <v/>
      </c>
      <c r="GU84" s="344" t="str">
        <f t="shared" si="670"/>
        <v/>
      </c>
      <c r="GV84" s="343" t="str">
        <f t="shared" si="831"/>
        <v/>
      </c>
      <c r="GW84" s="345" t="str">
        <f t="shared" si="671"/>
        <v/>
      </c>
      <c r="GX84" s="346" t="str">
        <f t="shared" si="672"/>
        <v/>
      </c>
      <c r="GY84" s="344" t="str">
        <f t="shared" si="673"/>
        <v/>
      </c>
      <c r="GZ84" s="345" t="str">
        <f t="shared" si="674"/>
        <v/>
      </c>
      <c r="HA84" s="342" t="str">
        <f t="shared" si="675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6"/>
        <v/>
      </c>
      <c r="HF84" s="5" t="str">
        <f t="shared" si="677"/>
        <v/>
      </c>
      <c r="HG84" s="343" t="str">
        <f t="shared" si="835"/>
        <v/>
      </c>
      <c r="HH84" s="349" t="str">
        <f t="shared" si="836"/>
        <v/>
      </c>
      <c r="HI84" s="317" t="str">
        <f t="shared" si="678"/>
        <v/>
      </c>
      <c r="HK84" s="310" t="str">
        <f t="shared" si="733"/>
        <v/>
      </c>
      <c r="HL84" s="348" t="str">
        <f t="shared" si="679"/>
        <v/>
      </c>
      <c r="HM84" s="935" t="str">
        <f t="shared" si="680"/>
        <v/>
      </c>
      <c r="HN84" s="936" t="str">
        <f t="shared" si="681"/>
        <v/>
      </c>
      <c r="HO84" s="937"/>
      <c r="HP84" s="938"/>
      <c r="HQ84" s="936" t="str">
        <f t="shared" si="682"/>
        <v/>
      </c>
      <c r="HR84" s="939" t="str">
        <f t="shared" si="683"/>
        <v/>
      </c>
      <c r="HS84" s="940" t="str">
        <f t="shared" si="734"/>
        <v/>
      </c>
      <c r="HT84" s="941" t="str">
        <f t="shared" si="684"/>
        <v/>
      </c>
      <c r="HU84" s="942" t="str">
        <f t="shared" si="685"/>
        <v/>
      </c>
      <c r="HV84" s="943" t="str">
        <f t="shared" si="686"/>
        <v/>
      </c>
      <c r="HW84" s="944" t="str">
        <f t="shared" si="687"/>
        <v/>
      </c>
      <c r="HX84" s="947" t="str">
        <f t="shared" si="688"/>
        <v/>
      </c>
      <c r="HY84" s="952" t="str">
        <f t="shared" si="689"/>
        <v/>
      </c>
      <c r="HZ84" s="953" t="str">
        <f t="shared" si="690"/>
        <v/>
      </c>
      <c r="IA84" s="954" t="str">
        <f t="shared" si="691"/>
        <v/>
      </c>
      <c r="IB84" s="955" t="str">
        <f t="shared" si="692"/>
        <v/>
      </c>
      <c r="IC84" s="842" t="str">
        <f t="shared" si="693"/>
        <v/>
      </c>
      <c r="ID84" s="351" t="str">
        <f t="shared" si="694"/>
        <v/>
      </c>
      <c r="IE84" s="844" t="str">
        <f t="shared" si="695"/>
        <v/>
      </c>
      <c r="IF84" s="845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37"/>
        <v/>
      </c>
      <c r="IJ84" s="96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696"/>
        <v/>
      </c>
      <c r="IM84" s="482" t="str">
        <f t="shared" si="838"/>
        <v/>
      </c>
      <c r="IN84" s="670" t="str">
        <f t="shared" si="697"/>
        <v/>
      </c>
      <c r="IO84" s="702"/>
      <c r="IP84" s="5" t="str">
        <f t="shared" si="698"/>
        <v/>
      </c>
      <c r="IQ84" s="714"/>
      <c r="IR84" s="9" t="str">
        <f t="shared" si="699"/>
        <v/>
      </c>
      <c r="IS84" s="5" t="str">
        <f t="shared" si="700"/>
        <v/>
      </c>
      <c r="IT84" s="5" t="str">
        <f t="shared" si="701"/>
        <v/>
      </c>
      <c r="IU84" s="5" t="str">
        <f t="shared" si="702"/>
        <v/>
      </c>
      <c r="IV84" s="670" t="str">
        <f t="shared" si="703"/>
        <v/>
      </c>
      <c r="IW84" s="9" t="str">
        <f t="shared" si="704"/>
        <v/>
      </c>
      <c r="IX84" s="5" t="str">
        <f t="shared" si="705"/>
        <v/>
      </c>
      <c r="IY84" s="5" t="str">
        <f t="shared" si="706"/>
        <v/>
      </c>
      <c r="IZ84" s="5" t="str">
        <f t="shared" si="707"/>
        <v/>
      </c>
      <c r="JA84" s="705" t="str">
        <f t="shared" si="708"/>
        <v/>
      </c>
    </row>
    <row r="85" spans="1:261" ht="15" customHeight="1" x14ac:dyDescent="0.25">
      <c r="A85" s="75" t="str">
        <f t="shared" si="623"/>
        <v/>
      </c>
      <c r="B85" s="578" t="str">
        <f t="shared" ref="B85:D85" si="859">IFERROR(O240+($A85*-E85),"")</f>
        <v/>
      </c>
      <c r="C85" s="572" t="str">
        <f t="shared" si="859"/>
        <v/>
      </c>
      <c r="D85" s="576" t="str">
        <f t="shared" si="859"/>
        <v/>
      </c>
      <c r="E85" s="580" t="str">
        <f t="shared" ref="E85:K85" si="860">R240</f>
        <v/>
      </c>
      <c r="F85" s="572" t="str">
        <f t="shared" si="860"/>
        <v/>
      </c>
      <c r="G85" s="579" t="str">
        <f t="shared" si="860"/>
        <v/>
      </c>
      <c r="H85" s="580" t="str">
        <f t="shared" si="860"/>
        <v/>
      </c>
      <c r="I85" s="572" t="str">
        <f t="shared" si="860"/>
        <v/>
      </c>
      <c r="J85" s="483" t="str">
        <f t="shared" si="711"/>
        <v/>
      </c>
      <c r="K85" s="806" t="str">
        <f t="shared" si="860"/>
        <v/>
      </c>
      <c r="L85" s="309"/>
      <c r="M85" s="164" t="str">
        <f t="shared" si="626"/>
        <v/>
      </c>
      <c r="N85" s="575" t="str">
        <f t="shared" si="627"/>
        <v/>
      </c>
      <c r="O85" s="572" t="str">
        <f t="shared" si="628"/>
        <v/>
      </c>
      <c r="P85" s="576" t="str">
        <f t="shared" si="629"/>
        <v/>
      </c>
      <c r="Q85" s="528" t="str">
        <f t="shared" si="71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135"/>
        <v/>
      </c>
      <c r="W85" s="528" t="str">
        <f t="shared" si="848"/>
        <v/>
      </c>
      <c r="X85" s="572" t="str">
        <f t="shared" si="97"/>
        <v/>
      </c>
      <c r="Y85" s="573" t="str">
        <f t="shared" si="841"/>
        <v/>
      </c>
      <c r="Z85" s="575" t="str">
        <f t="shared" si="630"/>
        <v/>
      </c>
      <c r="AA85" s="572" t="str">
        <f t="shared" si="631"/>
        <v/>
      </c>
      <c r="AB85" s="572" t="str">
        <f t="shared" si="632"/>
        <v/>
      </c>
      <c r="AC85" s="579" t="str">
        <f t="shared" si="98"/>
        <v/>
      </c>
      <c r="AD85" s="580" t="str">
        <f t="shared" si="136"/>
        <v/>
      </c>
      <c r="AE85" s="572" t="str">
        <f t="shared" si="99"/>
        <v/>
      </c>
      <c r="AF85" s="576" t="str">
        <f t="shared" si="100"/>
        <v/>
      </c>
      <c r="AG85" s="545" t="str">
        <f t="shared" si="101"/>
        <v/>
      </c>
      <c r="AH85" s="546" t="str">
        <f t="shared" si="102"/>
        <v/>
      </c>
      <c r="AI85" s="528" t="str">
        <f t="shared" si="103"/>
        <v/>
      </c>
      <c r="AJ85" s="529" t="str">
        <f t="shared" si="104"/>
        <v/>
      </c>
      <c r="AK85" s="578" t="str">
        <f t="shared" si="234"/>
        <v/>
      </c>
      <c r="AL85" s="572" t="str">
        <f t="shared" si="105"/>
        <v/>
      </c>
      <c r="AM85" s="577" t="str">
        <f t="shared" si="106"/>
        <v/>
      </c>
      <c r="AN85" s="524" t="str">
        <f t="shared" si="107"/>
        <v/>
      </c>
      <c r="AO85" s="525" t="str">
        <f t="shared" si="590"/>
        <v/>
      </c>
      <c r="AP85" s="528" t="str">
        <f t="shared" si="109"/>
        <v/>
      </c>
      <c r="AQ85" s="529" t="str">
        <f t="shared" si="633"/>
        <v/>
      </c>
      <c r="AS85" s="900" t="str">
        <f t="shared" si="737"/>
        <v/>
      </c>
      <c r="AT85" s="896" t="str">
        <f t="shared" si="634"/>
        <v/>
      </c>
      <c r="AU85" s="418"/>
      <c r="AV85" s="164" t="str">
        <f t="shared" si="6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6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7"/>
        <v/>
      </c>
      <c r="BF85" s="4" t="str">
        <f t="shared" si="638"/>
        <v/>
      </c>
      <c r="BG85" s="5" t="str">
        <f t="shared" si="639"/>
        <v/>
      </c>
      <c r="BH85" s="10" t="str">
        <f t="shared" si="640"/>
        <v/>
      </c>
      <c r="BI85" s="9" t="str">
        <f t="shared" si="739"/>
        <v/>
      </c>
      <c r="BJ85" s="5" t="str">
        <f t="shared" si="641"/>
        <v/>
      </c>
      <c r="BK85" s="8" t="str">
        <f t="shared" si="642"/>
        <v/>
      </c>
      <c r="BL85" s="173" t="str">
        <f t="shared" si="643"/>
        <v/>
      </c>
      <c r="BM85" s="5" t="str">
        <f t="shared" si="644"/>
        <v/>
      </c>
      <c r="BN85" s="6" t="str">
        <f t="shared" si="645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6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7"/>
        <v/>
      </c>
      <c r="ET85" s="5" t="str">
        <f t="shared" si="648"/>
        <v/>
      </c>
      <c r="EU85" s="10" t="str">
        <f t="shared" si="649"/>
        <v/>
      </c>
      <c r="EV85" s="174" t="str">
        <f t="shared" si="650"/>
        <v/>
      </c>
      <c r="EW85" s="9" t="str">
        <f t="shared" si="651"/>
        <v/>
      </c>
      <c r="EX85" s="5" t="str">
        <f t="shared" si="652"/>
        <v/>
      </c>
      <c r="EY85" s="6" t="str">
        <f t="shared" si="804"/>
        <v/>
      </c>
      <c r="EZ85" s="51" t="str">
        <f t="shared" si="805"/>
        <v/>
      </c>
      <c r="FA85" s="173" t="str">
        <f t="shared" si="653"/>
        <v/>
      </c>
      <c r="FB85" s="5" t="str">
        <f t="shared" si="654"/>
        <v/>
      </c>
      <c r="FC85" s="6" t="str">
        <f t="shared" si="655"/>
        <v/>
      </c>
      <c r="FD85" s="4" t="str">
        <f t="shared" si="656"/>
        <v/>
      </c>
      <c r="FE85" s="5" t="str">
        <f t="shared" si="657"/>
        <v/>
      </c>
      <c r="FF85" s="7" t="str">
        <f t="shared" si="806"/>
        <v/>
      </c>
      <c r="FG85" s="173" t="str">
        <f t="shared" si="658"/>
        <v/>
      </c>
      <c r="FH85" s="5" t="str">
        <f t="shared" si="659"/>
        <v/>
      </c>
      <c r="FI85" s="10" t="str">
        <f t="shared" si="660"/>
        <v/>
      </c>
      <c r="FJ85" s="279" t="str">
        <f t="shared" si="807"/>
        <v/>
      </c>
      <c r="FK85" s="4" t="str">
        <f t="shared" si="661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2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3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4"/>
        <v/>
      </c>
      <c r="GH85" s="286" t="str">
        <f t="shared" si="665"/>
        <v/>
      </c>
      <c r="GI85" s="281" t="str">
        <f t="shared" si="666"/>
        <v/>
      </c>
      <c r="GJ85" s="167" t="str">
        <f t="shared" si="823"/>
        <v/>
      </c>
      <c r="GK85" s="174" t="str">
        <f t="shared" si="667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8"/>
        <v/>
      </c>
      <c r="GT85" s="343" t="str">
        <f t="shared" si="669"/>
        <v/>
      </c>
      <c r="GU85" s="344" t="str">
        <f t="shared" si="670"/>
        <v/>
      </c>
      <c r="GV85" s="343" t="str">
        <f t="shared" si="831"/>
        <v/>
      </c>
      <c r="GW85" s="345" t="str">
        <f t="shared" si="671"/>
        <v/>
      </c>
      <c r="GX85" s="346" t="str">
        <f t="shared" si="672"/>
        <v/>
      </c>
      <c r="GY85" s="344" t="str">
        <f t="shared" si="673"/>
        <v/>
      </c>
      <c r="GZ85" s="345" t="str">
        <f t="shared" si="674"/>
        <v/>
      </c>
      <c r="HA85" s="342" t="str">
        <f t="shared" si="675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6"/>
        <v/>
      </c>
      <c r="HF85" s="5" t="str">
        <f t="shared" si="677"/>
        <v/>
      </c>
      <c r="HG85" s="343" t="str">
        <f t="shared" si="835"/>
        <v/>
      </c>
      <c r="HH85" s="349" t="str">
        <f t="shared" si="836"/>
        <v/>
      </c>
      <c r="HI85" s="317" t="str">
        <f t="shared" si="678"/>
        <v/>
      </c>
      <c r="HK85" s="310" t="str">
        <f t="shared" si="733"/>
        <v/>
      </c>
      <c r="HL85" s="348" t="str">
        <f t="shared" si="679"/>
        <v/>
      </c>
      <c r="HM85" s="935" t="str">
        <f t="shared" si="680"/>
        <v/>
      </c>
      <c r="HN85" s="936" t="str">
        <f t="shared" si="681"/>
        <v/>
      </c>
      <c r="HO85" s="937"/>
      <c r="HP85" s="938"/>
      <c r="HQ85" s="936" t="str">
        <f t="shared" si="682"/>
        <v/>
      </c>
      <c r="HR85" s="939" t="str">
        <f t="shared" si="683"/>
        <v/>
      </c>
      <c r="HS85" s="940" t="str">
        <f t="shared" si="734"/>
        <v/>
      </c>
      <c r="HT85" s="941" t="str">
        <f t="shared" si="684"/>
        <v/>
      </c>
      <c r="HU85" s="942" t="str">
        <f t="shared" si="685"/>
        <v/>
      </c>
      <c r="HV85" s="943" t="str">
        <f t="shared" si="686"/>
        <v/>
      </c>
      <c r="HW85" s="944" t="str">
        <f t="shared" si="687"/>
        <v/>
      </c>
      <c r="HX85" s="947" t="str">
        <f t="shared" si="688"/>
        <v/>
      </c>
      <c r="HY85" s="952" t="str">
        <f t="shared" si="689"/>
        <v/>
      </c>
      <c r="HZ85" s="953" t="str">
        <f t="shared" si="690"/>
        <v/>
      </c>
      <c r="IA85" s="954" t="str">
        <f t="shared" si="691"/>
        <v/>
      </c>
      <c r="IB85" s="955" t="str">
        <f t="shared" si="692"/>
        <v/>
      </c>
      <c r="IC85" s="842" t="str">
        <f t="shared" si="693"/>
        <v/>
      </c>
      <c r="ID85" s="351" t="str">
        <f t="shared" si="694"/>
        <v/>
      </c>
      <c r="IE85" s="844" t="str">
        <f t="shared" si="695"/>
        <v/>
      </c>
      <c r="IF85" s="845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37"/>
        <v/>
      </c>
      <c r="IJ85" s="96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696"/>
        <v/>
      </c>
      <c r="IM85" s="482" t="str">
        <f t="shared" si="838"/>
        <v/>
      </c>
      <c r="IN85" s="670" t="str">
        <f t="shared" si="697"/>
        <v/>
      </c>
      <c r="IO85" s="702"/>
      <c r="IP85" s="5" t="str">
        <f t="shared" si="698"/>
        <v/>
      </c>
      <c r="IQ85" s="714"/>
      <c r="IR85" s="9" t="str">
        <f t="shared" si="699"/>
        <v/>
      </c>
      <c r="IS85" s="5" t="str">
        <f t="shared" si="700"/>
        <v/>
      </c>
      <c r="IT85" s="5" t="str">
        <f t="shared" si="701"/>
        <v/>
      </c>
      <c r="IU85" s="5" t="str">
        <f t="shared" si="702"/>
        <v/>
      </c>
      <c r="IV85" s="670" t="str">
        <f t="shared" si="703"/>
        <v/>
      </c>
      <c r="IW85" s="9" t="str">
        <f t="shared" si="704"/>
        <v/>
      </c>
      <c r="IX85" s="5" t="str">
        <f t="shared" si="705"/>
        <v/>
      </c>
      <c r="IY85" s="5" t="str">
        <f t="shared" si="706"/>
        <v/>
      </c>
      <c r="IZ85" s="5" t="str">
        <f t="shared" si="707"/>
        <v/>
      </c>
      <c r="JA85" s="705" t="str">
        <f t="shared" si="708"/>
        <v/>
      </c>
    </row>
    <row r="86" spans="1:261" ht="15" customHeight="1" x14ac:dyDescent="0.25">
      <c r="A86" s="75" t="str">
        <f t="shared" si="623"/>
        <v/>
      </c>
      <c r="B86" s="578" t="str">
        <f t="shared" ref="B86:D86" si="861">IFERROR(O241+($A86*-E86),"")</f>
        <v/>
      </c>
      <c r="C86" s="572" t="str">
        <f t="shared" si="861"/>
        <v/>
      </c>
      <c r="D86" s="576" t="str">
        <f t="shared" si="861"/>
        <v/>
      </c>
      <c r="E86" s="580" t="str">
        <f t="shared" ref="E86:K86" si="862">R241</f>
        <v/>
      </c>
      <c r="F86" s="572" t="str">
        <f t="shared" si="862"/>
        <v/>
      </c>
      <c r="G86" s="579" t="str">
        <f t="shared" si="862"/>
        <v/>
      </c>
      <c r="H86" s="580" t="str">
        <f t="shared" si="862"/>
        <v/>
      </c>
      <c r="I86" s="572" t="str">
        <f t="shared" si="862"/>
        <v/>
      </c>
      <c r="J86" s="483" t="str">
        <f t="shared" si="711"/>
        <v/>
      </c>
      <c r="K86" s="806" t="str">
        <f t="shared" si="862"/>
        <v/>
      </c>
      <c r="L86" s="309"/>
      <c r="M86" s="164" t="str">
        <f t="shared" si="626"/>
        <v/>
      </c>
      <c r="N86" s="575" t="str">
        <f t="shared" si="627"/>
        <v/>
      </c>
      <c r="O86" s="572" t="str">
        <f t="shared" si="628"/>
        <v/>
      </c>
      <c r="P86" s="576" t="str">
        <f t="shared" si="629"/>
        <v/>
      </c>
      <c r="Q86" s="528" t="str">
        <f t="shared" si="71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135"/>
        <v/>
      </c>
      <c r="W86" s="528" t="str">
        <f t="shared" si="848"/>
        <v/>
      </c>
      <c r="X86" s="572" t="str">
        <f t="shared" si="97"/>
        <v/>
      </c>
      <c r="Y86" s="573" t="str">
        <f t="shared" si="841"/>
        <v/>
      </c>
      <c r="Z86" s="575" t="str">
        <f t="shared" si="630"/>
        <v/>
      </c>
      <c r="AA86" s="572" t="str">
        <f t="shared" si="631"/>
        <v/>
      </c>
      <c r="AB86" s="572" t="str">
        <f t="shared" si="632"/>
        <v/>
      </c>
      <c r="AC86" s="579" t="str">
        <f t="shared" si="98"/>
        <v/>
      </c>
      <c r="AD86" s="580" t="str">
        <f t="shared" si="136"/>
        <v/>
      </c>
      <c r="AE86" s="572" t="str">
        <f t="shared" si="99"/>
        <v/>
      </c>
      <c r="AF86" s="576" t="str">
        <f t="shared" si="100"/>
        <v/>
      </c>
      <c r="AG86" s="545" t="str">
        <f t="shared" si="101"/>
        <v/>
      </c>
      <c r="AH86" s="546" t="str">
        <f t="shared" si="102"/>
        <v/>
      </c>
      <c r="AI86" s="528" t="str">
        <f t="shared" si="103"/>
        <v/>
      </c>
      <c r="AJ86" s="529" t="str">
        <f t="shared" si="104"/>
        <v/>
      </c>
      <c r="AK86" s="578" t="str">
        <f t="shared" si="234"/>
        <v/>
      </c>
      <c r="AL86" s="572" t="str">
        <f t="shared" si="105"/>
        <v/>
      </c>
      <c r="AM86" s="577" t="str">
        <f t="shared" si="106"/>
        <v/>
      </c>
      <c r="AN86" s="524" t="str">
        <f t="shared" si="107"/>
        <v/>
      </c>
      <c r="AO86" s="525" t="str">
        <f t="shared" si="590"/>
        <v/>
      </c>
      <c r="AP86" s="528" t="str">
        <f t="shared" si="109"/>
        <v/>
      </c>
      <c r="AQ86" s="529" t="str">
        <f t="shared" si="633"/>
        <v/>
      </c>
      <c r="AS86" s="900" t="str">
        <f t="shared" si="737"/>
        <v/>
      </c>
      <c r="AT86" s="896" t="str">
        <f t="shared" si="634"/>
        <v/>
      </c>
      <c r="AU86" s="418"/>
      <c r="AV86" s="164" t="str">
        <f t="shared" si="6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6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7"/>
        <v/>
      </c>
      <c r="BF86" s="4" t="str">
        <f t="shared" si="638"/>
        <v/>
      </c>
      <c r="BG86" s="5" t="str">
        <f t="shared" si="639"/>
        <v/>
      </c>
      <c r="BH86" s="10" t="str">
        <f t="shared" si="640"/>
        <v/>
      </c>
      <c r="BI86" s="9" t="str">
        <f t="shared" si="739"/>
        <v/>
      </c>
      <c r="BJ86" s="5" t="str">
        <f t="shared" si="641"/>
        <v/>
      </c>
      <c r="BK86" s="8" t="str">
        <f t="shared" si="642"/>
        <v/>
      </c>
      <c r="BL86" s="173" t="str">
        <f t="shared" si="643"/>
        <v/>
      </c>
      <c r="BM86" s="5" t="str">
        <f t="shared" si="644"/>
        <v/>
      </c>
      <c r="BN86" s="6" t="str">
        <f t="shared" si="645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6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7"/>
        <v/>
      </c>
      <c r="ET86" s="5" t="str">
        <f t="shared" si="648"/>
        <v/>
      </c>
      <c r="EU86" s="10" t="str">
        <f t="shared" si="649"/>
        <v/>
      </c>
      <c r="EV86" s="174" t="str">
        <f t="shared" si="650"/>
        <v/>
      </c>
      <c r="EW86" s="9" t="str">
        <f t="shared" si="651"/>
        <v/>
      </c>
      <c r="EX86" s="5" t="str">
        <f t="shared" si="652"/>
        <v/>
      </c>
      <c r="EY86" s="6" t="str">
        <f t="shared" si="804"/>
        <v/>
      </c>
      <c r="EZ86" s="51" t="str">
        <f t="shared" si="805"/>
        <v/>
      </c>
      <c r="FA86" s="173" t="str">
        <f t="shared" si="653"/>
        <v/>
      </c>
      <c r="FB86" s="5" t="str">
        <f t="shared" si="654"/>
        <v/>
      </c>
      <c r="FC86" s="6" t="str">
        <f t="shared" si="655"/>
        <v/>
      </c>
      <c r="FD86" s="4" t="str">
        <f t="shared" si="656"/>
        <v/>
      </c>
      <c r="FE86" s="5" t="str">
        <f t="shared" si="657"/>
        <v/>
      </c>
      <c r="FF86" s="7" t="str">
        <f t="shared" si="806"/>
        <v/>
      </c>
      <c r="FG86" s="173" t="str">
        <f t="shared" si="658"/>
        <v/>
      </c>
      <c r="FH86" s="5" t="str">
        <f t="shared" si="659"/>
        <v/>
      </c>
      <c r="FI86" s="10" t="str">
        <f t="shared" si="660"/>
        <v/>
      </c>
      <c r="FJ86" s="279" t="str">
        <f t="shared" si="807"/>
        <v/>
      </c>
      <c r="FK86" s="4" t="str">
        <f t="shared" si="661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2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3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4"/>
        <v/>
      </c>
      <c r="GH86" s="286" t="str">
        <f t="shared" si="665"/>
        <v/>
      </c>
      <c r="GI86" s="281" t="str">
        <f t="shared" si="666"/>
        <v/>
      </c>
      <c r="GJ86" s="167" t="str">
        <f t="shared" si="823"/>
        <v/>
      </c>
      <c r="GK86" s="174" t="str">
        <f t="shared" si="667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8"/>
        <v/>
      </c>
      <c r="GT86" s="343" t="str">
        <f t="shared" si="669"/>
        <v/>
      </c>
      <c r="GU86" s="344" t="str">
        <f t="shared" si="670"/>
        <v/>
      </c>
      <c r="GV86" s="343" t="str">
        <f t="shared" si="831"/>
        <v/>
      </c>
      <c r="GW86" s="345" t="str">
        <f t="shared" si="671"/>
        <v/>
      </c>
      <c r="GX86" s="346" t="str">
        <f t="shared" si="672"/>
        <v/>
      </c>
      <c r="GY86" s="344" t="str">
        <f t="shared" si="673"/>
        <v/>
      </c>
      <c r="GZ86" s="345" t="str">
        <f t="shared" si="674"/>
        <v/>
      </c>
      <c r="HA86" s="342" t="str">
        <f t="shared" si="675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6"/>
        <v/>
      </c>
      <c r="HF86" s="5" t="str">
        <f t="shared" si="677"/>
        <v/>
      </c>
      <c r="HG86" s="343" t="str">
        <f t="shared" si="835"/>
        <v/>
      </c>
      <c r="HH86" s="349" t="str">
        <f t="shared" si="836"/>
        <v/>
      </c>
      <c r="HI86" s="317" t="str">
        <f t="shared" si="678"/>
        <v/>
      </c>
      <c r="HK86" s="310" t="str">
        <f t="shared" si="733"/>
        <v/>
      </c>
      <c r="HL86" s="348" t="str">
        <f t="shared" si="679"/>
        <v/>
      </c>
      <c r="HM86" s="935" t="str">
        <f t="shared" si="680"/>
        <v/>
      </c>
      <c r="HN86" s="936" t="str">
        <f t="shared" si="681"/>
        <v/>
      </c>
      <c r="HO86" s="937"/>
      <c r="HP86" s="938"/>
      <c r="HQ86" s="936" t="str">
        <f t="shared" si="682"/>
        <v/>
      </c>
      <c r="HR86" s="939" t="str">
        <f t="shared" si="683"/>
        <v/>
      </c>
      <c r="HS86" s="940" t="str">
        <f t="shared" si="734"/>
        <v/>
      </c>
      <c r="HT86" s="941" t="str">
        <f t="shared" si="684"/>
        <v/>
      </c>
      <c r="HU86" s="942" t="str">
        <f t="shared" si="685"/>
        <v/>
      </c>
      <c r="HV86" s="943" t="str">
        <f t="shared" si="686"/>
        <v/>
      </c>
      <c r="HW86" s="944" t="str">
        <f t="shared" si="687"/>
        <v/>
      </c>
      <c r="HX86" s="947" t="str">
        <f t="shared" si="688"/>
        <v/>
      </c>
      <c r="HY86" s="952" t="str">
        <f t="shared" si="689"/>
        <v/>
      </c>
      <c r="HZ86" s="953" t="str">
        <f t="shared" si="690"/>
        <v/>
      </c>
      <c r="IA86" s="954" t="str">
        <f t="shared" si="691"/>
        <v/>
      </c>
      <c r="IB86" s="955" t="str">
        <f t="shared" si="692"/>
        <v/>
      </c>
      <c r="IC86" s="842" t="str">
        <f t="shared" si="693"/>
        <v/>
      </c>
      <c r="ID86" s="351" t="str">
        <f t="shared" si="694"/>
        <v/>
      </c>
      <c r="IE86" s="844" t="str">
        <f t="shared" si="695"/>
        <v/>
      </c>
      <c r="IF86" s="845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37"/>
        <v/>
      </c>
      <c r="IJ86" s="96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696"/>
        <v/>
      </c>
      <c r="IM86" s="482" t="str">
        <f t="shared" si="838"/>
        <v/>
      </c>
      <c r="IN86" s="670" t="str">
        <f t="shared" si="697"/>
        <v/>
      </c>
      <c r="IO86" s="702"/>
      <c r="IP86" s="5" t="str">
        <f t="shared" si="698"/>
        <v/>
      </c>
      <c r="IQ86" s="714"/>
      <c r="IR86" s="9" t="str">
        <f t="shared" si="699"/>
        <v/>
      </c>
      <c r="IS86" s="5" t="str">
        <f t="shared" si="700"/>
        <v/>
      </c>
      <c r="IT86" s="5" t="str">
        <f t="shared" si="701"/>
        <v/>
      </c>
      <c r="IU86" s="5" t="str">
        <f t="shared" si="702"/>
        <v/>
      </c>
      <c r="IV86" s="670" t="str">
        <f t="shared" si="703"/>
        <v/>
      </c>
      <c r="IW86" s="9" t="str">
        <f t="shared" si="704"/>
        <v/>
      </c>
      <c r="IX86" s="5" t="str">
        <f t="shared" si="705"/>
        <v/>
      </c>
      <c r="IY86" s="5" t="str">
        <f t="shared" si="706"/>
        <v/>
      </c>
      <c r="IZ86" s="5" t="str">
        <f t="shared" si="707"/>
        <v/>
      </c>
      <c r="JA86" s="705" t="str">
        <f t="shared" si="708"/>
        <v/>
      </c>
    </row>
    <row r="87" spans="1:261" ht="15" customHeight="1" x14ac:dyDescent="0.25">
      <c r="A87" s="75" t="str">
        <f t="shared" si="623"/>
        <v/>
      </c>
      <c r="B87" s="578" t="str">
        <f t="shared" ref="B87:D87" si="863">IFERROR(O242+($A87*-E87),"")</f>
        <v/>
      </c>
      <c r="C87" s="572" t="str">
        <f t="shared" si="863"/>
        <v/>
      </c>
      <c r="D87" s="576" t="str">
        <f t="shared" si="863"/>
        <v/>
      </c>
      <c r="E87" s="580" t="str">
        <f t="shared" ref="E87:K87" si="864">R242</f>
        <v/>
      </c>
      <c r="F87" s="572" t="str">
        <f t="shared" si="864"/>
        <v/>
      </c>
      <c r="G87" s="579" t="str">
        <f t="shared" si="864"/>
        <v/>
      </c>
      <c r="H87" s="580" t="str">
        <f t="shared" si="864"/>
        <v/>
      </c>
      <c r="I87" s="572" t="str">
        <f t="shared" si="864"/>
        <v/>
      </c>
      <c r="J87" s="483" t="str">
        <f t="shared" si="711"/>
        <v/>
      </c>
      <c r="K87" s="806" t="str">
        <f t="shared" si="864"/>
        <v/>
      </c>
      <c r="L87" s="309"/>
      <c r="M87" s="164" t="str">
        <f t="shared" si="626"/>
        <v/>
      </c>
      <c r="N87" s="575" t="str">
        <f t="shared" si="627"/>
        <v/>
      </c>
      <c r="O87" s="572" t="str">
        <f t="shared" si="628"/>
        <v/>
      </c>
      <c r="P87" s="576" t="str">
        <f t="shared" si="629"/>
        <v/>
      </c>
      <c r="Q87" s="528" t="str">
        <f t="shared" si="71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135"/>
        <v/>
      </c>
      <c r="W87" s="528" t="str">
        <f t="shared" si="848"/>
        <v/>
      </c>
      <c r="X87" s="572" t="str">
        <f t="shared" si="97"/>
        <v/>
      </c>
      <c r="Y87" s="573" t="str">
        <f t="shared" si="841"/>
        <v/>
      </c>
      <c r="Z87" s="575" t="str">
        <f t="shared" si="630"/>
        <v/>
      </c>
      <c r="AA87" s="572" t="str">
        <f t="shared" si="631"/>
        <v/>
      </c>
      <c r="AB87" s="572" t="str">
        <f t="shared" si="632"/>
        <v/>
      </c>
      <c r="AC87" s="579" t="str">
        <f t="shared" si="98"/>
        <v/>
      </c>
      <c r="AD87" s="580" t="str">
        <f t="shared" si="136"/>
        <v/>
      </c>
      <c r="AE87" s="572" t="str">
        <f t="shared" si="99"/>
        <v/>
      </c>
      <c r="AF87" s="576" t="str">
        <f t="shared" si="100"/>
        <v/>
      </c>
      <c r="AG87" s="545" t="str">
        <f t="shared" si="101"/>
        <v/>
      </c>
      <c r="AH87" s="546" t="str">
        <f t="shared" si="102"/>
        <v/>
      </c>
      <c r="AI87" s="528" t="str">
        <f t="shared" si="103"/>
        <v/>
      </c>
      <c r="AJ87" s="529" t="str">
        <f t="shared" si="104"/>
        <v/>
      </c>
      <c r="AK87" s="578" t="str">
        <f t="shared" si="234"/>
        <v/>
      </c>
      <c r="AL87" s="572" t="str">
        <f t="shared" si="105"/>
        <v/>
      </c>
      <c r="AM87" s="577" t="str">
        <f t="shared" si="106"/>
        <v/>
      </c>
      <c r="AN87" s="524" t="str">
        <f t="shared" si="107"/>
        <v/>
      </c>
      <c r="AO87" s="525" t="str">
        <f t="shared" si="590"/>
        <v/>
      </c>
      <c r="AP87" s="528" t="str">
        <f t="shared" si="109"/>
        <v/>
      </c>
      <c r="AQ87" s="529" t="str">
        <f t="shared" si="633"/>
        <v/>
      </c>
      <c r="AS87" s="900" t="str">
        <f t="shared" si="737"/>
        <v/>
      </c>
      <c r="AT87" s="896" t="str">
        <f t="shared" si="634"/>
        <v/>
      </c>
      <c r="AU87" s="418"/>
      <c r="AV87" s="164" t="str">
        <f t="shared" si="6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6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7"/>
        <v/>
      </c>
      <c r="BF87" s="4" t="str">
        <f t="shared" si="638"/>
        <v/>
      </c>
      <c r="BG87" s="5" t="str">
        <f t="shared" si="639"/>
        <v/>
      </c>
      <c r="BH87" s="10" t="str">
        <f t="shared" si="640"/>
        <v/>
      </c>
      <c r="BI87" s="9" t="str">
        <f t="shared" si="739"/>
        <v/>
      </c>
      <c r="BJ87" s="5" t="str">
        <f t="shared" si="641"/>
        <v/>
      </c>
      <c r="BK87" s="8" t="str">
        <f t="shared" si="642"/>
        <v/>
      </c>
      <c r="BL87" s="173" t="str">
        <f t="shared" si="643"/>
        <v/>
      </c>
      <c r="BM87" s="5" t="str">
        <f t="shared" si="644"/>
        <v/>
      </c>
      <c r="BN87" s="6" t="str">
        <f t="shared" si="645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6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7"/>
        <v/>
      </c>
      <c r="ET87" s="5" t="str">
        <f t="shared" si="648"/>
        <v/>
      </c>
      <c r="EU87" s="10" t="str">
        <f t="shared" si="649"/>
        <v/>
      </c>
      <c r="EV87" s="174" t="str">
        <f t="shared" si="650"/>
        <v/>
      </c>
      <c r="EW87" s="9" t="str">
        <f t="shared" si="651"/>
        <v/>
      </c>
      <c r="EX87" s="5" t="str">
        <f t="shared" si="652"/>
        <v/>
      </c>
      <c r="EY87" s="6" t="str">
        <f t="shared" si="804"/>
        <v/>
      </c>
      <c r="EZ87" s="51" t="str">
        <f t="shared" si="805"/>
        <v/>
      </c>
      <c r="FA87" s="173" t="str">
        <f t="shared" si="653"/>
        <v/>
      </c>
      <c r="FB87" s="5" t="str">
        <f t="shared" si="654"/>
        <v/>
      </c>
      <c r="FC87" s="6" t="str">
        <f t="shared" si="655"/>
        <v/>
      </c>
      <c r="FD87" s="4" t="str">
        <f t="shared" si="656"/>
        <v/>
      </c>
      <c r="FE87" s="5" t="str">
        <f t="shared" si="657"/>
        <v/>
      </c>
      <c r="FF87" s="7" t="str">
        <f t="shared" si="806"/>
        <v/>
      </c>
      <c r="FG87" s="173" t="str">
        <f t="shared" si="658"/>
        <v/>
      </c>
      <c r="FH87" s="5" t="str">
        <f t="shared" si="659"/>
        <v/>
      </c>
      <c r="FI87" s="10" t="str">
        <f t="shared" si="660"/>
        <v/>
      </c>
      <c r="FJ87" s="279" t="str">
        <f t="shared" si="807"/>
        <v/>
      </c>
      <c r="FK87" s="4" t="str">
        <f t="shared" si="661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2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3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4"/>
        <v/>
      </c>
      <c r="GH87" s="286" t="str">
        <f t="shared" si="665"/>
        <v/>
      </c>
      <c r="GI87" s="281" t="str">
        <f t="shared" si="666"/>
        <v/>
      </c>
      <c r="GJ87" s="167" t="str">
        <f t="shared" si="823"/>
        <v/>
      </c>
      <c r="GK87" s="174" t="str">
        <f t="shared" si="667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8"/>
        <v/>
      </c>
      <c r="GT87" s="343" t="str">
        <f t="shared" si="669"/>
        <v/>
      </c>
      <c r="GU87" s="344" t="str">
        <f t="shared" si="670"/>
        <v/>
      </c>
      <c r="GV87" s="343" t="str">
        <f t="shared" si="831"/>
        <v/>
      </c>
      <c r="GW87" s="345" t="str">
        <f t="shared" si="671"/>
        <v/>
      </c>
      <c r="GX87" s="346" t="str">
        <f t="shared" si="672"/>
        <v/>
      </c>
      <c r="GY87" s="344" t="str">
        <f t="shared" si="673"/>
        <v/>
      </c>
      <c r="GZ87" s="345" t="str">
        <f t="shared" si="674"/>
        <v/>
      </c>
      <c r="HA87" s="342" t="str">
        <f t="shared" si="675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6"/>
        <v/>
      </c>
      <c r="HF87" s="5" t="str">
        <f t="shared" si="677"/>
        <v/>
      </c>
      <c r="HG87" s="343" t="str">
        <f t="shared" si="835"/>
        <v/>
      </c>
      <c r="HH87" s="349" t="str">
        <f t="shared" si="836"/>
        <v/>
      </c>
      <c r="HI87" s="317" t="str">
        <f t="shared" si="678"/>
        <v/>
      </c>
      <c r="HK87" s="310" t="str">
        <f t="shared" si="733"/>
        <v/>
      </c>
      <c r="HL87" s="348" t="str">
        <f t="shared" si="679"/>
        <v/>
      </c>
      <c r="HM87" s="935" t="str">
        <f t="shared" si="680"/>
        <v/>
      </c>
      <c r="HN87" s="936" t="str">
        <f t="shared" si="681"/>
        <v/>
      </c>
      <c r="HO87" s="937"/>
      <c r="HP87" s="938"/>
      <c r="HQ87" s="936" t="str">
        <f t="shared" si="682"/>
        <v/>
      </c>
      <c r="HR87" s="939" t="str">
        <f t="shared" si="683"/>
        <v/>
      </c>
      <c r="HS87" s="940" t="str">
        <f t="shared" si="734"/>
        <v/>
      </c>
      <c r="HT87" s="941" t="str">
        <f t="shared" si="684"/>
        <v/>
      </c>
      <c r="HU87" s="942" t="str">
        <f t="shared" si="685"/>
        <v/>
      </c>
      <c r="HV87" s="943" t="str">
        <f t="shared" si="686"/>
        <v/>
      </c>
      <c r="HW87" s="944" t="str">
        <f t="shared" si="687"/>
        <v/>
      </c>
      <c r="HX87" s="947" t="str">
        <f t="shared" si="688"/>
        <v/>
      </c>
      <c r="HY87" s="952" t="str">
        <f t="shared" si="689"/>
        <v/>
      </c>
      <c r="HZ87" s="953" t="str">
        <f t="shared" si="690"/>
        <v/>
      </c>
      <c r="IA87" s="954" t="str">
        <f t="shared" si="691"/>
        <v/>
      </c>
      <c r="IB87" s="955" t="str">
        <f t="shared" si="692"/>
        <v/>
      </c>
      <c r="IC87" s="842" t="str">
        <f t="shared" si="693"/>
        <v/>
      </c>
      <c r="ID87" s="351" t="str">
        <f t="shared" si="694"/>
        <v/>
      </c>
      <c r="IE87" s="844" t="str">
        <f t="shared" si="695"/>
        <v/>
      </c>
      <c r="IF87" s="845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37"/>
        <v/>
      </c>
      <c r="IJ87" s="96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696"/>
        <v/>
      </c>
      <c r="IM87" s="482" t="str">
        <f t="shared" si="838"/>
        <v/>
      </c>
      <c r="IN87" s="670" t="str">
        <f t="shared" si="697"/>
        <v/>
      </c>
      <c r="IO87" s="702"/>
      <c r="IP87" s="5" t="str">
        <f t="shared" si="698"/>
        <v/>
      </c>
      <c r="IQ87" s="714"/>
      <c r="IR87" s="9" t="str">
        <f t="shared" si="699"/>
        <v/>
      </c>
      <c r="IS87" s="5" t="str">
        <f t="shared" si="700"/>
        <v/>
      </c>
      <c r="IT87" s="5" t="str">
        <f t="shared" si="701"/>
        <v/>
      </c>
      <c r="IU87" s="5" t="str">
        <f t="shared" si="702"/>
        <v/>
      </c>
      <c r="IV87" s="670" t="str">
        <f t="shared" si="703"/>
        <v/>
      </c>
      <c r="IW87" s="9" t="str">
        <f t="shared" si="704"/>
        <v/>
      </c>
      <c r="IX87" s="5" t="str">
        <f t="shared" si="705"/>
        <v/>
      </c>
      <c r="IY87" s="5" t="str">
        <f t="shared" si="706"/>
        <v/>
      </c>
      <c r="IZ87" s="5" t="str">
        <f t="shared" si="707"/>
        <v/>
      </c>
      <c r="JA87" s="705" t="str">
        <f t="shared" si="708"/>
        <v/>
      </c>
    </row>
    <row r="88" spans="1:261" ht="15" customHeight="1" x14ac:dyDescent="0.25">
      <c r="A88" s="75" t="str">
        <f t="shared" si="623"/>
        <v/>
      </c>
      <c r="B88" s="578" t="str">
        <f t="shared" ref="B88:D88" si="865">IFERROR(O243+($A88*-E88),"")</f>
        <v/>
      </c>
      <c r="C88" s="572" t="str">
        <f t="shared" si="865"/>
        <v/>
      </c>
      <c r="D88" s="576" t="str">
        <f t="shared" si="865"/>
        <v/>
      </c>
      <c r="E88" s="580" t="str">
        <f t="shared" ref="E88:K88" si="866">R243</f>
        <v/>
      </c>
      <c r="F88" s="572" t="str">
        <f t="shared" si="866"/>
        <v/>
      </c>
      <c r="G88" s="579" t="str">
        <f t="shared" si="866"/>
        <v/>
      </c>
      <c r="H88" s="580" t="str">
        <f t="shared" si="866"/>
        <v/>
      </c>
      <c r="I88" s="572" t="str">
        <f t="shared" si="866"/>
        <v/>
      </c>
      <c r="J88" s="483" t="str">
        <f t="shared" si="711"/>
        <v/>
      </c>
      <c r="K88" s="806" t="str">
        <f t="shared" si="866"/>
        <v/>
      </c>
      <c r="L88" s="309"/>
      <c r="M88" s="164" t="str">
        <f t="shared" si="626"/>
        <v/>
      </c>
      <c r="N88" s="575" t="str">
        <f t="shared" si="627"/>
        <v/>
      </c>
      <c r="O88" s="572" t="str">
        <f t="shared" si="628"/>
        <v/>
      </c>
      <c r="P88" s="576" t="str">
        <f t="shared" si="629"/>
        <v/>
      </c>
      <c r="Q88" s="528" t="str">
        <f t="shared" si="71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135"/>
        <v/>
      </c>
      <c r="W88" s="528" t="str">
        <f t="shared" si="848"/>
        <v/>
      </c>
      <c r="X88" s="572" t="str">
        <f t="shared" si="97"/>
        <v/>
      </c>
      <c r="Y88" s="573" t="str">
        <f t="shared" si="841"/>
        <v/>
      </c>
      <c r="Z88" s="575" t="str">
        <f t="shared" si="630"/>
        <v/>
      </c>
      <c r="AA88" s="572" t="str">
        <f t="shared" si="631"/>
        <v/>
      </c>
      <c r="AB88" s="572" t="str">
        <f t="shared" si="632"/>
        <v/>
      </c>
      <c r="AC88" s="579" t="str">
        <f t="shared" si="98"/>
        <v/>
      </c>
      <c r="AD88" s="580" t="str">
        <f t="shared" si="136"/>
        <v/>
      </c>
      <c r="AE88" s="572" t="str">
        <f t="shared" si="99"/>
        <v/>
      </c>
      <c r="AF88" s="576" t="str">
        <f t="shared" si="100"/>
        <v/>
      </c>
      <c r="AG88" s="545" t="str">
        <f t="shared" si="101"/>
        <v/>
      </c>
      <c r="AH88" s="546" t="str">
        <f t="shared" si="102"/>
        <v/>
      </c>
      <c r="AI88" s="528" t="str">
        <f t="shared" si="103"/>
        <v/>
      </c>
      <c r="AJ88" s="529" t="str">
        <f t="shared" si="104"/>
        <v/>
      </c>
      <c r="AK88" s="578" t="str">
        <f t="shared" si="234"/>
        <v/>
      </c>
      <c r="AL88" s="572" t="str">
        <f t="shared" si="105"/>
        <v/>
      </c>
      <c r="AM88" s="577" t="str">
        <f t="shared" si="106"/>
        <v/>
      </c>
      <c r="AN88" s="524" t="str">
        <f t="shared" si="107"/>
        <v/>
      </c>
      <c r="AO88" s="525" t="str">
        <f t="shared" si="590"/>
        <v/>
      </c>
      <c r="AP88" s="528" t="str">
        <f t="shared" si="109"/>
        <v/>
      </c>
      <c r="AQ88" s="529" t="str">
        <f t="shared" si="633"/>
        <v/>
      </c>
      <c r="AS88" s="900" t="str">
        <f t="shared" si="737"/>
        <v/>
      </c>
      <c r="AT88" s="896" t="str">
        <f t="shared" si="634"/>
        <v/>
      </c>
      <c r="AU88" s="418"/>
      <c r="AV88" s="164" t="str">
        <f t="shared" si="6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6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7"/>
        <v/>
      </c>
      <c r="BF88" s="4" t="str">
        <f t="shared" si="638"/>
        <v/>
      </c>
      <c r="BG88" s="5" t="str">
        <f t="shared" si="639"/>
        <v/>
      </c>
      <c r="BH88" s="10" t="str">
        <f t="shared" si="640"/>
        <v/>
      </c>
      <c r="BI88" s="9" t="str">
        <f t="shared" si="739"/>
        <v/>
      </c>
      <c r="BJ88" s="5" t="str">
        <f t="shared" si="641"/>
        <v/>
      </c>
      <c r="BK88" s="8" t="str">
        <f t="shared" si="642"/>
        <v/>
      </c>
      <c r="BL88" s="173" t="str">
        <f t="shared" si="643"/>
        <v/>
      </c>
      <c r="BM88" s="5" t="str">
        <f t="shared" si="644"/>
        <v/>
      </c>
      <c r="BN88" s="6" t="str">
        <f t="shared" si="645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6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7"/>
        <v/>
      </c>
      <c r="ET88" s="5" t="str">
        <f t="shared" si="648"/>
        <v/>
      </c>
      <c r="EU88" s="10" t="str">
        <f t="shared" si="649"/>
        <v/>
      </c>
      <c r="EV88" s="174" t="str">
        <f t="shared" si="650"/>
        <v/>
      </c>
      <c r="EW88" s="9" t="str">
        <f t="shared" si="651"/>
        <v/>
      </c>
      <c r="EX88" s="5" t="str">
        <f t="shared" si="652"/>
        <v/>
      </c>
      <c r="EY88" s="6" t="str">
        <f t="shared" si="804"/>
        <v/>
      </c>
      <c r="EZ88" s="51" t="str">
        <f t="shared" si="805"/>
        <v/>
      </c>
      <c r="FA88" s="173" t="str">
        <f t="shared" si="653"/>
        <v/>
      </c>
      <c r="FB88" s="5" t="str">
        <f t="shared" si="654"/>
        <v/>
      </c>
      <c r="FC88" s="6" t="str">
        <f t="shared" si="655"/>
        <v/>
      </c>
      <c r="FD88" s="4" t="str">
        <f t="shared" si="656"/>
        <v/>
      </c>
      <c r="FE88" s="5" t="str">
        <f t="shared" si="657"/>
        <v/>
      </c>
      <c r="FF88" s="7" t="str">
        <f t="shared" si="806"/>
        <v/>
      </c>
      <c r="FG88" s="173" t="str">
        <f t="shared" si="658"/>
        <v/>
      </c>
      <c r="FH88" s="5" t="str">
        <f t="shared" si="659"/>
        <v/>
      </c>
      <c r="FI88" s="10" t="str">
        <f t="shared" si="660"/>
        <v/>
      </c>
      <c r="FJ88" s="279" t="str">
        <f t="shared" si="807"/>
        <v/>
      </c>
      <c r="FK88" s="4" t="str">
        <f t="shared" si="661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2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3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4"/>
        <v/>
      </c>
      <c r="GH88" s="286" t="str">
        <f t="shared" si="665"/>
        <v/>
      </c>
      <c r="GI88" s="281" t="str">
        <f t="shared" si="666"/>
        <v/>
      </c>
      <c r="GJ88" s="167" t="str">
        <f t="shared" si="823"/>
        <v/>
      </c>
      <c r="GK88" s="174" t="str">
        <f t="shared" si="667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8"/>
        <v/>
      </c>
      <c r="GT88" s="343" t="str">
        <f t="shared" si="669"/>
        <v/>
      </c>
      <c r="GU88" s="344" t="str">
        <f t="shared" si="670"/>
        <v/>
      </c>
      <c r="GV88" s="343" t="str">
        <f t="shared" si="831"/>
        <v/>
      </c>
      <c r="GW88" s="345" t="str">
        <f t="shared" si="671"/>
        <v/>
      </c>
      <c r="GX88" s="346" t="str">
        <f t="shared" si="672"/>
        <v/>
      </c>
      <c r="GY88" s="344" t="str">
        <f t="shared" si="673"/>
        <v/>
      </c>
      <c r="GZ88" s="345" t="str">
        <f t="shared" si="674"/>
        <v/>
      </c>
      <c r="HA88" s="342" t="str">
        <f t="shared" si="675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6"/>
        <v/>
      </c>
      <c r="HF88" s="5" t="str">
        <f t="shared" si="677"/>
        <v/>
      </c>
      <c r="HG88" s="343" t="str">
        <f t="shared" si="835"/>
        <v/>
      </c>
      <c r="HH88" s="349" t="str">
        <f t="shared" si="836"/>
        <v/>
      </c>
      <c r="HI88" s="317" t="str">
        <f t="shared" si="678"/>
        <v/>
      </c>
      <c r="HK88" s="310" t="str">
        <f t="shared" si="733"/>
        <v/>
      </c>
      <c r="HL88" s="348" t="str">
        <f t="shared" si="679"/>
        <v/>
      </c>
      <c r="HM88" s="935" t="str">
        <f t="shared" si="680"/>
        <v/>
      </c>
      <c r="HN88" s="936" t="str">
        <f t="shared" si="681"/>
        <v/>
      </c>
      <c r="HO88" s="937"/>
      <c r="HP88" s="938"/>
      <c r="HQ88" s="936" t="str">
        <f t="shared" si="682"/>
        <v/>
      </c>
      <c r="HR88" s="939" t="str">
        <f t="shared" si="683"/>
        <v/>
      </c>
      <c r="HS88" s="940" t="str">
        <f t="shared" si="734"/>
        <v/>
      </c>
      <c r="HT88" s="941" t="str">
        <f t="shared" si="684"/>
        <v/>
      </c>
      <c r="HU88" s="942" t="str">
        <f t="shared" si="685"/>
        <v/>
      </c>
      <c r="HV88" s="943" t="str">
        <f t="shared" si="686"/>
        <v/>
      </c>
      <c r="HW88" s="944" t="str">
        <f t="shared" si="687"/>
        <v/>
      </c>
      <c r="HX88" s="947" t="str">
        <f t="shared" si="688"/>
        <v/>
      </c>
      <c r="HY88" s="952" t="str">
        <f t="shared" si="689"/>
        <v/>
      </c>
      <c r="HZ88" s="953" t="str">
        <f t="shared" si="690"/>
        <v/>
      </c>
      <c r="IA88" s="954" t="str">
        <f t="shared" si="691"/>
        <v/>
      </c>
      <c r="IB88" s="955" t="str">
        <f t="shared" si="692"/>
        <v/>
      </c>
      <c r="IC88" s="842" t="str">
        <f t="shared" si="693"/>
        <v/>
      </c>
      <c r="ID88" s="351" t="str">
        <f t="shared" si="694"/>
        <v/>
      </c>
      <c r="IE88" s="844" t="str">
        <f t="shared" si="695"/>
        <v/>
      </c>
      <c r="IF88" s="845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37"/>
        <v/>
      </c>
      <c r="IJ88" s="96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696"/>
        <v/>
      </c>
      <c r="IM88" s="482" t="str">
        <f t="shared" si="838"/>
        <v/>
      </c>
      <c r="IN88" s="670" t="str">
        <f t="shared" si="697"/>
        <v/>
      </c>
      <c r="IO88" s="702"/>
      <c r="IP88" s="5" t="str">
        <f t="shared" si="698"/>
        <v/>
      </c>
      <c r="IQ88" s="714"/>
      <c r="IR88" s="9" t="str">
        <f t="shared" si="699"/>
        <v/>
      </c>
      <c r="IS88" s="5" t="str">
        <f t="shared" si="700"/>
        <v/>
      </c>
      <c r="IT88" s="5" t="str">
        <f t="shared" si="701"/>
        <v/>
      </c>
      <c r="IU88" s="5" t="str">
        <f t="shared" si="702"/>
        <v/>
      </c>
      <c r="IV88" s="670" t="str">
        <f t="shared" si="703"/>
        <v/>
      </c>
      <c r="IW88" s="9" t="str">
        <f t="shared" si="704"/>
        <v/>
      </c>
      <c r="IX88" s="5" t="str">
        <f t="shared" si="705"/>
        <v/>
      </c>
      <c r="IY88" s="5" t="str">
        <f t="shared" si="706"/>
        <v/>
      </c>
      <c r="IZ88" s="5" t="str">
        <f t="shared" si="707"/>
        <v/>
      </c>
      <c r="JA88" s="705" t="str">
        <f t="shared" si="708"/>
        <v/>
      </c>
    </row>
    <row r="89" spans="1:261" ht="15" customHeight="1" x14ac:dyDescent="0.25">
      <c r="A89" s="75" t="str">
        <f t="shared" si="623"/>
        <v/>
      </c>
      <c r="B89" s="578" t="str">
        <f t="shared" ref="B89:D89" si="867">IFERROR(O244+($A89*-E89),"")</f>
        <v/>
      </c>
      <c r="C89" s="572" t="str">
        <f t="shared" si="867"/>
        <v/>
      </c>
      <c r="D89" s="576" t="str">
        <f t="shared" si="867"/>
        <v/>
      </c>
      <c r="E89" s="580" t="str">
        <f t="shared" ref="E89:K89" si="868">R244</f>
        <v/>
      </c>
      <c r="F89" s="572" t="str">
        <f t="shared" si="868"/>
        <v/>
      </c>
      <c r="G89" s="579" t="str">
        <f t="shared" si="868"/>
        <v/>
      </c>
      <c r="H89" s="580" t="str">
        <f t="shared" si="868"/>
        <v/>
      </c>
      <c r="I89" s="572" t="str">
        <f t="shared" si="868"/>
        <v/>
      </c>
      <c r="J89" s="483" t="str">
        <f t="shared" si="711"/>
        <v/>
      </c>
      <c r="K89" s="806" t="str">
        <f t="shared" si="868"/>
        <v/>
      </c>
      <c r="L89" s="309"/>
      <c r="M89" s="164" t="str">
        <f t="shared" si="626"/>
        <v/>
      </c>
      <c r="N89" s="575" t="str">
        <f t="shared" si="627"/>
        <v/>
      </c>
      <c r="O89" s="572" t="str">
        <f t="shared" si="628"/>
        <v/>
      </c>
      <c r="P89" s="576" t="str">
        <f t="shared" si="629"/>
        <v/>
      </c>
      <c r="Q89" s="528" t="str">
        <f t="shared" si="71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135"/>
        <v/>
      </c>
      <c r="W89" s="528" t="str">
        <f t="shared" si="848"/>
        <v/>
      </c>
      <c r="X89" s="572" t="str">
        <f t="shared" si="97"/>
        <v/>
      </c>
      <c r="Y89" s="573" t="str">
        <f t="shared" si="841"/>
        <v/>
      </c>
      <c r="Z89" s="575" t="str">
        <f t="shared" si="630"/>
        <v/>
      </c>
      <c r="AA89" s="572" t="str">
        <f t="shared" si="631"/>
        <v/>
      </c>
      <c r="AB89" s="572" t="str">
        <f t="shared" si="632"/>
        <v/>
      </c>
      <c r="AC89" s="579" t="str">
        <f t="shared" si="98"/>
        <v/>
      </c>
      <c r="AD89" s="580" t="str">
        <f t="shared" si="136"/>
        <v/>
      </c>
      <c r="AE89" s="572" t="str">
        <f t="shared" si="99"/>
        <v/>
      </c>
      <c r="AF89" s="576" t="str">
        <f t="shared" si="100"/>
        <v/>
      </c>
      <c r="AG89" s="545" t="str">
        <f t="shared" si="101"/>
        <v/>
      </c>
      <c r="AH89" s="546" t="str">
        <f t="shared" si="102"/>
        <v/>
      </c>
      <c r="AI89" s="528" t="str">
        <f t="shared" si="103"/>
        <v/>
      </c>
      <c r="AJ89" s="529" t="str">
        <f t="shared" si="104"/>
        <v/>
      </c>
      <c r="AK89" s="578" t="str">
        <f t="shared" si="234"/>
        <v/>
      </c>
      <c r="AL89" s="572" t="str">
        <f t="shared" si="105"/>
        <v/>
      </c>
      <c r="AM89" s="577" t="str">
        <f t="shared" si="106"/>
        <v/>
      </c>
      <c r="AN89" s="524" t="str">
        <f t="shared" si="107"/>
        <v/>
      </c>
      <c r="AO89" s="525" t="str">
        <f t="shared" si="590"/>
        <v/>
      </c>
      <c r="AP89" s="528" t="str">
        <f t="shared" si="109"/>
        <v/>
      </c>
      <c r="AQ89" s="529" t="str">
        <f t="shared" si="633"/>
        <v/>
      </c>
      <c r="AS89" s="900" t="str">
        <f t="shared" si="737"/>
        <v/>
      </c>
      <c r="AT89" s="896" t="str">
        <f t="shared" si="634"/>
        <v/>
      </c>
      <c r="AU89" s="418"/>
      <c r="AV89" s="164" t="str">
        <f t="shared" si="6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6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7"/>
        <v/>
      </c>
      <c r="BF89" s="4" t="str">
        <f t="shared" si="638"/>
        <v/>
      </c>
      <c r="BG89" s="5" t="str">
        <f t="shared" si="639"/>
        <v/>
      </c>
      <c r="BH89" s="10" t="str">
        <f t="shared" si="640"/>
        <v/>
      </c>
      <c r="BI89" s="9" t="str">
        <f t="shared" si="739"/>
        <v/>
      </c>
      <c r="BJ89" s="5" t="str">
        <f t="shared" si="641"/>
        <v/>
      </c>
      <c r="BK89" s="8" t="str">
        <f t="shared" si="642"/>
        <v/>
      </c>
      <c r="BL89" s="173" t="str">
        <f t="shared" si="643"/>
        <v/>
      </c>
      <c r="BM89" s="5" t="str">
        <f t="shared" si="644"/>
        <v/>
      </c>
      <c r="BN89" s="6" t="str">
        <f t="shared" si="645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6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7"/>
        <v/>
      </c>
      <c r="ET89" s="5" t="str">
        <f t="shared" si="648"/>
        <v/>
      </c>
      <c r="EU89" s="10" t="str">
        <f t="shared" si="649"/>
        <v/>
      </c>
      <c r="EV89" s="174" t="str">
        <f t="shared" si="650"/>
        <v/>
      </c>
      <c r="EW89" s="9" t="str">
        <f t="shared" si="651"/>
        <v/>
      </c>
      <c r="EX89" s="5" t="str">
        <f t="shared" si="652"/>
        <v/>
      </c>
      <c r="EY89" s="6" t="str">
        <f t="shared" si="804"/>
        <v/>
      </c>
      <c r="EZ89" s="51" t="str">
        <f t="shared" si="805"/>
        <v/>
      </c>
      <c r="FA89" s="173" t="str">
        <f t="shared" si="653"/>
        <v/>
      </c>
      <c r="FB89" s="5" t="str">
        <f t="shared" si="654"/>
        <v/>
      </c>
      <c r="FC89" s="6" t="str">
        <f t="shared" si="655"/>
        <v/>
      </c>
      <c r="FD89" s="4" t="str">
        <f t="shared" si="656"/>
        <v/>
      </c>
      <c r="FE89" s="5" t="str">
        <f t="shared" si="657"/>
        <v/>
      </c>
      <c r="FF89" s="7" t="str">
        <f t="shared" si="806"/>
        <v/>
      </c>
      <c r="FG89" s="173" t="str">
        <f t="shared" si="658"/>
        <v/>
      </c>
      <c r="FH89" s="5" t="str">
        <f t="shared" si="659"/>
        <v/>
      </c>
      <c r="FI89" s="10" t="str">
        <f t="shared" si="660"/>
        <v/>
      </c>
      <c r="FJ89" s="279" t="str">
        <f t="shared" si="807"/>
        <v/>
      </c>
      <c r="FK89" s="4" t="str">
        <f t="shared" si="661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2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3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4"/>
        <v/>
      </c>
      <c r="GH89" s="286" t="str">
        <f t="shared" si="665"/>
        <v/>
      </c>
      <c r="GI89" s="281" t="str">
        <f t="shared" si="666"/>
        <v/>
      </c>
      <c r="GJ89" s="167" t="str">
        <f t="shared" si="823"/>
        <v/>
      </c>
      <c r="GK89" s="174" t="str">
        <f t="shared" si="667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8"/>
        <v/>
      </c>
      <c r="GT89" s="343" t="str">
        <f t="shared" si="669"/>
        <v/>
      </c>
      <c r="GU89" s="344" t="str">
        <f t="shared" si="670"/>
        <v/>
      </c>
      <c r="GV89" s="343" t="str">
        <f t="shared" si="831"/>
        <v/>
      </c>
      <c r="GW89" s="345" t="str">
        <f t="shared" si="671"/>
        <v/>
      </c>
      <c r="GX89" s="346" t="str">
        <f t="shared" si="672"/>
        <v/>
      </c>
      <c r="GY89" s="344" t="str">
        <f t="shared" si="673"/>
        <v/>
      </c>
      <c r="GZ89" s="345" t="str">
        <f t="shared" si="674"/>
        <v/>
      </c>
      <c r="HA89" s="342" t="str">
        <f t="shared" si="675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6"/>
        <v/>
      </c>
      <c r="HF89" s="5" t="str">
        <f t="shared" si="677"/>
        <v/>
      </c>
      <c r="HG89" s="343" t="str">
        <f t="shared" si="835"/>
        <v/>
      </c>
      <c r="HH89" s="349" t="str">
        <f t="shared" si="836"/>
        <v/>
      </c>
      <c r="HI89" s="317" t="str">
        <f t="shared" si="678"/>
        <v/>
      </c>
      <c r="HK89" s="310" t="str">
        <f t="shared" si="733"/>
        <v/>
      </c>
      <c r="HL89" s="348" t="str">
        <f t="shared" si="679"/>
        <v/>
      </c>
      <c r="HM89" s="935" t="str">
        <f t="shared" si="680"/>
        <v/>
      </c>
      <c r="HN89" s="936" t="str">
        <f t="shared" si="681"/>
        <v/>
      </c>
      <c r="HO89" s="937"/>
      <c r="HP89" s="938"/>
      <c r="HQ89" s="936" t="str">
        <f t="shared" si="682"/>
        <v/>
      </c>
      <c r="HR89" s="939" t="str">
        <f t="shared" si="683"/>
        <v/>
      </c>
      <c r="HS89" s="940" t="str">
        <f t="shared" si="734"/>
        <v/>
      </c>
      <c r="HT89" s="941" t="str">
        <f t="shared" si="684"/>
        <v/>
      </c>
      <c r="HU89" s="942" t="str">
        <f t="shared" si="685"/>
        <v/>
      </c>
      <c r="HV89" s="943" t="str">
        <f t="shared" si="686"/>
        <v/>
      </c>
      <c r="HW89" s="944" t="str">
        <f t="shared" si="687"/>
        <v/>
      </c>
      <c r="HX89" s="947" t="str">
        <f t="shared" si="688"/>
        <v/>
      </c>
      <c r="HY89" s="952" t="str">
        <f t="shared" si="689"/>
        <v/>
      </c>
      <c r="HZ89" s="953" t="str">
        <f t="shared" si="690"/>
        <v/>
      </c>
      <c r="IA89" s="954" t="str">
        <f t="shared" si="691"/>
        <v/>
      </c>
      <c r="IB89" s="955" t="str">
        <f t="shared" si="692"/>
        <v/>
      </c>
      <c r="IC89" s="842" t="str">
        <f t="shared" si="693"/>
        <v/>
      </c>
      <c r="ID89" s="351" t="str">
        <f t="shared" si="694"/>
        <v/>
      </c>
      <c r="IE89" s="844" t="str">
        <f t="shared" si="695"/>
        <v/>
      </c>
      <c r="IF89" s="845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37"/>
        <v/>
      </c>
      <c r="IJ89" s="96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696"/>
        <v/>
      </c>
      <c r="IM89" s="482" t="str">
        <f t="shared" si="838"/>
        <v/>
      </c>
      <c r="IN89" s="670" t="str">
        <f t="shared" si="697"/>
        <v/>
      </c>
      <c r="IO89" s="702"/>
      <c r="IP89" s="5" t="str">
        <f t="shared" si="698"/>
        <v/>
      </c>
      <c r="IQ89" s="714"/>
      <c r="IR89" s="9" t="str">
        <f t="shared" si="699"/>
        <v/>
      </c>
      <c r="IS89" s="5" t="str">
        <f t="shared" si="700"/>
        <v/>
      </c>
      <c r="IT89" s="5" t="str">
        <f t="shared" si="701"/>
        <v/>
      </c>
      <c r="IU89" s="5" t="str">
        <f t="shared" si="702"/>
        <v/>
      </c>
      <c r="IV89" s="670" t="str">
        <f t="shared" si="703"/>
        <v/>
      </c>
      <c r="IW89" s="9" t="str">
        <f t="shared" si="704"/>
        <v/>
      </c>
      <c r="IX89" s="5" t="str">
        <f t="shared" si="705"/>
        <v/>
      </c>
      <c r="IY89" s="5" t="str">
        <f t="shared" si="706"/>
        <v/>
      </c>
      <c r="IZ89" s="5" t="str">
        <f t="shared" si="707"/>
        <v/>
      </c>
      <c r="JA89" s="705" t="str">
        <f t="shared" si="708"/>
        <v/>
      </c>
    </row>
    <row r="90" spans="1:261" ht="15" customHeight="1" x14ac:dyDescent="0.25">
      <c r="A90" s="75" t="str">
        <f t="shared" si="623"/>
        <v/>
      </c>
      <c r="B90" s="578" t="str">
        <f t="shared" ref="B90:D90" si="869">IFERROR(O245+($A90*-E90),"")</f>
        <v/>
      </c>
      <c r="C90" s="572" t="str">
        <f t="shared" si="869"/>
        <v/>
      </c>
      <c r="D90" s="576" t="str">
        <f t="shared" si="869"/>
        <v/>
      </c>
      <c r="E90" s="580" t="str">
        <f t="shared" ref="E90:K90" si="870">R245</f>
        <v/>
      </c>
      <c r="F90" s="572" t="str">
        <f t="shared" si="870"/>
        <v/>
      </c>
      <c r="G90" s="579" t="str">
        <f t="shared" si="870"/>
        <v/>
      </c>
      <c r="H90" s="580" t="str">
        <f t="shared" si="870"/>
        <v/>
      </c>
      <c r="I90" s="572" t="str">
        <f t="shared" si="870"/>
        <v/>
      </c>
      <c r="J90" s="483" t="str">
        <f t="shared" si="711"/>
        <v/>
      </c>
      <c r="K90" s="806" t="str">
        <f t="shared" si="870"/>
        <v/>
      </c>
      <c r="L90" s="309"/>
      <c r="M90" s="164" t="str">
        <f t="shared" si="626"/>
        <v/>
      </c>
      <c r="N90" s="575" t="str">
        <f t="shared" si="627"/>
        <v/>
      </c>
      <c r="O90" s="572" t="str">
        <f t="shared" si="628"/>
        <v/>
      </c>
      <c r="P90" s="576" t="str">
        <f t="shared" si="629"/>
        <v/>
      </c>
      <c r="Q90" s="528" t="str">
        <f t="shared" si="71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135"/>
        <v/>
      </c>
      <c r="W90" s="528" t="str">
        <f t="shared" si="848"/>
        <v/>
      </c>
      <c r="X90" s="572" t="str">
        <f t="shared" si="97"/>
        <v/>
      </c>
      <c r="Y90" s="573" t="str">
        <f t="shared" si="841"/>
        <v/>
      </c>
      <c r="Z90" s="575" t="str">
        <f t="shared" si="630"/>
        <v/>
      </c>
      <c r="AA90" s="572" t="str">
        <f t="shared" si="631"/>
        <v/>
      </c>
      <c r="AB90" s="572" t="str">
        <f t="shared" si="632"/>
        <v/>
      </c>
      <c r="AC90" s="579" t="str">
        <f t="shared" si="98"/>
        <v/>
      </c>
      <c r="AD90" s="580" t="str">
        <f t="shared" si="136"/>
        <v/>
      </c>
      <c r="AE90" s="572" t="str">
        <f t="shared" si="99"/>
        <v/>
      </c>
      <c r="AF90" s="576" t="str">
        <f t="shared" si="100"/>
        <v/>
      </c>
      <c r="AG90" s="545" t="str">
        <f t="shared" si="101"/>
        <v/>
      </c>
      <c r="AH90" s="546" t="str">
        <f t="shared" si="102"/>
        <v/>
      </c>
      <c r="AI90" s="528" t="str">
        <f t="shared" si="103"/>
        <v/>
      </c>
      <c r="AJ90" s="529" t="str">
        <f t="shared" si="104"/>
        <v/>
      </c>
      <c r="AK90" s="578" t="str">
        <f t="shared" si="234"/>
        <v/>
      </c>
      <c r="AL90" s="572" t="str">
        <f t="shared" si="105"/>
        <v/>
      </c>
      <c r="AM90" s="577" t="str">
        <f t="shared" si="106"/>
        <v/>
      </c>
      <c r="AN90" s="524" t="str">
        <f t="shared" si="107"/>
        <v/>
      </c>
      <c r="AO90" s="525" t="str">
        <f t="shared" si="590"/>
        <v/>
      </c>
      <c r="AP90" s="528" t="str">
        <f t="shared" si="109"/>
        <v/>
      </c>
      <c r="AQ90" s="529" t="str">
        <f t="shared" si="633"/>
        <v/>
      </c>
      <c r="AS90" s="900" t="str">
        <f t="shared" si="737"/>
        <v/>
      </c>
      <c r="AT90" s="896" t="str">
        <f t="shared" si="634"/>
        <v/>
      </c>
      <c r="AU90" s="418"/>
      <c r="AV90" s="164" t="str">
        <f t="shared" si="6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6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7"/>
        <v/>
      </c>
      <c r="BF90" s="4" t="str">
        <f t="shared" si="638"/>
        <v/>
      </c>
      <c r="BG90" s="5" t="str">
        <f t="shared" si="639"/>
        <v/>
      </c>
      <c r="BH90" s="10" t="str">
        <f t="shared" si="640"/>
        <v/>
      </c>
      <c r="BI90" s="9" t="str">
        <f t="shared" si="739"/>
        <v/>
      </c>
      <c r="BJ90" s="5" t="str">
        <f t="shared" si="641"/>
        <v/>
      </c>
      <c r="BK90" s="8" t="str">
        <f t="shared" si="642"/>
        <v/>
      </c>
      <c r="BL90" s="173" t="str">
        <f t="shared" si="643"/>
        <v/>
      </c>
      <c r="BM90" s="5" t="str">
        <f t="shared" si="644"/>
        <v/>
      </c>
      <c r="BN90" s="6" t="str">
        <f t="shared" si="645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6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7"/>
        <v/>
      </c>
      <c r="ET90" s="5" t="str">
        <f t="shared" si="648"/>
        <v/>
      </c>
      <c r="EU90" s="10" t="str">
        <f t="shared" si="649"/>
        <v/>
      </c>
      <c r="EV90" s="174" t="str">
        <f t="shared" si="650"/>
        <v/>
      </c>
      <c r="EW90" s="9" t="str">
        <f t="shared" si="651"/>
        <v/>
      </c>
      <c r="EX90" s="5" t="str">
        <f t="shared" si="652"/>
        <v/>
      </c>
      <c r="EY90" s="6" t="str">
        <f t="shared" si="804"/>
        <v/>
      </c>
      <c r="EZ90" s="51" t="str">
        <f t="shared" si="805"/>
        <v/>
      </c>
      <c r="FA90" s="173" t="str">
        <f t="shared" si="653"/>
        <v/>
      </c>
      <c r="FB90" s="5" t="str">
        <f t="shared" si="654"/>
        <v/>
      </c>
      <c r="FC90" s="6" t="str">
        <f t="shared" si="655"/>
        <v/>
      </c>
      <c r="FD90" s="4" t="str">
        <f t="shared" si="656"/>
        <v/>
      </c>
      <c r="FE90" s="5" t="str">
        <f t="shared" si="657"/>
        <v/>
      </c>
      <c r="FF90" s="7" t="str">
        <f t="shared" si="806"/>
        <v/>
      </c>
      <c r="FG90" s="173" t="str">
        <f t="shared" si="658"/>
        <v/>
      </c>
      <c r="FH90" s="5" t="str">
        <f t="shared" si="659"/>
        <v/>
      </c>
      <c r="FI90" s="10" t="str">
        <f t="shared" si="660"/>
        <v/>
      </c>
      <c r="FJ90" s="279" t="str">
        <f t="shared" si="807"/>
        <v/>
      </c>
      <c r="FK90" s="4" t="str">
        <f t="shared" si="661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2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3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4"/>
        <v/>
      </c>
      <c r="GH90" s="286" t="str">
        <f t="shared" si="665"/>
        <v/>
      </c>
      <c r="GI90" s="281" t="str">
        <f t="shared" si="666"/>
        <v/>
      </c>
      <c r="GJ90" s="167" t="str">
        <f t="shared" si="823"/>
        <v/>
      </c>
      <c r="GK90" s="174" t="str">
        <f t="shared" si="667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8"/>
        <v/>
      </c>
      <c r="GT90" s="343" t="str">
        <f t="shared" si="669"/>
        <v/>
      </c>
      <c r="GU90" s="344" t="str">
        <f t="shared" si="670"/>
        <v/>
      </c>
      <c r="GV90" s="343" t="str">
        <f t="shared" si="831"/>
        <v/>
      </c>
      <c r="GW90" s="345" t="str">
        <f t="shared" si="671"/>
        <v/>
      </c>
      <c r="GX90" s="346" t="str">
        <f t="shared" si="672"/>
        <v/>
      </c>
      <c r="GY90" s="344" t="str">
        <f t="shared" si="673"/>
        <v/>
      </c>
      <c r="GZ90" s="345" t="str">
        <f t="shared" si="674"/>
        <v/>
      </c>
      <c r="HA90" s="342" t="str">
        <f t="shared" si="675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6"/>
        <v/>
      </c>
      <c r="HF90" s="5" t="str">
        <f t="shared" si="677"/>
        <v/>
      </c>
      <c r="HG90" s="343" t="str">
        <f t="shared" si="835"/>
        <v/>
      </c>
      <c r="HH90" s="349" t="str">
        <f t="shared" si="836"/>
        <v/>
      </c>
      <c r="HI90" s="317" t="str">
        <f t="shared" si="678"/>
        <v/>
      </c>
      <c r="HK90" s="310" t="str">
        <f t="shared" si="733"/>
        <v/>
      </c>
      <c r="HL90" s="348" t="str">
        <f t="shared" si="679"/>
        <v/>
      </c>
      <c r="HM90" s="935" t="str">
        <f t="shared" si="680"/>
        <v/>
      </c>
      <c r="HN90" s="936" t="str">
        <f t="shared" si="681"/>
        <v/>
      </c>
      <c r="HO90" s="937"/>
      <c r="HP90" s="938"/>
      <c r="HQ90" s="936" t="str">
        <f t="shared" si="682"/>
        <v/>
      </c>
      <c r="HR90" s="939" t="str">
        <f t="shared" si="683"/>
        <v/>
      </c>
      <c r="HS90" s="940" t="str">
        <f t="shared" si="734"/>
        <v/>
      </c>
      <c r="HT90" s="941" t="str">
        <f t="shared" si="684"/>
        <v/>
      </c>
      <c r="HU90" s="942" t="str">
        <f t="shared" si="685"/>
        <v/>
      </c>
      <c r="HV90" s="943" t="str">
        <f t="shared" si="686"/>
        <v/>
      </c>
      <c r="HW90" s="944" t="str">
        <f t="shared" si="687"/>
        <v/>
      </c>
      <c r="HX90" s="947" t="str">
        <f t="shared" si="688"/>
        <v/>
      </c>
      <c r="HY90" s="952" t="str">
        <f t="shared" si="689"/>
        <v/>
      </c>
      <c r="HZ90" s="953" t="str">
        <f t="shared" si="690"/>
        <v/>
      </c>
      <c r="IA90" s="954" t="str">
        <f t="shared" si="691"/>
        <v/>
      </c>
      <c r="IB90" s="955" t="str">
        <f t="shared" si="692"/>
        <v/>
      </c>
      <c r="IC90" s="842" t="str">
        <f t="shared" si="693"/>
        <v/>
      </c>
      <c r="ID90" s="351" t="str">
        <f t="shared" si="694"/>
        <v/>
      </c>
      <c r="IE90" s="844" t="str">
        <f t="shared" si="695"/>
        <v/>
      </c>
      <c r="IF90" s="845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37"/>
        <v/>
      </c>
      <c r="IJ90" s="96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696"/>
        <v/>
      </c>
      <c r="IM90" s="482" t="str">
        <f t="shared" si="838"/>
        <v/>
      </c>
      <c r="IN90" s="670" t="str">
        <f t="shared" si="697"/>
        <v/>
      </c>
      <c r="IO90" s="702"/>
      <c r="IP90" s="5" t="str">
        <f t="shared" si="698"/>
        <v/>
      </c>
      <c r="IQ90" s="714"/>
      <c r="IR90" s="9" t="str">
        <f t="shared" si="699"/>
        <v/>
      </c>
      <c r="IS90" s="5" t="str">
        <f t="shared" si="700"/>
        <v/>
      </c>
      <c r="IT90" s="5" t="str">
        <f t="shared" si="701"/>
        <v/>
      </c>
      <c r="IU90" s="5" t="str">
        <f t="shared" si="702"/>
        <v/>
      </c>
      <c r="IV90" s="670" t="str">
        <f t="shared" si="703"/>
        <v/>
      </c>
      <c r="IW90" s="9" t="str">
        <f t="shared" si="704"/>
        <v/>
      </c>
      <c r="IX90" s="5" t="str">
        <f t="shared" si="705"/>
        <v/>
      </c>
      <c r="IY90" s="5" t="str">
        <f t="shared" si="706"/>
        <v/>
      </c>
      <c r="IZ90" s="5" t="str">
        <f t="shared" si="707"/>
        <v/>
      </c>
      <c r="JA90" s="705" t="str">
        <f t="shared" si="708"/>
        <v/>
      </c>
    </row>
    <row r="91" spans="1:261" ht="15" customHeight="1" x14ac:dyDescent="0.25">
      <c r="A91" s="75" t="str">
        <f t="shared" si="623"/>
        <v/>
      </c>
      <c r="B91" s="578" t="str">
        <f t="shared" ref="B91:D91" si="871">IFERROR(O246+($A91*-E91),"")</f>
        <v/>
      </c>
      <c r="C91" s="572" t="str">
        <f t="shared" si="871"/>
        <v/>
      </c>
      <c r="D91" s="576" t="str">
        <f t="shared" si="871"/>
        <v/>
      </c>
      <c r="E91" s="580" t="str">
        <f t="shared" ref="E91:K91" si="872">R246</f>
        <v/>
      </c>
      <c r="F91" s="572" t="str">
        <f t="shared" si="872"/>
        <v/>
      </c>
      <c r="G91" s="579" t="str">
        <f t="shared" si="872"/>
        <v/>
      </c>
      <c r="H91" s="580" t="str">
        <f t="shared" si="872"/>
        <v/>
      </c>
      <c r="I91" s="572" t="str">
        <f t="shared" si="872"/>
        <v/>
      </c>
      <c r="J91" s="483" t="str">
        <f t="shared" si="711"/>
        <v/>
      </c>
      <c r="K91" s="806" t="str">
        <f t="shared" si="872"/>
        <v/>
      </c>
      <c r="L91" s="309"/>
      <c r="M91" s="164" t="str">
        <f t="shared" si="626"/>
        <v/>
      </c>
      <c r="N91" s="575" t="str">
        <f t="shared" si="627"/>
        <v/>
      </c>
      <c r="O91" s="572" t="str">
        <f t="shared" si="628"/>
        <v/>
      </c>
      <c r="P91" s="576" t="str">
        <f t="shared" si="629"/>
        <v/>
      </c>
      <c r="Q91" s="528" t="str">
        <f t="shared" si="71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135"/>
        <v/>
      </c>
      <c r="W91" s="528" t="str">
        <f t="shared" si="848"/>
        <v/>
      </c>
      <c r="X91" s="572" t="str">
        <f t="shared" si="97"/>
        <v/>
      </c>
      <c r="Y91" s="573" t="str">
        <f t="shared" si="841"/>
        <v/>
      </c>
      <c r="Z91" s="575" t="str">
        <f t="shared" si="630"/>
        <v/>
      </c>
      <c r="AA91" s="572" t="str">
        <f t="shared" si="631"/>
        <v/>
      </c>
      <c r="AB91" s="572" t="str">
        <f t="shared" si="632"/>
        <v/>
      </c>
      <c r="AC91" s="579" t="str">
        <f t="shared" si="98"/>
        <v/>
      </c>
      <c r="AD91" s="580" t="str">
        <f t="shared" si="136"/>
        <v/>
      </c>
      <c r="AE91" s="572" t="str">
        <f t="shared" si="99"/>
        <v/>
      </c>
      <c r="AF91" s="576" t="str">
        <f t="shared" si="100"/>
        <v/>
      </c>
      <c r="AG91" s="545" t="str">
        <f t="shared" si="101"/>
        <v/>
      </c>
      <c r="AH91" s="546" t="str">
        <f t="shared" si="102"/>
        <v/>
      </c>
      <c r="AI91" s="528" t="str">
        <f t="shared" si="103"/>
        <v/>
      </c>
      <c r="AJ91" s="529" t="str">
        <f t="shared" si="104"/>
        <v/>
      </c>
      <c r="AK91" s="578" t="str">
        <f t="shared" si="234"/>
        <v/>
      </c>
      <c r="AL91" s="572" t="str">
        <f t="shared" si="105"/>
        <v/>
      </c>
      <c r="AM91" s="577" t="str">
        <f t="shared" si="106"/>
        <v/>
      </c>
      <c r="AN91" s="524" t="str">
        <f t="shared" si="107"/>
        <v/>
      </c>
      <c r="AO91" s="525" t="str">
        <f t="shared" si="590"/>
        <v/>
      </c>
      <c r="AP91" s="528" t="str">
        <f t="shared" si="109"/>
        <v/>
      </c>
      <c r="AQ91" s="529" t="str">
        <f t="shared" si="633"/>
        <v/>
      </c>
      <c r="AS91" s="900" t="str">
        <f t="shared" si="737"/>
        <v/>
      </c>
      <c r="AT91" s="896" t="str">
        <f t="shared" si="634"/>
        <v/>
      </c>
      <c r="AU91" s="418"/>
      <c r="AV91" s="164" t="str">
        <f t="shared" si="6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6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7"/>
        <v/>
      </c>
      <c r="BF91" s="4" t="str">
        <f t="shared" si="638"/>
        <v/>
      </c>
      <c r="BG91" s="5" t="str">
        <f t="shared" si="639"/>
        <v/>
      </c>
      <c r="BH91" s="10" t="str">
        <f t="shared" si="640"/>
        <v/>
      </c>
      <c r="BI91" s="9" t="str">
        <f t="shared" si="739"/>
        <v/>
      </c>
      <c r="BJ91" s="5" t="str">
        <f t="shared" si="641"/>
        <v/>
      </c>
      <c r="BK91" s="8" t="str">
        <f t="shared" si="642"/>
        <v/>
      </c>
      <c r="BL91" s="173" t="str">
        <f t="shared" si="643"/>
        <v/>
      </c>
      <c r="BM91" s="5" t="str">
        <f t="shared" si="644"/>
        <v/>
      </c>
      <c r="BN91" s="6" t="str">
        <f t="shared" si="645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6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7"/>
        <v/>
      </c>
      <c r="ET91" s="5" t="str">
        <f t="shared" si="648"/>
        <v/>
      </c>
      <c r="EU91" s="10" t="str">
        <f t="shared" si="649"/>
        <v/>
      </c>
      <c r="EV91" s="174" t="str">
        <f t="shared" si="650"/>
        <v/>
      </c>
      <c r="EW91" s="9" t="str">
        <f t="shared" si="651"/>
        <v/>
      </c>
      <c r="EX91" s="5" t="str">
        <f t="shared" si="652"/>
        <v/>
      </c>
      <c r="EY91" s="6" t="str">
        <f t="shared" si="804"/>
        <v/>
      </c>
      <c r="EZ91" s="51" t="str">
        <f t="shared" si="805"/>
        <v/>
      </c>
      <c r="FA91" s="173" t="str">
        <f t="shared" si="653"/>
        <v/>
      </c>
      <c r="FB91" s="5" t="str">
        <f t="shared" si="654"/>
        <v/>
      </c>
      <c r="FC91" s="6" t="str">
        <f t="shared" si="655"/>
        <v/>
      </c>
      <c r="FD91" s="4" t="str">
        <f t="shared" si="656"/>
        <v/>
      </c>
      <c r="FE91" s="5" t="str">
        <f t="shared" si="657"/>
        <v/>
      </c>
      <c r="FF91" s="7" t="str">
        <f t="shared" si="806"/>
        <v/>
      </c>
      <c r="FG91" s="173" t="str">
        <f t="shared" si="658"/>
        <v/>
      </c>
      <c r="FH91" s="5" t="str">
        <f t="shared" si="659"/>
        <v/>
      </c>
      <c r="FI91" s="10" t="str">
        <f t="shared" si="660"/>
        <v/>
      </c>
      <c r="FJ91" s="279" t="str">
        <f t="shared" si="807"/>
        <v/>
      </c>
      <c r="FK91" s="4" t="str">
        <f t="shared" si="661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2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3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4"/>
        <v/>
      </c>
      <c r="GH91" s="286" t="str">
        <f t="shared" si="665"/>
        <v/>
      </c>
      <c r="GI91" s="281" t="str">
        <f t="shared" si="666"/>
        <v/>
      </c>
      <c r="GJ91" s="167" t="str">
        <f t="shared" si="823"/>
        <v/>
      </c>
      <c r="GK91" s="174" t="str">
        <f t="shared" si="667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8"/>
        <v/>
      </c>
      <c r="GT91" s="343" t="str">
        <f t="shared" si="669"/>
        <v/>
      </c>
      <c r="GU91" s="344" t="str">
        <f t="shared" si="670"/>
        <v/>
      </c>
      <c r="GV91" s="343" t="str">
        <f t="shared" si="831"/>
        <v/>
      </c>
      <c r="GW91" s="345" t="str">
        <f t="shared" si="671"/>
        <v/>
      </c>
      <c r="GX91" s="346" t="str">
        <f t="shared" si="672"/>
        <v/>
      </c>
      <c r="GY91" s="344" t="str">
        <f t="shared" si="673"/>
        <v/>
      </c>
      <c r="GZ91" s="345" t="str">
        <f t="shared" si="674"/>
        <v/>
      </c>
      <c r="HA91" s="342" t="str">
        <f t="shared" si="675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6"/>
        <v/>
      </c>
      <c r="HF91" s="5" t="str">
        <f t="shared" si="677"/>
        <v/>
      </c>
      <c r="HG91" s="343" t="str">
        <f t="shared" si="835"/>
        <v/>
      </c>
      <c r="HH91" s="349" t="str">
        <f t="shared" si="836"/>
        <v/>
      </c>
      <c r="HI91" s="317" t="str">
        <f t="shared" si="678"/>
        <v/>
      </c>
      <c r="HK91" s="310" t="str">
        <f t="shared" si="733"/>
        <v/>
      </c>
      <c r="HL91" s="348" t="str">
        <f t="shared" si="679"/>
        <v/>
      </c>
      <c r="HM91" s="935" t="str">
        <f t="shared" si="680"/>
        <v/>
      </c>
      <c r="HN91" s="936" t="str">
        <f t="shared" si="681"/>
        <v/>
      </c>
      <c r="HO91" s="937"/>
      <c r="HP91" s="938"/>
      <c r="HQ91" s="936" t="str">
        <f t="shared" si="682"/>
        <v/>
      </c>
      <c r="HR91" s="939" t="str">
        <f t="shared" si="683"/>
        <v/>
      </c>
      <c r="HS91" s="940" t="str">
        <f t="shared" si="734"/>
        <v/>
      </c>
      <c r="HT91" s="941" t="str">
        <f t="shared" si="684"/>
        <v/>
      </c>
      <c r="HU91" s="942" t="str">
        <f t="shared" si="685"/>
        <v/>
      </c>
      <c r="HV91" s="943" t="str">
        <f t="shared" si="686"/>
        <v/>
      </c>
      <c r="HW91" s="944" t="str">
        <f t="shared" si="687"/>
        <v/>
      </c>
      <c r="HX91" s="947" t="str">
        <f t="shared" si="688"/>
        <v/>
      </c>
      <c r="HY91" s="952" t="str">
        <f t="shared" si="689"/>
        <v/>
      </c>
      <c r="HZ91" s="953" t="str">
        <f t="shared" si="690"/>
        <v/>
      </c>
      <c r="IA91" s="954" t="str">
        <f t="shared" si="691"/>
        <v/>
      </c>
      <c r="IB91" s="955" t="str">
        <f t="shared" si="692"/>
        <v/>
      </c>
      <c r="IC91" s="842" t="str">
        <f t="shared" si="693"/>
        <v/>
      </c>
      <c r="ID91" s="351" t="str">
        <f t="shared" si="694"/>
        <v/>
      </c>
      <c r="IE91" s="844" t="str">
        <f t="shared" si="695"/>
        <v/>
      </c>
      <c r="IF91" s="845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37"/>
        <v/>
      </c>
      <c r="IJ91" s="96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696"/>
        <v/>
      </c>
      <c r="IM91" s="482" t="str">
        <f t="shared" si="838"/>
        <v/>
      </c>
      <c r="IN91" s="670" t="str">
        <f t="shared" si="697"/>
        <v/>
      </c>
      <c r="IO91" s="702"/>
      <c r="IP91" s="5" t="str">
        <f t="shared" si="698"/>
        <v/>
      </c>
      <c r="IQ91" s="714"/>
      <c r="IR91" s="9" t="str">
        <f t="shared" si="699"/>
        <v/>
      </c>
      <c r="IS91" s="5" t="str">
        <f t="shared" si="700"/>
        <v/>
      </c>
      <c r="IT91" s="5" t="str">
        <f t="shared" si="701"/>
        <v/>
      </c>
      <c r="IU91" s="5" t="str">
        <f t="shared" si="702"/>
        <v/>
      </c>
      <c r="IV91" s="670" t="str">
        <f t="shared" si="703"/>
        <v/>
      </c>
      <c r="IW91" s="9" t="str">
        <f t="shared" si="704"/>
        <v/>
      </c>
      <c r="IX91" s="5" t="str">
        <f t="shared" si="705"/>
        <v/>
      </c>
      <c r="IY91" s="5" t="str">
        <f t="shared" si="706"/>
        <v/>
      </c>
      <c r="IZ91" s="5" t="str">
        <f t="shared" si="707"/>
        <v/>
      </c>
      <c r="JA91" s="705" t="str">
        <f t="shared" si="708"/>
        <v/>
      </c>
    </row>
    <row r="92" spans="1:261" ht="15" customHeight="1" x14ac:dyDescent="0.25">
      <c r="A92" s="75" t="str">
        <f t="shared" si="623"/>
        <v/>
      </c>
      <c r="B92" s="578" t="str">
        <f t="shared" ref="B92:D92" si="873">IFERROR(O247+($A92*-E92),"")</f>
        <v/>
      </c>
      <c r="C92" s="572" t="str">
        <f t="shared" si="873"/>
        <v/>
      </c>
      <c r="D92" s="576" t="str">
        <f t="shared" si="873"/>
        <v/>
      </c>
      <c r="E92" s="580" t="str">
        <f t="shared" ref="E92:K92" si="874">R247</f>
        <v/>
      </c>
      <c r="F92" s="572" t="str">
        <f t="shared" si="874"/>
        <v/>
      </c>
      <c r="G92" s="579" t="str">
        <f t="shared" si="874"/>
        <v/>
      </c>
      <c r="H92" s="580" t="str">
        <f t="shared" si="874"/>
        <v/>
      </c>
      <c r="I92" s="572" t="str">
        <f t="shared" si="874"/>
        <v/>
      </c>
      <c r="J92" s="483" t="str">
        <f t="shared" si="711"/>
        <v/>
      </c>
      <c r="K92" s="806" t="str">
        <f t="shared" si="874"/>
        <v/>
      </c>
      <c r="L92" s="309"/>
      <c r="M92" s="164" t="str">
        <f t="shared" si="626"/>
        <v/>
      </c>
      <c r="N92" s="575" t="str">
        <f t="shared" si="627"/>
        <v/>
      </c>
      <c r="O92" s="572" t="str">
        <f t="shared" si="628"/>
        <v/>
      </c>
      <c r="P92" s="576" t="str">
        <f t="shared" si="629"/>
        <v/>
      </c>
      <c r="Q92" s="528" t="str">
        <f t="shared" si="71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135"/>
        <v/>
      </c>
      <c r="W92" s="528" t="str">
        <f t="shared" si="848"/>
        <v/>
      </c>
      <c r="X92" s="572" t="str">
        <f t="shared" si="97"/>
        <v/>
      </c>
      <c r="Y92" s="573" t="str">
        <f t="shared" si="841"/>
        <v/>
      </c>
      <c r="Z92" s="575" t="str">
        <f t="shared" si="630"/>
        <v/>
      </c>
      <c r="AA92" s="572" t="str">
        <f t="shared" si="631"/>
        <v/>
      </c>
      <c r="AB92" s="572" t="str">
        <f t="shared" si="632"/>
        <v/>
      </c>
      <c r="AC92" s="579" t="str">
        <f t="shared" si="98"/>
        <v/>
      </c>
      <c r="AD92" s="580" t="str">
        <f t="shared" si="136"/>
        <v/>
      </c>
      <c r="AE92" s="572" t="str">
        <f t="shared" si="99"/>
        <v/>
      </c>
      <c r="AF92" s="576" t="str">
        <f t="shared" si="100"/>
        <v/>
      </c>
      <c r="AG92" s="545" t="str">
        <f t="shared" si="101"/>
        <v/>
      </c>
      <c r="AH92" s="546" t="str">
        <f t="shared" si="102"/>
        <v/>
      </c>
      <c r="AI92" s="528" t="str">
        <f t="shared" si="103"/>
        <v/>
      </c>
      <c r="AJ92" s="529" t="str">
        <f t="shared" si="104"/>
        <v/>
      </c>
      <c r="AK92" s="578" t="str">
        <f t="shared" si="234"/>
        <v/>
      </c>
      <c r="AL92" s="572" t="str">
        <f t="shared" si="105"/>
        <v/>
      </c>
      <c r="AM92" s="577" t="str">
        <f t="shared" si="106"/>
        <v/>
      </c>
      <c r="AN92" s="524" t="str">
        <f t="shared" si="107"/>
        <v/>
      </c>
      <c r="AO92" s="525" t="str">
        <f t="shared" si="590"/>
        <v/>
      </c>
      <c r="AP92" s="528" t="str">
        <f t="shared" si="109"/>
        <v/>
      </c>
      <c r="AQ92" s="529" t="str">
        <f t="shared" si="633"/>
        <v/>
      </c>
      <c r="AS92" s="900" t="str">
        <f t="shared" si="737"/>
        <v/>
      </c>
      <c r="AT92" s="896" t="str">
        <f t="shared" si="634"/>
        <v/>
      </c>
      <c r="AU92" s="418"/>
      <c r="AV92" s="164" t="str">
        <f t="shared" si="6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6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7"/>
        <v/>
      </c>
      <c r="BF92" s="4" t="str">
        <f t="shared" si="638"/>
        <v/>
      </c>
      <c r="BG92" s="5" t="str">
        <f t="shared" si="639"/>
        <v/>
      </c>
      <c r="BH92" s="10" t="str">
        <f t="shared" si="640"/>
        <v/>
      </c>
      <c r="BI92" s="9" t="str">
        <f t="shared" si="739"/>
        <v/>
      </c>
      <c r="BJ92" s="5" t="str">
        <f t="shared" si="641"/>
        <v/>
      </c>
      <c r="BK92" s="8" t="str">
        <f t="shared" si="642"/>
        <v/>
      </c>
      <c r="BL92" s="173" t="str">
        <f t="shared" si="643"/>
        <v/>
      </c>
      <c r="BM92" s="5" t="str">
        <f t="shared" si="644"/>
        <v/>
      </c>
      <c r="BN92" s="6" t="str">
        <f t="shared" si="645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6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7"/>
        <v/>
      </c>
      <c r="ET92" s="5" t="str">
        <f t="shared" si="648"/>
        <v/>
      </c>
      <c r="EU92" s="10" t="str">
        <f t="shared" si="649"/>
        <v/>
      </c>
      <c r="EV92" s="174" t="str">
        <f t="shared" si="650"/>
        <v/>
      </c>
      <c r="EW92" s="9" t="str">
        <f t="shared" si="651"/>
        <v/>
      </c>
      <c r="EX92" s="5" t="str">
        <f t="shared" si="652"/>
        <v/>
      </c>
      <c r="EY92" s="6" t="str">
        <f t="shared" si="804"/>
        <v/>
      </c>
      <c r="EZ92" s="51" t="str">
        <f t="shared" si="805"/>
        <v/>
      </c>
      <c r="FA92" s="173" t="str">
        <f t="shared" si="653"/>
        <v/>
      </c>
      <c r="FB92" s="5" t="str">
        <f t="shared" si="654"/>
        <v/>
      </c>
      <c r="FC92" s="6" t="str">
        <f t="shared" si="655"/>
        <v/>
      </c>
      <c r="FD92" s="4" t="str">
        <f t="shared" si="656"/>
        <v/>
      </c>
      <c r="FE92" s="5" t="str">
        <f t="shared" si="657"/>
        <v/>
      </c>
      <c r="FF92" s="7" t="str">
        <f t="shared" si="806"/>
        <v/>
      </c>
      <c r="FG92" s="173" t="str">
        <f t="shared" si="658"/>
        <v/>
      </c>
      <c r="FH92" s="5" t="str">
        <f t="shared" si="659"/>
        <v/>
      </c>
      <c r="FI92" s="10" t="str">
        <f t="shared" si="660"/>
        <v/>
      </c>
      <c r="FJ92" s="279" t="str">
        <f t="shared" si="807"/>
        <v/>
      </c>
      <c r="FK92" s="4" t="str">
        <f t="shared" si="661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2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3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4"/>
        <v/>
      </c>
      <c r="GH92" s="286" t="str">
        <f t="shared" si="665"/>
        <v/>
      </c>
      <c r="GI92" s="281" t="str">
        <f t="shared" si="666"/>
        <v/>
      </c>
      <c r="GJ92" s="167" t="str">
        <f t="shared" si="823"/>
        <v/>
      </c>
      <c r="GK92" s="174" t="str">
        <f t="shared" si="667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8"/>
        <v/>
      </c>
      <c r="GT92" s="343" t="str">
        <f t="shared" si="669"/>
        <v/>
      </c>
      <c r="GU92" s="344" t="str">
        <f t="shared" si="670"/>
        <v/>
      </c>
      <c r="GV92" s="343" t="str">
        <f t="shared" si="831"/>
        <v/>
      </c>
      <c r="GW92" s="345" t="str">
        <f t="shared" si="671"/>
        <v/>
      </c>
      <c r="GX92" s="346" t="str">
        <f t="shared" si="672"/>
        <v/>
      </c>
      <c r="GY92" s="344" t="str">
        <f t="shared" si="673"/>
        <v/>
      </c>
      <c r="GZ92" s="345" t="str">
        <f t="shared" si="674"/>
        <v/>
      </c>
      <c r="HA92" s="342" t="str">
        <f t="shared" si="675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6"/>
        <v/>
      </c>
      <c r="HF92" s="5" t="str">
        <f t="shared" si="677"/>
        <v/>
      </c>
      <c r="HG92" s="343" t="str">
        <f t="shared" si="835"/>
        <v/>
      </c>
      <c r="HH92" s="349" t="str">
        <f t="shared" si="836"/>
        <v/>
      </c>
      <c r="HI92" s="317" t="str">
        <f t="shared" si="678"/>
        <v/>
      </c>
      <c r="HK92" s="310" t="str">
        <f t="shared" si="733"/>
        <v/>
      </c>
      <c r="HL92" s="348" t="str">
        <f t="shared" si="679"/>
        <v/>
      </c>
      <c r="HM92" s="935" t="str">
        <f t="shared" si="680"/>
        <v/>
      </c>
      <c r="HN92" s="936" t="str">
        <f t="shared" si="681"/>
        <v/>
      </c>
      <c r="HO92" s="937"/>
      <c r="HP92" s="938"/>
      <c r="HQ92" s="936" t="str">
        <f t="shared" si="682"/>
        <v/>
      </c>
      <c r="HR92" s="939" t="str">
        <f t="shared" si="683"/>
        <v/>
      </c>
      <c r="HS92" s="940" t="str">
        <f t="shared" si="734"/>
        <v/>
      </c>
      <c r="HT92" s="941" t="str">
        <f t="shared" si="684"/>
        <v/>
      </c>
      <c r="HU92" s="942" t="str">
        <f t="shared" si="685"/>
        <v/>
      </c>
      <c r="HV92" s="943" t="str">
        <f t="shared" si="686"/>
        <v/>
      </c>
      <c r="HW92" s="944" t="str">
        <f t="shared" si="687"/>
        <v/>
      </c>
      <c r="HX92" s="947" t="str">
        <f t="shared" si="688"/>
        <v/>
      </c>
      <c r="HY92" s="952" t="str">
        <f t="shared" si="689"/>
        <v/>
      </c>
      <c r="HZ92" s="953" t="str">
        <f t="shared" si="690"/>
        <v/>
      </c>
      <c r="IA92" s="954" t="str">
        <f t="shared" si="691"/>
        <v/>
      </c>
      <c r="IB92" s="955" t="str">
        <f t="shared" si="692"/>
        <v/>
      </c>
      <c r="IC92" s="842" t="str">
        <f t="shared" si="693"/>
        <v/>
      </c>
      <c r="ID92" s="351" t="str">
        <f t="shared" si="694"/>
        <v/>
      </c>
      <c r="IE92" s="844" t="str">
        <f t="shared" si="695"/>
        <v/>
      </c>
      <c r="IF92" s="845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37"/>
        <v/>
      </c>
      <c r="IJ92" s="96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696"/>
        <v/>
      </c>
      <c r="IM92" s="482" t="str">
        <f t="shared" si="838"/>
        <v/>
      </c>
      <c r="IN92" s="670" t="str">
        <f t="shared" si="697"/>
        <v/>
      </c>
      <c r="IO92" s="702"/>
      <c r="IP92" s="5" t="str">
        <f t="shared" si="698"/>
        <v/>
      </c>
      <c r="IQ92" s="714"/>
      <c r="IR92" s="9" t="str">
        <f t="shared" si="699"/>
        <v/>
      </c>
      <c r="IS92" s="5" t="str">
        <f t="shared" si="700"/>
        <v/>
      </c>
      <c r="IT92" s="5" t="str">
        <f t="shared" si="701"/>
        <v/>
      </c>
      <c r="IU92" s="5" t="str">
        <f t="shared" si="702"/>
        <v/>
      </c>
      <c r="IV92" s="670" t="str">
        <f t="shared" si="703"/>
        <v/>
      </c>
      <c r="IW92" s="9" t="str">
        <f t="shared" si="704"/>
        <v/>
      </c>
      <c r="IX92" s="5" t="str">
        <f t="shared" si="705"/>
        <v/>
      </c>
      <c r="IY92" s="5" t="str">
        <f t="shared" si="706"/>
        <v/>
      </c>
      <c r="IZ92" s="5" t="str">
        <f t="shared" si="707"/>
        <v/>
      </c>
      <c r="JA92" s="705" t="str">
        <f t="shared" si="708"/>
        <v/>
      </c>
    </row>
    <row r="93" spans="1:261" ht="15" customHeight="1" x14ac:dyDescent="0.25">
      <c r="A93" s="75" t="str">
        <f t="shared" si="623"/>
        <v/>
      </c>
      <c r="B93" s="578" t="str">
        <f t="shared" ref="B93:D93" si="875">IFERROR(O248+($A93*-E93),"")</f>
        <v/>
      </c>
      <c r="C93" s="572" t="str">
        <f t="shared" si="875"/>
        <v/>
      </c>
      <c r="D93" s="576" t="str">
        <f t="shared" si="875"/>
        <v/>
      </c>
      <c r="E93" s="580" t="str">
        <f t="shared" ref="E93:K93" si="876">R248</f>
        <v/>
      </c>
      <c r="F93" s="572" t="str">
        <f t="shared" si="876"/>
        <v/>
      </c>
      <c r="G93" s="579" t="str">
        <f t="shared" si="876"/>
        <v/>
      </c>
      <c r="H93" s="580" t="str">
        <f t="shared" si="876"/>
        <v/>
      </c>
      <c r="I93" s="572" t="str">
        <f t="shared" si="876"/>
        <v/>
      </c>
      <c r="J93" s="483" t="str">
        <f t="shared" si="711"/>
        <v/>
      </c>
      <c r="K93" s="806" t="str">
        <f t="shared" si="876"/>
        <v/>
      </c>
      <c r="L93" s="309"/>
      <c r="M93" s="164" t="str">
        <f t="shared" si="626"/>
        <v/>
      </c>
      <c r="N93" s="575" t="str">
        <f t="shared" si="627"/>
        <v/>
      </c>
      <c r="O93" s="572" t="str">
        <f t="shared" si="628"/>
        <v/>
      </c>
      <c r="P93" s="576" t="str">
        <f t="shared" si="629"/>
        <v/>
      </c>
      <c r="Q93" s="528" t="str">
        <f t="shared" si="71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135"/>
        <v/>
      </c>
      <c r="W93" s="528" t="str">
        <f t="shared" si="848"/>
        <v/>
      </c>
      <c r="X93" s="572" t="str">
        <f t="shared" si="97"/>
        <v/>
      </c>
      <c r="Y93" s="573" t="str">
        <f t="shared" si="841"/>
        <v/>
      </c>
      <c r="Z93" s="575" t="str">
        <f t="shared" si="630"/>
        <v/>
      </c>
      <c r="AA93" s="572" t="str">
        <f t="shared" si="631"/>
        <v/>
      </c>
      <c r="AB93" s="572" t="str">
        <f t="shared" si="632"/>
        <v/>
      </c>
      <c r="AC93" s="579" t="str">
        <f t="shared" si="98"/>
        <v/>
      </c>
      <c r="AD93" s="580" t="str">
        <f t="shared" si="136"/>
        <v/>
      </c>
      <c r="AE93" s="572" t="str">
        <f t="shared" si="99"/>
        <v/>
      </c>
      <c r="AF93" s="576" t="str">
        <f t="shared" si="100"/>
        <v/>
      </c>
      <c r="AG93" s="545" t="str">
        <f t="shared" si="101"/>
        <v/>
      </c>
      <c r="AH93" s="546" t="str">
        <f t="shared" si="102"/>
        <v/>
      </c>
      <c r="AI93" s="528" t="str">
        <f t="shared" si="103"/>
        <v/>
      </c>
      <c r="AJ93" s="529" t="str">
        <f t="shared" si="104"/>
        <v/>
      </c>
      <c r="AK93" s="578" t="str">
        <f t="shared" si="234"/>
        <v/>
      </c>
      <c r="AL93" s="572" t="str">
        <f t="shared" si="105"/>
        <v/>
      </c>
      <c r="AM93" s="577" t="str">
        <f t="shared" si="106"/>
        <v/>
      </c>
      <c r="AN93" s="524" t="str">
        <f t="shared" si="107"/>
        <v/>
      </c>
      <c r="AO93" s="525" t="str">
        <f t="shared" si="590"/>
        <v/>
      </c>
      <c r="AP93" s="528" t="str">
        <f t="shared" si="109"/>
        <v/>
      </c>
      <c r="AQ93" s="529" t="str">
        <f t="shared" si="633"/>
        <v/>
      </c>
      <c r="AS93" s="900" t="str">
        <f t="shared" si="737"/>
        <v/>
      </c>
      <c r="AT93" s="896" t="str">
        <f t="shared" si="634"/>
        <v/>
      </c>
      <c r="AU93" s="418"/>
      <c r="AV93" s="164" t="str">
        <f t="shared" si="6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6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7"/>
        <v/>
      </c>
      <c r="BF93" s="4" t="str">
        <f t="shared" si="638"/>
        <v/>
      </c>
      <c r="BG93" s="5" t="str">
        <f t="shared" si="639"/>
        <v/>
      </c>
      <c r="BH93" s="10" t="str">
        <f t="shared" si="640"/>
        <v/>
      </c>
      <c r="BI93" s="9" t="str">
        <f t="shared" si="739"/>
        <v/>
      </c>
      <c r="BJ93" s="5" t="str">
        <f t="shared" si="641"/>
        <v/>
      </c>
      <c r="BK93" s="8" t="str">
        <f t="shared" si="642"/>
        <v/>
      </c>
      <c r="BL93" s="173" t="str">
        <f t="shared" si="643"/>
        <v/>
      </c>
      <c r="BM93" s="5" t="str">
        <f t="shared" si="644"/>
        <v/>
      </c>
      <c r="BN93" s="6" t="str">
        <f t="shared" si="645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6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7"/>
        <v/>
      </c>
      <c r="ET93" s="5" t="str">
        <f t="shared" si="648"/>
        <v/>
      </c>
      <c r="EU93" s="10" t="str">
        <f t="shared" si="649"/>
        <v/>
      </c>
      <c r="EV93" s="174" t="str">
        <f t="shared" si="650"/>
        <v/>
      </c>
      <c r="EW93" s="9" t="str">
        <f t="shared" si="651"/>
        <v/>
      </c>
      <c r="EX93" s="5" t="str">
        <f t="shared" si="652"/>
        <v/>
      </c>
      <c r="EY93" s="6" t="str">
        <f t="shared" si="804"/>
        <v/>
      </c>
      <c r="EZ93" s="51" t="str">
        <f t="shared" si="805"/>
        <v/>
      </c>
      <c r="FA93" s="173" t="str">
        <f t="shared" si="653"/>
        <v/>
      </c>
      <c r="FB93" s="5" t="str">
        <f t="shared" si="654"/>
        <v/>
      </c>
      <c r="FC93" s="6" t="str">
        <f t="shared" si="655"/>
        <v/>
      </c>
      <c r="FD93" s="4" t="str">
        <f t="shared" si="656"/>
        <v/>
      </c>
      <c r="FE93" s="5" t="str">
        <f t="shared" si="657"/>
        <v/>
      </c>
      <c r="FF93" s="7" t="str">
        <f t="shared" si="806"/>
        <v/>
      </c>
      <c r="FG93" s="173" t="str">
        <f t="shared" si="658"/>
        <v/>
      </c>
      <c r="FH93" s="5" t="str">
        <f t="shared" si="659"/>
        <v/>
      </c>
      <c r="FI93" s="10" t="str">
        <f t="shared" si="660"/>
        <v/>
      </c>
      <c r="FJ93" s="279" t="str">
        <f t="shared" si="807"/>
        <v/>
      </c>
      <c r="FK93" s="4" t="str">
        <f t="shared" si="661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2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3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4"/>
        <v/>
      </c>
      <c r="GH93" s="286" t="str">
        <f t="shared" si="665"/>
        <v/>
      </c>
      <c r="GI93" s="281" t="str">
        <f t="shared" si="666"/>
        <v/>
      </c>
      <c r="GJ93" s="167" t="str">
        <f t="shared" si="823"/>
        <v/>
      </c>
      <c r="GK93" s="174" t="str">
        <f t="shared" si="667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8"/>
        <v/>
      </c>
      <c r="GT93" s="343" t="str">
        <f t="shared" si="669"/>
        <v/>
      </c>
      <c r="GU93" s="344" t="str">
        <f t="shared" si="670"/>
        <v/>
      </c>
      <c r="GV93" s="343" t="str">
        <f t="shared" si="831"/>
        <v/>
      </c>
      <c r="GW93" s="345" t="str">
        <f t="shared" si="671"/>
        <v/>
      </c>
      <c r="GX93" s="346" t="str">
        <f t="shared" si="672"/>
        <v/>
      </c>
      <c r="GY93" s="344" t="str">
        <f t="shared" si="673"/>
        <v/>
      </c>
      <c r="GZ93" s="345" t="str">
        <f t="shared" si="674"/>
        <v/>
      </c>
      <c r="HA93" s="342" t="str">
        <f t="shared" si="675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6"/>
        <v/>
      </c>
      <c r="HF93" s="5" t="str">
        <f t="shared" si="677"/>
        <v/>
      </c>
      <c r="HG93" s="343" t="str">
        <f t="shared" si="835"/>
        <v/>
      </c>
      <c r="HH93" s="349" t="str">
        <f t="shared" si="836"/>
        <v/>
      </c>
      <c r="HI93" s="317" t="str">
        <f t="shared" si="678"/>
        <v/>
      </c>
      <c r="HK93" s="310" t="str">
        <f t="shared" si="733"/>
        <v/>
      </c>
      <c r="HL93" s="348" t="str">
        <f t="shared" si="679"/>
        <v/>
      </c>
      <c r="HM93" s="935" t="str">
        <f t="shared" si="680"/>
        <v/>
      </c>
      <c r="HN93" s="936" t="str">
        <f t="shared" si="681"/>
        <v/>
      </c>
      <c r="HO93" s="937"/>
      <c r="HP93" s="938"/>
      <c r="HQ93" s="936" t="str">
        <f t="shared" si="682"/>
        <v/>
      </c>
      <c r="HR93" s="939" t="str">
        <f t="shared" si="683"/>
        <v/>
      </c>
      <c r="HS93" s="940" t="str">
        <f t="shared" si="734"/>
        <v/>
      </c>
      <c r="HT93" s="941" t="str">
        <f t="shared" si="684"/>
        <v/>
      </c>
      <c r="HU93" s="942" t="str">
        <f t="shared" si="685"/>
        <v/>
      </c>
      <c r="HV93" s="943" t="str">
        <f t="shared" si="686"/>
        <v/>
      </c>
      <c r="HW93" s="944" t="str">
        <f t="shared" si="687"/>
        <v/>
      </c>
      <c r="HX93" s="947" t="str">
        <f t="shared" si="688"/>
        <v/>
      </c>
      <c r="HY93" s="952" t="str">
        <f t="shared" si="689"/>
        <v/>
      </c>
      <c r="HZ93" s="953" t="str">
        <f t="shared" si="690"/>
        <v/>
      </c>
      <c r="IA93" s="954" t="str">
        <f t="shared" si="691"/>
        <v/>
      </c>
      <c r="IB93" s="955" t="str">
        <f t="shared" si="692"/>
        <v/>
      </c>
      <c r="IC93" s="842" t="str">
        <f t="shared" si="693"/>
        <v/>
      </c>
      <c r="ID93" s="351" t="str">
        <f t="shared" si="694"/>
        <v/>
      </c>
      <c r="IE93" s="844" t="str">
        <f t="shared" si="695"/>
        <v/>
      </c>
      <c r="IF93" s="845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37"/>
        <v/>
      </c>
      <c r="IJ93" s="96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696"/>
        <v/>
      </c>
      <c r="IM93" s="482" t="str">
        <f t="shared" si="838"/>
        <v/>
      </c>
      <c r="IN93" s="670" t="str">
        <f t="shared" si="697"/>
        <v/>
      </c>
      <c r="IO93" s="702"/>
      <c r="IP93" s="5" t="str">
        <f t="shared" si="698"/>
        <v/>
      </c>
      <c r="IQ93" s="714"/>
      <c r="IR93" s="9" t="str">
        <f t="shared" si="699"/>
        <v/>
      </c>
      <c r="IS93" s="5" t="str">
        <f t="shared" si="700"/>
        <v/>
      </c>
      <c r="IT93" s="5" t="str">
        <f t="shared" si="701"/>
        <v/>
      </c>
      <c r="IU93" s="5" t="str">
        <f t="shared" si="702"/>
        <v/>
      </c>
      <c r="IV93" s="670" t="str">
        <f t="shared" si="703"/>
        <v/>
      </c>
      <c r="IW93" s="9" t="str">
        <f t="shared" si="704"/>
        <v/>
      </c>
      <c r="IX93" s="5" t="str">
        <f t="shared" si="705"/>
        <v/>
      </c>
      <c r="IY93" s="5" t="str">
        <f t="shared" si="706"/>
        <v/>
      </c>
      <c r="IZ93" s="5" t="str">
        <f t="shared" si="707"/>
        <v/>
      </c>
      <c r="JA93" s="705" t="str">
        <f t="shared" si="708"/>
        <v/>
      </c>
    </row>
    <row r="94" spans="1:261" ht="15" customHeight="1" x14ac:dyDescent="0.25">
      <c r="A94" s="75" t="str">
        <f t="shared" si="623"/>
        <v/>
      </c>
      <c r="B94" s="578" t="str">
        <f t="shared" ref="B94:D94" si="877">IFERROR(O249+($A94*-E94),"")</f>
        <v/>
      </c>
      <c r="C94" s="572" t="str">
        <f t="shared" si="877"/>
        <v/>
      </c>
      <c r="D94" s="576" t="str">
        <f t="shared" si="877"/>
        <v/>
      </c>
      <c r="E94" s="580" t="str">
        <f t="shared" ref="E94:K94" si="878">R249</f>
        <v/>
      </c>
      <c r="F94" s="572" t="str">
        <f t="shared" si="878"/>
        <v/>
      </c>
      <c r="G94" s="579" t="str">
        <f t="shared" si="878"/>
        <v/>
      </c>
      <c r="H94" s="580" t="str">
        <f t="shared" si="878"/>
        <v/>
      </c>
      <c r="I94" s="572" t="str">
        <f t="shared" si="878"/>
        <v/>
      </c>
      <c r="J94" s="483" t="str">
        <f t="shared" si="711"/>
        <v/>
      </c>
      <c r="K94" s="806" t="str">
        <f t="shared" si="878"/>
        <v/>
      </c>
      <c r="L94" s="309"/>
      <c r="M94" s="164" t="str">
        <f t="shared" si="626"/>
        <v/>
      </c>
      <c r="N94" s="575" t="str">
        <f t="shared" si="627"/>
        <v/>
      </c>
      <c r="O94" s="572" t="str">
        <f t="shared" si="628"/>
        <v/>
      </c>
      <c r="P94" s="576" t="str">
        <f t="shared" si="629"/>
        <v/>
      </c>
      <c r="Q94" s="528" t="str">
        <f t="shared" si="71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135"/>
        <v/>
      </c>
      <c r="W94" s="528" t="str">
        <f t="shared" si="848"/>
        <v/>
      </c>
      <c r="X94" s="572" t="str">
        <f t="shared" si="97"/>
        <v/>
      </c>
      <c r="Y94" s="573" t="str">
        <f t="shared" si="841"/>
        <v/>
      </c>
      <c r="Z94" s="575" t="str">
        <f t="shared" si="630"/>
        <v/>
      </c>
      <c r="AA94" s="572" t="str">
        <f t="shared" si="631"/>
        <v/>
      </c>
      <c r="AB94" s="572" t="str">
        <f t="shared" si="632"/>
        <v/>
      </c>
      <c r="AC94" s="579" t="str">
        <f t="shared" si="98"/>
        <v/>
      </c>
      <c r="AD94" s="580" t="str">
        <f t="shared" si="136"/>
        <v/>
      </c>
      <c r="AE94" s="572" t="str">
        <f t="shared" si="99"/>
        <v/>
      </c>
      <c r="AF94" s="576" t="str">
        <f t="shared" si="100"/>
        <v/>
      </c>
      <c r="AG94" s="545" t="str">
        <f t="shared" si="101"/>
        <v/>
      </c>
      <c r="AH94" s="546" t="str">
        <f t="shared" si="102"/>
        <v/>
      </c>
      <c r="AI94" s="528" t="str">
        <f t="shared" si="103"/>
        <v/>
      </c>
      <c r="AJ94" s="529" t="str">
        <f t="shared" si="104"/>
        <v/>
      </c>
      <c r="AK94" s="578" t="str">
        <f t="shared" si="234"/>
        <v/>
      </c>
      <c r="AL94" s="572" t="str">
        <f t="shared" si="105"/>
        <v/>
      </c>
      <c r="AM94" s="577" t="str">
        <f t="shared" si="106"/>
        <v/>
      </c>
      <c r="AN94" s="524" t="str">
        <f t="shared" si="107"/>
        <v/>
      </c>
      <c r="AO94" s="525" t="str">
        <f t="shared" si="590"/>
        <v/>
      </c>
      <c r="AP94" s="528" t="str">
        <f t="shared" si="109"/>
        <v/>
      </c>
      <c r="AQ94" s="529" t="str">
        <f t="shared" si="633"/>
        <v/>
      </c>
      <c r="AS94" s="900" t="str">
        <f t="shared" si="737"/>
        <v/>
      </c>
      <c r="AT94" s="896" t="str">
        <f t="shared" si="634"/>
        <v/>
      </c>
      <c r="AU94" s="418"/>
      <c r="AV94" s="164" t="str">
        <f t="shared" si="6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6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7"/>
        <v/>
      </c>
      <c r="BF94" s="4" t="str">
        <f t="shared" si="638"/>
        <v/>
      </c>
      <c r="BG94" s="5" t="str">
        <f t="shared" si="639"/>
        <v/>
      </c>
      <c r="BH94" s="10" t="str">
        <f t="shared" si="640"/>
        <v/>
      </c>
      <c r="BI94" s="9" t="str">
        <f t="shared" si="739"/>
        <v/>
      </c>
      <c r="BJ94" s="5" t="str">
        <f t="shared" si="641"/>
        <v/>
      </c>
      <c r="BK94" s="8" t="str">
        <f t="shared" si="642"/>
        <v/>
      </c>
      <c r="BL94" s="173" t="str">
        <f t="shared" si="643"/>
        <v/>
      </c>
      <c r="BM94" s="5" t="str">
        <f t="shared" si="644"/>
        <v/>
      </c>
      <c r="BN94" s="6" t="str">
        <f t="shared" si="645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6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7"/>
        <v/>
      </c>
      <c r="ET94" s="5" t="str">
        <f t="shared" si="648"/>
        <v/>
      </c>
      <c r="EU94" s="10" t="str">
        <f t="shared" si="649"/>
        <v/>
      </c>
      <c r="EV94" s="174" t="str">
        <f t="shared" si="650"/>
        <v/>
      </c>
      <c r="EW94" s="9" t="str">
        <f t="shared" si="651"/>
        <v/>
      </c>
      <c r="EX94" s="5" t="str">
        <f t="shared" si="652"/>
        <v/>
      </c>
      <c r="EY94" s="6" t="str">
        <f t="shared" si="804"/>
        <v/>
      </c>
      <c r="EZ94" s="51" t="str">
        <f t="shared" si="805"/>
        <v/>
      </c>
      <c r="FA94" s="173" t="str">
        <f t="shared" si="653"/>
        <v/>
      </c>
      <c r="FB94" s="5" t="str">
        <f t="shared" si="654"/>
        <v/>
      </c>
      <c r="FC94" s="6" t="str">
        <f t="shared" si="655"/>
        <v/>
      </c>
      <c r="FD94" s="4" t="str">
        <f t="shared" si="656"/>
        <v/>
      </c>
      <c r="FE94" s="5" t="str">
        <f t="shared" si="657"/>
        <v/>
      </c>
      <c r="FF94" s="7" t="str">
        <f t="shared" si="806"/>
        <v/>
      </c>
      <c r="FG94" s="173" t="str">
        <f t="shared" si="658"/>
        <v/>
      </c>
      <c r="FH94" s="5" t="str">
        <f t="shared" si="659"/>
        <v/>
      </c>
      <c r="FI94" s="10" t="str">
        <f t="shared" si="660"/>
        <v/>
      </c>
      <c r="FJ94" s="279" t="str">
        <f t="shared" si="807"/>
        <v/>
      </c>
      <c r="FK94" s="4" t="str">
        <f t="shared" si="661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2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3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4"/>
        <v/>
      </c>
      <c r="GH94" s="286" t="str">
        <f t="shared" si="665"/>
        <v/>
      </c>
      <c r="GI94" s="281" t="str">
        <f t="shared" si="666"/>
        <v/>
      </c>
      <c r="GJ94" s="167" t="str">
        <f t="shared" si="823"/>
        <v/>
      </c>
      <c r="GK94" s="174" t="str">
        <f t="shared" si="667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8"/>
        <v/>
      </c>
      <c r="GT94" s="343" t="str">
        <f t="shared" si="669"/>
        <v/>
      </c>
      <c r="GU94" s="344" t="str">
        <f t="shared" si="670"/>
        <v/>
      </c>
      <c r="GV94" s="343" t="str">
        <f t="shared" si="831"/>
        <v/>
      </c>
      <c r="GW94" s="345" t="str">
        <f t="shared" si="671"/>
        <v/>
      </c>
      <c r="GX94" s="346" t="str">
        <f t="shared" si="672"/>
        <v/>
      </c>
      <c r="GY94" s="344" t="str">
        <f t="shared" si="673"/>
        <v/>
      </c>
      <c r="GZ94" s="345" t="str">
        <f t="shared" si="674"/>
        <v/>
      </c>
      <c r="HA94" s="342" t="str">
        <f t="shared" si="675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6"/>
        <v/>
      </c>
      <c r="HF94" s="5" t="str">
        <f t="shared" si="677"/>
        <v/>
      </c>
      <c r="HG94" s="343" t="str">
        <f t="shared" si="835"/>
        <v/>
      </c>
      <c r="HH94" s="349" t="str">
        <f t="shared" si="836"/>
        <v/>
      </c>
      <c r="HI94" s="317" t="str">
        <f t="shared" si="678"/>
        <v/>
      </c>
      <c r="HK94" s="310" t="str">
        <f t="shared" si="733"/>
        <v/>
      </c>
      <c r="HL94" s="348" t="str">
        <f t="shared" si="679"/>
        <v/>
      </c>
      <c r="HM94" s="935" t="str">
        <f t="shared" si="680"/>
        <v/>
      </c>
      <c r="HN94" s="936" t="str">
        <f t="shared" si="681"/>
        <v/>
      </c>
      <c r="HO94" s="937"/>
      <c r="HP94" s="938"/>
      <c r="HQ94" s="936" t="str">
        <f t="shared" si="682"/>
        <v/>
      </c>
      <c r="HR94" s="939" t="str">
        <f t="shared" si="683"/>
        <v/>
      </c>
      <c r="HS94" s="940" t="str">
        <f t="shared" si="734"/>
        <v/>
      </c>
      <c r="HT94" s="941" t="str">
        <f t="shared" si="684"/>
        <v/>
      </c>
      <c r="HU94" s="942" t="str">
        <f t="shared" si="685"/>
        <v/>
      </c>
      <c r="HV94" s="943" t="str">
        <f t="shared" si="686"/>
        <v/>
      </c>
      <c r="HW94" s="944" t="str">
        <f t="shared" si="687"/>
        <v/>
      </c>
      <c r="HX94" s="947" t="str">
        <f t="shared" si="688"/>
        <v/>
      </c>
      <c r="HY94" s="952" t="str">
        <f t="shared" si="689"/>
        <v/>
      </c>
      <c r="HZ94" s="953" t="str">
        <f t="shared" si="690"/>
        <v/>
      </c>
      <c r="IA94" s="954" t="str">
        <f t="shared" si="691"/>
        <v/>
      </c>
      <c r="IB94" s="955" t="str">
        <f t="shared" si="692"/>
        <v/>
      </c>
      <c r="IC94" s="842" t="str">
        <f t="shared" si="693"/>
        <v/>
      </c>
      <c r="ID94" s="351" t="str">
        <f t="shared" si="694"/>
        <v/>
      </c>
      <c r="IE94" s="844" t="str">
        <f t="shared" si="695"/>
        <v/>
      </c>
      <c r="IF94" s="845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37"/>
        <v/>
      </c>
      <c r="IJ94" s="96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696"/>
        <v/>
      </c>
      <c r="IM94" s="482" t="str">
        <f t="shared" si="838"/>
        <v/>
      </c>
      <c r="IN94" s="670" t="str">
        <f t="shared" si="697"/>
        <v/>
      </c>
      <c r="IO94" s="702"/>
      <c r="IP94" s="5" t="str">
        <f t="shared" si="698"/>
        <v/>
      </c>
      <c r="IQ94" s="714"/>
      <c r="IR94" s="9" t="str">
        <f t="shared" si="699"/>
        <v/>
      </c>
      <c r="IS94" s="5" t="str">
        <f t="shared" si="700"/>
        <v/>
      </c>
      <c r="IT94" s="5" t="str">
        <f t="shared" si="701"/>
        <v/>
      </c>
      <c r="IU94" s="5" t="str">
        <f t="shared" si="702"/>
        <v/>
      </c>
      <c r="IV94" s="670" t="str">
        <f t="shared" si="703"/>
        <v/>
      </c>
      <c r="IW94" s="9" t="str">
        <f t="shared" si="704"/>
        <v/>
      </c>
      <c r="IX94" s="5" t="str">
        <f t="shared" si="705"/>
        <v/>
      </c>
      <c r="IY94" s="5" t="str">
        <f t="shared" si="706"/>
        <v/>
      </c>
      <c r="IZ94" s="5" t="str">
        <f t="shared" si="707"/>
        <v/>
      </c>
      <c r="JA94" s="705" t="str">
        <f t="shared" si="708"/>
        <v/>
      </c>
    </row>
    <row r="95" spans="1:261" ht="15" customHeight="1" x14ac:dyDescent="0.25">
      <c r="A95" s="75" t="str">
        <f t="shared" si="623"/>
        <v/>
      </c>
      <c r="B95" s="578" t="str">
        <f t="shared" ref="B95:D95" si="879">IFERROR(O250+($A95*-E95),"")</f>
        <v/>
      </c>
      <c r="C95" s="572" t="str">
        <f t="shared" si="879"/>
        <v/>
      </c>
      <c r="D95" s="576" t="str">
        <f t="shared" si="879"/>
        <v/>
      </c>
      <c r="E95" s="580" t="str">
        <f t="shared" ref="E95:K95" si="880">R250</f>
        <v/>
      </c>
      <c r="F95" s="572" t="str">
        <f t="shared" si="880"/>
        <v/>
      </c>
      <c r="G95" s="579" t="str">
        <f t="shared" si="880"/>
        <v/>
      </c>
      <c r="H95" s="580" t="str">
        <f t="shared" si="880"/>
        <v/>
      </c>
      <c r="I95" s="572" t="str">
        <f t="shared" si="880"/>
        <v/>
      </c>
      <c r="J95" s="483" t="str">
        <f t="shared" si="711"/>
        <v/>
      </c>
      <c r="K95" s="806" t="str">
        <f t="shared" si="880"/>
        <v/>
      </c>
      <c r="L95" s="309"/>
      <c r="M95" s="164" t="str">
        <f t="shared" si="626"/>
        <v/>
      </c>
      <c r="N95" s="575" t="str">
        <f t="shared" si="627"/>
        <v/>
      </c>
      <c r="O95" s="572" t="str">
        <f t="shared" si="628"/>
        <v/>
      </c>
      <c r="P95" s="576" t="str">
        <f t="shared" si="629"/>
        <v/>
      </c>
      <c r="Q95" s="528" t="str">
        <f t="shared" si="71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135"/>
        <v/>
      </c>
      <c r="W95" s="528" t="str">
        <f t="shared" si="848"/>
        <v/>
      </c>
      <c r="X95" s="572" t="str">
        <f t="shared" si="97"/>
        <v/>
      </c>
      <c r="Y95" s="573" t="str">
        <f t="shared" si="841"/>
        <v/>
      </c>
      <c r="Z95" s="575" t="str">
        <f t="shared" si="630"/>
        <v/>
      </c>
      <c r="AA95" s="572" t="str">
        <f t="shared" si="631"/>
        <v/>
      </c>
      <c r="AB95" s="572" t="str">
        <f t="shared" si="632"/>
        <v/>
      </c>
      <c r="AC95" s="579" t="str">
        <f t="shared" si="98"/>
        <v/>
      </c>
      <c r="AD95" s="580" t="str">
        <f t="shared" si="136"/>
        <v/>
      </c>
      <c r="AE95" s="572" t="str">
        <f t="shared" si="99"/>
        <v/>
      </c>
      <c r="AF95" s="576" t="str">
        <f t="shared" si="100"/>
        <v/>
      </c>
      <c r="AG95" s="545" t="str">
        <f t="shared" si="101"/>
        <v/>
      </c>
      <c r="AH95" s="546" t="str">
        <f t="shared" si="102"/>
        <v/>
      </c>
      <c r="AI95" s="528" t="str">
        <f t="shared" si="103"/>
        <v/>
      </c>
      <c r="AJ95" s="529" t="str">
        <f t="shared" si="104"/>
        <v/>
      </c>
      <c r="AK95" s="578" t="str">
        <f t="shared" si="234"/>
        <v/>
      </c>
      <c r="AL95" s="572" t="str">
        <f t="shared" si="105"/>
        <v/>
      </c>
      <c r="AM95" s="577" t="str">
        <f t="shared" si="106"/>
        <v/>
      </c>
      <c r="AN95" s="524" t="str">
        <f t="shared" si="107"/>
        <v/>
      </c>
      <c r="AO95" s="525" t="str">
        <f t="shared" si="590"/>
        <v/>
      </c>
      <c r="AP95" s="528" t="str">
        <f t="shared" si="109"/>
        <v/>
      </c>
      <c r="AQ95" s="529" t="str">
        <f t="shared" si="633"/>
        <v/>
      </c>
      <c r="AS95" s="900" t="str">
        <f t="shared" si="737"/>
        <v/>
      </c>
      <c r="AT95" s="896" t="str">
        <f t="shared" si="634"/>
        <v/>
      </c>
      <c r="AU95" s="418"/>
      <c r="AV95" s="164" t="str">
        <f t="shared" si="6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6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7"/>
        <v/>
      </c>
      <c r="BF95" s="4" t="str">
        <f t="shared" si="638"/>
        <v/>
      </c>
      <c r="BG95" s="5" t="str">
        <f t="shared" si="639"/>
        <v/>
      </c>
      <c r="BH95" s="10" t="str">
        <f t="shared" si="640"/>
        <v/>
      </c>
      <c r="BI95" s="9" t="str">
        <f t="shared" si="739"/>
        <v/>
      </c>
      <c r="BJ95" s="5" t="str">
        <f t="shared" si="641"/>
        <v/>
      </c>
      <c r="BK95" s="8" t="str">
        <f t="shared" si="642"/>
        <v/>
      </c>
      <c r="BL95" s="173" t="str">
        <f t="shared" si="643"/>
        <v/>
      </c>
      <c r="BM95" s="5" t="str">
        <f t="shared" si="644"/>
        <v/>
      </c>
      <c r="BN95" s="6" t="str">
        <f t="shared" si="645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6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7"/>
        <v/>
      </c>
      <c r="ET95" s="5" t="str">
        <f t="shared" si="648"/>
        <v/>
      </c>
      <c r="EU95" s="10" t="str">
        <f t="shared" si="649"/>
        <v/>
      </c>
      <c r="EV95" s="174" t="str">
        <f t="shared" si="650"/>
        <v/>
      </c>
      <c r="EW95" s="9" t="str">
        <f t="shared" si="651"/>
        <v/>
      </c>
      <c r="EX95" s="5" t="str">
        <f t="shared" si="652"/>
        <v/>
      </c>
      <c r="EY95" s="6" t="str">
        <f t="shared" si="804"/>
        <v/>
      </c>
      <c r="EZ95" s="51" t="str">
        <f t="shared" si="805"/>
        <v/>
      </c>
      <c r="FA95" s="173" t="str">
        <f t="shared" si="653"/>
        <v/>
      </c>
      <c r="FB95" s="5" t="str">
        <f t="shared" si="654"/>
        <v/>
      </c>
      <c r="FC95" s="6" t="str">
        <f t="shared" si="655"/>
        <v/>
      </c>
      <c r="FD95" s="4" t="str">
        <f t="shared" si="656"/>
        <v/>
      </c>
      <c r="FE95" s="5" t="str">
        <f t="shared" si="657"/>
        <v/>
      </c>
      <c r="FF95" s="7" t="str">
        <f t="shared" si="806"/>
        <v/>
      </c>
      <c r="FG95" s="173" t="str">
        <f t="shared" si="658"/>
        <v/>
      </c>
      <c r="FH95" s="5" t="str">
        <f t="shared" si="659"/>
        <v/>
      </c>
      <c r="FI95" s="10" t="str">
        <f t="shared" si="660"/>
        <v/>
      </c>
      <c r="FJ95" s="279" t="str">
        <f t="shared" si="807"/>
        <v/>
      </c>
      <c r="FK95" s="4" t="str">
        <f t="shared" si="661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2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3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4"/>
        <v/>
      </c>
      <c r="GH95" s="286" t="str">
        <f t="shared" si="665"/>
        <v/>
      </c>
      <c r="GI95" s="281" t="str">
        <f t="shared" si="666"/>
        <v/>
      </c>
      <c r="GJ95" s="167" t="str">
        <f t="shared" si="823"/>
        <v/>
      </c>
      <c r="GK95" s="174" t="str">
        <f t="shared" si="667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8"/>
        <v/>
      </c>
      <c r="GT95" s="343" t="str">
        <f t="shared" si="669"/>
        <v/>
      </c>
      <c r="GU95" s="344" t="str">
        <f t="shared" si="670"/>
        <v/>
      </c>
      <c r="GV95" s="343" t="str">
        <f t="shared" si="831"/>
        <v/>
      </c>
      <c r="GW95" s="345" t="str">
        <f t="shared" si="671"/>
        <v/>
      </c>
      <c r="GX95" s="346" t="str">
        <f t="shared" si="672"/>
        <v/>
      </c>
      <c r="GY95" s="344" t="str">
        <f t="shared" si="673"/>
        <v/>
      </c>
      <c r="GZ95" s="345" t="str">
        <f t="shared" si="674"/>
        <v/>
      </c>
      <c r="HA95" s="342" t="str">
        <f t="shared" si="675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6"/>
        <v/>
      </c>
      <c r="HF95" s="5" t="str">
        <f t="shared" si="677"/>
        <v/>
      </c>
      <c r="HG95" s="343" t="str">
        <f t="shared" si="835"/>
        <v/>
      </c>
      <c r="HH95" s="349" t="str">
        <f t="shared" si="836"/>
        <v/>
      </c>
      <c r="HI95" s="317" t="str">
        <f t="shared" si="678"/>
        <v/>
      </c>
      <c r="HK95" s="310" t="str">
        <f t="shared" si="733"/>
        <v/>
      </c>
      <c r="HL95" s="348" t="str">
        <f t="shared" si="679"/>
        <v/>
      </c>
      <c r="HM95" s="935" t="str">
        <f t="shared" si="680"/>
        <v/>
      </c>
      <c r="HN95" s="936" t="str">
        <f t="shared" si="681"/>
        <v/>
      </c>
      <c r="HO95" s="937"/>
      <c r="HP95" s="938"/>
      <c r="HQ95" s="936" t="str">
        <f t="shared" si="682"/>
        <v/>
      </c>
      <c r="HR95" s="939" t="str">
        <f t="shared" si="683"/>
        <v/>
      </c>
      <c r="HS95" s="940" t="str">
        <f t="shared" si="734"/>
        <v/>
      </c>
      <c r="HT95" s="941" t="str">
        <f t="shared" si="684"/>
        <v/>
      </c>
      <c r="HU95" s="942" t="str">
        <f t="shared" si="685"/>
        <v/>
      </c>
      <c r="HV95" s="943" t="str">
        <f t="shared" si="686"/>
        <v/>
      </c>
      <c r="HW95" s="944" t="str">
        <f t="shared" si="687"/>
        <v/>
      </c>
      <c r="HX95" s="947" t="str">
        <f t="shared" si="688"/>
        <v/>
      </c>
      <c r="HY95" s="952" t="str">
        <f t="shared" si="689"/>
        <v/>
      </c>
      <c r="HZ95" s="953" t="str">
        <f t="shared" si="690"/>
        <v/>
      </c>
      <c r="IA95" s="954" t="str">
        <f t="shared" si="691"/>
        <v/>
      </c>
      <c r="IB95" s="955" t="str">
        <f t="shared" si="692"/>
        <v/>
      </c>
      <c r="IC95" s="842" t="str">
        <f t="shared" si="693"/>
        <v/>
      </c>
      <c r="ID95" s="351" t="str">
        <f t="shared" si="694"/>
        <v/>
      </c>
      <c r="IE95" s="844" t="str">
        <f t="shared" si="695"/>
        <v/>
      </c>
      <c r="IF95" s="845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37"/>
        <v/>
      </c>
      <c r="IJ95" s="96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696"/>
        <v/>
      </c>
      <c r="IM95" s="482" t="str">
        <f t="shared" si="838"/>
        <v/>
      </c>
      <c r="IN95" s="670" t="str">
        <f t="shared" si="697"/>
        <v/>
      </c>
      <c r="IO95" s="702"/>
      <c r="IP95" s="5" t="str">
        <f t="shared" si="698"/>
        <v/>
      </c>
      <c r="IQ95" s="714"/>
      <c r="IR95" s="9" t="str">
        <f t="shared" si="699"/>
        <v/>
      </c>
      <c r="IS95" s="5" t="str">
        <f t="shared" si="700"/>
        <v/>
      </c>
      <c r="IT95" s="5" t="str">
        <f t="shared" si="701"/>
        <v/>
      </c>
      <c r="IU95" s="5" t="str">
        <f t="shared" si="702"/>
        <v/>
      </c>
      <c r="IV95" s="670" t="str">
        <f t="shared" si="703"/>
        <v/>
      </c>
      <c r="IW95" s="9" t="str">
        <f t="shared" si="704"/>
        <v/>
      </c>
      <c r="IX95" s="5" t="str">
        <f t="shared" si="705"/>
        <v/>
      </c>
      <c r="IY95" s="5" t="str">
        <f t="shared" si="706"/>
        <v/>
      </c>
      <c r="IZ95" s="5" t="str">
        <f t="shared" si="707"/>
        <v/>
      </c>
      <c r="JA95" s="705" t="str">
        <f t="shared" si="708"/>
        <v/>
      </c>
    </row>
    <row r="96" spans="1:261" ht="15" customHeight="1" x14ac:dyDescent="0.25">
      <c r="A96" s="75" t="str">
        <f t="shared" si="623"/>
        <v/>
      </c>
      <c r="B96" s="578" t="str">
        <f t="shared" ref="B96:D96" si="881">IFERROR(O251+($A96*-E96),"")</f>
        <v/>
      </c>
      <c r="C96" s="572" t="str">
        <f t="shared" si="881"/>
        <v/>
      </c>
      <c r="D96" s="576" t="str">
        <f t="shared" si="881"/>
        <v/>
      </c>
      <c r="E96" s="580" t="str">
        <f t="shared" ref="E96:K96" si="882">R251</f>
        <v/>
      </c>
      <c r="F96" s="572" t="str">
        <f t="shared" si="882"/>
        <v/>
      </c>
      <c r="G96" s="579" t="str">
        <f t="shared" si="882"/>
        <v/>
      </c>
      <c r="H96" s="580" t="str">
        <f t="shared" si="882"/>
        <v/>
      </c>
      <c r="I96" s="572" t="str">
        <f t="shared" si="882"/>
        <v/>
      </c>
      <c r="J96" s="483" t="str">
        <f t="shared" si="711"/>
        <v/>
      </c>
      <c r="K96" s="806" t="str">
        <f t="shared" si="882"/>
        <v/>
      </c>
      <c r="L96" s="309"/>
      <c r="M96" s="164" t="str">
        <f t="shared" si="626"/>
        <v/>
      </c>
      <c r="N96" s="575" t="str">
        <f t="shared" si="627"/>
        <v/>
      </c>
      <c r="O96" s="572" t="str">
        <f t="shared" si="628"/>
        <v/>
      </c>
      <c r="P96" s="576" t="str">
        <f t="shared" si="629"/>
        <v/>
      </c>
      <c r="Q96" s="528" t="str">
        <f t="shared" si="71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135"/>
        <v/>
      </c>
      <c r="W96" s="528" t="str">
        <f t="shared" si="848"/>
        <v/>
      </c>
      <c r="X96" s="572" t="str">
        <f t="shared" si="97"/>
        <v/>
      </c>
      <c r="Y96" s="573" t="str">
        <f t="shared" si="841"/>
        <v/>
      </c>
      <c r="Z96" s="575" t="str">
        <f t="shared" si="630"/>
        <v/>
      </c>
      <c r="AA96" s="572" t="str">
        <f t="shared" si="631"/>
        <v/>
      </c>
      <c r="AB96" s="572" t="str">
        <f t="shared" si="632"/>
        <v/>
      </c>
      <c r="AC96" s="579" t="str">
        <f t="shared" si="98"/>
        <v/>
      </c>
      <c r="AD96" s="580" t="str">
        <f t="shared" si="136"/>
        <v/>
      </c>
      <c r="AE96" s="572" t="str">
        <f t="shared" si="99"/>
        <v/>
      </c>
      <c r="AF96" s="576" t="str">
        <f t="shared" si="100"/>
        <v/>
      </c>
      <c r="AG96" s="545" t="str">
        <f t="shared" si="101"/>
        <v/>
      </c>
      <c r="AH96" s="546" t="str">
        <f t="shared" si="102"/>
        <v/>
      </c>
      <c r="AI96" s="528" t="str">
        <f t="shared" si="103"/>
        <v/>
      </c>
      <c r="AJ96" s="529" t="str">
        <f t="shared" si="104"/>
        <v/>
      </c>
      <c r="AK96" s="578" t="str">
        <f t="shared" si="234"/>
        <v/>
      </c>
      <c r="AL96" s="572" t="str">
        <f t="shared" si="105"/>
        <v/>
      </c>
      <c r="AM96" s="577" t="str">
        <f t="shared" si="106"/>
        <v/>
      </c>
      <c r="AN96" s="524" t="str">
        <f t="shared" si="107"/>
        <v/>
      </c>
      <c r="AO96" s="525" t="str">
        <f t="shared" si="590"/>
        <v/>
      </c>
      <c r="AP96" s="528" t="str">
        <f t="shared" si="109"/>
        <v/>
      </c>
      <c r="AQ96" s="529" t="str">
        <f t="shared" si="633"/>
        <v/>
      </c>
      <c r="AS96" s="900" t="str">
        <f t="shared" si="737"/>
        <v/>
      </c>
      <c r="AT96" s="896" t="str">
        <f t="shared" si="634"/>
        <v/>
      </c>
      <c r="AU96" s="418"/>
      <c r="AV96" s="164" t="str">
        <f t="shared" si="6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6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7"/>
        <v/>
      </c>
      <c r="BF96" s="4" t="str">
        <f t="shared" si="638"/>
        <v/>
      </c>
      <c r="BG96" s="5" t="str">
        <f t="shared" si="639"/>
        <v/>
      </c>
      <c r="BH96" s="10" t="str">
        <f t="shared" si="640"/>
        <v/>
      </c>
      <c r="BI96" s="9" t="str">
        <f t="shared" si="739"/>
        <v/>
      </c>
      <c r="BJ96" s="5" t="str">
        <f t="shared" si="641"/>
        <v/>
      </c>
      <c r="BK96" s="8" t="str">
        <f t="shared" si="642"/>
        <v/>
      </c>
      <c r="BL96" s="173" t="str">
        <f t="shared" si="643"/>
        <v/>
      </c>
      <c r="BM96" s="5" t="str">
        <f t="shared" si="644"/>
        <v/>
      </c>
      <c r="BN96" s="6" t="str">
        <f t="shared" si="645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6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7"/>
        <v/>
      </c>
      <c r="ET96" s="5" t="str">
        <f t="shared" si="648"/>
        <v/>
      </c>
      <c r="EU96" s="10" t="str">
        <f t="shared" si="649"/>
        <v/>
      </c>
      <c r="EV96" s="174" t="str">
        <f t="shared" si="650"/>
        <v/>
      </c>
      <c r="EW96" s="9" t="str">
        <f t="shared" si="651"/>
        <v/>
      </c>
      <c r="EX96" s="5" t="str">
        <f t="shared" si="652"/>
        <v/>
      </c>
      <c r="EY96" s="6" t="str">
        <f t="shared" si="804"/>
        <v/>
      </c>
      <c r="EZ96" s="51" t="str">
        <f t="shared" si="805"/>
        <v/>
      </c>
      <c r="FA96" s="173" t="str">
        <f t="shared" si="653"/>
        <v/>
      </c>
      <c r="FB96" s="5" t="str">
        <f t="shared" si="654"/>
        <v/>
      </c>
      <c r="FC96" s="6" t="str">
        <f t="shared" si="655"/>
        <v/>
      </c>
      <c r="FD96" s="4" t="str">
        <f t="shared" si="656"/>
        <v/>
      </c>
      <c r="FE96" s="5" t="str">
        <f t="shared" si="657"/>
        <v/>
      </c>
      <c r="FF96" s="7" t="str">
        <f t="shared" si="806"/>
        <v/>
      </c>
      <c r="FG96" s="173" t="str">
        <f t="shared" si="658"/>
        <v/>
      </c>
      <c r="FH96" s="5" t="str">
        <f t="shared" si="659"/>
        <v/>
      </c>
      <c r="FI96" s="10" t="str">
        <f t="shared" si="660"/>
        <v/>
      </c>
      <c r="FJ96" s="279" t="str">
        <f t="shared" si="807"/>
        <v/>
      </c>
      <c r="FK96" s="4" t="str">
        <f t="shared" si="661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2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3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4"/>
        <v/>
      </c>
      <c r="GH96" s="286" t="str">
        <f t="shared" si="665"/>
        <v/>
      </c>
      <c r="GI96" s="281" t="str">
        <f t="shared" si="666"/>
        <v/>
      </c>
      <c r="GJ96" s="167" t="str">
        <f t="shared" si="823"/>
        <v/>
      </c>
      <c r="GK96" s="174" t="str">
        <f t="shared" si="667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8"/>
        <v/>
      </c>
      <c r="GT96" s="343" t="str">
        <f t="shared" si="669"/>
        <v/>
      </c>
      <c r="GU96" s="344" t="str">
        <f t="shared" si="670"/>
        <v/>
      </c>
      <c r="GV96" s="343" t="str">
        <f t="shared" si="831"/>
        <v/>
      </c>
      <c r="GW96" s="345" t="str">
        <f t="shared" si="671"/>
        <v/>
      </c>
      <c r="GX96" s="346" t="str">
        <f t="shared" si="672"/>
        <v/>
      </c>
      <c r="GY96" s="344" t="str">
        <f t="shared" si="673"/>
        <v/>
      </c>
      <c r="GZ96" s="345" t="str">
        <f t="shared" si="674"/>
        <v/>
      </c>
      <c r="HA96" s="342" t="str">
        <f t="shared" si="675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6"/>
        <v/>
      </c>
      <c r="HF96" s="5" t="str">
        <f t="shared" si="677"/>
        <v/>
      </c>
      <c r="HG96" s="343" t="str">
        <f t="shared" si="835"/>
        <v/>
      </c>
      <c r="HH96" s="349" t="str">
        <f t="shared" si="836"/>
        <v/>
      </c>
      <c r="HI96" s="317" t="str">
        <f t="shared" si="678"/>
        <v/>
      </c>
      <c r="HK96" s="310" t="str">
        <f t="shared" si="733"/>
        <v/>
      </c>
      <c r="HL96" s="348" t="str">
        <f t="shared" si="679"/>
        <v/>
      </c>
      <c r="HM96" s="935" t="str">
        <f t="shared" si="680"/>
        <v/>
      </c>
      <c r="HN96" s="936" t="str">
        <f t="shared" si="681"/>
        <v/>
      </c>
      <c r="HO96" s="937"/>
      <c r="HP96" s="938"/>
      <c r="HQ96" s="936" t="str">
        <f t="shared" si="682"/>
        <v/>
      </c>
      <c r="HR96" s="939" t="str">
        <f t="shared" si="683"/>
        <v/>
      </c>
      <c r="HS96" s="940" t="str">
        <f t="shared" si="734"/>
        <v/>
      </c>
      <c r="HT96" s="941" t="str">
        <f t="shared" si="684"/>
        <v/>
      </c>
      <c r="HU96" s="942" t="str">
        <f t="shared" si="685"/>
        <v/>
      </c>
      <c r="HV96" s="943" t="str">
        <f t="shared" si="686"/>
        <v/>
      </c>
      <c r="HW96" s="944" t="str">
        <f t="shared" si="687"/>
        <v/>
      </c>
      <c r="HX96" s="947" t="str">
        <f t="shared" si="688"/>
        <v/>
      </c>
      <c r="HY96" s="952" t="str">
        <f t="shared" si="689"/>
        <v/>
      </c>
      <c r="HZ96" s="953" t="str">
        <f t="shared" si="690"/>
        <v/>
      </c>
      <c r="IA96" s="954" t="str">
        <f t="shared" si="691"/>
        <v/>
      </c>
      <c r="IB96" s="955" t="str">
        <f t="shared" si="692"/>
        <v/>
      </c>
      <c r="IC96" s="842" t="str">
        <f t="shared" si="693"/>
        <v/>
      </c>
      <c r="ID96" s="351" t="str">
        <f t="shared" si="694"/>
        <v/>
      </c>
      <c r="IE96" s="844" t="str">
        <f t="shared" si="695"/>
        <v/>
      </c>
      <c r="IF96" s="845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37"/>
        <v/>
      </c>
      <c r="IJ96" s="96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696"/>
        <v/>
      </c>
      <c r="IM96" s="482" t="str">
        <f t="shared" si="838"/>
        <v/>
      </c>
      <c r="IN96" s="670" t="str">
        <f t="shared" si="697"/>
        <v/>
      </c>
      <c r="IO96" s="702"/>
      <c r="IP96" s="5" t="str">
        <f t="shared" si="698"/>
        <v/>
      </c>
      <c r="IQ96" s="714"/>
      <c r="IR96" s="9" t="str">
        <f t="shared" si="699"/>
        <v/>
      </c>
      <c r="IS96" s="5" t="str">
        <f t="shared" si="700"/>
        <v/>
      </c>
      <c r="IT96" s="5" t="str">
        <f t="shared" si="701"/>
        <v/>
      </c>
      <c r="IU96" s="5" t="str">
        <f t="shared" si="702"/>
        <v/>
      </c>
      <c r="IV96" s="670" t="str">
        <f t="shared" si="703"/>
        <v/>
      </c>
      <c r="IW96" s="9" t="str">
        <f t="shared" si="704"/>
        <v/>
      </c>
      <c r="IX96" s="5" t="str">
        <f t="shared" si="705"/>
        <v/>
      </c>
      <c r="IY96" s="5" t="str">
        <f t="shared" si="706"/>
        <v/>
      </c>
      <c r="IZ96" s="5" t="str">
        <f t="shared" si="707"/>
        <v/>
      </c>
      <c r="JA96" s="705" t="str">
        <f t="shared" si="708"/>
        <v/>
      </c>
    </row>
    <row r="97" spans="1:261" ht="15" customHeight="1" x14ac:dyDescent="0.25">
      <c r="A97" s="75" t="str">
        <f t="shared" si="623"/>
        <v/>
      </c>
      <c r="B97" s="578" t="str">
        <f t="shared" ref="B97:D97" si="883">IFERROR(O252+($A97*-E97),"")</f>
        <v/>
      </c>
      <c r="C97" s="572" t="str">
        <f t="shared" si="883"/>
        <v/>
      </c>
      <c r="D97" s="576" t="str">
        <f t="shared" si="883"/>
        <v/>
      </c>
      <c r="E97" s="580" t="str">
        <f t="shared" ref="E97:K97" si="884">R252</f>
        <v/>
      </c>
      <c r="F97" s="572" t="str">
        <f t="shared" si="884"/>
        <v/>
      </c>
      <c r="G97" s="579" t="str">
        <f t="shared" si="884"/>
        <v/>
      </c>
      <c r="H97" s="580" t="str">
        <f t="shared" si="884"/>
        <v/>
      </c>
      <c r="I97" s="572" t="str">
        <f t="shared" si="884"/>
        <v/>
      </c>
      <c r="J97" s="483" t="str">
        <f t="shared" si="711"/>
        <v/>
      </c>
      <c r="K97" s="806" t="str">
        <f t="shared" si="884"/>
        <v/>
      </c>
      <c r="L97" s="309"/>
      <c r="M97" s="164" t="str">
        <f t="shared" si="626"/>
        <v/>
      </c>
      <c r="N97" s="575" t="str">
        <f t="shared" si="627"/>
        <v/>
      </c>
      <c r="O97" s="572" t="str">
        <f t="shared" si="628"/>
        <v/>
      </c>
      <c r="P97" s="576" t="str">
        <f t="shared" si="629"/>
        <v/>
      </c>
      <c r="Q97" s="528" t="str">
        <f t="shared" si="71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135"/>
        <v/>
      </c>
      <c r="W97" s="528" t="str">
        <f t="shared" si="848"/>
        <v/>
      </c>
      <c r="X97" s="572" t="str">
        <f t="shared" si="97"/>
        <v/>
      </c>
      <c r="Y97" s="573" t="str">
        <f t="shared" si="841"/>
        <v/>
      </c>
      <c r="Z97" s="575" t="str">
        <f t="shared" si="630"/>
        <v/>
      </c>
      <c r="AA97" s="572" t="str">
        <f t="shared" si="631"/>
        <v/>
      </c>
      <c r="AB97" s="572" t="str">
        <f t="shared" si="632"/>
        <v/>
      </c>
      <c r="AC97" s="579" t="str">
        <f t="shared" si="98"/>
        <v/>
      </c>
      <c r="AD97" s="580" t="str">
        <f t="shared" si="136"/>
        <v/>
      </c>
      <c r="AE97" s="572" t="str">
        <f t="shared" si="99"/>
        <v/>
      </c>
      <c r="AF97" s="576" t="str">
        <f t="shared" si="100"/>
        <v/>
      </c>
      <c r="AG97" s="545" t="str">
        <f t="shared" si="101"/>
        <v/>
      </c>
      <c r="AH97" s="546" t="str">
        <f t="shared" si="102"/>
        <v/>
      </c>
      <c r="AI97" s="528" t="str">
        <f t="shared" si="103"/>
        <v/>
      </c>
      <c r="AJ97" s="529" t="str">
        <f t="shared" si="104"/>
        <v/>
      </c>
      <c r="AK97" s="578" t="str">
        <f t="shared" si="234"/>
        <v/>
      </c>
      <c r="AL97" s="572" t="str">
        <f t="shared" si="105"/>
        <v/>
      </c>
      <c r="AM97" s="577" t="str">
        <f t="shared" si="106"/>
        <v/>
      </c>
      <c r="AN97" s="524" t="str">
        <f t="shared" si="107"/>
        <v/>
      </c>
      <c r="AO97" s="525" t="str">
        <f t="shared" si="590"/>
        <v/>
      </c>
      <c r="AP97" s="528" t="str">
        <f t="shared" si="109"/>
        <v/>
      </c>
      <c r="AQ97" s="529" t="str">
        <f t="shared" si="633"/>
        <v/>
      </c>
      <c r="AS97" s="900" t="str">
        <f t="shared" si="737"/>
        <v/>
      </c>
      <c r="AT97" s="896" t="str">
        <f t="shared" si="634"/>
        <v/>
      </c>
      <c r="AU97" s="418"/>
      <c r="AV97" s="164" t="str">
        <f t="shared" si="6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6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7"/>
        <v/>
      </c>
      <c r="BF97" s="4" t="str">
        <f t="shared" si="638"/>
        <v/>
      </c>
      <c r="BG97" s="5" t="str">
        <f t="shared" si="639"/>
        <v/>
      </c>
      <c r="BH97" s="10" t="str">
        <f t="shared" si="640"/>
        <v/>
      </c>
      <c r="BI97" s="9" t="str">
        <f t="shared" si="739"/>
        <v/>
      </c>
      <c r="BJ97" s="5" t="str">
        <f t="shared" si="641"/>
        <v/>
      </c>
      <c r="BK97" s="8" t="str">
        <f t="shared" si="642"/>
        <v/>
      </c>
      <c r="BL97" s="173" t="str">
        <f t="shared" si="643"/>
        <v/>
      </c>
      <c r="BM97" s="5" t="str">
        <f t="shared" si="644"/>
        <v/>
      </c>
      <c r="BN97" s="6" t="str">
        <f t="shared" si="645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6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7"/>
        <v/>
      </c>
      <c r="ET97" s="5" t="str">
        <f t="shared" si="648"/>
        <v/>
      </c>
      <c r="EU97" s="10" t="str">
        <f t="shared" si="649"/>
        <v/>
      </c>
      <c r="EV97" s="174" t="str">
        <f t="shared" si="650"/>
        <v/>
      </c>
      <c r="EW97" s="9" t="str">
        <f t="shared" si="651"/>
        <v/>
      </c>
      <c r="EX97" s="5" t="str">
        <f t="shared" si="652"/>
        <v/>
      </c>
      <c r="EY97" s="6" t="str">
        <f t="shared" si="804"/>
        <v/>
      </c>
      <c r="EZ97" s="51" t="str">
        <f t="shared" si="805"/>
        <v/>
      </c>
      <c r="FA97" s="173" t="str">
        <f t="shared" si="653"/>
        <v/>
      </c>
      <c r="FB97" s="5" t="str">
        <f t="shared" si="654"/>
        <v/>
      </c>
      <c r="FC97" s="6" t="str">
        <f t="shared" si="655"/>
        <v/>
      </c>
      <c r="FD97" s="4" t="str">
        <f t="shared" si="656"/>
        <v/>
      </c>
      <c r="FE97" s="5" t="str">
        <f t="shared" si="657"/>
        <v/>
      </c>
      <c r="FF97" s="7" t="str">
        <f t="shared" si="806"/>
        <v/>
      </c>
      <c r="FG97" s="173" t="str">
        <f t="shared" si="658"/>
        <v/>
      </c>
      <c r="FH97" s="5" t="str">
        <f t="shared" si="659"/>
        <v/>
      </c>
      <c r="FI97" s="10" t="str">
        <f t="shared" si="660"/>
        <v/>
      </c>
      <c r="FJ97" s="279" t="str">
        <f t="shared" si="807"/>
        <v/>
      </c>
      <c r="FK97" s="4" t="str">
        <f t="shared" si="661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2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3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4"/>
        <v/>
      </c>
      <c r="GH97" s="286" t="str">
        <f t="shared" si="665"/>
        <v/>
      </c>
      <c r="GI97" s="281" t="str">
        <f t="shared" si="666"/>
        <v/>
      </c>
      <c r="GJ97" s="167" t="str">
        <f t="shared" si="823"/>
        <v/>
      </c>
      <c r="GK97" s="174" t="str">
        <f t="shared" si="667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8"/>
        <v/>
      </c>
      <c r="GT97" s="343" t="str">
        <f t="shared" si="669"/>
        <v/>
      </c>
      <c r="GU97" s="344" t="str">
        <f t="shared" si="670"/>
        <v/>
      </c>
      <c r="GV97" s="343" t="str">
        <f t="shared" si="831"/>
        <v/>
      </c>
      <c r="GW97" s="345" t="str">
        <f t="shared" si="671"/>
        <v/>
      </c>
      <c r="GX97" s="346" t="str">
        <f t="shared" si="672"/>
        <v/>
      </c>
      <c r="GY97" s="344" t="str">
        <f t="shared" si="673"/>
        <v/>
      </c>
      <c r="GZ97" s="345" t="str">
        <f t="shared" si="674"/>
        <v/>
      </c>
      <c r="HA97" s="342" t="str">
        <f t="shared" si="675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6"/>
        <v/>
      </c>
      <c r="HF97" s="5" t="str">
        <f t="shared" si="677"/>
        <v/>
      </c>
      <c r="HG97" s="343" t="str">
        <f t="shared" si="835"/>
        <v/>
      </c>
      <c r="HH97" s="349" t="str">
        <f t="shared" si="836"/>
        <v/>
      </c>
      <c r="HI97" s="317" t="str">
        <f t="shared" si="678"/>
        <v/>
      </c>
      <c r="HK97" s="310" t="str">
        <f t="shared" si="733"/>
        <v/>
      </c>
      <c r="HL97" s="348" t="str">
        <f t="shared" si="679"/>
        <v/>
      </c>
      <c r="HM97" s="935" t="str">
        <f t="shared" si="680"/>
        <v/>
      </c>
      <c r="HN97" s="936" t="str">
        <f t="shared" si="681"/>
        <v/>
      </c>
      <c r="HO97" s="937"/>
      <c r="HP97" s="938"/>
      <c r="HQ97" s="936" t="str">
        <f t="shared" si="682"/>
        <v/>
      </c>
      <c r="HR97" s="939" t="str">
        <f t="shared" si="683"/>
        <v/>
      </c>
      <c r="HS97" s="940" t="str">
        <f t="shared" si="734"/>
        <v/>
      </c>
      <c r="HT97" s="941" t="str">
        <f t="shared" si="684"/>
        <v/>
      </c>
      <c r="HU97" s="942" t="str">
        <f t="shared" si="685"/>
        <v/>
      </c>
      <c r="HV97" s="943" t="str">
        <f t="shared" si="686"/>
        <v/>
      </c>
      <c r="HW97" s="944" t="str">
        <f t="shared" si="687"/>
        <v/>
      </c>
      <c r="HX97" s="947" t="str">
        <f t="shared" si="688"/>
        <v/>
      </c>
      <c r="HY97" s="952" t="str">
        <f t="shared" si="689"/>
        <v/>
      </c>
      <c r="HZ97" s="953" t="str">
        <f t="shared" si="690"/>
        <v/>
      </c>
      <c r="IA97" s="954" t="str">
        <f t="shared" si="691"/>
        <v/>
      </c>
      <c r="IB97" s="955" t="str">
        <f t="shared" si="692"/>
        <v/>
      </c>
      <c r="IC97" s="842" t="str">
        <f t="shared" si="693"/>
        <v/>
      </c>
      <c r="ID97" s="351" t="str">
        <f t="shared" si="694"/>
        <v/>
      </c>
      <c r="IE97" s="844" t="str">
        <f t="shared" si="695"/>
        <v/>
      </c>
      <c r="IF97" s="845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37"/>
        <v/>
      </c>
      <c r="IJ97" s="96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696"/>
        <v/>
      </c>
      <c r="IM97" s="482" t="str">
        <f t="shared" si="838"/>
        <v/>
      </c>
      <c r="IN97" s="670" t="str">
        <f t="shared" si="697"/>
        <v/>
      </c>
      <c r="IO97" s="702"/>
      <c r="IP97" s="5" t="str">
        <f t="shared" si="698"/>
        <v/>
      </c>
      <c r="IQ97" s="714"/>
      <c r="IR97" s="9" t="str">
        <f t="shared" si="699"/>
        <v/>
      </c>
      <c r="IS97" s="5" t="str">
        <f t="shared" si="700"/>
        <v/>
      </c>
      <c r="IT97" s="5" t="str">
        <f t="shared" si="701"/>
        <v/>
      </c>
      <c r="IU97" s="5" t="str">
        <f t="shared" si="702"/>
        <v/>
      </c>
      <c r="IV97" s="670" t="str">
        <f t="shared" si="703"/>
        <v/>
      </c>
      <c r="IW97" s="9" t="str">
        <f t="shared" si="704"/>
        <v/>
      </c>
      <c r="IX97" s="5" t="str">
        <f t="shared" si="705"/>
        <v/>
      </c>
      <c r="IY97" s="5" t="str">
        <f t="shared" si="706"/>
        <v/>
      </c>
      <c r="IZ97" s="5" t="str">
        <f t="shared" si="707"/>
        <v/>
      </c>
      <c r="JA97" s="705" t="str">
        <f t="shared" si="708"/>
        <v/>
      </c>
    </row>
    <row r="98" spans="1:261" ht="15" customHeight="1" x14ac:dyDescent="0.25">
      <c r="A98" s="75" t="str">
        <f t="shared" si="623"/>
        <v/>
      </c>
      <c r="B98" s="578" t="str">
        <f t="shared" ref="B98:D98" si="885">IFERROR(O253+($A98*-E98),"")</f>
        <v/>
      </c>
      <c r="C98" s="572" t="str">
        <f t="shared" si="885"/>
        <v/>
      </c>
      <c r="D98" s="576" t="str">
        <f t="shared" si="885"/>
        <v/>
      </c>
      <c r="E98" s="580" t="str">
        <f t="shared" ref="E98:K98" si="886">R253</f>
        <v/>
      </c>
      <c r="F98" s="572" t="str">
        <f t="shared" si="886"/>
        <v/>
      </c>
      <c r="G98" s="579" t="str">
        <f t="shared" si="886"/>
        <v/>
      </c>
      <c r="H98" s="580" t="str">
        <f t="shared" si="886"/>
        <v/>
      </c>
      <c r="I98" s="572" t="str">
        <f t="shared" si="886"/>
        <v/>
      </c>
      <c r="J98" s="483" t="str">
        <f t="shared" si="711"/>
        <v/>
      </c>
      <c r="K98" s="806" t="str">
        <f t="shared" si="886"/>
        <v/>
      </c>
      <c r="L98" s="309"/>
      <c r="M98" s="164" t="str">
        <f t="shared" si="626"/>
        <v/>
      </c>
      <c r="N98" s="575" t="str">
        <f t="shared" si="627"/>
        <v/>
      </c>
      <c r="O98" s="572" t="str">
        <f t="shared" si="628"/>
        <v/>
      </c>
      <c r="P98" s="576" t="str">
        <f t="shared" si="629"/>
        <v/>
      </c>
      <c r="Q98" s="528" t="str">
        <f t="shared" si="71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135"/>
        <v/>
      </c>
      <c r="W98" s="528" t="str">
        <f t="shared" si="848"/>
        <v/>
      </c>
      <c r="X98" s="572" t="str">
        <f t="shared" si="97"/>
        <v/>
      </c>
      <c r="Y98" s="573" t="str">
        <f t="shared" si="841"/>
        <v/>
      </c>
      <c r="Z98" s="575" t="str">
        <f t="shared" si="630"/>
        <v/>
      </c>
      <c r="AA98" s="572" t="str">
        <f t="shared" si="631"/>
        <v/>
      </c>
      <c r="AB98" s="572" t="str">
        <f t="shared" si="632"/>
        <v/>
      </c>
      <c r="AC98" s="579" t="str">
        <f t="shared" si="98"/>
        <v/>
      </c>
      <c r="AD98" s="580" t="str">
        <f t="shared" si="136"/>
        <v/>
      </c>
      <c r="AE98" s="572" t="str">
        <f t="shared" si="99"/>
        <v/>
      </c>
      <c r="AF98" s="576" t="str">
        <f t="shared" si="100"/>
        <v/>
      </c>
      <c r="AG98" s="545" t="str">
        <f t="shared" si="101"/>
        <v/>
      </c>
      <c r="AH98" s="546" t="str">
        <f t="shared" si="102"/>
        <v/>
      </c>
      <c r="AI98" s="528" t="str">
        <f t="shared" si="103"/>
        <v/>
      </c>
      <c r="AJ98" s="529" t="str">
        <f t="shared" si="104"/>
        <v/>
      </c>
      <c r="AK98" s="578" t="str">
        <f t="shared" si="234"/>
        <v/>
      </c>
      <c r="AL98" s="572" t="str">
        <f t="shared" si="105"/>
        <v/>
      </c>
      <c r="AM98" s="577" t="str">
        <f t="shared" si="106"/>
        <v/>
      </c>
      <c r="AN98" s="524" t="str">
        <f t="shared" si="107"/>
        <v/>
      </c>
      <c r="AO98" s="525" t="str">
        <f t="shared" si="590"/>
        <v/>
      </c>
      <c r="AP98" s="528" t="str">
        <f t="shared" si="109"/>
        <v/>
      </c>
      <c r="AQ98" s="529" t="str">
        <f t="shared" si="633"/>
        <v/>
      </c>
      <c r="AS98" s="900" t="str">
        <f t="shared" si="737"/>
        <v/>
      </c>
      <c r="AT98" s="896" t="str">
        <f t="shared" si="634"/>
        <v/>
      </c>
      <c r="AU98" s="418"/>
      <c r="AV98" s="164" t="str">
        <f t="shared" si="6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6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7"/>
        <v/>
      </c>
      <c r="BF98" s="4" t="str">
        <f t="shared" si="638"/>
        <v/>
      </c>
      <c r="BG98" s="5" t="str">
        <f t="shared" si="639"/>
        <v/>
      </c>
      <c r="BH98" s="10" t="str">
        <f t="shared" si="640"/>
        <v/>
      </c>
      <c r="BI98" s="9" t="str">
        <f t="shared" si="739"/>
        <v/>
      </c>
      <c r="BJ98" s="5" t="str">
        <f t="shared" si="641"/>
        <v/>
      </c>
      <c r="BK98" s="8" t="str">
        <f t="shared" si="642"/>
        <v/>
      </c>
      <c r="BL98" s="173" t="str">
        <f t="shared" si="643"/>
        <v/>
      </c>
      <c r="BM98" s="5" t="str">
        <f t="shared" si="644"/>
        <v/>
      </c>
      <c r="BN98" s="6" t="str">
        <f t="shared" si="645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6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7"/>
        <v/>
      </c>
      <c r="ET98" s="5" t="str">
        <f t="shared" si="648"/>
        <v/>
      </c>
      <c r="EU98" s="10" t="str">
        <f t="shared" si="649"/>
        <v/>
      </c>
      <c r="EV98" s="174" t="str">
        <f t="shared" si="650"/>
        <v/>
      </c>
      <c r="EW98" s="9" t="str">
        <f t="shared" si="651"/>
        <v/>
      </c>
      <c r="EX98" s="5" t="str">
        <f t="shared" si="652"/>
        <v/>
      </c>
      <c r="EY98" s="6" t="str">
        <f t="shared" si="804"/>
        <v/>
      </c>
      <c r="EZ98" s="51" t="str">
        <f t="shared" si="805"/>
        <v/>
      </c>
      <c r="FA98" s="173" t="str">
        <f t="shared" si="653"/>
        <v/>
      </c>
      <c r="FB98" s="5" t="str">
        <f t="shared" si="654"/>
        <v/>
      </c>
      <c r="FC98" s="6" t="str">
        <f t="shared" si="655"/>
        <v/>
      </c>
      <c r="FD98" s="4" t="str">
        <f t="shared" si="656"/>
        <v/>
      </c>
      <c r="FE98" s="5" t="str">
        <f t="shared" si="657"/>
        <v/>
      </c>
      <c r="FF98" s="7" t="str">
        <f t="shared" si="806"/>
        <v/>
      </c>
      <c r="FG98" s="173" t="str">
        <f t="shared" si="658"/>
        <v/>
      </c>
      <c r="FH98" s="5" t="str">
        <f t="shared" si="659"/>
        <v/>
      </c>
      <c r="FI98" s="10" t="str">
        <f t="shared" si="660"/>
        <v/>
      </c>
      <c r="FJ98" s="279" t="str">
        <f t="shared" si="807"/>
        <v/>
      </c>
      <c r="FK98" s="4" t="str">
        <f t="shared" si="661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2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3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4"/>
        <v/>
      </c>
      <c r="GH98" s="286" t="str">
        <f t="shared" si="665"/>
        <v/>
      </c>
      <c r="GI98" s="281" t="str">
        <f t="shared" si="666"/>
        <v/>
      </c>
      <c r="GJ98" s="167" t="str">
        <f t="shared" si="823"/>
        <v/>
      </c>
      <c r="GK98" s="174" t="str">
        <f t="shared" si="667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8"/>
        <v/>
      </c>
      <c r="GT98" s="343" t="str">
        <f t="shared" si="669"/>
        <v/>
      </c>
      <c r="GU98" s="344" t="str">
        <f t="shared" si="670"/>
        <v/>
      </c>
      <c r="GV98" s="343" t="str">
        <f t="shared" si="831"/>
        <v/>
      </c>
      <c r="GW98" s="345" t="str">
        <f t="shared" si="671"/>
        <v/>
      </c>
      <c r="GX98" s="346" t="str">
        <f t="shared" si="672"/>
        <v/>
      </c>
      <c r="GY98" s="344" t="str">
        <f t="shared" si="673"/>
        <v/>
      </c>
      <c r="GZ98" s="345" t="str">
        <f t="shared" si="674"/>
        <v/>
      </c>
      <c r="HA98" s="342" t="str">
        <f t="shared" si="675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6"/>
        <v/>
      </c>
      <c r="HF98" s="5" t="str">
        <f t="shared" si="677"/>
        <v/>
      </c>
      <c r="HG98" s="343" t="str">
        <f t="shared" si="835"/>
        <v/>
      </c>
      <c r="HH98" s="349" t="str">
        <f t="shared" si="836"/>
        <v/>
      </c>
      <c r="HI98" s="317" t="str">
        <f t="shared" si="678"/>
        <v/>
      </c>
      <c r="HK98" s="310" t="str">
        <f t="shared" si="733"/>
        <v/>
      </c>
      <c r="HL98" s="348" t="str">
        <f t="shared" si="679"/>
        <v/>
      </c>
      <c r="HM98" s="935" t="str">
        <f t="shared" si="680"/>
        <v/>
      </c>
      <c r="HN98" s="936" t="str">
        <f t="shared" si="681"/>
        <v/>
      </c>
      <c r="HO98" s="937"/>
      <c r="HP98" s="938"/>
      <c r="HQ98" s="936" t="str">
        <f t="shared" si="682"/>
        <v/>
      </c>
      <c r="HR98" s="939" t="str">
        <f t="shared" si="683"/>
        <v/>
      </c>
      <c r="HS98" s="940" t="str">
        <f t="shared" si="734"/>
        <v/>
      </c>
      <c r="HT98" s="941" t="str">
        <f t="shared" si="684"/>
        <v/>
      </c>
      <c r="HU98" s="942" t="str">
        <f t="shared" si="685"/>
        <v/>
      </c>
      <c r="HV98" s="943" t="str">
        <f t="shared" si="686"/>
        <v/>
      </c>
      <c r="HW98" s="944" t="str">
        <f t="shared" si="687"/>
        <v/>
      </c>
      <c r="HX98" s="947" t="str">
        <f t="shared" si="688"/>
        <v/>
      </c>
      <c r="HY98" s="952" t="str">
        <f t="shared" si="689"/>
        <v/>
      </c>
      <c r="HZ98" s="953" t="str">
        <f t="shared" si="690"/>
        <v/>
      </c>
      <c r="IA98" s="954" t="str">
        <f t="shared" si="691"/>
        <v/>
      </c>
      <c r="IB98" s="955" t="str">
        <f t="shared" si="692"/>
        <v/>
      </c>
      <c r="IC98" s="842" t="str">
        <f t="shared" si="693"/>
        <v/>
      </c>
      <c r="ID98" s="351" t="str">
        <f t="shared" si="694"/>
        <v/>
      </c>
      <c r="IE98" s="844" t="str">
        <f t="shared" si="695"/>
        <v/>
      </c>
      <c r="IF98" s="845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37"/>
        <v/>
      </c>
      <c r="IJ98" s="96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696"/>
        <v/>
      </c>
      <c r="IM98" s="482" t="str">
        <f t="shared" si="838"/>
        <v/>
      </c>
      <c r="IN98" s="670" t="str">
        <f t="shared" si="697"/>
        <v/>
      </c>
      <c r="IO98" s="702"/>
      <c r="IP98" s="5" t="str">
        <f t="shared" si="698"/>
        <v/>
      </c>
      <c r="IQ98" s="714"/>
      <c r="IR98" s="9" t="str">
        <f t="shared" si="699"/>
        <v/>
      </c>
      <c r="IS98" s="5" t="str">
        <f t="shared" si="700"/>
        <v/>
      </c>
      <c r="IT98" s="5" t="str">
        <f t="shared" si="701"/>
        <v/>
      </c>
      <c r="IU98" s="5" t="str">
        <f t="shared" si="702"/>
        <v/>
      </c>
      <c r="IV98" s="670" t="str">
        <f t="shared" si="703"/>
        <v/>
      </c>
      <c r="IW98" s="9" t="str">
        <f t="shared" si="704"/>
        <v/>
      </c>
      <c r="IX98" s="5" t="str">
        <f t="shared" si="705"/>
        <v/>
      </c>
      <c r="IY98" s="5" t="str">
        <f t="shared" si="706"/>
        <v/>
      </c>
      <c r="IZ98" s="5" t="str">
        <f t="shared" si="707"/>
        <v/>
      </c>
      <c r="JA98" s="705" t="str">
        <f t="shared" si="708"/>
        <v/>
      </c>
    </row>
    <row r="99" spans="1:261" ht="15" customHeight="1" x14ac:dyDescent="0.25">
      <c r="A99" s="75" t="str">
        <f t="shared" si="623"/>
        <v/>
      </c>
      <c r="B99" s="578" t="str">
        <f t="shared" ref="B99:D99" si="887">IFERROR(O254+($A99*-E99),"")</f>
        <v/>
      </c>
      <c r="C99" s="572" t="str">
        <f t="shared" si="887"/>
        <v/>
      </c>
      <c r="D99" s="576" t="str">
        <f t="shared" si="887"/>
        <v/>
      </c>
      <c r="E99" s="580" t="str">
        <f t="shared" ref="E99:K99" si="888">R254</f>
        <v/>
      </c>
      <c r="F99" s="572" t="str">
        <f t="shared" si="888"/>
        <v/>
      </c>
      <c r="G99" s="579" t="str">
        <f t="shared" si="888"/>
        <v/>
      </c>
      <c r="H99" s="580" t="str">
        <f t="shared" si="888"/>
        <v/>
      </c>
      <c r="I99" s="572" t="str">
        <f t="shared" si="888"/>
        <v/>
      </c>
      <c r="J99" s="483" t="str">
        <f t="shared" si="711"/>
        <v/>
      </c>
      <c r="K99" s="806" t="str">
        <f t="shared" si="888"/>
        <v/>
      </c>
      <c r="L99" s="309"/>
      <c r="M99" s="164" t="str">
        <f t="shared" si="626"/>
        <v/>
      </c>
      <c r="N99" s="575" t="str">
        <f t="shared" si="627"/>
        <v/>
      </c>
      <c r="O99" s="572" t="str">
        <f t="shared" si="628"/>
        <v/>
      </c>
      <c r="P99" s="576" t="str">
        <f t="shared" si="629"/>
        <v/>
      </c>
      <c r="Q99" s="528" t="str">
        <f t="shared" si="71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135"/>
        <v/>
      </c>
      <c r="W99" s="528" t="str">
        <f t="shared" si="848"/>
        <v/>
      </c>
      <c r="X99" s="572" t="str">
        <f t="shared" si="97"/>
        <v/>
      </c>
      <c r="Y99" s="573" t="str">
        <f t="shared" si="841"/>
        <v/>
      </c>
      <c r="Z99" s="575" t="str">
        <f t="shared" si="630"/>
        <v/>
      </c>
      <c r="AA99" s="572" t="str">
        <f t="shared" si="631"/>
        <v/>
      </c>
      <c r="AB99" s="572" t="str">
        <f t="shared" si="632"/>
        <v/>
      </c>
      <c r="AC99" s="579" t="str">
        <f t="shared" si="98"/>
        <v/>
      </c>
      <c r="AD99" s="580" t="str">
        <f t="shared" si="136"/>
        <v/>
      </c>
      <c r="AE99" s="572" t="str">
        <f t="shared" si="99"/>
        <v/>
      </c>
      <c r="AF99" s="576" t="str">
        <f t="shared" si="100"/>
        <v/>
      </c>
      <c r="AG99" s="545" t="str">
        <f t="shared" si="101"/>
        <v/>
      </c>
      <c r="AH99" s="546" t="str">
        <f t="shared" si="102"/>
        <v/>
      </c>
      <c r="AI99" s="528" t="str">
        <f t="shared" si="103"/>
        <v/>
      </c>
      <c r="AJ99" s="529" t="str">
        <f t="shared" si="104"/>
        <v/>
      </c>
      <c r="AK99" s="578" t="str">
        <f t="shared" si="234"/>
        <v/>
      </c>
      <c r="AL99" s="572" t="str">
        <f t="shared" si="105"/>
        <v/>
      </c>
      <c r="AM99" s="577" t="str">
        <f t="shared" si="106"/>
        <v/>
      </c>
      <c r="AN99" s="524" t="str">
        <f t="shared" si="107"/>
        <v/>
      </c>
      <c r="AO99" s="525" t="str">
        <f t="shared" si="590"/>
        <v/>
      </c>
      <c r="AP99" s="528" t="str">
        <f t="shared" si="109"/>
        <v/>
      </c>
      <c r="AQ99" s="529" t="str">
        <f t="shared" si="633"/>
        <v/>
      </c>
      <c r="AS99" s="900" t="str">
        <f t="shared" si="737"/>
        <v/>
      </c>
      <c r="AT99" s="896" t="str">
        <f t="shared" si="634"/>
        <v/>
      </c>
      <c r="AU99" s="418"/>
      <c r="AV99" s="164" t="str">
        <f t="shared" si="6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6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7"/>
        <v/>
      </c>
      <c r="BF99" s="4" t="str">
        <f t="shared" si="638"/>
        <v/>
      </c>
      <c r="BG99" s="5" t="str">
        <f t="shared" si="639"/>
        <v/>
      </c>
      <c r="BH99" s="10" t="str">
        <f t="shared" si="640"/>
        <v/>
      </c>
      <c r="BI99" s="9" t="str">
        <f t="shared" si="739"/>
        <v/>
      </c>
      <c r="BJ99" s="5" t="str">
        <f t="shared" si="641"/>
        <v/>
      </c>
      <c r="BK99" s="8" t="str">
        <f t="shared" si="642"/>
        <v/>
      </c>
      <c r="BL99" s="173" t="str">
        <f t="shared" si="643"/>
        <v/>
      </c>
      <c r="BM99" s="5" t="str">
        <f t="shared" si="644"/>
        <v/>
      </c>
      <c r="BN99" s="6" t="str">
        <f t="shared" si="645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6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7"/>
        <v/>
      </c>
      <c r="ET99" s="5" t="str">
        <f t="shared" si="648"/>
        <v/>
      </c>
      <c r="EU99" s="10" t="str">
        <f t="shared" si="649"/>
        <v/>
      </c>
      <c r="EV99" s="174" t="str">
        <f t="shared" si="650"/>
        <v/>
      </c>
      <c r="EW99" s="9" t="str">
        <f t="shared" si="651"/>
        <v/>
      </c>
      <c r="EX99" s="5" t="str">
        <f t="shared" si="652"/>
        <v/>
      </c>
      <c r="EY99" s="6" t="str">
        <f t="shared" si="804"/>
        <v/>
      </c>
      <c r="EZ99" s="51" t="str">
        <f t="shared" si="805"/>
        <v/>
      </c>
      <c r="FA99" s="173" t="str">
        <f t="shared" si="653"/>
        <v/>
      </c>
      <c r="FB99" s="5" t="str">
        <f t="shared" si="654"/>
        <v/>
      </c>
      <c r="FC99" s="6" t="str">
        <f t="shared" si="655"/>
        <v/>
      </c>
      <c r="FD99" s="4" t="str">
        <f t="shared" si="656"/>
        <v/>
      </c>
      <c r="FE99" s="5" t="str">
        <f t="shared" si="657"/>
        <v/>
      </c>
      <c r="FF99" s="7" t="str">
        <f t="shared" si="806"/>
        <v/>
      </c>
      <c r="FG99" s="173" t="str">
        <f t="shared" si="658"/>
        <v/>
      </c>
      <c r="FH99" s="5" t="str">
        <f t="shared" si="659"/>
        <v/>
      </c>
      <c r="FI99" s="10" t="str">
        <f t="shared" si="660"/>
        <v/>
      </c>
      <c r="FJ99" s="279" t="str">
        <f t="shared" si="807"/>
        <v/>
      </c>
      <c r="FK99" s="4" t="str">
        <f t="shared" si="661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2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3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4"/>
        <v/>
      </c>
      <c r="GH99" s="286" t="str">
        <f t="shared" si="665"/>
        <v/>
      </c>
      <c r="GI99" s="281" t="str">
        <f t="shared" si="666"/>
        <v/>
      </c>
      <c r="GJ99" s="167" t="str">
        <f t="shared" si="823"/>
        <v/>
      </c>
      <c r="GK99" s="174" t="str">
        <f t="shared" si="667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8"/>
        <v/>
      </c>
      <c r="GT99" s="343" t="str">
        <f t="shared" si="669"/>
        <v/>
      </c>
      <c r="GU99" s="344" t="str">
        <f t="shared" si="670"/>
        <v/>
      </c>
      <c r="GV99" s="343" t="str">
        <f t="shared" si="831"/>
        <v/>
      </c>
      <c r="GW99" s="345" t="str">
        <f t="shared" si="671"/>
        <v/>
      </c>
      <c r="GX99" s="346" t="str">
        <f t="shared" si="672"/>
        <v/>
      </c>
      <c r="GY99" s="344" t="str">
        <f t="shared" si="673"/>
        <v/>
      </c>
      <c r="GZ99" s="345" t="str">
        <f t="shared" si="674"/>
        <v/>
      </c>
      <c r="HA99" s="342" t="str">
        <f t="shared" si="675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6"/>
        <v/>
      </c>
      <c r="HF99" s="5" t="str">
        <f t="shared" si="677"/>
        <v/>
      </c>
      <c r="HG99" s="343" t="str">
        <f t="shared" si="835"/>
        <v/>
      </c>
      <c r="HH99" s="349" t="str">
        <f t="shared" si="836"/>
        <v/>
      </c>
      <c r="HI99" s="317" t="str">
        <f t="shared" si="678"/>
        <v/>
      </c>
      <c r="HK99" s="310" t="str">
        <f t="shared" si="733"/>
        <v/>
      </c>
      <c r="HL99" s="348" t="str">
        <f t="shared" si="679"/>
        <v/>
      </c>
      <c r="HM99" s="935" t="str">
        <f t="shared" si="680"/>
        <v/>
      </c>
      <c r="HN99" s="936" t="str">
        <f t="shared" si="681"/>
        <v/>
      </c>
      <c r="HO99" s="937"/>
      <c r="HP99" s="938"/>
      <c r="HQ99" s="936" t="str">
        <f t="shared" si="682"/>
        <v/>
      </c>
      <c r="HR99" s="939" t="str">
        <f t="shared" si="683"/>
        <v/>
      </c>
      <c r="HS99" s="940" t="str">
        <f t="shared" si="734"/>
        <v/>
      </c>
      <c r="HT99" s="941" t="str">
        <f t="shared" si="684"/>
        <v/>
      </c>
      <c r="HU99" s="942" t="str">
        <f t="shared" si="685"/>
        <v/>
      </c>
      <c r="HV99" s="943" t="str">
        <f t="shared" si="686"/>
        <v/>
      </c>
      <c r="HW99" s="944" t="str">
        <f t="shared" si="687"/>
        <v/>
      </c>
      <c r="HX99" s="947" t="str">
        <f t="shared" si="688"/>
        <v/>
      </c>
      <c r="HY99" s="952" t="str">
        <f t="shared" si="689"/>
        <v/>
      </c>
      <c r="HZ99" s="953" t="str">
        <f t="shared" si="690"/>
        <v/>
      </c>
      <c r="IA99" s="954" t="str">
        <f t="shared" si="691"/>
        <v/>
      </c>
      <c r="IB99" s="955" t="str">
        <f t="shared" si="692"/>
        <v/>
      </c>
      <c r="IC99" s="842" t="str">
        <f t="shared" si="693"/>
        <v/>
      </c>
      <c r="ID99" s="351" t="str">
        <f t="shared" si="694"/>
        <v/>
      </c>
      <c r="IE99" s="844" t="str">
        <f t="shared" si="695"/>
        <v/>
      </c>
      <c r="IF99" s="845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37"/>
        <v/>
      </c>
      <c r="IJ99" s="96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696"/>
        <v/>
      </c>
      <c r="IM99" s="482" t="str">
        <f t="shared" si="838"/>
        <v/>
      </c>
      <c r="IN99" s="670" t="str">
        <f t="shared" si="697"/>
        <v/>
      </c>
      <c r="IO99" s="702"/>
      <c r="IP99" s="5" t="str">
        <f t="shared" si="698"/>
        <v/>
      </c>
      <c r="IQ99" s="714"/>
      <c r="IR99" s="9" t="str">
        <f t="shared" si="699"/>
        <v/>
      </c>
      <c r="IS99" s="5" t="str">
        <f t="shared" si="700"/>
        <v/>
      </c>
      <c r="IT99" s="5" t="str">
        <f t="shared" si="701"/>
        <v/>
      </c>
      <c r="IU99" s="5" t="str">
        <f t="shared" si="702"/>
        <v/>
      </c>
      <c r="IV99" s="670" t="str">
        <f t="shared" si="703"/>
        <v/>
      </c>
      <c r="IW99" s="9" t="str">
        <f t="shared" si="704"/>
        <v/>
      </c>
      <c r="IX99" s="5" t="str">
        <f t="shared" si="705"/>
        <v/>
      </c>
      <c r="IY99" s="5" t="str">
        <f t="shared" si="706"/>
        <v/>
      </c>
      <c r="IZ99" s="5" t="str">
        <f t="shared" si="707"/>
        <v/>
      </c>
      <c r="JA99" s="705" t="str">
        <f t="shared" si="708"/>
        <v/>
      </c>
    </row>
    <row r="100" spans="1:261" ht="15" customHeight="1" x14ac:dyDescent="0.25">
      <c r="A100" s="75" t="str">
        <f t="shared" si="623"/>
        <v/>
      </c>
      <c r="B100" s="578" t="str">
        <f t="shared" ref="B100:D100" si="889">IFERROR(O255+($A100*-E100),"")</f>
        <v/>
      </c>
      <c r="C100" s="572" t="str">
        <f t="shared" si="889"/>
        <v/>
      </c>
      <c r="D100" s="576" t="str">
        <f t="shared" si="889"/>
        <v/>
      </c>
      <c r="E100" s="580" t="str">
        <f t="shared" ref="E100:K100" si="890">R255</f>
        <v/>
      </c>
      <c r="F100" s="572" t="str">
        <f t="shared" si="890"/>
        <v/>
      </c>
      <c r="G100" s="579" t="str">
        <f t="shared" si="890"/>
        <v/>
      </c>
      <c r="H100" s="580" t="str">
        <f t="shared" si="890"/>
        <v/>
      </c>
      <c r="I100" s="572" t="str">
        <f t="shared" si="890"/>
        <v/>
      </c>
      <c r="J100" s="483" t="str">
        <f t="shared" si="711"/>
        <v/>
      </c>
      <c r="K100" s="806" t="str">
        <f t="shared" si="890"/>
        <v/>
      </c>
      <c r="L100" s="309"/>
      <c r="M100" s="164" t="str">
        <f t="shared" si="626"/>
        <v/>
      </c>
      <c r="N100" s="575" t="str">
        <f t="shared" si="627"/>
        <v/>
      </c>
      <c r="O100" s="572" t="str">
        <f t="shared" si="628"/>
        <v/>
      </c>
      <c r="P100" s="576" t="str">
        <f t="shared" si="629"/>
        <v/>
      </c>
      <c r="Q100" s="528" t="str">
        <f t="shared" si="71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135"/>
        <v/>
      </c>
      <c r="W100" s="528" t="str">
        <f t="shared" si="848"/>
        <v/>
      </c>
      <c r="X100" s="572" t="str">
        <f t="shared" si="97"/>
        <v/>
      </c>
      <c r="Y100" s="573" t="str">
        <f t="shared" si="841"/>
        <v/>
      </c>
      <c r="Z100" s="575" t="str">
        <f t="shared" si="630"/>
        <v/>
      </c>
      <c r="AA100" s="572" t="str">
        <f t="shared" si="631"/>
        <v/>
      </c>
      <c r="AB100" s="572" t="str">
        <f t="shared" si="632"/>
        <v/>
      </c>
      <c r="AC100" s="579" t="str">
        <f t="shared" si="98"/>
        <v/>
      </c>
      <c r="AD100" s="580" t="str">
        <f t="shared" si="136"/>
        <v/>
      </c>
      <c r="AE100" s="572" t="str">
        <f t="shared" si="99"/>
        <v/>
      </c>
      <c r="AF100" s="576" t="str">
        <f t="shared" si="100"/>
        <v/>
      </c>
      <c r="AG100" s="545" t="str">
        <f t="shared" si="101"/>
        <v/>
      </c>
      <c r="AH100" s="546" t="str">
        <f t="shared" si="102"/>
        <v/>
      </c>
      <c r="AI100" s="528" t="str">
        <f t="shared" si="103"/>
        <v/>
      </c>
      <c r="AJ100" s="529" t="str">
        <f t="shared" si="104"/>
        <v/>
      </c>
      <c r="AK100" s="578" t="str">
        <f t="shared" si="234"/>
        <v/>
      </c>
      <c r="AL100" s="572" t="str">
        <f t="shared" si="105"/>
        <v/>
      </c>
      <c r="AM100" s="577" t="str">
        <f t="shared" si="106"/>
        <v/>
      </c>
      <c r="AN100" s="524" t="str">
        <f t="shared" si="107"/>
        <v/>
      </c>
      <c r="AO100" s="525" t="str">
        <f t="shared" si="590"/>
        <v/>
      </c>
      <c r="AP100" s="528" t="str">
        <f t="shared" si="109"/>
        <v/>
      </c>
      <c r="AQ100" s="529" t="str">
        <f t="shared" si="633"/>
        <v/>
      </c>
      <c r="AS100" s="900" t="str">
        <f t="shared" si="737"/>
        <v/>
      </c>
      <c r="AT100" s="896" t="str">
        <f t="shared" si="634"/>
        <v/>
      </c>
      <c r="AU100" s="418"/>
      <c r="AV100" s="164" t="str">
        <f t="shared" si="6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6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7"/>
        <v/>
      </c>
      <c r="BF100" s="4" t="str">
        <f t="shared" si="638"/>
        <v/>
      </c>
      <c r="BG100" s="5" t="str">
        <f t="shared" si="639"/>
        <v/>
      </c>
      <c r="BH100" s="10" t="str">
        <f t="shared" si="640"/>
        <v/>
      </c>
      <c r="BI100" s="9" t="str">
        <f t="shared" si="739"/>
        <v/>
      </c>
      <c r="BJ100" s="5" t="str">
        <f t="shared" si="641"/>
        <v/>
      </c>
      <c r="BK100" s="8" t="str">
        <f t="shared" si="642"/>
        <v/>
      </c>
      <c r="BL100" s="173" t="str">
        <f t="shared" si="643"/>
        <v/>
      </c>
      <c r="BM100" s="5" t="str">
        <f t="shared" si="644"/>
        <v/>
      </c>
      <c r="BN100" s="6" t="str">
        <f t="shared" si="645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6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7"/>
        <v/>
      </c>
      <c r="ET100" s="5" t="str">
        <f t="shared" si="648"/>
        <v/>
      </c>
      <c r="EU100" s="10" t="str">
        <f t="shared" si="649"/>
        <v/>
      </c>
      <c r="EV100" s="174" t="str">
        <f t="shared" si="650"/>
        <v/>
      </c>
      <c r="EW100" s="9" t="str">
        <f t="shared" si="651"/>
        <v/>
      </c>
      <c r="EX100" s="5" t="str">
        <f t="shared" si="652"/>
        <v/>
      </c>
      <c r="EY100" s="6" t="str">
        <f t="shared" si="804"/>
        <v/>
      </c>
      <c r="EZ100" s="51" t="str">
        <f t="shared" si="805"/>
        <v/>
      </c>
      <c r="FA100" s="173" t="str">
        <f t="shared" si="653"/>
        <v/>
      </c>
      <c r="FB100" s="5" t="str">
        <f t="shared" si="654"/>
        <v/>
      </c>
      <c r="FC100" s="6" t="str">
        <f t="shared" si="655"/>
        <v/>
      </c>
      <c r="FD100" s="4" t="str">
        <f t="shared" si="656"/>
        <v/>
      </c>
      <c r="FE100" s="5" t="str">
        <f t="shared" si="657"/>
        <v/>
      </c>
      <c r="FF100" s="7" t="str">
        <f t="shared" si="806"/>
        <v/>
      </c>
      <c r="FG100" s="173" t="str">
        <f t="shared" si="658"/>
        <v/>
      </c>
      <c r="FH100" s="5" t="str">
        <f t="shared" si="659"/>
        <v/>
      </c>
      <c r="FI100" s="10" t="str">
        <f t="shared" si="660"/>
        <v/>
      </c>
      <c r="FJ100" s="279" t="str">
        <f t="shared" si="807"/>
        <v/>
      </c>
      <c r="FK100" s="4" t="str">
        <f t="shared" si="661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2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3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4"/>
        <v/>
      </c>
      <c r="GH100" s="286" t="str">
        <f t="shared" si="665"/>
        <v/>
      </c>
      <c r="GI100" s="281" t="str">
        <f t="shared" si="666"/>
        <v/>
      </c>
      <c r="GJ100" s="167" t="str">
        <f t="shared" si="823"/>
        <v/>
      </c>
      <c r="GK100" s="174" t="str">
        <f t="shared" si="667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8"/>
        <v/>
      </c>
      <c r="GT100" s="343" t="str">
        <f t="shared" si="669"/>
        <v/>
      </c>
      <c r="GU100" s="344" t="str">
        <f t="shared" si="670"/>
        <v/>
      </c>
      <c r="GV100" s="343" t="str">
        <f t="shared" si="831"/>
        <v/>
      </c>
      <c r="GW100" s="345" t="str">
        <f t="shared" si="671"/>
        <v/>
      </c>
      <c r="GX100" s="346" t="str">
        <f t="shared" si="672"/>
        <v/>
      </c>
      <c r="GY100" s="344" t="str">
        <f t="shared" si="673"/>
        <v/>
      </c>
      <c r="GZ100" s="345" t="str">
        <f t="shared" si="674"/>
        <v/>
      </c>
      <c r="HA100" s="342" t="str">
        <f t="shared" si="675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6"/>
        <v/>
      </c>
      <c r="HF100" s="5" t="str">
        <f t="shared" si="677"/>
        <v/>
      </c>
      <c r="HG100" s="343" t="str">
        <f t="shared" si="835"/>
        <v/>
      </c>
      <c r="HH100" s="349" t="str">
        <f t="shared" si="836"/>
        <v/>
      </c>
      <c r="HI100" s="317" t="str">
        <f t="shared" si="678"/>
        <v/>
      </c>
      <c r="HK100" s="310" t="str">
        <f t="shared" si="733"/>
        <v/>
      </c>
      <c r="HL100" s="348" t="str">
        <f t="shared" si="679"/>
        <v/>
      </c>
      <c r="HM100" s="935" t="str">
        <f t="shared" si="680"/>
        <v/>
      </c>
      <c r="HN100" s="936" t="str">
        <f t="shared" si="681"/>
        <v/>
      </c>
      <c r="HO100" s="937"/>
      <c r="HP100" s="938"/>
      <c r="HQ100" s="936" t="str">
        <f t="shared" si="682"/>
        <v/>
      </c>
      <c r="HR100" s="939" t="str">
        <f t="shared" si="683"/>
        <v/>
      </c>
      <c r="HS100" s="940" t="str">
        <f t="shared" si="734"/>
        <v/>
      </c>
      <c r="HT100" s="941" t="str">
        <f t="shared" si="684"/>
        <v/>
      </c>
      <c r="HU100" s="942" t="str">
        <f t="shared" si="685"/>
        <v/>
      </c>
      <c r="HV100" s="943" t="str">
        <f t="shared" si="686"/>
        <v/>
      </c>
      <c r="HW100" s="944" t="str">
        <f t="shared" si="687"/>
        <v/>
      </c>
      <c r="HX100" s="947" t="str">
        <f t="shared" si="688"/>
        <v/>
      </c>
      <c r="HY100" s="952" t="str">
        <f t="shared" si="689"/>
        <v/>
      </c>
      <c r="HZ100" s="953" t="str">
        <f t="shared" si="690"/>
        <v/>
      </c>
      <c r="IA100" s="954" t="str">
        <f t="shared" si="691"/>
        <v/>
      </c>
      <c r="IB100" s="955" t="str">
        <f t="shared" si="692"/>
        <v/>
      </c>
      <c r="IC100" s="842" t="str">
        <f t="shared" si="693"/>
        <v/>
      </c>
      <c r="ID100" s="351" t="str">
        <f t="shared" si="694"/>
        <v/>
      </c>
      <c r="IE100" s="844" t="str">
        <f t="shared" si="695"/>
        <v/>
      </c>
      <c r="IF100" s="845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37"/>
        <v/>
      </c>
      <c r="IJ100" s="96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696"/>
        <v/>
      </c>
      <c r="IM100" s="482" t="str">
        <f t="shared" si="838"/>
        <v/>
      </c>
      <c r="IN100" s="670" t="str">
        <f t="shared" si="697"/>
        <v/>
      </c>
      <c r="IO100" s="702"/>
      <c r="IP100" s="5" t="str">
        <f t="shared" si="698"/>
        <v/>
      </c>
      <c r="IQ100" s="714"/>
      <c r="IR100" s="9" t="str">
        <f t="shared" si="699"/>
        <v/>
      </c>
      <c r="IS100" s="5" t="str">
        <f t="shared" si="700"/>
        <v/>
      </c>
      <c r="IT100" s="5" t="str">
        <f t="shared" si="701"/>
        <v/>
      </c>
      <c r="IU100" s="5" t="str">
        <f t="shared" si="702"/>
        <v/>
      </c>
      <c r="IV100" s="670" t="str">
        <f t="shared" si="703"/>
        <v/>
      </c>
      <c r="IW100" s="9" t="str">
        <f t="shared" si="704"/>
        <v/>
      </c>
      <c r="IX100" s="5" t="str">
        <f t="shared" si="705"/>
        <v/>
      </c>
      <c r="IY100" s="5" t="str">
        <f t="shared" si="706"/>
        <v/>
      </c>
      <c r="IZ100" s="5" t="str">
        <f t="shared" si="707"/>
        <v/>
      </c>
      <c r="JA100" s="705" t="str">
        <f t="shared" si="708"/>
        <v/>
      </c>
    </row>
    <row r="101" spans="1:261" ht="15" customHeight="1" x14ac:dyDescent="0.25">
      <c r="A101" s="75" t="str">
        <f t="shared" si="623"/>
        <v/>
      </c>
      <c r="B101" s="578" t="str">
        <f t="shared" ref="B101:D101" si="891">IFERROR(O256+($A101*-E101),"")</f>
        <v/>
      </c>
      <c r="C101" s="572" t="str">
        <f t="shared" si="891"/>
        <v/>
      </c>
      <c r="D101" s="576" t="str">
        <f t="shared" si="891"/>
        <v/>
      </c>
      <c r="E101" s="580" t="str">
        <f t="shared" ref="E101:K101" si="892">R256</f>
        <v/>
      </c>
      <c r="F101" s="572" t="str">
        <f t="shared" si="892"/>
        <v/>
      </c>
      <c r="G101" s="579" t="str">
        <f t="shared" si="892"/>
        <v/>
      </c>
      <c r="H101" s="580" t="str">
        <f t="shared" si="892"/>
        <v/>
      </c>
      <c r="I101" s="572" t="str">
        <f t="shared" si="892"/>
        <v/>
      </c>
      <c r="J101" s="483" t="str">
        <f t="shared" si="711"/>
        <v/>
      </c>
      <c r="K101" s="806" t="str">
        <f t="shared" si="892"/>
        <v/>
      </c>
      <c r="L101" s="309"/>
      <c r="M101" s="164" t="str">
        <f t="shared" si="626"/>
        <v/>
      </c>
      <c r="N101" s="575" t="str">
        <f t="shared" si="627"/>
        <v/>
      </c>
      <c r="O101" s="572" t="str">
        <f t="shared" si="628"/>
        <v/>
      </c>
      <c r="P101" s="576" t="str">
        <f t="shared" si="629"/>
        <v/>
      </c>
      <c r="Q101" s="528" t="str">
        <f t="shared" si="71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135"/>
        <v/>
      </c>
      <c r="W101" s="528" t="str">
        <f t="shared" si="848"/>
        <v/>
      </c>
      <c r="X101" s="572" t="str">
        <f t="shared" si="97"/>
        <v/>
      </c>
      <c r="Y101" s="573" t="str">
        <f t="shared" si="841"/>
        <v/>
      </c>
      <c r="Z101" s="575" t="str">
        <f t="shared" si="630"/>
        <v/>
      </c>
      <c r="AA101" s="572" t="str">
        <f t="shared" si="631"/>
        <v/>
      </c>
      <c r="AB101" s="572" t="str">
        <f t="shared" si="632"/>
        <v/>
      </c>
      <c r="AC101" s="579" t="str">
        <f t="shared" si="98"/>
        <v/>
      </c>
      <c r="AD101" s="580" t="str">
        <f t="shared" si="136"/>
        <v/>
      </c>
      <c r="AE101" s="572" t="str">
        <f t="shared" si="99"/>
        <v/>
      </c>
      <c r="AF101" s="576" t="str">
        <f t="shared" si="100"/>
        <v/>
      </c>
      <c r="AG101" s="545" t="str">
        <f t="shared" si="101"/>
        <v/>
      </c>
      <c r="AH101" s="546" t="str">
        <f t="shared" si="102"/>
        <v/>
      </c>
      <c r="AI101" s="528" t="str">
        <f t="shared" si="103"/>
        <v/>
      </c>
      <c r="AJ101" s="529" t="str">
        <f t="shared" si="104"/>
        <v/>
      </c>
      <c r="AK101" s="578" t="str">
        <f t="shared" si="234"/>
        <v/>
      </c>
      <c r="AL101" s="572" t="str">
        <f t="shared" si="105"/>
        <v/>
      </c>
      <c r="AM101" s="577" t="str">
        <f t="shared" si="106"/>
        <v/>
      </c>
      <c r="AN101" s="524" t="str">
        <f t="shared" si="107"/>
        <v/>
      </c>
      <c r="AO101" s="525" t="str">
        <f t="shared" si="590"/>
        <v/>
      </c>
      <c r="AP101" s="528" t="str">
        <f t="shared" si="109"/>
        <v/>
      </c>
      <c r="AQ101" s="529" t="str">
        <f t="shared" si="633"/>
        <v/>
      </c>
      <c r="AS101" s="900" t="str">
        <f t="shared" si="737"/>
        <v/>
      </c>
      <c r="AT101" s="896" t="str">
        <f t="shared" si="634"/>
        <v/>
      </c>
      <c r="AU101" s="418"/>
      <c r="AV101" s="164" t="str">
        <f t="shared" si="6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6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7"/>
        <v/>
      </c>
      <c r="BF101" s="4" t="str">
        <f t="shared" si="638"/>
        <v/>
      </c>
      <c r="BG101" s="5" t="str">
        <f t="shared" si="639"/>
        <v/>
      </c>
      <c r="BH101" s="10" t="str">
        <f t="shared" si="640"/>
        <v/>
      </c>
      <c r="BI101" s="9" t="str">
        <f t="shared" si="739"/>
        <v/>
      </c>
      <c r="BJ101" s="5" t="str">
        <f t="shared" si="641"/>
        <v/>
      </c>
      <c r="BK101" s="8" t="str">
        <f t="shared" si="642"/>
        <v/>
      </c>
      <c r="BL101" s="173" t="str">
        <f t="shared" si="643"/>
        <v/>
      </c>
      <c r="BM101" s="5" t="str">
        <f t="shared" si="644"/>
        <v/>
      </c>
      <c r="BN101" s="6" t="str">
        <f t="shared" si="645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6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7"/>
        <v/>
      </c>
      <c r="ET101" s="5" t="str">
        <f t="shared" si="648"/>
        <v/>
      </c>
      <c r="EU101" s="10" t="str">
        <f t="shared" si="649"/>
        <v/>
      </c>
      <c r="EV101" s="174" t="str">
        <f t="shared" si="650"/>
        <v/>
      </c>
      <c r="EW101" s="9" t="str">
        <f t="shared" si="651"/>
        <v/>
      </c>
      <c r="EX101" s="5" t="str">
        <f t="shared" si="652"/>
        <v/>
      </c>
      <c r="EY101" s="6" t="str">
        <f t="shared" si="804"/>
        <v/>
      </c>
      <c r="EZ101" s="51" t="str">
        <f t="shared" si="805"/>
        <v/>
      </c>
      <c r="FA101" s="173" t="str">
        <f t="shared" si="653"/>
        <v/>
      </c>
      <c r="FB101" s="5" t="str">
        <f t="shared" si="654"/>
        <v/>
      </c>
      <c r="FC101" s="6" t="str">
        <f t="shared" si="655"/>
        <v/>
      </c>
      <c r="FD101" s="4" t="str">
        <f t="shared" si="656"/>
        <v/>
      </c>
      <c r="FE101" s="5" t="str">
        <f t="shared" si="657"/>
        <v/>
      </c>
      <c r="FF101" s="7" t="str">
        <f t="shared" si="806"/>
        <v/>
      </c>
      <c r="FG101" s="173" t="str">
        <f t="shared" si="658"/>
        <v/>
      </c>
      <c r="FH101" s="5" t="str">
        <f t="shared" si="659"/>
        <v/>
      </c>
      <c r="FI101" s="10" t="str">
        <f t="shared" si="660"/>
        <v/>
      </c>
      <c r="FJ101" s="279" t="str">
        <f t="shared" si="807"/>
        <v/>
      </c>
      <c r="FK101" s="4" t="str">
        <f t="shared" si="661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2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3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4"/>
        <v/>
      </c>
      <c r="GH101" s="286" t="str">
        <f t="shared" si="665"/>
        <v/>
      </c>
      <c r="GI101" s="281" t="str">
        <f t="shared" si="666"/>
        <v/>
      </c>
      <c r="GJ101" s="167" t="str">
        <f t="shared" si="823"/>
        <v/>
      </c>
      <c r="GK101" s="174" t="str">
        <f t="shared" si="667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8"/>
        <v/>
      </c>
      <c r="GT101" s="343" t="str">
        <f t="shared" si="669"/>
        <v/>
      </c>
      <c r="GU101" s="344" t="str">
        <f t="shared" si="670"/>
        <v/>
      </c>
      <c r="GV101" s="343" t="str">
        <f t="shared" si="831"/>
        <v/>
      </c>
      <c r="GW101" s="345" t="str">
        <f t="shared" si="671"/>
        <v/>
      </c>
      <c r="GX101" s="346" t="str">
        <f t="shared" si="672"/>
        <v/>
      </c>
      <c r="GY101" s="344" t="str">
        <f t="shared" si="673"/>
        <v/>
      </c>
      <c r="GZ101" s="345" t="str">
        <f t="shared" si="674"/>
        <v/>
      </c>
      <c r="HA101" s="342" t="str">
        <f t="shared" si="675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6"/>
        <v/>
      </c>
      <c r="HF101" s="5" t="str">
        <f t="shared" si="677"/>
        <v/>
      </c>
      <c r="HG101" s="343" t="str">
        <f t="shared" si="835"/>
        <v/>
      </c>
      <c r="HH101" s="349" t="str">
        <f t="shared" si="836"/>
        <v/>
      </c>
      <c r="HI101" s="317" t="str">
        <f t="shared" si="678"/>
        <v/>
      </c>
      <c r="HK101" s="310" t="str">
        <f t="shared" si="733"/>
        <v/>
      </c>
      <c r="HL101" s="348" t="str">
        <f t="shared" si="679"/>
        <v/>
      </c>
      <c r="HM101" s="935" t="str">
        <f t="shared" si="680"/>
        <v/>
      </c>
      <c r="HN101" s="936" t="str">
        <f t="shared" si="681"/>
        <v/>
      </c>
      <c r="HO101" s="937"/>
      <c r="HP101" s="938"/>
      <c r="HQ101" s="936" t="str">
        <f t="shared" si="682"/>
        <v/>
      </c>
      <c r="HR101" s="939" t="str">
        <f t="shared" si="683"/>
        <v/>
      </c>
      <c r="HS101" s="940" t="str">
        <f t="shared" si="734"/>
        <v/>
      </c>
      <c r="HT101" s="941" t="str">
        <f t="shared" si="684"/>
        <v/>
      </c>
      <c r="HU101" s="942" t="str">
        <f t="shared" si="685"/>
        <v/>
      </c>
      <c r="HV101" s="943" t="str">
        <f t="shared" si="686"/>
        <v/>
      </c>
      <c r="HW101" s="944" t="str">
        <f t="shared" si="687"/>
        <v/>
      </c>
      <c r="HX101" s="947" t="str">
        <f t="shared" si="688"/>
        <v/>
      </c>
      <c r="HY101" s="952" t="str">
        <f t="shared" si="689"/>
        <v/>
      </c>
      <c r="HZ101" s="953" t="str">
        <f t="shared" si="690"/>
        <v/>
      </c>
      <c r="IA101" s="954" t="str">
        <f t="shared" si="691"/>
        <v/>
      </c>
      <c r="IB101" s="955" t="str">
        <f t="shared" si="692"/>
        <v/>
      </c>
      <c r="IC101" s="842" t="str">
        <f t="shared" si="693"/>
        <v/>
      </c>
      <c r="ID101" s="351" t="str">
        <f t="shared" si="694"/>
        <v/>
      </c>
      <c r="IE101" s="844" t="str">
        <f t="shared" si="695"/>
        <v/>
      </c>
      <c r="IF101" s="845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37"/>
        <v/>
      </c>
      <c r="IJ101" s="96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696"/>
        <v/>
      </c>
      <c r="IM101" s="482" t="str">
        <f t="shared" si="838"/>
        <v/>
      </c>
      <c r="IN101" s="670" t="str">
        <f t="shared" si="697"/>
        <v/>
      </c>
      <c r="IO101" s="702"/>
      <c r="IP101" s="5" t="str">
        <f t="shared" si="698"/>
        <v/>
      </c>
      <c r="IQ101" s="714"/>
      <c r="IR101" s="9" t="str">
        <f t="shared" si="699"/>
        <v/>
      </c>
      <c r="IS101" s="5" t="str">
        <f t="shared" si="700"/>
        <v/>
      </c>
      <c r="IT101" s="5" t="str">
        <f t="shared" si="701"/>
        <v/>
      </c>
      <c r="IU101" s="5" t="str">
        <f t="shared" si="702"/>
        <v/>
      </c>
      <c r="IV101" s="670" t="str">
        <f t="shared" si="703"/>
        <v/>
      </c>
      <c r="IW101" s="9" t="str">
        <f t="shared" si="704"/>
        <v/>
      </c>
      <c r="IX101" s="5" t="str">
        <f t="shared" si="705"/>
        <v/>
      </c>
      <c r="IY101" s="5" t="str">
        <f t="shared" si="706"/>
        <v/>
      </c>
      <c r="IZ101" s="5" t="str">
        <f t="shared" si="707"/>
        <v/>
      </c>
      <c r="JA101" s="705" t="str">
        <f t="shared" si="708"/>
        <v/>
      </c>
    </row>
    <row r="102" spans="1:261" ht="15" customHeight="1" x14ac:dyDescent="0.25">
      <c r="A102" s="75" t="str">
        <f t="shared" si="623"/>
        <v/>
      </c>
      <c r="B102" s="578" t="str">
        <f t="shared" ref="B102:D102" si="893">IFERROR(O257+($A102*-E102),"")</f>
        <v/>
      </c>
      <c r="C102" s="572" t="str">
        <f t="shared" si="893"/>
        <v/>
      </c>
      <c r="D102" s="576" t="str">
        <f t="shared" si="893"/>
        <v/>
      </c>
      <c r="E102" s="580" t="str">
        <f t="shared" ref="E102:K102" si="894">R257</f>
        <v/>
      </c>
      <c r="F102" s="572" t="str">
        <f t="shared" si="894"/>
        <v/>
      </c>
      <c r="G102" s="579" t="str">
        <f t="shared" si="894"/>
        <v/>
      </c>
      <c r="H102" s="580" t="str">
        <f t="shared" si="894"/>
        <v/>
      </c>
      <c r="I102" s="572" t="str">
        <f t="shared" si="894"/>
        <v/>
      </c>
      <c r="J102" s="483" t="str">
        <f t="shared" si="711"/>
        <v/>
      </c>
      <c r="K102" s="806" t="str">
        <f t="shared" si="894"/>
        <v/>
      </c>
      <c r="L102" s="309"/>
      <c r="M102" s="164" t="str">
        <f t="shared" si="626"/>
        <v/>
      </c>
      <c r="N102" s="575" t="str">
        <f t="shared" si="627"/>
        <v/>
      </c>
      <c r="O102" s="572" t="str">
        <f t="shared" si="628"/>
        <v/>
      </c>
      <c r="P102" s="576" t="str">
        <f t="shared" si="629"/>
        <v/>
      </c>
      <c r="Q102" s="528" t="str">
        <f t="shared" si="71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135"/>
        <v/>
      </c>
      <c r="W102" s="528" t="str">
        <f t="shared" si="848"/>
        <v/>
      </c>
      <c r="X102" s="572" t="str">
        <f t="shared" si="97"/>
        <v/>
      </c>
      <c r="Y102" s="573" t="str">
        <f t="shared" si="841"/>
        <v/>
      </c>
      <c r="Z102" s="575" t="str">
        <f t="shared" si="630"/>
        <v/>
      </c>
      <c r="AA102" s="572" t="str">
        <f t="shared" si="631"/>
        <v/>
      </c>
      <c r="AB102" s="572" t="str">
        <f t="shared" si="632"/>
        <v/>
      </c>
      <c r="AC102" s="579" t="str">
        <f t="shared" si="98"/>
        <v/>
      </c>
      <c r="AD102" s="580" t="str">
        <f t="shared" si="136"/>
        <v/>
      </c>
      <c r="AE102" s="572" t="str">
        <f t="shared" si="99"/>
        <v/>
      </c>
      <c r="AF102" s="576" t="str">
        <f t="shared" si="100"/>
        <v/>
      </c>
      <c r="AG102" s="545" t="str">
        <f t="shared" si="101"/>
        <v/>
      </c>
      <c r="AH102" s="546" t="str">
        <f t="shared" si="102"/>
        <v/>
      </c>
      <c r="AI102" s="528" t="str">
        <f t="shared" si="103"/>
        <v/>
      </c>
      <c r="AJ102" s="529" t="str">
        <f t="shared" si="104"/>
        <v/>
      </c>
      <c r="AK102" s="578" t="str">
        <f t="shared" si="234"/>
        <v/>
      </c>
      <c r="AL102" s="572" t="str">
        <f t="shared" si="105"/>
        <v/>
      </c>
      <c r="AM102" s="577" t="str">
        <f t="shared" si="106"/>
        <v/>
      </c>
      <c r="AN102" s="524" t="str">
        <f t="shared" si="107"/>
        <v/>
      </c>
      <c r="AO102" s="525" t="str">
        <f t="shared" si="590"/>
        <v/>
      </c>
      <c r="AP102" s="528" t="str">
        <f t="shared" si="109"/>
        <v/>
      </c>
      <c r="AQ102" s="529" t="str">
        <f t="shared" si="633"/>
        <v/>
      </c>
      <c r="AS102" s="900" t="str">
        <f t="shared" si="737"/>
        <v/>
      </c>
      <c r="AT102" s="896" t="str">
        <f t="shared" si="634"/>
        <v/>
      </c>
      <c r="AU102" s="418"/>
      <c r="AV102" s="164" t="str">
        <f t="shared" si="6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6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7"/>
        <v/>
      </c>
      <c r="BF102" s="4" t="str">
        <f t="shared" si="638"/>
        <v/>
      </c>
      <c r="BG102" s="5" t="str">
        <f t="shared" si="639"/>
        <v/>
      </c>
      <c r="BH102" s="10" t="str">
        <f t="shared" si="640"/>
        <v/>
      </c>
      <c r="BI102" s="9" t="str">
        <f t="shared" si="739"/>
        <v/>
      </c>
      <c r="BJ102" s="5" t="str">
        <f t="shared" si="641"/>
        <v/>
      </c>
      <c r="BK102" s="8" t="str">
        <f t="shared" si="642"/>
        <v/>
      </c>
      <c r="BL102" s="173" t="str">
        <f t="shared" si="643"/>
        <v/>
      </c>
      <c r="BM102" s="5" t="str">
        <f t="shared" si="644"/>
        <v/>
      </c>
      <c r="BN102" s="6" t="str">
        <f t="shared" si="645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6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7"/>
        <v/>
      </c>
      <c r="ET102" s="5" t="str">
        <f t="shared" si="648"/>
        <v/>
      </c>
      <c r="EU102" s="10" t="str">
        <f t="shared" si="649"/>
        <v/>
      </c>
      <c r="EV102" s="174" t="str">
        <f t="shared" si="650"/>
        <v/>
      </c>
      <c r="EW102" s="9" t="str">
        <f t="shared" si="651"/>
        <v/>
      </c>
      <c r="EX102" s="5" t="str">
        <f t="shared" si="652"/>
        <v/>
      </c>
      <c r="EY102" s="6" t="str">
        <f t="shared" si="804"/>
        <v/>
      </c>
      <c r="EZ102" s="51" t="str">
        <f t="shared" si="805"/>
        <v/>
      </c>
      <c r="FA102" s="173" t="str">
        <f t="shared" si="653"/>
        <v/>
      </c>
      <c r="FB102" s="5" t="str">
        <f t="shared" si="654"/>
        <v/>
      </c>
      <c r="FC102" s="6" t="str">
        <f t="shared" si="655"/>
        <v/>
      </c>
      <c r="FD102" s="4" t="str">
        <f t="shared" si="656"/>
        <v/>
      </c>
      <c r="FE102" s="5" t="str">
        <f t="shared" si="657"/>
        <v/>
      </c>
      <c r="FF102" s="7" t="str">
        <f t="shared" si="806"/>
        <v/>
      </c>
      <c r="FG102" s="173" t="str">
        <f t="shared" si="658"/>
        <v/>
      </c>
      <c r="FH102" s="5" t="str">
        <f t="shared" si="659"/>
        <v/>
      </c>
      <c r="FI102" s="10" t="str">
        <f t="shared" si="660"/>
        <v/>
      </c>
      <c r="FJ102" s="279" t="str">
        <f t="shared" si="807"/>
        <v/>
      </c>
      <c r="FK102" s="4" t="str">
        <f t="shared" si="661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2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3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4"/>
        <v/>
      </c>
      <c r="GH102" s="286" t="str">
        <f t="shared" si="665"/>
        <v/>
      </c>
      <c r="GI102" s="281" t="str">
        <f t="shared" si="666"/>
        <v/>
      </c>
      <c r="GJ102" s="167" t="str">
        <f t="shared" si="823"/>
        <v/>
      </c>
      <c r="GK102" s="174" t="str">
        <f t="shared" si="667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8"/>
        <v/>
      </c>
      <c r="GT102" s="343" t="str">
        <f t="shared" si="669"/>
        <v/>
      </c>
      <c r="GU102" s="344" t="str">
        <f t="shared" si="670"/>
        <v/>
      </c>
      <c r="GV102" s="343" t="str">
        <f t="shared" si="831"/>
        <v/>
      </c>
      <c r="GW102" s="345" t="str">
        <f t="shared" si="671"/>
        <v/>
      </c>
      <c r="GX102" s="346" t="str">
        <f t="shared" si="672"/>
        <v/>
      </c>
      <c r="GY102" s="344" t="str">
        <f t="shared" si="673"/>
        <v/>
      </c>
      <c r="GZ102" s="345" t="str">
        <f t="shared" si="674"/>
        <v/>
      </c>
      <c r="HA102" s="342" t="str">
        <f t="shared" si="675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6"/>
        <v/>
      </c>
      <c r="HF102" s="5" t="str">
        <f t="shared" si="677"/>
        <v/>
      </c>
      <c r="HG102" s="343" t="str">
        <f t="shared" si="835"/>
        <v/>
      </c>
      <c r="HH102" s="349" t="str">
        <f t="shared" si="836"/>
        <v/>
      </c>
      <c r="HI102" s="317" t="str">
        <f t="shared" si="678"/>
        <v/>
      </c>
      <c r="HK102" s="310" t="str">
        <f t="shared" si="733"/>
        <v/>
      </c>
      <c r="HL102" s="348" t="str">
        <f t="shared" si="679"/>
        <v/>
      </c>
      <c r="HM102" s="935" t="str">
        <f t="shared" si="680"/>
        <v/>
      </c>
      <c r="HN102" s="936" t="str">
        <f t="shared" si="681"/>
        <v/>
      </c>
      <c r="HO102" s="937"/>
      <c r="HP102" s="938"/>
      <c r="HQ102" s="936" t="str">
        <f t="shared" si="682"/>
        <v/>
      </c>
      <c r="HR102" s="939" t="str">
        <f t="shared" si="683"/>
        <v/>
      </c>
      <c r="HS102" s="940" t="str">
        <f t="shared" si="734"/>
        <v/>
      </c>
      <c r="HT102" s="941" t="str">
        <f t="shared" si="684"/>
        <v/>
      </c>
      <c r="HU102" s="942" t="str">
        <f t="shared" si="685"/>
        <v/>
      </c>
      <c r="HV102" s="943" t="str">
        <f t="shared" si="686"/>
        <v/>
      </c>
      <c r="HW102" s="944" t="str">
        <f t="shared" si="687"/>
        <v/>
      </c>
      <c r="HX102" s="947" t="str">
        <f t="shared" si="688"/>
        <v/>
      </c>
      <c r="HY102" s="952" t="str">
        <f t="shared" si="689"/>
        <v/>
      </c>
      <c r="HZ102" s="953" t="str">
        <f t="shared" si="690"/>
        <v/>
      </c>
      <c r="IA102" s="954" t="str">
        <f t="shared" si="691"/>
        <v/>
      </c>
      <c r="IB102" s="955" t="str">
        <f t="shared" si="692"/>
        <v/>
      </c>
      <c r="IC102" s="842" t="str">
        <f t="shared" si="693"/>
        <v/>
      </c>
      <c r="ID102" s="351" t="str">
        <f t="shared" si="694"/>
        <v/>
      </c>
      <c r="IE102" s="844" t="str">
        <f t="shared" si="695"/>
        <v/>
      </c>
      <c r="IF102" s="845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37"/>
        <v/>
      </c>
      <c r="IJ102" s="96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696"/>
        <v/>
      </c>
      <c r="IM102" s="482" t="str">
        <f t="shared" si="838"/>
        <v/>
      </c>
      <c r="IN102" s="670" t="str">
        <f t="shared" si="697"/>
        <v/>
      </c>
      <c r="IO102" s="702"/>
      <c r="IP102" s="5" t="str">
        <f t="shared" si="698"/>
        <v/>
      </c>
      <c r="IQ102" s="714"/>
      <c r="IR102" s="9" t="str">
        <f t="shared" si="699"/>
        <v/>
      </c>
      <c r="IS102" s="5" t="str">
        <f t="shared" si="700"/>
        <v/>
      </c>
      <c r="IT102" s="5" t="str">
        <f t="shared" si="701"/>
        <v/>
      </c>
      <c r="IU102" s="5" t="str">
        <f t="shared" si="702"/>
        <v/>
      </c>
      <c r="IV102" s="670" t="str">
        <f t="shared" si="703"/>
        <v/>
      </c>
      <c r="IW102" s="9" t="str">
        <f t="shared" si="704"/>
        <v/>
      </c>
      <c r="IX102" s="5" t="str">
        <f t="shared" si="705"/>
        <v/>
      </c>
      <c r="IY102" s="5" t="str">
        <f t="shared" si="706"/>
        <v/>
      </c>
      <c r="IZ102" s="5" t="str">
        <f t="shared" si="707"/>
        <v/>
      </c>
      <c r="JA102" s="705" t="str">
        <f t="shared" si="708"/>
        <v/>
      </c>
    </row>
    <row r="103" spans="1:261" ht="15" customHeight="1" x14ac:dyDescent="0.25">
      <c r="A103" s="75" t="str">
        <f t="shared" si="623"/>
        <v/>
      </c>
      <c r="B103" s="578" t="str">
        <f t="shared" ref="B103:D103" si="895">IFERROR(O258+($A103*-E103),"")</f>
        <v/>
      </c>
      <c r="C103" s="572" t="str">
        <f t="shared" si="895"/>
        <v/>
      </c>
      <c r="D103" s="576" t="str">
        <f t="shared" si="895"/>
        <v/>
      </c>
      <c r="E103" s="580" t="str">
        <f t="shared" ref="E103:K103" si="896">R258</f>
        <v/>
      </c>
      <c r="F103" s="572" t="str">
        <f t="shared" si="896"/>
        <v/>
      </c>
      <c r="G103" s="579" t="str">
        <f t="shared" si="896"/>
        <v/>
      </c>
      <c r="H103" s="580" t="str">
        <f t="shared" si="896"/>
        <v/>
      </c>
      <c r="I103" s="572" t="str">
        <f t="shared" si="896"/>
        <v/>
      </c>
      <c r="J103" s="483" t="str">
        <f t="shared" si="711"/>
        <v/>
      </c>
      <c r="K103" s="806" t="str">
        <f t="shared" si="896"/>
        <v/>
      </c>
      <c r="L103" s="309"/>
      <c r="M103" s="164" t="str">
        <f t="shared" si="626"/>
        <v/>
      </c>
      <c r="N103" s="575" t="str">
        <f t="shared" si="627"/>
        <v/>
      </c>
      <c r="O103" s="572" t="str">
        <f t="shared" si="628"/>
        <v/>
      </c>
      <c r="P103" s="576" t="str">
        <f t="shared" si="629"/>
        <v/>
      </c>
      <c r="Q103" s="528" t="str">
        <f t="shared" si="71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135"/>
        <v/>
      </c>
      <c r="W103" s="528" t="str">
        <f t="shared" si="848"/>
        <v/>
      </c>
      <c r="X103" s="572" t="str">
        <f t="shared" si="97"/>
        <v/>
      </c>
      <c r="Y103" s="573" t="str">
        <f t="shared" si="841"/>
        <v/>
      </c>
      <c r="Z103" s="575" t="str">
        <f t="shared" si="630"/>
        <v/>
      </c>
      <c r="AA103" s="572" t="str">
        <f t="shared" si="631"/>
        <v/>
      </c>
      <c r="AB103" s="572" t="str">
        <f t="shared" si="632"/>
        <v/>
      </c>
      <c r="AC103" s="579" t="str">
        <f t="shared" si="98"/>
        <v/>
      </c>
      <c r="AD103" s="580" t="str">
        <f t="shared" si="136"/>
        <v/>
      </c>
      <c r="AE103" s="572" t="str">
        <f t="shared" si="99"/>
        <v/>
      </c>
      <c r="AF103" s="576" t="str">
        <f t="shared" si="100"/>
        <v/>
      </c>
      <c r="AG103" s="545" t="str">
        <f t="shared" si="101"/>
        <v/>
      </c>
      <c r="AH103" s="546" t="str">
        <f t="shared" si="102"/>
        <v/>
      </c>
      <c r="AI103" s="528" t="str">
        <f t="shared" si="103"/>
        <v/>
      </c>
      <c r="AJ103" s="529" t="str">
        <f t="shared" si="104"/>
        <v/>
      </c>
      <c r="AK103" s="578" t="str">
        <f t="shared" si="234"/>
        <v/>
      </c>
      <c r="AL103" s="572" t="str">
        <f t="shared" si="105"/>
        <v/>
      </c>
      <c r="AM103" s="577" t="str">
        <f t="shared" si="106"/>
        <v/>
      </c>
      <c r="AN103" s="524" t="str">
        <f t="shared" si="107"/>
        <v/>
      </c>
      <c r="AO103" s="525" t="str">
        <f t="shared" si="590"/>
        <v/>
      </c>
      <c r="AP103" s="528" t="str">
        <f t="shared" si="109"/>
        <v/>
      </c>
      <c r="AQ103" s="529" t="str">
        <f t="shared" si="633"/>
        <v/>
      </c>
      <c r="AS103" s="900" t="str">
        <f t="shared" si="737"/>
        <v/>
      </c>
      <c r="AT103" s="896" t="str">
        <f t="shared" si="634"/>
        <v/>
      </c>
      <c r="AU103" s="418"/>
      <c r="AV103" s="164" t="str">
        <f t="shared" si="6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6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7"/>
        <v/>
      </c>
      <c r="BF103" s="4" t="str">
        <f t="shared" si="638"/>
        <v/>
      </c>
      <c r="BG103" s="5" t="str">
        <f t="shared" si="639"/>
        <v/>
      </c>
      <c r="BH103" s="10" t="str">
        <f t="shared" si="640"/>
        <v/>
      </c>
      <c r="BI103" s="9" t="str">
        <f t="shared" si="739"/>
        <v/>
      </c>
      <c r="BJ103" s="5" t="str">
        <f t="shared" si="641"/>
        <v/>
      </c>
      <c r="BK103" s="8" t="str">
        <f t="shared" si="642"/>
        <v/>
      </c>
      <c r="BL103" s="173" t="str">
        <f t="shared" si="643"/>
        <v/>
      </c>
      <c r="BM103" s="5" t="str">
        <f t="shared" si="644"/>
        <v/>
      </c>
      <c r="BN103" s="6" t="str">
        <f t="shared" si="645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6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7"/>
        <v/>
      </c>
      <c r="ET103" s="5" t="str">
        <f t="shared" si="648"/>
        <v/>
      </c>
      <c r="EU103" s="10" t="str">
        <f t="shared" si="649"/>
        <v/>
      </c>
      <c r="EV103" s="174" t="str">
        <f t="shared" si="650"/>
        <v/>
      </c>
      <c r="EW103" s="9" t="str">
        <f t="shared" si="651"/>
        <v/>
      </c>
      <c r="EX103" s="5" t="str">
        <f t="shared" si="652"/>
        <v/>
      </c>
      <c r="EY103" s="6" t="str">
        <f t="shared" si="804"/>
        <v/>
      </c>
      <c r="EZ103" s="51" t="str">
        <f t="shared" si="805"/>
        <v/>
      </c>
      <c r="FA103" s="173" t="str">
        <f t="shared" si="653"/>
        <v/>
      </c>
      <c r="FB103" s="5" t="str">
        <f t="shared" si="654"/>
        <v/>
      </c>
      <c r="FC103" s="6" t="str">
        <f t="shared" si="655"/>
        <v/>
      </c>
      <c r="FD103" s="4" t="str">
        <f t="shared" si="656"/>
        <v/>
      </c>
      <c r="FE103" s="5" t="str">
        <f t="shared" si="657"/>
        <v/>
      </c>
      <c r="FF103" s="7" t="str">
        <f t="shared" si="806"/>
        <v/>
      </c>
      <c r="FG103" s="173" t="str">
        <f t="shared" si="658"/>
        <v/>
      </c>
      <c r="FH103" s="5" t="str">
        <f t="shared" si="659"/>
        <v/>
      </c>
      <c r="FI103" s="10" t="str">
        <f t="shared" si="660"/>
        <v/>
      </c>
      <c r="FJ103" s="279" t="str">
        <f t="shared" si="807"/>
        <v/>
      </c>
      <c r="FK103" s="4" t="str">
        <f t="shared" si="661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2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3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4"/>
        <v/>
      </c>
      <c r="GH103" s="286" t="str">
        <f t="shared" si="665"/>
        <v/>
      </c>
      <c r="GI103" s="281" t="str">
        <f t="shared" si="666"/>
        <v/>
      </c>
      <c r="GJ103" s="167" t="str">
        <f t="shared" si="823"/>
        <v/>
      </c>
      <c r="GK103" s="174" t="str">
        <f t="shared" si="667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8"/>
        <v/>
      </c>
      <c r="GT103" s="343" t="str">
        <f t="shared" si="669"/>
        <v/>
      </c>
      <c r="GU103" s="344" t="str">
        <f t="shared" si="670"/>
        <v/>
      </c>
      <c r="GV103" s="343" t="str">
        <f t="shared" si="831"/>
        <v/>
      </c>
      <c r="GW103" s="345" t="str">
        <f t="shared" si="671"/>
        <v/>
      </c>
      <c r="GX103" s="346" t="str">
        <f t="shared" si="672"/>
        <v/>
      </c>
      <c r="GY103" s="344" t="str">
        <f t="shared" si="673"/>
        <v/>
      </c>
      <c r="GZ103" s="345" t="str">
        <f t="shared" si="674"/>
        <v/>
      </c>
      <c r="HA103" s="342" t="str">
        <f t="shared" si="675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6"/>
        <v/>
      </c>
      <c r="HF103" s="5" t="str">
        <f t="shared" si="677"/>
        <v/>
      </c>
      <c r="HG103" s="343" t="str">
        <f t="shared" si="835"/>
        <v/>
      </c>
      <c r="HH103" s="349" t="str">
        <f t="shared" si="836"/>
        <v/>
      </c>
      <c r="HI103" s="317" t="str">
        <f t="shared" si="678"/>
        <v/>
      </c>
      <c r="HK103" s="310" t="str">
        <f t="shared" si="733"/>
        <v/>
      </c>
      <c r="HL103" s="348" t="str">
        <f t="shared" si="679"/>
        <v/>
      </c>
      <c r="HM103" s="935" t="str">
        <f t="shared" si="680"/>
        <v/>
      </c>
      <c r="HN103" s="936" t="str">
        <f t="shared" si="681"/>
        <v/>
      </c>
      <c r="HO103" s="937"/>
      <c r="HP103" s="938"/>
      <c r="HQ103" s="936" t="str">
        <f t="shared" si="682"/>
        <v/>
      </c>
      <c r="HR103" s="939" t="str">
        <f t="shared" si="683"/>
        <v/>
      </c>
      <c r="HS103" s="940" t="str">
        <f t="shared" si="734"/>
        <v/>
      </c>
      <c r="HT103" s="941" t="str">
        <f t="shared" si="684"/>
        <v/>
      </c>
      <c r="HU103" s="942" t="str">
        <f t="shared" si="685"/>
        <v/>
      </c>
      <c r="HV103" s="943" t="str">
        <f t="shared" si="686"/>
        <v/>
      </c>
      <c r="HW103" s="944" t="str">
        <f t="shared" si="687"/>
        <v/>
      </c>
      <c r="HX103" s="947" t="str">
        <f t="shared" si="688"/>
        <v/>
      </c>
      <c r="HY103" s="952" t="str">
        <f t="shared" si="689"/>
        <v/>
      </c>
      <c r="HZ103" s="953" t="str">
        <f t="shared" si="690"/>
        <v/>
      </c>
      <c r="IA103" s="954" t="str">
        <f t="shared" si="691"/>
        <v/>
      </c>
      <c r="IB103" s="955" t="str">
        <f t="shared" si="692"/>
        <v/>
      </c>
      <c r="IC103" s="842" t="str">
        <f t="shared" si="693"/>
        <v/>
      </c>
      <c r="ID103" s="351" t="str">
        <f t="shared" si="694"/>
        <v/>
      </c>
      <c r="IE103" s="844" t="str">
        <f t="shared" si="695"/>
        <v/>
      </c>
      <c r="IF103" s="845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37"/>
        <v/>
      </c>
      <c r="IJ103" s="96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696"/>
        <v/>
      </c>
      <c r="IM103" s="482" t="str">
        <f t="shared" si="838"/>
        <v/>
      </c>
      <c r="IN103" s="670" t="str">
        <f t="shared" si="697"/>
        <v/>
      </c>
      <c r="IO103" s="702"/>
      <c r="IP103" s="5" t="str">
        <f t="shared" si="698"/>
        <v/>
      </c>
      <c r="IQ103" s="714"/>
      <c r="IR103" s="9" t="str">
        <f t="shared" si="699"/>
        <v/>
      </c>
      <c r="IS103" s="5" t="str">
        <f t="shared" si="700"/>
        <v/>
      </c>
      <c r="IT103" s="5" t="str">
        <f t="shared" si="701"/>
        <v/>
      </c>
      <c r="IU103" s="5" t="str">
        <f t="shared" si="702"/>
        <v/>
      </c>
      <c r="IV103" s="670" t="str">
        <f t="shared" si="703"/>
        <v/>
      </c>
      <c r="IW103" s="9" t="str">
        <f t="shared" si="704"/>
        <v/>
      </c>
      <c r="IX103" s="5" t="str">
        <f t="shared" si="705"/>
        <v/>
      </c>
      <c r="IY103" s="5" t="str">
        <f t="shared" si="706"/>
        <v/>
      </c>
      <c r="IZ103" s="5" t="str">
        <f t="shared" si="707"/>
        <v/>
      </c>
      <c r="JA103" s="705" t="str">
        <f t="shared" si="708"/>
        <v/>
      </c>
    </row>
    <row r="104" spans="1:261" ht="15" customHeight="1" x14ac:dyDescent="0.25">
      <c r="A104" s="75" t="str">
        <f t="shared" si="623"/>
        <v/>
      </c>
      <c r="B104" s="578" t="str">
        <f t="shared" ref="B104:D104" si="897">IFERROR(O259+($A104*-E104),"")</f>
        <v/>
      </c>
      <c r="C104" s="572" t="str">
        <f t="shared" si="897"/>
        <v/>
      </c>
      <c r="D104" s="576" t="str">
        <f t="shared" si="897"/>
        <v/>
      </c>
      <c r="E104" s="580" t="str">
        <f t="shared" ref="E104:K104" si="898">R259</f>
        <v/>
      </c>
      <c r="F104" s="572" t="str">
        <f t="shared" si="898"/>
        <v/>
      </c>
      <c r="G104" s="579" t="str">
        <f t="shared" si="898"/>
        <v/>
      </c>
      <c r="H104" s="580" t="str">
        <f t="shared" si="898"/>
        <v/>
      </c>
      <c r="I104" s="572" t="str">
        <f t="shared" si="898"/>
        <v/>
      </c>
      <c r="J104" s="483" t="str">
        <f t="shared" si="711"/>
        <v/>
      </c>
      <c r="K104" s="806" t="str">
        <f t="shared" si="898"/>
        <v/>
      </c>
      <c r="L104" s="309"/>
      <c r="M104" s="164" t="str">
        <f t="shared" si="626"/>
        <v/>
      </c>
      <c r="N104" s="575" t="str">
        <f t="shared" si="627"/>
        <v/>
      </c>
      <c r="O104" s="572" t="str">
        <f t="shared" si="628"/>
        <v/>
      </c>
      <c r="P104" s="576" t="str">
        <f t="shared" si="629"/>
        <v/>
      </c>
      <c r="Q104" s="528" t="str">
        <f t="shared" si="71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135"/>
        <v/>
      </c>
      <c r="W104" s="528" t="str">
        <f t="shared" si="848"/>
        <v/>
      </c>
      <c r="X104" s="572" t="str">
        <f t="shared" si="97"/>
        <v/>
      </c>
      <c r="Y104" s="573" t="str">
        <f t="shared" si="841"/>
        <v/>
      </c>
      <c r="Z104" s="575" t="str">
        <f t="shared" si="630"/>
        <v/>
      </c>
      <c r="AA104" s="572" t="str">
        <f t="shared" si="631"/>
        <v/>
      </c>
      <c r="AB104" s="572" t="str">
        <f t="shared" si="632"/>
        <v/>
      </c>
      <c r="AC104" s="579" t="str">
        <f t="shared" si="98"/>
        <v/>
      </c>
      <c r="AD104" s="580" t="str">
        <f t="shared" si="136"/>
        <v/>
      </c>
      <c r="AE104" s="572" t="str">
        <f t="shared" si="99"/>
        <v/>
      </c>
      <c r="AF104" s="576" t="str">
        <f t="shared" si="100"/>
        <v/>
      </c>
      <c r="AG104" s="545" t="str">
        <f t="shared" si="101"/>
        <v/>
      </c>
      <c r="AH104" s="546" t="str">
        <f t="shared" si="102"/>
        <v/>
      </c>
      <c r="AI104" s="528" t="str">
        <f t="shared" si="103"/>
        <v/>
      </c>
      <c r="AJ104" s="529" t="str">
        <f t="shared" si="104"/>
        <v/>
      </c>
      <c r="AK104" s="578" t="str">
        <f t="shared" si="234"/>
        <v/>
      </c>
      <c r="AL104" s="572" t="str">
        <f t="shared" si="105"/>
        <v/>
      </c>
      <c r="AM104" s="577" t="str">
        <f t="shared" si="106"/>
        <v/>
      </c>
      <c r="AN104" s="524" t="str">
        <f t="shared" si="107"/>
        <v/>
      </c>
      <c r="AO104" s="525" t="str">
        <f t="shared" si="590"/>
        <v/>
      </c>
      <c r="AP104" s="528" t="str">
        <f t="shared" si="109"/>
        <v/>
      </c>
      <c r="AQ104" s="529" t="str">
        <f t="shared" si="633"/>
        <v/>
      </c>
      <c r="AS104" s="900" t="str">
        <f t="shared" si="737"/>
        <v/>
      </c>
      <c r="AT104" s="896" t="str">
        <f t="shared" si="634"/>
        <v/>
      </c>
      <c r="AU104" s="418"/>
      <c r="AV104" s="164" t="str">
        <f t="shared" si="6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6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7"/>
        <v/>
      </c>
      <c r="BF104" s="4" t="str">
        <f t="shared" si="638"/>
        <v/>
      </c>
      <c r="BG104" s="5" t="str">
        <f t="shared" si="639"/>
        <v/>
      </c>
      <c r="BH104" s="10" t="str">
        <f t="shared" si="640"/>
        <v/>
      </c>
      <c r="BI104" s="9" t="str">
        <f t="shared" si="739"/>
        <v/>
      </c>
      <c r="BJ104" s="5" t="str">
        <f t="shared" si="641"/>
        <v/>
      </c>
      <c r="BK104" s="8" t="str">
        <f t="shared" si="642"/>
        <v/>
      </c>
      <c r="BL104" s="173" t="str">
        <f t="shared" si="643"/>
        <v/>
      </c>
      <c r="BM104" s="5" t="str">
        <f t="shared" si="644"/>
        <v/>
      </c>
      <c r="BN104" s="6" t="str">
        <f t="shared" si="645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6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7"/>
        <v/>
      </c>
      <c r="ET104" s="5" t="str">
        <f t="shared" si="648"/>
        <v/>
      </c>
      <c r="EU104" s="10" t="str">
        <f t="shared" si="649"/>
        <v/>
      </c>
      <c r="EV104" s="174" t="str">
        <f t="shared" si="650"/>
        <v/>
      </c>
      <c r="EW104" s="9" t="str">
        <f t="shared" si="651"/>
        <v/>
      </c>
      <c r="EX104" s="5" t="str">
        <f t="shared" si="652"/>
        <v/>
      </c>
      <c r="EY104" s="6" t="str">
        <f t="shared" si="804"/>
        <v/>
      </c>
      <c r="EZ104" s="51" t="str">
        <f t="shared" si="805"/>
        <v/>
      </c>
      <c r="FA104" s="173" t="str">
        <f t="shared" si="653"/>
        <v/>
      </c>
      <c r="FB104" s="5" t="str">
        <f t="shared" si="654"/>
        <v/>
      </c>
      <c r="FC104" s="6" t="str">
        <f t="shared" si="655"/>
        <v/>
      </c>
      <c r="FD104" s="4" t="str">
        <f t="shared" si="656"/>
        <v/>
      </c>
      <c r="FE104" s="5" t="str">
        <f t="shared" si="657"/>
        <v/>
      </c>
      <c r="FF104" s="7" t="str">
        <f t="shared" si="806"/>
        <v/>
      </c>
      <c r="FG104" s="173" t="str">
        <f t="shared" si="658"/>
        <v/>
      </c>
      <c r="FH104" s="5" t="str">
        <f t="shared" si="659"/>
        <v/>
      </c>
      <c r="FI104" s="10" t="str">
        <f t="shared" si="660"/>
        <v/>
      </c>
      <c r="FJ104" s="279" t="str">
        <f t="shared" si="807"/>
        <v/>
      </c>
      <c r="FK104" s="4" t="str">
        <f t="shared" si="661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2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3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4"/>
        <v/>
      </c>
      <c r="GH104" s="286" t="str">
        <f t="shared" si="665"/>
        <v/>
      </c>
      <c r="GI104" s="281" t="str">
        <f t="shared" si="666"/>
        <v/>
      </c>
      <c r="GJ104" s="167" t="str">
        <f t="shared" si="823"/>
        <v/>
      </c>
      <c r="GK104" s="174" t="str">
        <f t="shared" si="667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8"/>
        <v/>
      </c>
      <c r="GT104" s="343" t="str">
        <f t="shared" si="669"/>
        <v/>
      </c>
      <c r="GU104" s="344" t="str">
        <f t="shared" si="670"/>
        <v/>
      </c>
      <c r="GV104" s="343" t="str">
        <f t="shared" si="831"/>
        <v/>
      </c>
      <c r="GW104" s="345" t="str">
        <f t="shared" si="671"/>
        <v/>
      </c>
      <c r="GX104" s="346" t="str">
        <f t="shared" si="672"/>
        <v/>
      </c>
      <c r="GY104" s="344" t="str">
        <f t="shared" si="673"/>
        <v/>
      </c>
      <c r="GZ104" s="345" t="str">
        <f t="shared" si="674"/>
        <v/>
      </c>
      <c r="HA104" s="342" t="str">
        <f t="shared" si="675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6"/>
        <v/>
      </c>
      <c r="HF104" s="5" t="str">
        <f t="shared" si="677"/>
        <v/>
      </c>
      <c r="HG104" s="343" t="str">
        <f t="shared" si="835"/>
        <v/>
      </c>
      <c r="HH104" s="349" t="str">
        <f t="shared" si="836"/>
        <v/>
      </c>
      <c r="HI104" s="317" t="str">
        <f t="shared" si="678"/>
        <v/>
      </c>
      <c r="HK104" s="310" t="str">
        <f t="shared" si="733"/>
        <v/>
      </c>
      <c r="HL104" s="348" t="str">
        <f t="shared" si="679"/>
        <v/>
      </c>
      <c r="HM104" s="935" t="str">
        <f t="shared" si="680"/>
        <v/>
      </c>
      <c r="HN104" s="936" t="str">
        <f t="shared" si="681"/>
        <v/>
      </c>
      <c r="HO104" s="937"/>
      <c r="HP104" s="938"/>
      <c r="HQ104" s="936" t="str">
        <f t="shared" si="682"/>
        <v/>
      </c>
      <c r="HR104" s="939" t="str">
        <f t="shared" si="683"/>
        <v/>
      </c>
      <c r="HS104" s="940" t="str">
        <f t="shared" si="734"/>
        <v/>
      </c>
      <c r="HT104" s="941" t="str">
        <f t="shared" si="684"/>
        <v/>
      </c>
      <c r="HU104" s="942" t="str">
        <f t="shared" si="685"/>
        <v/>
      </c>
      <c r="HV104" s="943" t="str">
        <f t="shared" si="686"/>
        <v/>
      </c>
      <c r="HW104" s="944" t="str">
        <f t="shared" si="687"/>
        <v/>
      </c>
      <c r="HX104" s="947" t="str">
        <f t="shared" si="688"/>
        <v/>
      </c>
      <c r="HY104" s="952" t="str">
        <f t="shared" si="689"/>
        <v/>
      </c>
      <c r="HZ104" s="953" t="str">
        <f t="shared" si="690"/>
        <v/>
      </c>
      <c r="IA104" s="954" t="str">
        <f t="shared" si="691"/>
        <v/>
      </c>
      <c r="IB104" s="955" t="str">
        <f t="shared" si="692"/>
        <v/>
      </c>
      <c r="IC104" s="842" t="str">
        <f t="shared" si="693"/>
        <v/>
      </c>
      <c r="ID104" s="351" t="str">
        <f t="shared" si="694"/>
        <v/>
      </c>
      <c r="IE104" s="844" t="str">
        <f t="shared" si="695"/>
        <v/>
      </c>
      <c r="IF104" s="845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37"/>
        <v/>
      </c>
      <c r="IJ104" s="96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696"/>
        <v/>
      </c>
      <c r="IM104" s="482" t="str">
        <f t="shared" si="838"/>
        <v/>
      </c>
      <c r="IN104" s="670" t="str">
        <f t="shared" si="697"/>
        <v/>
      </c>
      <c r="IO104" s="702"/>
      <c r="IP104" s="5" t="str">
        <f t="shared" si="698"/>
        <v/>
      </c>
      <c r="IQ104" s="714"/>
      <c r="IR104" s="9" t="str">
        <f t="shared" si="699"/>
        <v/>
      </c>
      <c r="IS104" s="5" t="str">
        <f t="shared" si="700"/>
        <v/>
      </c>
      <c r="IT104" s="5" t="str">
        <f t="shared" si="701"/>
        <v/>
      </c>
      <c r="IU104" s="5" t="str">
        <f t="shared" si="702"/>
        <v/>
      </c>
      <c r="IV104" s="670" t="str">
        <f t="shared" si="703"/>
        <v/>
      </c>
      <c r="IW104" s="9" t="str">
        <f t="shared" si="704"/>
        <v/>
      </c>
      <c r="IX104" s="5" t="str">
        <f t="shared" si="705"/>
        <v/>
      </c>
      <c r="IY104" s="5" t="str">
        <f t="shared" si="706"/>
        <v/>
      </c>
      <c r="IZ104" s="5" t="str">
        <f t="shared" si="707"/>
        <v/>
      </c>
      <c r="JA104" s="705" t="str">
        <f t="shared" si="708"/>
        <v/>
      </c>
    </row>
    <row r="105" spans="1:261" ht="15" customHeight="1" x14ac:dyDescent="0.25">
      <c r="A105" s="75" t="str">
        <f t="shared" ref="A105:A136" si="899">IF($K105="","",IF(AND($A$8="Y",ISNUMBER($K105)),$A$5,0))</f>
        <v/>
      </c>
      <c r="B105" s="578" t="str">
        <f t="shared" ref="B105:D105" si="900">IFERROR(O260+($A105*-E105),"")</f>
        <v/>
      </c>
      <c r="C105" s="572" t="str">
        <f t="shared" si="900"/>
        <v/>
      </c>
      <c r="D105" s="576" t="str">
        <f t="shared" si="900"/>
        <v/>
      </c>
      <c r="E105" s="580" t="str">
        <f t="shared" ref="E105:K105" si="901">R260</f>
        <v/>
      </c>
      <c r="F105" s="572" t="str">
        <f t="shared" si="901"/>
        <v/>
      </c>
      <c r="G105" s="579" t="str">
        <f t="shared" si="901"/>
        <v/>
      </c>
      <c r="H105" s="580" t="str">
        <f t="shared" si="901"/>
        <v/>
      </c>
      <c r="I105" s="572" t="str">
        <f t="shared" si="901"/>
        <v/>
      </c>
      <c r="J105" s="483" t="str">
        <f t="shared" si="711"/>
        <v/>
      </c>
      <c r="K105" s="806" t="str">
        <f t="shared" si="901"/>
        <v/>
      </c>
      <c r="L105" s="309"/>
      <c r="M105" s="164" t="str">
        <f t="shared" ref="M105:M136" si="902">IF(J105="","",VALUE(J105))</f>
        <v/>
      </c>
      <c r="N105" s="575" t="str">
        <f t="shared" ref="N105:N136" si="903">IF(M105="","",B105)</f>
        <v/>
      </c>
      <c r="O105" s="572" t="str">
        <f t="shared" ref="O105:O136" si="904">IF(M105="","",C105)</f>
        <v/>
      </c>
      <c r="P105" s="576" t="str">
        <f t="shared" ref="P105:P136" si="905">IF(M105="","",D105)</f>
        <v/>
      </c>
      <c r="Q105" s="528" t="str">
        <f t="shared" si="71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135"/>
        <v/>
      </c>
      <c r="W105" s="528" t="str">
        <f t="shared" si="848"/>
        <v/>
      </c>
      <c r="X105" s="572" t="str">
        <f t="shared" si="97"/>
        <v/>
      </c>
      <c r="Y105" s="573" t="str">
        <f t="shared" si="841"/>
        <v/>
      </c>
      <c r="Z105" s="575" t="str">
        <f t="shared" ref="Z105:Z136" si="906">IF(M105="","",-E105)</f>
        <v/>
      </c>
      <c r="AA105" s="572" t="str">
        <f t="shared" ref="AA105:AA136" si="907">IF(M105="","",-F105)</f>
        <v/>
      </c>
      <c r="AB105" s="572" t="str">
        <f t="shared" ref="AB105:AB136" si="908">IF(M105="","",-G105)</f>
        <v/>
      </c>
      <c r="AC105" s="579" t="str">
        <f t="shared" si="98"/>
        <v/>
      </c>
      <c r="AD105" s="580" t="str">
        <f t="shared" si="136"/>
        <v/>
      </c>
      <c r="AE105" s="572" t="str">
        <f t="shared" si="99"/>
        <v/>
      </c>
      <c r="AF105" s="576" t="str">
        <f t="shared" si="100"/>
        <v/>
      </c>
      <c r="AG105" s="545" t="str">
        <f t="shared" si="101"/>
        <v/>
      </c>
      <c r="AH105" s="546" t="str">
        <f t="shared" si="102"/>
        <v/>
      </c>
      <c r="AI105" s="528" t="str">
        <f t="shared" si="103"/>
        <v/>
      </c>
      <c r="AJ105" s="529" t="str">
        <f t="shared" si="104"/>
        <v/>
      </c>
      <c r="AK105" s="578" t="str">
        <f t="shared" si="234"/>
        <v/>
      </c>
      <c r="AL105" s="572" t="str">
        <f t="shared" si="105"/>
        <v/>
      </c>
      <c r="AM105" s="577" t="str">
        <f t="shared" si="106"/>
        <v/>
      </c>
      <c r="AN105" s="524" t="str">
        <f t="shared" si="107"/>
        <v/>
      </c>
      <c r="AO105" s="525" t="str">
        <f t="shared" si="590"/>
        <v/>
      </c>
      <c r="AP105" s="528" t="str">
        <f t="shared" si="109"/>
        <v/>
      </c>
      <c r="AQ105" s="529" t="str">
        <f t="shared" ref="AQ105:AQ136" si="909">IF(M105="","",DEGREES(ATAN(($AS$5*SIN(RADIANS(90)))/(($X105*2*PI())-($AS$5*COS(RADIANS(90)))))))</f>
        <v/>
      </c>
      <c r="AS105" s="900" t="str">
        <f t="shared" si="737"/>
        <v/>
      </c>
      <c r="AT105" s="896" t="str">
        <f t="shared" ref="AT105:AT136" si="910">IF(M105="","",Y105+(((AS105-$AS$9)*$AS$6)*-1))</f>
        <v/>
      </c>
      <c r="AU105" s="418"/>
      <c r="AV105" s="164" t="str">
        <f t="shared" ref="AV105:AV136" si="911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2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3">IF(ISNUMBER(AV105),Y105+BB105,"")</f>
        <v/>
      </c>
      <c r="BF105" s="4" t="str">
        <f t="shared" ref="BF105:BF136" si="914">IF(ISNUMBER($AV105),N105,"")</f>
        <v/>
      </c>
      <c r="BG105" s="5" t="str">
        <f t="shared" ref="BG105:BG136" si="915">IF(ISNUMBER($AV105),O105,"")</f>
        <v/>
      </c>
      <c r="BH105" s="10" t="str">
        <f t="shared" ref="BH105:BH136" si="916">IF(ISNUMBER($AV105),P105,"")</f>
        <v/>
      </c>
      <c r="BI105" s="9" t="str">
        <f t="shared" si="739"/>
        <v/>
      </c>
      <c r="BJ105" s="5" t="str">
        <f t="shared" ref="BJ105:BJ136" si="917">IF(ISNUMBER($AV105),BG105+COS(RADIANS($AG105)),"")</f>
        <v/>
      </c>
      <c r="BK105" s="8" t="str">
        <f t="shared" ref="BK105:BK136" si="918">IF(ISNUMBER($AV105),BH105+SIN(RADIANS($AG105)),"")</f>
        <v/>
      </c>
      <c r="BL105" s="173" t="str">
        <f t="shared" ref="BL105:BL136" si="919">IF(ISNUMBER($AV105),BF105+SIN(RADIANS($AH105)),"")</f>
        <v/>
      </c>
      <c r="BM105" s="5" t="str">
        <f t="shared" ref="BM105:BM136" si="920">IF(ISNUMBER($AV105),BG105-SIN(RADIANS($AG105))*COS(RADIANS($AH105)),"")</f>
        <v/>
      </c>
      <c r="BN105" s="6" t="str">
        <f t="shared" ref="BN105:BN136" si="921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2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3">IF(ISNUMBER($AV105),AD105,"")</f>
        <v/>
      </c>
      <c r="ET105" s="5" t="str">
        <f t="shared" ref="ET105:ET136" si="924">IF(ISNUMBER($AV105),AE105,"")</f>
        <v/>
      </c>
      <c r="EU105" s="10" t="str">
        <f t="shared" ref="EU105:EU136" si="925">IF(ISNUMBER($AV105),AF105,"")</f>
        <v/>
      </c>
      <c r="EV105" s="174" t="str">
        <f t="shared" ref="EV105:EV129" si="926">IF(ISNUMBER($AV105),IF(($EV$1-EP105)&lt;0,(360+($EV$1-EP105)),($EV$1-EP105)),"")</f>
        <v/>
      </c>
      <c r="EW105" s="9" t="str">
        <f t="shared" ref="EW105:EW129" si="927">IF(ISNUMBER($AV105),(COS(RADIANS($EV105))*ES105)+(-SIN(RADIANS($EV105))*ET105),"")</f>
        <v/>
      </c>
      <c r="EX105" s="5" t="str">
        <f t="shared" ref="EX105:EX129" si="928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9">IF(ISNUMBER($AV105),SIN(RADIANS($EP105))*COS(RADIANS($EZ105)),"")</f>
        <v/>
      </c>
      <c r="FB105" s="5" t="str">
        <f t="shared" ref="FB105:FB150" si="930">IF(ISNUMBER($AV105),-1*COS(RADIANS($EP105))*COS(RADIANS($EZ105)),"")</f>
        <v/>
      </c>
      <c r="FC105" s="6" t="str">
        <f t="shared" ref="FC105:FC150" si="931">IF(ISNUMBER($AV105),-1*SIN(RADIANS($EZ105)),"")</f>
        <v/>
      </c>
      <c r="FD105" s="4" t="str">
        <f t="shared" ref="FD105:FD129" si="932">IF(ISNUMBER($AV105),(COS(RADIANS($EV105))*FA105)+(-SIN(RADIANS($EV105))*FB105),"")</f>
        <v/>
      </c>
      <c r="FE105" s="5" t="str">
        <f t="shared" ref="FE105:FE129" si="933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4">IF(ISNUMBER($AV105),EW105-FD105,"")</f>
        <v/>
      </c>
      <c r="FH105" s="5" t="str">
        <f t="shared" ref="FH105:FH129" si="935">IF(ISNUMBER($AV105),EX105-FE105,"")</f>
        <v/>
      </c>
      <c r="FI105" s="10" t="str">
        <f t="shared" ref="FI105:FI129" si="936">IF(ISNUMBER($AV105),EY105-FF105,"")</f>
        <v/>
      </c>
      <c r="FJ105" s="279" t="str">
        <f t="shared" si="807"/>
        <v/>
      </c>
      <c r="FK105" s="4" t="str">
        <f t="shared" ref="FK105:FK129" si="937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8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9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40">IF(ISNUMBER($AV105),ABS(GB105)/(ABS($GB105)+ABS($GC105)+ABS($GD105)),"")</f>
        <v/>
      </c>
      <c r="GH105" s="286" t="str">
        <f t="shared" ref="GH105:GH129" si="941">IF(ISNUMBER($AV105),ABS(GC105)/(ABS($GB105)+ABS($GC105)+ABS($GD105)),"")</f>
        <v/>
      </c>
      <c r="GI105" s="281" t="str">
        <f t="shared" ref="GI105:GI129" si="942">IF(ISNUMBER($AV105),ABS(GD105)/(ABS($GB105)+ABS($GC105)+ABS($GD105)),"")</f>
        <v/>
      </c>
      <c r="GJ105" s="167" t="str">
        <f t="shared" si="823"/>
        <v/>
      </c>
      <c r="GK105" s="174" t="str">
        <f t="shared" ref="GK105:GK150" si="943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4">IF(ISNUMBER($AV105),GU105/GH105*GG105,"")</f>
        <v/>
      </c>
      <c r="GT105" s="343" t="str">
        <f t="shared" ref="GT105:GT129" si="945">IF(ISNUMBER($AV105),GS105/$GK105,"")</f>
        <v/>
      </c>
      <c r="GU105" s="344" t="str">
        <f t="shared" ref="GU105:GU150" si="946">IF(ISNUMBER($AV105),$GV105*$GK105,"")</f>
        <v/>
      </c>
      <c r="GV105" s="343" t="str">
        <f t="shared" si="831"/>
        <v/>
      </c>
      <c r="GW105" s="345" t="str">
        <f t="shared" ref="GW105:GW150" si="947">IF(ISNUMBER($AV105),$GW$2,"")</f>
        <v/>
      </c>
      <c r="GX105" s="346" t="str">
        <f t="shared" ref="GX105:GX150" si="948">IF(ISNUMBER($AV105),($GJ105/12)*$GV105,"")</f>
        <v/>
      </c>
      <c r="GY105" s="344" t="str">
        <f t="shared" ref="GY105:GY129" si="949">IF(ISNUMBER($AV105),GU105/GH105*GI105,"")</f>
        <v/>
      </c>
      <c r="GZ105" s="345" t="str">
        <f t="shared" ref="GZ105:GZ129" si="950">IF(ISNUMBER($AV105),GY105/$GK105,"")</f>
        <v/>
      </c>
      <c r="HA105" s="342" t="str">
        <f t="shared" ref="HA105:HA150" si="951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2">IF(ISNUMBER($AV105),$FY105*$GV105,"")</f>
        <v/>
      </c>
      <c r="HF105" s="5" t="str">
        <f t="shared" ref="HF105:HF150" si="953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4">IF(ISNUMBER($AV105),$M105,"")</f>
        <v/>
      </c>
      <c r="HK105" s="310" t="str">
        <f t="shared" si="733"/>
        <v/>
      </c>
      <c r="HL105" s="348" t="str">
        <f t="shared" ref="HL105:HL136" si="955">IF(ISNUMBER($HS105),INDEX(HI$9:HI$150,MATCH($HS105,$GJ$9:$GJ$150,0)),"")</f>
        <v/>
      </c>
      <c r="HM105" s="935" t="str">
        <f t="shared" ref="HM105:HM136" si="956">IF(ISNUMBER($HL105),INDEX(GO$9:GO$150,MATCH($HL105,$AV$9:$AV$150,0)),"")</f>
        <v/>
      </c>
      <c r="HN105" s="936" t="str">
        <f t="shared" ref="HN105:HN136" si="957">IF(ISNUMBER($HL105),INDEX(AO$9:AO$150,MATCH($HL105,$AV$9:$AV$150,0)),"")</f>
        <v/>
      </c>
      <c r="HO105" s="937"/>
      <c r="HP105" s="938"/>
      <c r="HQ105" s="936" t="str">
        <f t="shared" ref="HQ105:HQ136" si="958">IF(ISNUMBER($HL105),INDEX(GQ$9:GQ$150,MATCH($HL105,$AV$9:$AV$150,0)),"")</f>
        <v/>
      </c>
      <c r="HR105" s="939" t="str">
        <f t="shared" ref="HR105:HR136" si="959">IF(ISNUMBER($HL105),INDEX(GP$9:GP$150,MATCH($HL105,$AV$9:$AV$150,0)),"")</f>
        <v/>
      </c>
      <c r="HS105" s="940" t="str">
        <f t="shared" si="734"/>
        <v/>
      </c>
      <c r="HT105" s="941" t="str">
        <f t="shared" ref="HT105:HT136" si="960">IF(ISNUMBER($HL105),INDEX(GL$9:GL$150,MATCH($HL105,$AV$9:$AV$150,0)),"")</f>
        <v/>
      </c>
      <c r="HU105" s="942" t="str">
        <f t="shared" ref="HU105:HU136" si="961">IF(ISNUMBER($HL105),INDEX(GM$9:GM$150,MATCH($HL105,$AV$9:$AV$150,0)),"")</f>
        <v/>
      </c>
      <c r="HV105" s="943" t="str">
        <f t="shared" ref="HV105:HV136" si="962">IF(ISNUMBER($HL105),INDEX(GN$9:GN$150,MATCH($HL105,$AV$9:$AV$150,0)),"")</f>
        <v/>
      </c>
      <c r="HW105" s="944" t="str">
        <f t="shared" ref="HW105:HW136" si="963">IF(ISNUMBER($HL105),INDEX(GW$9:GW$150,MATCH($HL105,$AV$9:$AV$150,0)),"")</f>
        <v/>
      </c>
      <c r="HX105" s="947" t="str">
        <f t="shared" ref="HX105:HX136" si="964">IF(ISNUMBER($HL105),INDEX(GX$9:GX$150,MATCH($HL105,$AV$9:$AV$150,0)),"")</f>
        <v/>
      </c>
      <c r="HY105" s="952" t="str">
        <f t="shared" ref="HY105:HY136" si="965">IF(ISNUMBER($HL105),INDEX(GS$9:GS$150,MATCH($HL105,$AV$9:$AV$150,0)),"")</f>
        <v/>
      </c>
      <c r="HZ105" s="953" t="str">
        <f t="shared" ref="HZ105:HZ136" si="966">IF(ISNUMBER($HL105),INDEX(GU$9:GU$150,MATCH($HL105,$AV$9:$AV$150,0)),"")</f>
        <v/>
      </c>
      <c r="IA105" s="954" t="str">
        <f t="shared" ref="IA105:IA136" si="967">IF(ISNUMBER($HL105),INDEX(GY$9:GY$150,MATCH($HL105,$AV$9:$AV$150,0)),"")</f>
        <v/>
      </c>
      <c r="IB105" s="955" t="str">
        <f t="shared" ref="IB105:IB136" si="968">IF(ISNUMBER($HL105),INDEX(GR$9:GR$150,MATCH($HL105,$AV$9:$AV$150,0)),"")</f>
        <v/>
      </c>
      <c r="IC105" s="842" t="str">
        <f t="shared" ref="IC105:IC136" si="969">IF(ISNUMBER($HL105),INDEX(GT$9:GT$150,MATCH($HL105,$AV$9:$AV$150,0)),"")</f>
        <v/>
      </c>
      <c r="ID105" s="351" t="str">
        <f t="shared" ref="ID105:ID136" si="970">IF(ISNUMBER($HL105),INDEX(GV$9:GV$150,MATCH($HL105,$AV$9:$AV$150,0)),"")</f>
        <v/>
      </c>
      <c r="IE105" s="844" t="str">
        <f t="shared" ref="IE105:IE136" si="971">IF(ISNUMBER($HL105),INDEX(GZ$9:GZ$150,MATCH($HL105,$AV$9:$AV$150,0)),"")</f>
        <v/>
      </c>
      <c r="IF105" s="845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37"/>
        <v/>
      </c>
      <c r="IJ105" s="96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72">IF(ISNUMBER($IK105),INDEX($K$9:$K$150,MATCH($IK105,$M$9:$M$150,0)),$K105)</f>
        <v/>
      </c>
      <c r="IM105" s="482" t="str">
        <f t="shared" si="838"/>
        <v/>
      </c>
      <c r="IN105" s="670" t="str">
        <f t="shared" ref="IN105:IN136" si="973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4">IF(ISNUMBER($IK105),(($IQ105*12)/60)/$AS$3,"")</f>
        <v/>
      </c>
      <c r="IQ105" s="714"/>
      <c r="IR105" s="9" t="str">
        <f t="shared" ref="IR105:IR136" si="975">IF(ISNUMBER($IK105),(INDEX($X$9:$X$150,MATCH($IK105,$M$9:$M$150,0))*-1),"")</f>
        <v/>
      </c>
      <c r="IS105" s="5" t="str">
        <f t="shared" ref="IS105:IS136" si="976">IF(ISNUMBER($IK105),INDEX($Y$9:$Y$150,MATCH($IK105,$M$9:$M$150,0)),"")</f>
        <v/>
      </c>
      <c r="IT105" s="5" t="str">
        <f t="shared" ref="IT105:IT136" si="977">IF(ISNUMBER($IK105),INDEX($H$9:$H$150,MATCH($IK105,$M$9:$M$150,0)),"")</f>
        <v/>
      </c>
      <c r="IU105" s="5" t="str">
        <f t="shared" ref="IU105:IU136" si="978">IF(ISNUMBER($IK105),$IT105*COS(RADIANS(INDEX($AO$9:$AO$150,MATCH($IK105,$M$9:$M$150,0)))),"")</f>
        <v/>
      </c>
      <c r="IV105" s="670" t="str">
        <f t="shared" ref="IV105:IV136" si="979">IF(ISNUMBER($IK105),(-1*INDEX($AN$9:$AN$150,MATCH($IK105,$M$9:$M$150,0))),"")</f>
        <v/>
      </c>
      <c r="IW105" s="9" t="str">
        <f t="shared" ref="IW105:IW136" si="980">IF(ISNUMBER($IK105),-$X105,"")</f>
        <v/>
      </c>
      <c r="IX105" s="5" t="str">
        <f t="shared" ref="IX105:IX136" si="981">IF(ISNUMBER($IK105),$Y105,"")</f>
        <v/>
      </c>
      <c r="IY105" s="5" t="str">
        <f t="shared" ref="IY105:IY136" si="982">IF(ISNUMBER($IK105),$H105,"")</f>
        <v/>
      </c>
      <c r="IZ105" s="5" t="str">
        <f t="shared" ref="IZ105:IZ136" si="983">IF(ISNUMBER($IK105),$IY105*COS(RADIANS($AO105)),"")</f>
        <v/>
      </c>
      <c r="JA105" s="705" t="str">
        <f t="shared" ref="JA105:JA136" si="984">IF(ISNUMBER($IK105),(-1*$AN105),"")</f>
        <v/>
      </c>
    </row>
    <row r="106" spans="1:261" ht="15" customHeight="1" x14ac:dyDescent="0.25">
      <c r="A106" s="75" t="str">
        <f t="shared" si="899"/>
        <v/>
      </c>
      <c r="B106" s="578" t="str">
        <f t="shared" ref="B106:D106" si="985">IFERROR(O261+($A106*-E106),"")</f>
        <v/>
      </c>
      <c r="C106" s="572" t="str">
        <f t="shared" si="985"/>
        <v/>
      </c>
      <c r="D106" s="576" t="str">
        <f t="shared" si="985"/>
        <v/>
      </c>
      <c r="E106" s="580" t="str">
        <f t="shared" ref="E106:K106" si="986">R261</f>
        <v/>
      </c>
      <c r="F106" s="572" t="str">
        <f t="shared" si="986"/>
        <v/>
      </c>
      <c r="G106" s="579" t="str">
        <f t="shared" si="986"/>
        <v/>
      </c>
      <c r="H106" s="580" t="str">
        <f t="shared" si="986"/>
        <v/>
      </c>
      <c r="I106" s="572" t="str">
        <f t="shared" si="986"/>
        <v/>
      </c>
      <c r="J106" s="483" t="str">
        <f t="shared" si="711"/>
        <v/>
      </c>
      <c r="K106" s="806" t="str">
        <f t="shared" si="986"/>
        <v/>
      </c>
      <c r="L106" s="309"/>
      <c r="M106" s="164" t="str">
        <f t="shared" si="902"/>
        <v/>
      </c>
      <c r="N106" s="575" t="str">
        <f t="shared" si="903"/>
        <v/>
      </c>
      <c r="O106" s="572" t="str">
        <f t="shared" si="904"/>
        <v/>
      </c>
      <c r="P106" s="576" t="str">
        <f t="shared" si="905"/>
        <v/>
      </c>
      <c r="Q106" s="528" t="str">
        <f t="shared" si="712"/>
        <v/>
      </c>
      <c r="R106" s="572" t="str">
        <f t="shared" ref="R106:R129" si="987">IF(M106="","",SQRT(N106^2+O106^2))</f>
        <v/>
      </c>
      <c r="S106" s="577" t="str">
        <f t="shared" ref="S106:S129" si="988">IF(M106="","",P106)</f>
        <v/>
      </c>
      <c r="T106" s="578" t="str">
        <f t="shared" ref="T106:T129" si="989">IF(M106="","",X106*COS(RADIANS(W106)))</f>
        <v/>
      </c>
      <c r="U106" s="572" t="str">
        <f t="shared" ref="U106:U129" si="990">IF(M106="","",X106*SIN(RADIANS(W106)))</f>
        <v/>
      </c>
      <c r="V106" s="579" t="str">
        <f t="shared" ref="V106:V129" si="991">IF(M106="","",Y106)</f>
        <v/>
      </c>
      <c r="W106" s="528" t="str">
        <f t="shared" si="848"/>
        <v/>
      </c>
      <c r="X106" s="572" t="str">
        <f t="shared" ref="X106:X129" si="992">IF(M106="","",R106)</f>
        <v/>
      </c>
      <c r="Y106" s="573" t="str">
        <f t="shared" si="841"/>
        <v/>
      </c>
      <c r="Z106" s="575" t="str">
        <f t="shared" si="906"/>
        <v/>
      </c>
      <c r="AA106" s="572" t="str">
        <f t="shared" si="907"/>
        <v/>
      </c>
      <c r="AB106" s="572" t="str">
        <f t="shared" si="908"/>
        <v/>
      </c>
      <c r="AC106" s="579" t="str">
        <f t="shared" ref="AC106:AC129" si="993">IF(M106="","",SQRT(Z106^2+AA106^2+AB106^2))</f>
        <v/>
      </c>
      <c r="AD106" s="580" t="str">
        <f t="shared" ref="AD106:AD129" si="994">IF(M106="","",Z106*(1/SQRT(Z106^2+AA106^2+AB106^2)))</f>
        <v/>
      </c>
      <c r="AE106" s="572" t="str">
        <f t="shared" ref="AE106:AE129" si="995">IF(M106="","",AA106*(1/SQRT(Z106^2+AA106^2+AB106^2)))</f>
        <v/>
      </c>
      <c r="AF106" s="576" t="str">
        <f t="shared" ref="AF106:AF129" si="996">IF(M106="","",AB106*(1/SQRT(Z106^2+AA106^2+AB106^2)))</f>
        <v/>
      </c>
      <c r="AG106" s="545" t="str">
        <f t="shared" ref="AG106:AG129" si="997">IF(M106="","",DEGREES(ATAN2(-AF106,AE106)))</f>
        <v/>
      </c>
      <c r="AH106" s="546" t="str">
        <f t="shared" ref="AH106:AH129" si="998">IF(M106="","",DEGREES(ACOS(AD106)))</f>
        <v/>
      </c>
      <c r="AI106" s="528" t="str">
        <f t="shared" ref="AI106:AI129" si="999">IF(M106="","",DEGREES(-ACOS(-AF106)))</f>
        <v/>
      </c>
      <c r="AJ106" s="529" t="str">
        <f t="shared" ref="AJ106:AJ129" si="1000">IF(M106="","",DEGREES(ATAN2(-AE106,AD106)))</f>
        <v/>
      </c>
      <c r="AK106" s="578" t="str">
        <f t="shared" ref="AK106:AK129" si="1001">IF(M106="","",(COS(RADIANS((90-$Q$8)-W106))*AD106)+(-SIN(RADIANS((90-$Q$8)-W106))*AE106))</f>
        <v/>
      </c>
      <c r="AL106" s="572" t="str">
        <f t="shared" ref="AL106:AL129" si="1002">IF(M106="","",(SIN(RADIANS((90-$Q$8)-W106))*AD106)+(COS(RADIANS((90-$Q$8)-W106))*AE106))</f>
        <v/>
      </c>
      <c r="AM106" s="577" t="str">
        <f t="shared" ref="AM106:AM129" si="1003">IF(M106="","",AF106)</f>
        <v/>
      </c>
      <c r="AN106" s="524" t="str">
        <f t="shared" ref="AN106:AN129" si="1004">IF(M106="","",DEGREES(ATAN2(-AM106,AL106)))</f>
        <v/>
      </c>
      <c r="AO106" s="525" t="str">
        <f t="shared" si="590"/>
        <v/>
      </c>
      <c r="AP106" s="528" t="str">
        <f t="shared" ref="AP106:AP129" si="1005">IF(M106="","",DEGREES(ATAN2(AK106,AL106)))</f>
        <v/>
      </c>
      <c r="AQ106" s="529" t="str">
        <f t="shared" si="909"/>
        <v/>
      </c>
      <c r="AS106" s="900" t="str">
        <f t="shared" si="737"/>
        <v/>
      </c>
      <c r="AT106" s="896" t="str">
        <f t="shared" si="910"/>
        <v/>
      </c>
      <c r="AU106" s="418"/>
      <c r="AV106" s="164" t="str">
        <f t="shared" si="911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2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3"/>
        <v/>
      </c>
      <c r="BF106" s="4" t="str">
        <f t="shared" si="914"/>
        <v/>
      </c>
      <c r="BG106" s="5" t="str">
        <f t="shared" si="915"/>
        <v/>
      </c>
      <c r="BH106" s="10" t="str">
        <f t="shared" si="916"/>
        <v/>
      </c>
      <c r="BI106" s="9" t="str">
        <f t="shared" si="739"/>
        <v/>
      </c>
      <c r="BJ106" s="5" t="str">
        <f t="shared" si="917"/>
        <v/>
      </c>
      <c r="BK106" s="8" t="str">
        <f t="shared" si="918"/>
        <v/>
      </c>
      <c r="BL106" s="173" t="str">
        <f t="shared" si="919"/>
        <v/>
      </c>
      <c r="BM106" s="5" t="str">
        <f t="shared" si="920"/>
        <v/>
      </c>
      <c r="BN106" s="6" t="str">
        <f t="shared" si="921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6">IF(ISNUMBER($AV106),0,"")</f>
        <v/>
      </c>
      <c r="BT106" s="5" t="str">
        <f t="shared" si="1006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2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3"/>
        <v/>
      </c>
      <c r="ET106" s="5" t="str">
        <f t="shared" si="924"/>
        <v/>
      </c>
      <c r="EU106" s="10" t="str">
        <f t="shared" si="925"/>
        <v/>
      </c>
      <c r="EV106" s="174" t="str">
        <f t="shared" si="926"/>
        <v/>
      </c>
      <c r="EW106" s="9" t="str">
        <f t="shared" si="927"/>
        <v/>
      </c>
      <c r="EX106" s="5" t="str">
        <f t="shared" si="928"/>
        <v/>
      </c>
      <c r="EY106" s="6" t="str">
        <f t="shared" si="804"/>
        <v/>
      </c>
      <c r="EZ106" s="51" t="str">
        <f t="shared" si="805"/>
        <v/>
      </c>
      <c r="FA106" s="173" t="str">
        <f t="shared" si="929"/>
        <v/>
      </c>
      <c r="FB106" s="5" t="str">
        <f t="shared" si="930"/>
        <v/>
      </c>
      <c r="FC106" s="6" t="str">
        <f t="shared" si="931"/>
        <v/>
      </c>
      <c r="FD106" s="4" t="str">
        <f t="shared" si="932"/>
        <v/>
      </c>
      <c r="FE106" s="5" t="str">
        <f t="shared" si="933"/>
        <v/>
      </c>
      <c r="FF106" s="7" t="str">
        <f t="shared" si="806"/>
        <v/>
      </c>
      <c r="FG106" s="173" t="str">
        <f t="shared" si="934"/>
        <v/>
      </c>
      <c r="FH106" s="5" t="str">
        <f t="shared" si="935"/>
        <v/>
      </c>
      <c r="FI106" s="10" t="str">
        <f t="shared" si="936"/>
        <v/>
      </c>
      <c r="FJ106" s="279" t="str">
        <f t="shared" si="807"/>
        <v/>
      </c>
      <c r="FK106" s="4" t="str">
        <f t="shared" si="937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8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9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40"/>
        <v/>
      </c>
      <c r="GH106" s="286" t="str">
        <f t="shared" si="941"/>
        <v/>
      </c>
      <c r="GI106" s="281" t="str">
        <f t="shared" si="942"/>
        <v/>
      </c>
      <c r="GJ106" s="167" t="str">
        <f t="shared" si="823"/>
        <v/>
      </c>
      <c r="GK106" s="174" t="str">
        <f t="shared" si="943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4"/>
        <v/>
      </c>
      <c r="GT106" s="343" t="str">
        <f t="shared" si="945"/>
        <v/>
      </c>
      <c r="GU106" s="344" t="str">
        <f t="shared" si="946"/>
        <v/>
      </c>
      <c r="GV106" s="343" t="str">
        <f t="shared" si="831"/>
        <v/>
      </c>
      <c r="GW106" s="345" t="str">
        <f t="shared" si="947"/>
        <v/>
      </c>
      <c r="GX106" s="346" t="str">
        <f t="shared" si="948"/>
        <v/>
      </c>
      <c r="GY106" s="344" t="str">
        <f t="shared" si="949"/>
        <v/>
      </c>
      <c r="GZ106" s="345" t="str">
        <f t="shared" si="950"/>
        <v/>
      </c>
      <c r="HA106" s="342" t="str">
        <f t="shared" si="951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2"/>
        <v/>
      </c>
      <c r="HF106" s="5" t="str">
        <f t="shared" si="953"/>
        <v/>
      </c>
      <c r="HG106" s="343" t="str">
        <f t="shared" si="835"/>
        <v/>
      </c>
      <c r="HH106" s="349" t="str">
        <f t="shared" si="836"/>
        <v/>
      </c>
      <c r="HI106" s="317" t="str">
        <f t="shared" si="954"/>
        <v/>
      </c>
      <c r="HK106" s="310" t="str">
        <f t="shared" ref="HK106:HK137" si="1007">IF(ISNUMBER(HS106),HK105+1,"")</f>
        <v/>
      </c>
      <c r="HL106" s="348" t="str">
        <f t="shared" si="955"/>
        <v/>
      </c>
      <c r="HM106" s="935" t="str">
        <f t="shared" si="956"/>
        <v/>
      </c>
      <c r="HN106" s="936" t="str">
        <f t="shared" si="957"/>
        <v/>
      </c>
      <c r="HO106" s="937"/>
      <c r="HP106" s="938"/>
      <c r="HQ106" s="936" t="str">
        <f t="shared" si="958"/>
        <v/>
      </c>
      <c r="HR106" s="939" t="str">
        <f t="shared" si="959"/>
        <v/>
      </c>
      <c r="HS106" s="940" t="str">
        <f t="shared" ref="HS106:HS129" si="1008">IFERROR(SMALL($GJ$9:$GJ$150,($HK105+1)),"")</f>
        <v/>
      </c>
      <c r="HT106" s="941" t="str">
        <f t="shared" si="960"/>
        <v/>
      </c>
      <c r="HU106" s="942" t="str">
        <f t="shared" si="961"/>
        <v/>
      </c>
      <c r="HV106" s="943" t="str">
        <f t="shared" si="962"/>
        <v/>
      </c>
      <c r="HW106" s="944" t="str">
        <f t="shared" si="963"/>
        <v/>
      </c>
      <c r="HX106" s="947" t="str">
        <f t="shared" si="964"/>
        <v/>
      </c>
      <c r="HY106" s="952" t="str">
        <f t="shared" si="965"/>
        <v/>
      </c>
      <c r="HZ106" s="953" t="str">
        <f t="shared" si="966"/>
        <v/>
      </c>
      <c r="IA106" s="954" t="str">
        <f t="shared" si="967"/>
        <v/>
      </c>
      <c r="IB106" s="955" t="str">
        <f t="shared" si="968"/>
        <v/>
      </c>
      <c r="IC106" s="842" t="str">
        <f t="shared" si="969"/>
        <v/>
      </c>
      <c r="ID106" s="351" t="str">
        <f t="shared" si="970"/>
        <v/>
      </c>
      <c r="IE106" s="844" t="str">
        <f t="shared" si="971"/>
        <v/>
      </c>
      <c r="IF106" s="845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37"/>
        <v/>
      </c>
      <c r="IJ106" s="96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72"/>
        <v/>
      </c>
      <c r="IM106" s="482" t="str">
        <f t="shared" si="838"/>
        <v/>
      </c>
      <c r="IN106" s="670" t="str">
        <f t="shared" si="973"/>
        <v/>
      </c>
      <c r="IO106" s="702"/>
      <c r="IP106" s="5" t="str">
        <f t="shared" si="974"/>
        <v/>
      </c>
      <c r="IQ106" s="714"/>
      <c r="IR106" s="9" t="str">
        <f t="shared" si="975"/>
        <v/>
      </c>
      <c r="IS106" s="5" t="str">
        <f t="shared" si="976"/>
        <v/>
      </c>
      <c r="IT106" s="5" t="str">
        <f t="shared" si="977"/>
        <v/>
      </c>
      <c r="IU106" s="5" t="str">
        <f t="shared" si="978"/>
        <v/>
      </c>
      <c r="IV106" s="670" t="str">
        <f t="shared" si="979"/>
        <v/>
      </c>
      <c r="IW106" s="9" t="str">
        <f t="shared" si="980"/>
        <v/>
      </c>
      <c r="IX106" s="5" t="str">
        <f t="shared" si="981"/>
        <v/>
      </c>
      <c r="IY106" s="5" t="str">
        <f t="shared" si="982"/>
        <v/>
      </c>
      <c r="IZ106" s="5" t="str">
        <f t="shared" si="983"/>
        <v/>
      </c>
      <c r="JA106" s="705" t="str">
        <f t="shared" si="984"/>
        <v/>
      </c>
    </row>
    <row r="107" spans="1:261" ht="15" customHeight="1" x14ac:dyDescent="0.25">
      <c r="A107" s="75" t="str">
        <f t="shared" si="899"/>
        <v/>
      </c>
      <c r="B107" s="578" t="str">
        <f t="shared" ref="B107:D107" si="1009">IFERROR(O262+($A107*-E107),"")</f>
        <v/>
      </c>
      <c r="C107" s="572" t="str">
        <f t="shared" si="1009"/>
        <v/>
      </c>
      <c r="D107" s="576" t="str">
        <f t="shared" si="1009"/>
        <v/>
      </c>
      <c r="E107" s="580" t="str">
        <f t="shared" ref="E107:K107" si="1010">R262</f>
        <v/>
      </c>
      <c r="F107" s="572" t="str">
        <f t="shared" si="1010"/>
        <v/>
      </c>
      <c r="G107" s="579" t="str">
        <f t="shared" si="1010"/>
        <v/>
      </c>
      <c r="H107" s="580" t="str">
        <f t="shared" si="1010"/>
        <v/>
      </c>
      <c r="I107" s="572" t="str">
        <f t="shared" si="1010"/>
        <v/>
      </c>
      <c r="J107" s="483" t="str">
        <f t="shared" si="711"/>
        <v/>
      </c>
      <c r="K107" s="806" t="str">
        <f t="shared" si="1010"/>
        <v/>
      </c>
      <c r="L107" s="309"/>
      <c r="M107" s="164" t="str">
        <f t="shared" si="902"/>
        <v/>
      </c>
      <c r="N107" s="575" t="str">
        <f t="shared" si="903"/>
        <v/>
      </c>
      <c r="O107" s="572" t="str">
        <f t="shared" si="904"/>
        <v/>
      </c>
      <c r="P107" s="576" t="str">
        <f t="shared" si="905"/>
        <v/>
      </c>
      <c r="Q107" s="528" t="str">
        <f t="shared" si="712"/>
        <v/>
      </c>
      <c r="R107" s="572" t="str">
        <f t="shared" si="987"/>
        <v/>
      </c>
      <c r="S107" s="577" t="str">
        <f t="shared" si="988"/>
        <v/>
      </c>
      <c r="T107" s="578" t="str">
        <f t="shared" si="989"/>
        <v/>
      </c>
      <c r="U107" s="572" t="str">
        <f t="shared" si="990"/>
        <v/>
      </c>
      <c r="V107" s="579" t="str">
        <f t="shared" si="991"/>
        <v/>
      </c>
      <c r="W107" s="528" t="str">
        <f t="shared" si="848"/>
        <v/>
      </c>
      <c r="X107" s="572" t="str">
        <f t="shared" si="992"/>
        <v/>
      </c>
      <c r="Y107" s="573" t="str">
        <f t="shared" si="841"/>
        <v/>
      </c>
      <c r="Z107" s="575" t="str">
        <f t="shared" si="906"/>
        <v/>
      </c>
      <c r="AA107" s="572" t="str">
        <f t="shared" si="907"/>
        <v/>
      </c>
      <c r="AB107" s="572" t="str">
        <f t="shared" si="908"/>
        <v/>
      </c>
      <c r="AC107" s="579" t="str">
        <f t="shared" si="993"/>
        <v/>
      </c>
      <c r="AD107" s="580" t="str">
        <f t="shared" si="994"/>
        <v/>
      </c>
      <c r="AE107" s="572" t="str">
        <f t="shared" si="995"/>
        <v/>
      </c>
      <c r="AF107" s="576" t="str">
        <f t="shared" si="996"/>
        <v/>
      </c>
      <c r="AG107" s="545" t="str">
        <f t="shared" si="997"/>
        <v/>
      </c>
      <c r="AH107" s="546" t="str">
        <f t="shared" si="998"/>
        <v/>
      </c>
      <c r="AI107" s="528" t="str">
        <f t="shared" si="999"/>
        <v/>
      </c>
      <c r="AJ107" s="529" t="str">
        <f t="shared" si="1000"/>
        <v/>
      </c>
      <c r="AK107" s="578" t="str">
        <f t="shared" si="1001"/>
        <v/>
      </c>
      <c r="AL107" s="572" t="str">
        <f t="shared" si="1002"/>
        <v/>
      </c>
      <c r="AM107" s="577" t="str">
        <f t="shared" si="1003"/>
        <v/>
      </c>
      <c r="AN107" s="524" t="str">
        <f t="shared" si="1004"/>
        <v/>
      </c>
      <c r="AO107" s="525" t="str">
        <f t="shared" si="590"/>
        <v/>
      </c>
      <c r="AP107" s="528" t="str">
        <f t="shared" si="1005"/>
        <v/>
      </c>
      <c r="AQ107" s="529" t="str">
        <f t="shared" si="909"/>
        <v/>
      </c>
      <c r="AS107" s="900" t="str">
        <f t="shared" ref="AS107:AS138" si="1011">IF(G107="","",IF(AND(W107&lt;(AS106+180),W107&gt;(AS106-180)),W107,IF(W107&gt;(AS106+180),W107-360,IF(W107&lt;(AS106-180),W107+360,"Error"))))</f>
        <v/>
      </c>
      <c r="AT107" s="896" t="str">
        <f t="shared" si="910"/>
        <v/>
      </c>
      <c r="AU107" s="418"/>
      <c r="AV107" s="164" t="str">
        <f t="shared" si="911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2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3"/>
        <v/>
      </c>
      <c r="BF107" s="4" t="str">
        <f t="shared" si="914"/>
        <v/>
      </c>
      <c r="BG107" s="5" t="str">
        <f t="shared" si="915"/>
        <v/>
      </c>
      <c r="BH107" s="10" t="str">
        <f t="shared" si="916"/>
        <v/>
      </c>
      <c r="BI107" s="9" t="str">
        <f t="shared" si="739"/>
        <v/>
      </c>
      <c r="BJ107" s="5" t="str">
        <f t="shared" si="917"/>
        <v/>
      </c>
      <c r="BK107" s="8" t="str">
        <f t="shared" si="918"/>
        <v/>
      </c>
      <c r="BL107" s="173" t="str">
        <f t="shared" si="919"/>
        <v/>
      </c>
      <c r="BM107" s="5" t="str">
        <f t="shared" si="920"/>
        <v/>
      </c>
      <c r="BN107" s="6" t="str">
        <f t="shared" si="921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6"/>
        <v/>
      </c>
      <c r="BT107" s="5" t="str">
        <f t="shared" si="1006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2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2">IF(ISNUMBER($AV107),0,"")</f>
        <v/>
      </c>
      <c r="DC107" s="5" t="str">
        <f t="shared" si="1012"/>
        <v/>
      </c>
      <c r="DD107" s="10" t="str">
        <f t="shared" si="764"/>
        <v/>
      </c>
      <c r="DE107" s="9" t="str">
        <f t="shared" ref="DE107:DF150" si="1013">IF(ISNUMBER($AV107),0,"")</f>
        <v/>
      </c>
      <c r="DF107" s="5" t="str">
        <f t="shared" si="1013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3"/>
        <v/>
      </c>
      <c r="ET107" s="5" t="str">
        <f t="shared" si="924"/>
        <v/>
      </c>
      <c r="EU107" s="10" t="str">
        <f t="shared" si="925"/>
        <v/>
      </c>
      <c r="EV107" s="174" t="str">
        <f t="shared" si="926"/>
        <v/>
      </c>
      <c r="EW107" s="9" t="str">
        <f t="shared" si="927"/>
        <v/>
      </c>
      <c r="EX107" s="5" t="str">
        <f t="shared" si="928"/>
        <v/>
      </c>
      <c r="EY107" s="6" t="str">
        <f t="shared" si="804"/>
        <v/>
      </c>
      <c r="EZ107" s="51" t="str">
        <f t="shared" si="805"/>
        <v/>
      </c>
      <c r="FA107" s="173" t="str">
        <f t="shared" si="929"/>
        <v/>
      </c>
      <c r="FB107" s="5" t="str">
        <f t="shared" si="930"/>
        <v/>
      </c>
      <c r="FC107" s="6" t="str">
        <f t="shared" si="931"/>
        <v/>
      </c>
      <c r="FD107" s="4" t="str">
        <f t="shared" si="932"/>
        <v/>
      </c>
      <c r="FE107" s="5" t="str">
        <f t="shared" si="933"/>
        <v/>
      </c>
      <c r="FF107" s="7" t="str">
        <f t="shared" si="806"/>
        <v/>
      </c>
      <c r="FG107" s="173" t="str">
        <f t="shared" si="934"/>
        <v/>
      </c>
      <c r="FH107" s="5" t="str">
        <f t="shared" si="935"/>
        <v/>
      </c>
      <c r="FI107" s="10" t="str">
        <f t="shared" si="936"/>
        <v/>
      </c>
      <c r="FJ107" s="279" t="str">
        <f t="shared" si="807"/>
        <v/>
      </c>
      <c r="FK107" s="4" t="str">
        <f t="shared" si="937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8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9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40"/>
        <v/>
      </c>
      <c r="GH107" s="286" t="str">
        <f t="shared" si="941"/>
        <v/>
      </c>
      <c r="GI107" s="281" t="str">
        <f t="shared" si="942"/>
        <v/>
      </c>
      <c r="GJ107" s="167" t="str">
        <f t="shared" si="823"/>
        <v/>
      </c>
      <c r="GK107" s="174" t="str">
        <f t="shared" si="943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4"/>
        <v/>
      </c>
      <c r="GT107" s="343" t="str">
        <f t="shared" si="945"/>
        <v/>
      </c>
      <c r="GU107" s="344" t="str">
        <f t="shared" si="946"/>
        <v/>
      </c>
      <c r="GV107" s="343" t="str">
        <f t="shared" si="831"/>
        <v/>
      </c>
      <c r="GW107" s="345" t="str">
        <f t="shared" si="947"/>
        <v/>
      </c>
      <c r="GX107" s="346" t="str">
        <f t="shared" si="948"/>
        <v/>
      </c>
      <c r="GY107" s="344" t="str">
        <f t="shared" si="949"/>
        <v/>
      </c>
      <c r="GZ107" s="345" t="str">
        <f t="shared" si="950"/>
        <v/>
      </c>
      <c r="HA107" s="342" t="str">
        <f t="shared" si="951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2"/>
        <v/>
      </c>
      <c r="HF107" s="5" t="str">
        <f t="shared" si="953"/>
        <v/>
      </c>
      <c r="HG107" s="343" t="str">
        <f t="shared" si="835"/>
        <v/>
      </c>
      <c r="HH107" s="349" t="str">
        <f t="shared" si="836"/>
        <v/>
      </c>
      <c r="HI107" s="317" t="str">
        <f t="shared" si="954"/>
        <v/>
      </c>
      <c r="HK107" s="310" t="str">
        <f t="shared" si="1007"/>
        <v/>
      </c>
      <c r="HL107" s="348" t="str">
        <f t="shared" si="955"/>
        <v/>
      </c>
      <c r="HM107" s="935" t="str">
        <f t="shared" si="956"/>
        <v/>
      </c>
      <c r="HN107" s="936" t="str">
        <f t="shared" si="957"/>
        <v/>
      </c>
      <c r="HO107" s="937"/>
      <c r="HP107" s="938"/>
      <c r="HQ107" s="936" t="str">
        <f t="shared" si="958"/>
        <v/>
      </c>
      <c r="HR107" s="939" t="str">
        <f t="shared" si="959"/>
        <v/>
      </c>
      <c r="HS107" s="940" t="str">
        <f t="shared" si="1008"/>
        <v/>
      </c>
      <c r="HT107" s="941" t="str">
        <f t="shared" si="960"/>
        <v/>
      </c>
      <c r="HU107" s="942" t="str">
        <f t="shared" si="961"/>
        <v/>
      </c>
      <c r="HV107" s="943" t="str">
        <f t="shared" si="962"/>
        <v/>
      </c>
      <c r="HW107" s="944" t="str">
        <f t="shared" si="963"/>
        <v/>
      </c>
      <c r="HX107" s="947" t="str">
        <f t="shared" si="964"/>
        <v/>
      </c>
      <c r="HY107" s="952" t="str">
        <f t="shared" si="965"/>
        <v/>
      </c>
      <c r="HZ107" s="953" t="str">
        <f t="shared" si="966"/>
        <v/>
      </c>
      <c r="IA107" s="954" t="str">
        <f t="shared" si="967"/>
        <v/>
      </c>
      <c r="IB107" s="955" t="str">
        <f t="shared" si="968"/>
        <v/>
      </c>
      <c r="IC107" s="842" t="str">
        <f t="shared" si="969"/>
        <v/>
      </c>
      <c r="ID107" s="351" t="str">
        <f t="shared" si="970"/>
        <v/>
      </c>
      <c r="IE107" s="844" t="str">
        <f t="shared" si="971"/>
        <v/>
      </c>
      <c r="IF107" s="845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37"/>
        <v/>
      </c>
      <c r="IJ107" s="96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72"/>
        <v/>
      </c>
      <c r="IM107" s="482" t="str">
        <f t="shared" si="838"/>
        <v/>
      </c>
      <c r="IN107" s="670" t="str">
        <f t="shared" si="973"/>
        <v/>
      </c>
      <c r="IO107" s="702"/>
      <c r="IP107" s="5" t="str">
        <f t="shared" si="974"/>
        <v/>
      </c>
      <c r="IQ107" s="714"/>
      <c r="IR107" s="9" t="str">
        <f t="shared" si="975"/>
        <v/>
      </c>
      <c r="IS107" s="5" t="str">
        <f t="shared" si="976"/>
        <v/>
      </c>
      <c r="IT107" s="5" t="str">
        <f t="shared" si="977"/>
        <v/>
      </c>
      <c r="IU107" s="5" t="str">
        <f t="shared" si="978"/>
        <v/>
      </c>
      <c r="IV107" s="670" t="str">
        <f t="shared" si="979"/>
        <v/>
      </c>
      <c r="IW107" s="9" t="str">
        <f t="shared" si="980"/>
        <v/>
      </c>
      <c r="IX107" s="5" t="str">
        <f t="shared" si="981"/>
        <v/>
      </c>
      <c r="IY107" s="5" t="str">
        <f t="shared" si="982"/>
        <v/>
      </c>
      <c r="IZ107" s="5" t="str">
        <f t="shared" si="983"/>
        <v/>
      </c>
      <c r="JA107" s="705" t="str">
        <f t="shared" si="984"/>
        <v/>
      </c>
    </row>
    <row r="108" spans="1:261" ht="15" customHeight="1" x14ac:dyDescent="0.25">
      <c r="A108" s="75" t="str">
        <f t="shared" si="899"/>
        <v/>
      </c>
      <c r="B108" s="578" t="str">
        <f t="shared" ref="B108:D108" si="1014">IFERROR(O263+($A108*-E108),"")</f>
        <v/>
      </c>
      <c r="C108" s="572" t="str">
        <f t="shared" si="1014"/>
        <v/>
      </c>
      <c r="D108" s="576" t="str">
        <f t="shared" si="1014"/>
        <v/>
      </c>
      <c r="E108" s="580" t="str">
        <f t="shared" ref="E108:K108" si="1015">R263</f>
        <v/>
      </c>
      <c r="F108" s="572" t="str">
        <f t="shared" si="1015"/>
        <v/>
      </c>
      <c r="G108" s="579" t="str">
        <f t="shared" si="1015"/>
        <v/>
      </c>
      <c r="H108" s="580" t="str">
        <f t="shared" si="1015"/>
        <v/>
      </c>
      <c r="I108" s="572" t="str">
        <f t="shared" si="1015"/>
        <v/>
      </c>
      <c r="J108" s="483" t="str">
        <f t="shared" si="711"/>
        <v/>
      </c>
      <c r="K108" s="806" t="str">
        <f t="shared" si="1015"/>
        <v/>
      </c>
      <c r="L108" s="309"/>
      <c r="M108" s="164" t="str">
        <f t="shared" si="902"/>
        <v/>
      </c>
      <c r="N108" s="575" t="str">
        <f t="shared" si="903"/>
        <v/>
      </c>
      <c r="O108" s="572" t="str">
        <f t="shared" si="904"/>
        <v/>
      </c>
      <c r="P108" s="576" t="str">
        <f t="shared" si="905"/>
        <v/>
      </c>
      <c r="Q108" s="528" t="str">
        <f t="shared" si="712"/>
        <v/>
      </c>
      <c r="R108" s="572" t="str">
        <f t="shared" si="987"/>
        <v/>
      </c>
      <c r="S108" s="577" t="str">
        <f t="shared" si="988"/>
        <v/>
      </c>
      <c r="T108" s="578" t="str">
        <f t="shared" si="989"/>
        <v/>
      </c>
      <c r="U108" s="572" t="str">
        <f t="shared" si="990"/>
        <v/>
      </c>
      <c r="V108" s="579" t="str">
        <f t="shared" si="991"/>
        <v/>
      </c>
      <c r="W108" s="528" t="str">
        <f t="shared" si="848"/>
        <v/>
      </c>
      <c r="X108" s="572" t="str">
        <f t="shared" si="992"/>
        <v/>
      </c>
      <c r="Y108" s="573" t="str">
        <f t="shared" si="841"/>
        <v/>
      </c>
      <c r="Z108" s="575" t="str">
        <f t="shared" si="906"/>
        <v/>
      </c>
      <c r="AA108" s="572" t="str">
        <f t="shared" si="907"/>
        <v/>
      </c>
      <c r="AB108" s="572" t="str">
        <f t="shared" si="908"/>
        <v/>
      </c>
      <c r="AC108" s="579" t="str">
        <f t="shared" si="993"/>
        <v/>
      </c>
      <c r="AD108" s="580" t="str">
        <f t="shared" si="994"/>
        <v/>
      </c>
      <c r="AE108" s="572" t="str">
        <f t="shared" si="995"/>
        <v/>
      </c>
      <c r="AF108" s="576" t="str">
        <f t="shared" si="996"/>
        <v/>
      </c>
      <c r="AG108" s="545" t="str">
        <f t="shared" si="997"/>
        <v/>
      </c>
      <c r="AH108" s="546" t="str">
        <f t="shared" si="998"/>
        <v/>
      </c>
      <c r="AI108" s="528" t="str">
        <f t="shared" si="999"/>
        <v/>
      </c>
      <c r="AJ108" s="529" t="str">
        <f t="shared" si="1000"/>
        <v/>
      </c>
      <c r="AK108" s="578" t="str">
        <f t="shared" si="1001"/>
        <v/>
      </c>
      <c r="AL108" s="572" t="str">
        <f t="shared" si="1002"/>
        <v/>
      </c>
      <c r="AM108" s="577" t="str">
        <f t="shared" si="1003"/>
        <v/>
      </c>
      <c r="AN108" s="524" t="str">
        <f t="shared" si="1004"/>
        <v/>
      </c>
      <c r="AO108" s="525" t="str">
        <f t="shared" si="590"/>
        <v/>
      </c>
      <c r="AP108" s="528" t="str">
        <f t="shared" si="1005"/>
        <v/>
      </c>
      <c r="AQ108" s="529" t="str">
        <f t="shared" si="909"/>
        <v/>
      </c>
      <c r="AS108" s="900" t="str">
        <f t="shared" si="1011"/>
        <v/>
      </c>
      <c r="AT108" s="896" t="str">
        <f t="shared" si="910"/>
        <v/>
      </c>
      <c r="AU108" s="418"/>
      <c r="AV108" s="164" t="str">
        <f t="shared" si="911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2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3"/>
        <v/>
      </c>
      <c r="BF108" s="4" t="str">
        <f t="shared" si="914"/>
        <v/>
      </c>
      <c r="BG108" s="5" t="str">
        <f t="shared" si="915"/>
        <v/>
      </c>
      <c r="BH108" s="10" t="str">
        <f t="shared" si="916"/>
        <v/>
      </c>
      <c r="BI108" s="9" t="str">
        <f t="shared" si="739"/>
        <v/>
      </c>
      <c r="BJ108" s="5" t="str">
        <f t="shared" si="917"/>
        <v/>
      </c>
      <c r="BK108" s="8" t="str">
        <f t="shared" si="918"/>
        <v/>
      </c>
      <c r="BL108" s="173" t="str">
        <f t="shared" si="919"/>
        <v/>
      </c>
      <c r="BM108" s="5" t="str">
        <f t="shared" si="920"/>
        <v/>
      </c>
      <c r="BN108" s="6" t="str">
        <f t="shared" si="921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6"/>
        <v/>
      </c>
      <c r="BT108" s="5" t="str">
        <f t="shared" si="1006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2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2"/>
        <v/>
      </c>
      <c r="DC108" s="5" t="str">
        <f t="shared" si="1012"/>
        <v/>
      </c>
      <c r="DD108" s="10" t="str">
        <f t="shared" si="764"/>
        <v/>
      </c>
      <c r="DE108" s="9" t="str">
        <f t="shared" si="1013"/>
        <v/>
      </c>
      <c r="DF108" s="5" t="str">
        <f t="shared" si="1013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3"/>
        <v/>
      </c>
      <c r="ET108" s="5" t="str">
        <f t="shared" si="924"/>
        <v/>
      </c>
      <c r="EU108" s="10" t="str">
        <f t="shared" si="925"/>
        <v/>
      </c>
      <c r="EV108" s="174" t="str">
        <f t="shared" si="926"/>
        <v/>
      </c>
      <c r="EW108" s="9" t="str">
        <f t="shared" si="927"/>
        <v/>
      </c>
      <c r="EX108" s="5" t="str">
        <f t="shared" si="928"/>
        <v/>
      </c>
      <c r="EY108" s="6" t="str">
        <f t="shared" si="804"/>
        <v/>
      </c>
      <c r="EZ108" s="51" t="str">
        <f t="shared" si="805"/>
        <v/>
      </c>
      <c r="FA108" s="173" t="str">
        <f t="shared" si="929"/>
        <v/>
      </c>
      <c r="FB108" s="5" t="str">
        <f t="shared" si="930"/>
        <v/>
      </c>
      <c r="FC108" s="6" t="str">
        <f t="shared" si="931"/>
        <v/>
      </c>
      <c r="FD108" s="4" t="str">
        <f t="shared" si="932"/>
        <v/>
      </c>
      <c r="FE108" s="5" t="str">
        <f t="shared" si="933"/>
        <v/>
      </c>
      <c r="FF108" s="7" t="str">
        <f t="shared" si="806"/>
        <v/>
      </c>
      <c r="FG108" s="173" t="str">
        <f t="shared" si="934"/>
        <v/>
      </c>
      <c r="FH108" s="5" t="str">
        <f t="shared" si="935"/>
        <v/>
      </c>
      <c r="FI108" s="10" t="str">
        <f t="shared" si="936"/>
        <v/>
      </c>
      <c r="FJ108" s="279" t="str">
        <f t="shared" si="807"/>
        <v/>
      </c>
      <c r="FK108" s="4" t="str">
        <f t="shared" si="937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8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9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40"/>
        <v/>
      </c>
      <c r="GH108" s="286" t="str">
        <f t="shared" si="941"/>
        <v/>
      </c>
      <c r="GI108" s="281" t="str">
        <f t="shared" si="942"/>
        <v/>
      </c>
      <c r="GJ108" s="167" t="str">
        <f t="shared" si="823"/>
        <v/>
      </c>
      <c r="GK108" s="174" t="str">
        <f t="shared" si="943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4"/>
        <v/>
      </c>
      <c r="GT108" s="343" t="str">
        <f t="shared" si="945"/>
        <v/>
      </c>
      <c r="GU108" s="344" t="str">
        <f t="shared" si="946"/>
        <v/>
      </c>
      <c r="GV108" s="343" t="str">
        <f t="shared" si="831"/>
        <v/>
      </c>
      <c r="GW108" s="345" t="str">
        <f t="shared" si="947"/>
        <v/>
      </c>
      <c r="GX108" s="346" t="str">
        <f t="shared" si="948"/>
        <v/>
      </c>
      <c r="GY108" s="344" t="str">
        <f t="shared" si="949"/>
        <v/>
      </c>
      <c r="GZ108" s="345" t="str">
        <f t="shared" si="950"/>
        <v/>
      </c>
      <c r="HA108" s="342" t="str">
        <f t="shared" si="951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2"/>
        <v/>
      </c>
      <c r="HF108" s="5" t="str">
        <f t="shared" si="953"/>
        <v/>
      </c>
      <c r="HG108" s="343" t="str">
        <f t="shared" si="835"/>
        <v/>
      </c>
      <c r="HH108" s="349" t="str">
        <f t="shared" si="836"/>
        <v/>
      </c>
      <c r="HI108" s="317" t="str">
        <f t="shared" si="954"/>
        <v/>
      </c>
      <c r="HK108" s="310" t="str">
        <f t="shared" si="1007"/>
        <v/>
      </c>
      <c r="HL108" s="348" t="str">
        <f t="shared" si="955"/>
        <v/>
      </c>
      <c r="HM108" s="935" t="str">
        <f t="shared" si="956"/>
        <v/>
      </c>
      <c r="HN108" s="936" t="str">
        <f t="shared" si="957"/>
        <v/>
      </c>
      <c r="HO108" s="937"/>
      <c r="HP108" s="938"/>
      <c r="HQ108" s="936" t="str">
        <f t="shared" si="958"/>
        <v/>
      </c>
      <c r="HR108" s="939" t="str">
        <f t="shared" si="959"/>
        <v/>
      </c>
      <c r="HS108" s="940" t="str">
        <f t="shared" si="1008"/>
        <v/>
      </c>
      <c r="HT108" s="941" t="str">
        <f t="shared" si="960"/>
        <v/>
      </c>
      <c r="HU108" s="942" t="str">
        <f t="shared" si="961"/>
        <v/>
      </c>
      <c r="HV108" s="943" t="str">
        <f t="shared" si="962"/>
        <v/>
      </c>
      <c r="HW108" s="944" t="str">
        <f t="shared" si="963"/>
        <v/>
      </c>
      <c r="HX108" s="947" t="str">
        <f t="shared" si="964"/>
        <v/>
      </c>
      <c r="HY108" s="952" t="str">
        <f t="shared" si="965"/>
        <v/>
      </c>
      <c r="HZ108" s="953" t="str">
        <f t="shared" si="966"/>
        <v/>
      </c>
      <c r="IA108" s="954" t="str">
        <f t="shared" si="967"/>
        <v/>
      </c>
      <c r="IB108" s="955" t="str">
        <f t="shared" si="968"/>
        <v/>
      </c>
      <c r="IC108" s="842" t="str">
        <f t="shared" si="969"/>
        <v/>
      </c>
      <c r="ID108" s="351" t="str">
        <f t="shared" si="970"/>
        <v/>
      </c>
      <c r="IE108" s="844" t="str">
        <f t="shared" si="971"/>
        <v/>
      </c>
      <c r="IF108" s="845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37"/>
        <v/>
      </c>
      <c r="IJ108" s="96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72"/>
        <v/>
      </c>
      <c r="IM108" s="482" t="str">
        <f t="shared" si="838"/>
        <v/>
      </c>
      <c r="IN108" s="670" t="str">
        <f t="shared" si="973"/>
        <v/>
      </c>
      <c r="IO108" s="702"/>
      <c r="IP108" s="5" t="str">
        <f t="shared" si="974"/>
        <v/>
      </c>
      <c r="IQ108" s="714"/>
      <c r="IR108" s="9" t="str">
        <f t="shared" si="975"/>
        <v/>
      </c>
      <c r="IS108" s="5" t="str">
        <f t="shared" si="976"/>
        <v/>
      </c>
      <c r="IT108" s="5" t="str">
        <f t="shared" si="977"/>
        <v/>
      </c>
      <c r="IU108" s="5" t="str">
        <f t="shared" si="978"/>
        <v/>
      </c>
      <c r="IV108" s="670" t="str">
        <f t="shared" si="979"/>
        <v/>
      </c>
      <c r="IW108" s="9" t="str">
        <f t="shared" si="980"/>
        <v/>
      </c>
      <c r="IX108" s="5" t="str">
        <f t="shared" si="981"/>
        <v/>
      </c>
      <c r="IY108" s="5" t="str">
        <f t="shared" si="982"/>
        <v/>
      </c>
      <c r="IZ108" s="5" t="str">
        <f t="shared" si="983"/>
        <v/>
      </c>
      <c r="JA108" s="705" t="str">
        <f t="shared" si="984"/>
        <v/>
      </c>
    </row>
    <row r="109" spans="1:261" ht="15" customHeight="1" x14ac:dyDescent="0.25">
      <c r="A109" s="75" t="str">
        <f t="shared" si="899"/>
        <v/>
      </c>
      <c r="B109" s="578" t="str">
        <f t="shared" ref="B109:D109" si="1016">IFERROR(O264+($A109*-E109),"")</f>
        <v/>
      </c>
      <c r="C109" s="572" t="str">
        <f t="shared" si="1016"/>
        <v/>
      </c>
      <c r="D109" s="576" t="str">
        <f t="shared" si="1016"/>
        <v/>
      </c>
      <c r="E109" s="580" t="str">
        <f t="shared" ref="E109:K109" si="1017">R264</f>
        <v/>
      </c>
      <c r="F109" s="572" t="str">
        <f t="shared" si="1017"/>
        <v/>
      </c>
      <c r="G109" s="579" t="str">
        <f t="shared" si="1017"/>
        <v/>
      </c>
      <c r="H109" s="580" t="str">
        <f t="shared" si="1017"/>
        <v/>
      </c>
      <c r="I109" s="572" t="str">
        <f t="shared" si="1017"/>
        <v/>
      </c>
      <c r="J109" s="483" t="str">
        <f t="shared" si="711"/>
        <v/>
      </c>
      <c r="K109" s="806" t="str">
        <f t="shared" si="1017"/>
        <v/>
      </c>
      <c r="L109" s="309"/>
      <c r="M109" s="164" t="str">
        <f t="shared" si="902"/>
        <v/>
      </c>
      <c r="N109" s="575" t="str">
        <f t="shared" si="903"/>
        <v/>
      </c>
      <c r="O109" s="572" t="str">
        <f t="shared" si="904"/>
        <v/>
      </c>
      <c r="P109" s="576" t="str">
        <f t="shared" si="905"/>
        <v/>
      </c>
      <c r="Q109" s="528" t="str">
        <f t="shared" si="712"/>
        <v/>
      </c>
      <c r="R109" s="572" t="str">
        <f t="shared" si="987"/>
        <v/>
      </c>
      <c r="S109" s="577" t="str">
        <f t="shared" si="988"/>
        <v/>
      </c>
      <c r="T109" s="578" t="str">
        <f t="shared" si="989"/>
        <v/>
      </c>
      <c r="U109" s="572" t="str">
        <f t="shared" si="990"/>
        <v/>
      </c>
      <c r="V109" s="579" t="str">
        <f t="shared" si="991"/>
        <v/>
      </c>
      <c r="W109" s="528" t="str">
        <f t="shared" si="848"/>
        <v/>
      </c>
      <c r="X109" s="572" t="str">
        <f t="shared" si="992"/>
        <v/>
      </c>
      <c r="Y109" s="573" t="str">
        <f t="shared" si="841"/>
        <v/>
      </c>
      <c r="Z109" s="575" t="str">
        <f t="shared" si="906"/>
        <v/>
      </c>
      <c r="AA109" s="572" t="str">
        <f t="shared" si="907"/>
        <v/>
      </c>
      <c r="AB109" s="572" t="str">
        <f t="shared" si="908"/>
        <v/>
      </c>
      <c r="AC109" s="579" t="str">
        <f t="shared" si="993"/>
        <v/>
      </c>
      <c r="AD109" s="580" t="str">
        <f t="shared" si="994"/>
        <v/>
      </c>
      <c r="AE109" s="572" t="str">
        <f t="shared" si="995"/>
        <v/>
      </c>
      <c r="AF109" s="576" t="str">
        <f t="shared" si="996"/>
        <v/>
      </c>
      <c r="AG109" s="545" t="str">
        <f t="shared" si="997"/>
        <v/>
      </c>
      <c r="AH109" s="546" t="str">
        <f t="shared" si="998"/>
        <v/>
      </c>
      <c r="AI109" s="528" t="str">
        <f t="shared" si="999"/>
        <v/>
      </c>
      <c r="AJ109" s="529" t="str">
        <f t="shared" si="1000"/>
        <v/>
      </c>
      <c r="AK109" s="578" t="str">
        <f t="shared" si="1001"/>
        <v/>
      </c>
      <c r="AL109" s="572" t="str">
        <f t="shared" si="1002"/>
        <v/>
      </c>
      <c r="AM109" s="577" t="str">
        <f t="shared" si="1003"/>
        <v/>
      </c>
      <c r="AN109" s="524" t="str">
        <f t="shared" si="1004"/>
        <v/>
      </c>
      <c r="AO109" s="525" t="str">
        <f t="shared" si="590"/>
        <v/>
      </c>
      <c r="AP109" s="528" t="str">
        <f t="shared" si="1005"/>
        <v/>
      </c>
      <c r="AQ109" s="529" t="str">
        <f t="shared" si="909"/>
        <v/>
      </c>
      <c r="AS109" s="900" t="str">
        <f t="shared" si="1011"/>
        <v/>
      </c>
      <c r="AT109" s="896" t="str">
        <f t="shared" si="910"/>
        <v/>
      </c>
      <c r="AU109" s="418"/>
      <c r="AV109" s="164" t="str">
        <f t="shared" si="911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2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3"/>
        <v/>
      </c>
      <c r="BF109" s="4" t="str">
        <f t="shared" si="914"/>
        <v/>
      </c>
      <c r="BG109" s="5" t="str">
        <f t="shared" si="915"/>
        <v/>
      </c>
      <c r="BH109" s="10" t="str">
        <f t="shared" si="916"/>
        <v/>
      </c>
      <c r="BI109" s="9" t="str">
        <f t="shared" si="739"/>
        <v/>
      </c>
      <c r="BJ109" s="5" t="str">
        <f t="shared" si="917"/>
        <v/>
      </c>
      <c r="BK109" s="8" t="str">
        <f t="shared" si="918"/>
        <v/>
      </c>
      <c r="BL109" s="173" t="str">
        <f t="shared" si="919"/>
        <v/>
      </c>
      <c r="BM109" s="5" t="str">
        <f t="shared" si="920"/>
        <v/>
      </c>
      <c r="BN109" s="6" t="str">
        <f t="shared" si="921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6"/>
        <v/>
      </c>
      <c r="BT109" s="5" t="str">
        <f t="shared" si="1006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2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2"/>
        <v/>
      </c>
      <c r="DC109" s="5" t="str">
        <f t="shared" si="1012"/>
        <v/>
      </c>
      <c r="DD109" s="10" t="str">
        <f t="shared" si="764"/>
        <v/>
      </c>
      <c r="DE109" s="9" t="str">
        <f t="shared" si="1013"/>
        <v/>
      </c>
      <c r="DF109" s="5" t="str">
        <f t="shared" si="1013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3"/>
        <v/>
      </c>
      <c r="ET109" s="5" t="str">
        <f t="shared" si="924"/>
        <v/>
      </c>
      <c r="EU109" s="10" t="str">
        <f t="shared" si="925"/>
        <v/>
      </c>
      <c r="EV109" s="174" t="str">
        <f t="shared" si="926"/>
        <v/>
      </c>
      <c r="EW109" s="9" t="str">
        <f t="shared" si="927"/>
        <v/>
      </c>
      <c r="EX109" s="5" t="str">
        <f t="shared" si="928"/>
        <v/>
      </c>
      <c r="EY109" s="6" t="str">
        <f t="shared" si="804"/>
        <v/>
      </c>
      <c r="EZ109" s="51" t="str">
        <f t="shared" si="805"/>
        <v/>
      </c>
      <c r="FA109" s="173" t="str">
        <f t="shared" si="929"/>
        <v/>
      </c>
      <c r="FB109" s="5" t="str">
        <f t="shared" si="930"/>
        <v/>
      </c>
      <c r="FC109" s="6" t="str">
        <f t="shared" si="931"/>
        <v/>
      </c>
      <c r="FD109" s="4" t="str">
        <f t="shared" si="932"/>
        <v/>
      </c>
      <c r="FE109" s="5" t="str">
        <f t="shared" si="933"/>
        <v/>
      </c>
      <c r="FF109" s="7" t="str">
        <f t="shared" si="806"/>
        <v/>
      </c>
      <c r="FG109" s="173" t="str">
        <f t="shared" si="934"/>
        <v/>
      </c>
      <c r="FH109" s="5" t="str">
        <f t="shared" si="935"/>
        <v/>
      </c>
      <c r="FI109" s="10" t="str">
        <f t="shared" si="936"/>
        <v/>
      </c>
      <c r="FJ109" s="279" t="str">
        <f t="shared" si="807"/>
        <v/>
      </c>
      <c r="FK109" s="4" t="str">
        <f t="shared" si="937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8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9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40"/>
        <v/>
      </c>
      <c r="GH109" s="286" t="str">
        <f t="shared" si="941"/>
        <v/>
      </c>
      <c r="GI109" s="281" t="str">
        <f t="shared" si="942"/>
        <v/>
      </c>
      <c r="GJ109" s="167" t="str">
        <f t="shared" si="823"/>
        <v/>
      </c>
      <c r="GK109" s="174" t="str">
        <f t="shared" si="943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4"/>
        <v/>
      </c>
      <c r="GT109" s="343" t="str">
        <f t="shared" si="945"/>
        <v/>
      </c>
      <c r="GU109" s="344" t="str">
        <f t="shared" si="946"/>
        <v/>
      </c>
      <c r="GV109" s="343" t="str">
        <f t="shared" si="831"/>
        <v/>
      </c>
      <c r="GW109" s="345" t="str">
        <f t="shared" si="947"/>
        <v/>
      </c>
      <c r="GX109" s="346" t="str">
        <f t="shared" si="948"/>
        <v/>
      </c>
      <c r="GY109" s="344" t="str">
        <f t="shared" si="949"/>
        <v/>
      </c>
      <c r="GZ109" s="345" t="str">
        <f t="shared" si="950"/>
        <v/>
      </c>
      <c r="HA109" s="342" t="str">
        <f t="shared" si="951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2"/>
        <v/>
      </c>
      <c r="HF109" s="5" t="str">
        <f t="shared" si="953"/>
        <v/>
      </c>
      <c r="HG109" s="343" t="str">
        <f t="shared" si="835"/>
        <v/>
      </c>
      <c r="HH109" s="349" t="str">
        <f t="shared" si="836"/>
        <v/>
      </c>
      <c r="HI109" s="317" t="str">
        <f t="shared" si="954"/>
        <v/>
      </c>
      <c r="HK109" s="310" t="str">
        <f t="shared" si="1007"/>
        <v/>
      </c>
      <c r="HL109" s="348" t="str">
        <f t="shared" si="955"/>
        <v/>
      </c>
      <c r="HM109" s="935" t="str">
        <f t="shared" si="956"/>
        <v/>
      </c>
      <c r="HN109" s="936" t="str">
        <f t="shared" si="957"/>
        <v/>
      </c>
      <c r="HO109" s="937"/>
      <c r="HP109" s="938"/>
      <c r="HQ109" s="936" t="str">
        <f t="shared" si="958"/>
        <v/>
      </c>
      <c r="HR109" s="939" t="str">
        <f t="shared" si="959"/>
        <v/>
      </c>
      <c r="HS109" s="940" t="str">
        <f t="shared" si="1008"/>
        <v/>
      </c>
      <c r="HT109" s="941" t="str">
        <f t="shared" si="960"/>
        <v/>
      </c>
      <c r="HU109" s="942" t="str">
        <f t="shared" si="961"/>
        <v/>
      </c>
      <c r="HV109" s="943" t="str">
        <f t="shared" si="962"/>
        <v/>
      </c>
      <c r="HW109" s="944" t="str">
        <f t="shared" si="963"/>
        <v/>
      </c>
      <c r="HX109" s="947" t="str">
        <f t="shared" si="964"/>
        <v/>
      </c>
      <c r="HY109" s="952" t="str">
        <f t="shared" si="965"/>
        <v/>
      </c>
      <c r="HZ109" s="953" t="str">
        <f t="shared" si="966"/>
        <v/>
      </c>
      <c r="IA109" s="954" t="str">
        <f t="shared" si="967"/>
        <v/>
      </c>
      <c r="IB109" s="955" t="str">
        <f t="shared" si="968"/>
        <v/>
      </c>
      <c r="IC109" s="842" t="str">
        <f t="shared" si="969"/>
        <v/>
      </c>
      <c r="ID109" s="351" t="str">
        <f t="shared" si="970"/>
        <v/>
      </c>
      <c r="IE109" s="844" t="str">
        <f t="shared" si="971"/>
        <v/>
      </c>
      <c r="IF109" s="845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37"/>
        <v/>
      </c>
      <c r="IJ109" s="96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72"/>
        <v/>
      </c>
      <c r="IM109" s="482" t="str">
        <f t="shared" si="838"/>
        <v/>
      </c>
      <c r="IN109" s="670" t="str">
        <f t="shared" si="973"/>
        <v/>
      </c>
      <c r="IO109" s="702"/>
      <c r="IP109" s="5" t="str">
        <f t="shared" si="974"/>
        <v/>
      </c>
      <c r="IQ109" s="714"/>
      <c r="IR109" s="9" t="str">
        <f t="shared" si="975"/>
        <v/>
      </c>
      <c r="IS109" s="5" t="str">
        <f t="shared" si="976"/>
        <v/>
      </c>
      <c r="IT109" s="5" t="str">
        <f t="shared" si="977"/>
        <v/>
      </c>
      <c r="IU109" s="5" t="str">
        <f t="shared" si="978"/>
        <v/>
      </c>
      <c r="IV109" s="670" t="str">
        <f t="shared" si="979"/>
        <v/>
      </c>
      <c r="IW109" s="9" t="str">
        <f t="shared" si="980"/>
        <v/>
      </c>
      <c r="IX109" s="5" t="str">
        <f t="shared" si="981"/>
        <v/>
      </c>
      <c r="IY109" s="5" t="str">
        <f t="shared" si="982"/>
        <v/>
      </c>
      <c r="IZ109" s="5" t="str">
        <f t="shared" si="983"/>
        <v/>
      </c>
      <c r="JA109" s="705" t="str">
        <f t="shared" si="984"/>
        <v/>
      </c>
    </row>
    <row r="110" spans="1:261" ht="15" customHeight="1" x14ac:dyDescent="0.25">
      <c r="A110" s="75" t="str">
        <f t="shared" si="899"/>
        <v/>
      </c>
      <c r="B110" s="578" t="str">
        <f t="shared" ref="B110:D110" si="1018">IFERROR(O265+($A110*-E110),"")</f>
        <v/>
      </c>
      <c r="C110" s="572" t="str">
        <f t="shared" si="1018"/>
        <v/>
      </c>
      <c r="D110" s="576" t="str">
        <f t="shared" si="1018"/>
        <v/>
      </c>
      <c r="E110" s="580" t="str">
        <f t="shared" ref="E110:K110" si="1019">R265</f>
        <v/>
      </c>
      <c r="F110" s="572" t="str">
        <f t="shared" si="1019"/>
        <v/>
      </c>
      <c r="G110" s="579" t="str">
        <f t="shared" si="1019"/>
        <v/>
      </c>
      <c r="H110" s="580" t="str">
        <f t="shared" si="1019"/>
        <v/>
      </c>
      <c r="I110" s="572" t="str">
        <f t="shared" si="1019"/>
        <v/>
      </c>
      <c r="J110" s="483" t="str">
        <f t="shared" si="711"/>
        <v/>
      </c>
      <c r="K110" s="806" t="str">
        <f t="shared" si="1019"/>
        <v/>
      </c>
      <c r="L110" s="309"/>
      <c r="M110" s="164" t="str">
        <f t="shared" si="902"/>
        <v/>
      </c>
      <c r="N110" s="575" t="str">
        <f t="shared" si="903"/>
        <v/>
      </c>
      <c r="O110" s="572" t="str">
        <f t="shared" si="904"/>
        <v/>
      </c>
      <c r="P110" s="576" t="str">
        <f t="shared" si="905"/>
        <v/>
      </c>
      <c r="Q110" s="528" t="str">
        <f t="shared" si="712"/>
        <v/>
      </c>
      <c r="R110" s="572" t="str">
        <f t="shared" si="987"/>
        <v/>
      </c>
      <c r="S110" s="577" t="str">
        <f t="shared" si="988"/>
        <v/>
      </c>
      <c r="T110" s="578" t="str">
        <f t="shared" si="989"/>
        <v/>
      </c>
      <c r="U110" s="572" t="str">
        <f t="shared" si="990"/>
        <v/>
      </c>
      <c r="V110" s="579" t="str">
        <f t="shared" si="991"/>
        <v/>
      </c>
      <c r="W110" s="528" t="str">
        <f t="shared" si="848"/>
        <v/>
      </c>
      <c r="X110" s="572" t="str">
        <f t="shared" si="992"/>
        <v/>
      </c>
      <c r="Y110" s="573" t="str">
        <f t="shared" si="841"/>
        <v/>
      </c>
      <c r="Z110" s="575" t="str">
        <f t="shared" si="906"/>
        <v/>
      </c>
      <c r="AA110" s="572" t="str">
        <f t="shared" si="907"/>
        <v/>
      </c>
      <c r="AB110" s="572" t="str">
        <f t="shared" si="908"/>
        <v/>
      </c>
      <c r="AC110" s="579" t="str">
        <f t="shared" si="993"/>
        <v/>
      </c>
      <c r="AD110" s="580" t="str">
        <f t="shared" si="994"/>
        <v/>
      </c>
      <c r="AE110" s="572" t="str">
        <f t="shared" si="995"/>
        <v/>
      </c>
      <c r="AF110" s="576" t="str">
        <f t="shared" si="996"/>
        <v/>
      </c>
      <c r="AG110" s="545" t="str">
        <f t="shared" si="997"/>
        <v/>
      </c>
      <c r="AH110" s="546" t="str">
        <f t="shared" si="998"/>
        <v/>
      </c>
      <c r="AI110" s="528" t="str">
        <f t="shared" si="999"/>
        <v/>
      </c>
      <c r="AJ110" s="529" t="str">
        <f t="shared" si="1000"/>
        <v/>
      </c>
      <c r="AK110" s="578" t="str">
        <f t="shared" si="1001"/>
        <v/>
      </c>
      <c r="AL110" s="572" t="str">
        <f t="shared" si="1002"/>
        <v/>
      </c>
      <c r="AM110" s="577" t="str">
        <f t="shared" si="1003"/>
        <v/>
      </c>
      <c r="AN110" s="524" t="str">
        <f t="shared" si="1004"/>
        <v/>
      </c>
      <c r="AO110" s="525" t="str">
        <f t="shared" si="590"/>
        <v/>
      </c>
      <c r="AP110" s="528" t="str">
        <f t="shared" si="1005"/>
        <v/>
      </c>
      <c r="AQ110" s="529" t="str">
        <f t="shared" si="909"/>
        <v/>
      </c>
      <c r="AS110" s="900" t="str">
        <f t="shared" si="1011"/>
        <v/>
      </c>
      <c r="AT110" s="896" t="str">
        <f t="shared" si="910"/>
        <v/>
      </c>
      <c r="AU110" s="418"/>
      <c r="AV110" s="164" t="str">
        <f t="shared" si="911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2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3"/>
        <v/>
      </c>
      <c r="BF110" s="4" t="str">
        <f t="shared" si="914"/>
        <v/>
      </c>
      <c r="BG110" s="5" t="str">
        <f t="shared" si="915"/>
        <v/>
      </c>
      <c r="BH110" s="10" t="str">
        <f t="shared" si="916"/>
        <v/>
      </c>
      <c r="BI110" s="9" t="str">
        <f t="shared" si="739"/>
        <v/>
      </c>
      <c r="BJ110" s="5" t="str">
        <f t="shared" si="917"/>
        <v/>
      </c>
      <c r="BK110" s="8" t="str">
        <f t="shared" si="918"/>
        <v/>
      </c>
      <c r="BL110" s="173" t="str">
        <f t="shared" si="919"/>
        <v/>
      </c>
      <c r="BM110" s="5" t="str">
        <f t="shared" si="920"/>
        <v/>
      </c>
      <c r="BN110" s="6" t="str">
        <f t="shared" si="921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6"/>
        <v/>
      </c>
      <c r="BT110" s="5" t="str">
        <f t="shared" si="1006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2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2"/>
        <v/>
      </c>
      <c r="DC110" s="5" t="str">
        <f t="shared" si="1012"/>
        <v/>
      </c>
      <c r="DD110" s="10" t="str">
        <f t="shared" si="764"/>
        <v/>
      </c>
      <c r="DE110" s="9" t="str">
        <f t="shared" si="1013"/>
        <v/>
      </c>
      <c r="DF110" s="5" t="str">
        <f t="shared" si="1013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3"/>
        <v/>
      </c>
      <c r="ET110" s="5" t="str">
        <f t="shared" si="924"/>
        <v/>
      </c>
      <c r="EU110" s="10" t="str">
        <f t="shared" si="925"/>
        <v/>
      </c>
      <c r="EV110" s="174" t="str">
        <f t="shared" si="926"/>
        <v/>
      </c>
      <c r="EW110" s="9" t="str">
        <f t="shared" si="927"/>
        <v/>
      </c>
      <c r="EX110" s="5" t="str">
        <f t="shared" si="928"/>
        <v/>
      </c>
      <c r="EY110" s="6" t="str">
        <f t="shared" si="804"/>
        <v/>
      </c>
      <c r="EZ110" s="51" t="str">
        <f t="shared" si="805"/>
        <v/>
      </c>
      <c r="FA110" s="173" t="str">
        <f t="shared" si="929"/>
        <v/>
      </c>
      <c r="FB110" s="5" t="str">
        <f t="shared" si="930"/>
        <v/>
      </c>
      <c r="FC110" s="6" t="str">
        <f t="shared" si="931"/>
        <v/>
      </c>
      <c r="FD110" s="4" t="str">
        <f t="shared" si="932"/>
        <v/>
      </c>
      <c r="FE110" s="5" t="str">
        <f t="shared" si="933"/>
        <v/>
      </c>
      <c r="FF110" s="7" t="str">
        <f t="shared" si="806"/>
        <v/>
      </c>
      <c r="FG110" s="173" t="str">
        <f t="shared" si="934"/>
        <v/>
      </c>
      <c r="FH110" s="5" t="str">
        <f t="shared" si="935"/>
        <v/>
      </c>
      <c r="FI110" s="10" t="str">
        <f t="shared" si="936"/>
        <v/>
      </c>
      <c r="FJ110" s="279" t="str">
        <f t="shared" si="807"/>
        <v/>
      </c>
      <c r="FK110" s="4" t="str">
        <f t="shared" si="937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8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9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40"/>
        <v/>
      </c>
      <c r="GH110" s="286" t="str">
        <f t="shared" si="941"/>
        <v/>
      </c>
      <c r="GI110" s="281" t="str">
        <f t="shared" si="942"/>
        <v/>
      </c>
      <c r="GJ110" s="167" t="str">
        <f t="shared" si="823"/>
        <v/>
      </c>
      <c r="GK110" s="174" t="str">
        <f t="shared" si="943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4"/>
        <v/>
      </c>
      <c r="GT110" s="343" t="str">
        <f t="shared" si="945"/>
        <v/>
      </c>
      <c r="GU110" s="344" t="str">
        <f t="shared" si="946"/>
        <v/>
      </c>
      <c r="GV110" s="343" t="str">
        <f t="shared" si="831"/>
        <v/>
      </c>
      <c r="GW110" s="345" t="str">
        <f t="shared" si="947"/>
        <v/>
      </c>
      <c r="GX110" s="346" t="str">
        <f t="shared" si="948"/>
        <v/>
      </c>
      <c r="GY110" s="344" t="str">
        <f t="shared" si="949"/>
        <v/>
      </c>
      <c r="GZ110" s="345" t="str">
        <f t="shared" si="950"/>
        <v/>
      </c>
      <c r="HA110" s="342" t="str">
        <f t="shared" si="951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2"/>
        <v/>
      </c>
      <c r="HF110" s="5" t="str">
        <f t="shared" si="953"/>
        <v/>
      </c>
      <c r="HG110" s="343" t="str">
        <f t="shared" si="835"/>
        <v/>
      </c>
      <c r="HH110" s="349" t="str">
        <f t="shared" si="836"/>
        <v/>
      </c>
      <c r="HI110" s="317" t="str">
        <f t="shared" si="954"/>
        <v/>
      </c>
      <c r="HK110" s="310" t="str">
        <f t="shared" si="1007"/>
        <v/>
      </c>
      <c r="HL110" s="348" t="str">
        <f t="shared" si="955"/>
        <v/>
      </c>
      <c r="HM110" s="935" t="str">
        <f t="shared" si="956"/>
        <v/>
      </c>
      <c r="HN110" s="936" t="str">
        <f t="shared" si="957"/>
        <v/>
      </c>
      <c r="HO110" s="937"/>
      <c r="HP110" s="938"/>
      <c r="HQ110" s="936" t="str">
        <f t="shared" si="958"/>
        <v/>
      </c>
      <c r="HR110" s="939" t="str">
        <f t="shared" si="959"/>
        <v/>
      </c>
      <c r="HS110" s="940" t="str">
        <f t="shared" si="1008"/>
        <v/>
      </c>
      <c r="HT110" s="941" t="str">
        <f t="shared" si="960"/>
        <v/>
      </c>
      <c r="HU110" s="942" t="str">
        <f t="shared" si="961"/>
        <v/>
      </c>
      <c r="HV110" s="943" t="str">
        <f t="shared" si="962"/>
        <v/>
      </c>
      <c r="HW110" s="944" t="str">
        <f t="shared" si="963"/>
        <v/>
      </c>
      <c r="HX110" s="947" t="str">
        <f t="shared" si="964"/>
        <v/>
      </c>
      <c r="HY110" s="952" t="str">
        <f t="shared" si="965"/>
        <v/>
      </c>
      <c r="HZ110" s="953" t="str">
        <f t="shared" si="966"/>
        <v/>
      </c>
      <c r="IA110" s="954" t="str">
        <f t="shared" si="967"/>
        <v/>
      </c>
      <c r="IB110" s="955" t="str">
        <f t="shared" si="968"/>
        <v/>
      </c>
      <c r="IC110" s="842" t="str">
        <f t="shared" si="969"/>
        <v/>
      </c>
      <c r="ID110" s="351" t="str">
        <f t="shared" si="970"/>
        <v/>
      </c>
      <c r="IE110" s="844" t="str">
        <f t="shared" si="971"/>
        <v/>
      </c>
      <c r="IF110" s="845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37"/>
        <v/>
      </c>
      <c r="IJ110" s="96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72"/>
        <v/>
      </c>
      <c r="IM110" s="482" t="str">
        <f t="shared" si="838"/>
        <v/>
      </c>
      <c r="IN110" s="670" t="str">
        <f t="shared" si="973"/>
        <v/>
      </c>
      <c r="IO110" s="702"/>
      <c r="IP110" s="5" t="str">
        <f t="shared" si="974"/>
        <v/>
      </c>
      <c r="IQ110" s="714"/>
      <c r="IR110" s="9" t="str">
        <f t="shared" si="975"/>
        <v/>
      </c>
      <c r="IS110" s="5" t="str">
        <f t="shared" si="976"/>
        <v/>
      </c>
      <c r="IT110" s="5" t="str">
        <f t="shared" si="977"/>
        <v/>
      </c>
      <c r="IU110" s="5" t="str">
        <f t="shared" si="978"/>
        <v/>
      </c>
      <c r="IV110" s="670" t="str">
        <f t="shared" si="979"/>
        <v/>
      </c>
      <c r="IW110" s="9" t="str">
        <f t="shared" si="980"/>
        <v/>
      </c>
      <c r="IX110" s="5" t="str">
        <f t="shared" si="981"/>
        <v/>
      </c>
      <c r="IY110" s="5" t="str">
        <f t="shared" si="982"/>
        <v/>
      </c>
      <c r="IZ110" s="5" t="str">
        <f t="shared" si="983"/>
        <v/>
      </c>
      <c r="JA110" s="705" t="str">
        <f t="shared" si="984"/>
        <v/>
      </c>
    </row>
    <row r="111" spans="1:261" ht="15" customHeight="1" x14ac:dyDescent="0.25">
      <c r="A111" s="75" t="str">
        <f t="shared" si="899"/>
        <v/>
      </c>
      <c r="B111" s="578" t="str">
        <f t="shared" ref="B111:D111" si="1020">IFERROR(O266+($A111*-E111),"")</f>
        <v/>
      </c>
      <c r="C111" s="572" t="str">
        <f t="shared" si="1020"/>
        <v/>
      </c>
      <c r="D111" s="576" t="str">
        <f t="shared" si="1020"/>
        <v/>
      </c>
      <c r="E111" s="580" t="str">
        <f t="shared" ref="E111:K111" si="1021">R266</f>
        <v/>
      </c>
      <c r="F111" s="572" t="str">
        <f t="shared" si="1021"/>
        <v/>
      </c>
      <c r="G111" s="579" t="str">
        <f t="shared" si="1021"/>
        <v/>
      </c>
      <c r="H111" s="580" t="str">
        <f t="shared" si="1021"/>
        <v/>
      </c>
      <c r="I111" s="572" t="str">
        <f t="shared" si="1021"/>
        <v/>
      </c>
      <c r="J111" s="483" t="str">
        <f t="shared" si="711"/>
        <v/>
      </c>
      <c r="K111" s="806" t="str">
        <f t="shared" si="1021"/>
        <v/>
      </c>
      <c r="L111" s="309"/>
      <c r="M111" s="164" t="str">
        <f t="shared" si="902"/>
        <v/>
      </c>
      <c r="N111" s="575" t="str">
        <f t="shared" si="903"/>
        <v/>
      </c>
      <c r="O111" s="572" t="str">
        <f t="shared" si="904"/>
        <v/>
      </c>
      <c r="P111" s="576" t="str">
        <f t="shared" si="905"/>
        <v/>
      </c>
      <c r="Q111" s="528" t="str">
        <f t="shared" si="712"/>
        <v/>
      </c>
      <c r="R111" s="572" t="str">
        <f t="shared" si="987"/>
        <v/>
      </c>
      <c r="S111" s="577" t="str">
        <f t="shared" si="988"/>
        <v/>
      </c>
      <c r="T111" s="578" t="str">
        <f t="shared" si="989"/>
        <v/>
      </c>
      <c r="U111" s="572" t="str">
        <f t="shared" si="990"/>
        <v/>
      </c>
      <c r="V111" s="579" t="str">
        <f t="shared" si="991"/>
        <v/>
      </c>
      <c r="W111" s="528" t="str">
        <f t="shared" si="848"/>
        <v/>
      </c>
      <c r="X111" s="572" t="str">
        <f t="shared" si="992"/>
        <v/>
      </c>
      <c r="Y111" s="573" t="str">
        <f t="shared" si="841"/>
        <v/>
      </c>
      <c r="Z111" s="575" t="str">
        <f t="shared" si="906"/>
        <v/>
      </c>
      <c r="AA111" s="572" t="str">
        <f t="shared" si="907"/>
        <v/>
      </c>
      <c r="AB111" s="572" t="str">
        <f t="shared" si="908"/>
        <v/>
      </c>
      <c r="AC111" s="579" t="str">
        <f t="shared" si="993"/>
        <v/>
      </c>
      <c r="AD111" s="580" t="str">
        <f t="shared" si="994"/>
        <v/>
      </c>
      <c r="AE111" s="572" t="str">
        <f t="shared" si="995"/>
        <v/>
      </c>
      <c r="AF111" s="576" t="str">
        <f t="shared" si="996"/>
        <v/>
      </c>
      <c r="AG111" s="545" t="str">
        <f t="shared" si="997"/>
        <v/>
      </c>
      <c r="AH111" s="546" t="str">
        <f t="shared" si="998"/>
        <v/>
      </c>
      <c r="AI111" s="528" t="str">
        <f t="shared" si="999"/>
        <v/>
      </c>
      <c r="AJ111" s="529" t="str">
        <f t="shared" si="1000"/>
        <v/>
      </c>
      <c r="AK111" s="578" t="str">
        <f t="shared" si="1001"/>
        <v/>
      </c>
      <c r="AL111" s="572" t="str">
        <f t="shared" si="1002"/>
        <v/>
      </c>
      <c r="AM111" s="577" t="str">
        <f t="shared" si="1003"/>
        <v/>
      </c>
      <c r="AN111" s="524" t="str">
        <f t="shared" si="1004"/>
        <v/>
      </c>
      <c r="AO111" s="525" t="str">
        <f t="shared" si="590"/>
        <v/>
      </c>
      <c r="AP111" s="528" t="str">
        <f t="shared" si="1005"/>
        <v/>
      </c>
      <c r="AQ111" s="529" t="str">
        <f t="shared" si="909"/>
        <v/>
      </c>
      <c r="AS111" s="900" t="str">
        <f t="shared" si="1011"/>
        <v/>
      </c>
      <c r="AT111" s="896" t="str">
        <f t="shared" si="910"/>
        <v/>
      </c>
      <c r="AU111" s="418"/>
      <c r="AV111" s="164" t="str">
        <f t="shared" si="911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2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3"/>
        <v/>
      </c>
      <c r="BF111" s="4" t="str">
        <f t="shared" si="914"/>
        <v/>
      </c>
      <c r="BG111" s="5" t="str">
        <f t="shared" si="915"/>
        <v/>
      </c>
      <c r="BH111" s="10" t="str">
        <f t="shared" si="916"/>
        <v/>
      </c>
      <c r="BI111" s="9" t="str">
        <f t="shared" si="739"/>
        <v/>
      </c>
      <c r="BJ111" s="5" t="str">
        <f t="shared" si="917"/>
        <v/>
      </c>
      <c r="BK111" s="8" t="str">
        <f t="shared" si="918"/>
        <v/>
      </c>
      <c r="BL111" s="173" t="str">
        <f t="shared" si="919"/>
        <v/>
      </c>
      <c r="BM111" s="5" t="str">
        <f t="shared" si="920"/>
        <v/>
      </c>
      <c r="BN111" s="6" t="str">
        <f t="shared" si="921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6"/>
        <v/>
      </c>
      <c r="BT111" s="5" t="str">
        <f t="shared" si="1006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2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2"/>
        <v/>
      </c>
      <c r="DC111" s="5" t="str">
        <f t="shared" si="1012"/>
        <v/>
      </c>
      <c r="DD111" s="10" t="str">
        <f t="shared" si="764"/>
        <v/>
      </c>
      <c r="DE111" s="9" t="str">
        <f t="shared" si="1013"/>
        <v/>
      </c>
      <c r="DF111" s="5" t="str">
        <f t="shared" si="1013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3"/>
        <v/>
      </c>
      <c r="ET111" s="5" t="str">
        <f t="shared" si="924"/>
        <v/>
      </c>
      <c r="EU111" s="10" t="str">
        <f t="shared" si="925"/>
        <v/>
      </c>
      <c r="EV111" s="174" t="str">
        <f t="shared" si="926"/>
        <v/>
      </c>
      <c r="EW111" s="9" t="str">
        <f t="shared" si="927"/>
        <v/>
      </c>
      <c r="EX111" s="5" t="str">
        <f t="shared" si="928"/>
        <v/>
      </c>
      <c r="EY111" s="6" t="str">
        <f t="shared" si="804"/>
        <v/>
      </c>
      <c r="EZ111" s="51" t="str">
        <f t="shared" si="805"/>
        <v/>
      </c>
      <c r="FA111" s="173" t="str">
        <f t="shared" si="929"/>
        <v/>
      </c>
      <c r="FB111" s="5" t="str">
        <f t="shared" si="930"/>
        <v/>
      </c>
      <c r="FC111" s="6" t="str">
        <f t="shared" si="931"/>
        <v/>
      </c>
      <c r="FD111" s="4" t="str">
        <f t="shared" si="932"/>
        <v/>
      </c>
      <c r="FE111" s="5" t="str">
        <f t="shared" si="933"/>
        <v/>
      </c>
      <c r="FF111" s="7" t="str">
        <f t="shared" si="806"/>
        <v/>
      </c>
      <c r="FG111" s="173" t="str">
        <f t="shared" si="934"/>
        <v/>
      </c>
      <c r="FH111" s="5" t="str">
        <f t="shared" si="935"/>
        <v/>
      </c>
      <c r="FI111" s="10" t="str">
        <f t="shared" si="936"/>
        <v/>
      </c>
      <c r="FJ111" s="279" t="str">
        <f t="shared" si="807"/>
        <v/>
      </c>
      <c r="FK111" s="4" t="str">
        <f t="shared" si="937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8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9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40"/>
        <v/>
      </c>
      <c r="GH111" s="286" t="str">
        <f t="shared" si="941"/>
        <v/>
      </c>
      <c r="GI111" s="281" t="str">
        <f t="shared" si="942"/>
        <v/>
      </c>
      <c r="GJ111" s="167" t="str">
        <f t="shared" si="823"/>
        <v/>
      </c>
      <c r="GK111" s="174" t="str">
        <f t="shared" si="943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4"/>
        <v/>
      </c>
      <c r="GT111" s="343" t="str">
        <f t="shared" si="945"/>
        <v/>
      </c>
      <c r="GU111" s="344" t="str">
        <f t="shared" si="946"/>
        <v/>
      </c>
      <c r="GV111" s="343" t="str">
        <f t="shared" si="831"/>
        <v/>
      </c>
      <c r="GW111" s="345" t="str">
        <f t="shared" si="947"/>
        <v/>
      </c>
      <c r="GX111" s="346" t="str">
        <f t="shared" si="948"/>
        <v/>
      </c>
      <c r="GY111" s="344" t="str">
        <f t="shared" si="949"/>
        <v/>
      </c>
      <c r="GZ111" s="345" t="str">
        <f t="shared" si="950"/>
        <v/>
      </c>
      <c r="HA111" s="342" t="str">
        <f t="shared" si="951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2"/>
        <v/>
      </c>
      <c r="HF111" s="5" t="str">
        <f t="shared" si="953"/>
        <v/>
      </c>
      <c r="HG111" s="343" t="str">
        <f t="shared" si="835"/>
        <v/>
      </c>
      <c r="HH111" s="349" t="str">
        <f t="shared" si="836"/>
        <v/>
      </c>
      <c r="HI111" s="317" t="str">
        <f t="shared" si="954"/>
        <v/>
      </c>
      <c r="HK111" s="310" t="str">
        <f t="shared" si="1007"/>
        <v/>
      </c>
      <c r="HL111" s="348" t="str">
        <f t="shared" si="955"/>
        <v/>
      </c>
      <c r="HM111" s="935" t="str">
        <f t="shared" si="956"/>
        <v/>
      </c>
      <c r="HN111" s="936" t="str">
        <f t="shared" si="957"/>
        <v/>
      </c>
      <c r="HO111" s="937"/>
      <c r="HP111" s="938"/>
      <c r="HQ111" s="936" t="str">
        <f t="shared" si="958"/>
        <v/>
      </c>
      <c r="HR111" s="939" t="str">
        <f t="shared" si="959"/>
        <v/>
      </c>
      <c r="HS111" s="940" t="str">
        <f t="shared" si="1008"/>
        <v/>
      </c>
      <c r="HT111" s="941" t="str">
        <f t="shared" si="960"/>
        <v/>
      </c>
      <c r="HU111" s="942" t="str">
        <f t="shared" si="961"/>
        <v/>
      </c>
      <c r="HV111" s="943" t="str">
        <f t="shared" si="962"/>
        <v/>
      </c>
      <c r="HW111" s="944" t="str">
        <f t="shared" si="963"/>
        <v/>
      </c>
      <c r="HX111" s="947" t="str">
        <f t="shared" si="964"/>
        <v/>
      </c>
      <c r="HY111" s="952" t="str">
        <f t="shared" si="965"/>
        <v/>
      </c>
      <c r="HZ111" s="953" t="str">
        <f t="shared" si="966"/>
        <v/>
      </c>
      <c r="IA111" s="954" t="str">
        <f t="shared" si="967"/>
        <v/>
      </c>
      <c r="IB111" s="955" t="str">
        <f t="shared" si="968"/>
        <v/>
      </c>
      <c r="IC111" s="842" t="str">
        <f t="shared" si="969"/>
        <v/>
      </c>
      <c r="ID111" s="351" t="str">
        <f t="shared" si="970"/>
        <v/>
      </c>
      <c r="IE111" s="844" t="str">
        <f t="shared" si="971"/>
        <v/>
      </c>
      <c r="IF111" s="845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37"/>
        <v/>
      </c>
      <c r="IJ111" s="96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72"/>
        <v/>
      </c>
      <c r="IM111" s="482" t="str">
        <f t="shared" si="838"/>
        <v/>
      </c>
      <c r="IN111" s="670" t="str">
        <f t="shared" si="973"/>
        <v/>
      </c>
      <c r="IO111" s="702"/>
      <c r="IP111" s="5" t="str">
        <f t="shared" si="974"/>
        <v/>
      </c>
      <c r="IQ111" s="714"/>
      <c r="IR111" s="9" t="str">
        <f t="shared" si="975"/>
        <v/>
      </c>
      <c r="IS111" s="5" t="str">
        <f t="shared" si="976"/>
        <v/>
      </c>
      <c r="IT111" s="5" t="str">
        <f t="shared" si="977"/>
        <v/>
      </c>
      <c r="IU111" s="5" t="str">
        <f t="shared" si="978"/>
        <v/>
      </c>
      <c r="IV111" s="670" t="str">
        <f t="shared" si="979"/>
        <v/>
      </c>
      <c r="IW111" s="9" t="str">
        <f t="shared" si="980"/>
        <v/>
      </c>
      <c r="IX111" s="5" t="str">
        <f t="shared" si="981"/>
        <v/>
      </c>
      <c r="IY111" s="5" t="str">
        <f t="shared" si="982"/>
        <v/>
      </c>
      <c r="IZ111" s="5" t="str">
        <f t="shared" si="983"/>
        <v/>
      </c>
      <c r="JA111" s="705" t="str">
        <f t="shared" si="984"/>
        <v/>
      </c>
    </row>
    <row r="112" spans="1:261" ht="15" customHeight="1" x14ac:dyDescent="0.25">
      <c r="A112" s="75" t="str">
        <f t="shared" si="899"/>
        <v/>
      </c>
      <c r="B112" s="578" t="str">
        <f t="shared" ref="B112:D112" si="1022">IFERROR(O267+($A112*-E112),"")</f>
        <v/>
      </c>
      <c r="C112" s="572" t="str">
        <f t="shared" si="1022"/>
        <v/>
      </c>
      <c r="D112" s="576" t="str">
        <f t="shared" si="1022"/>
        <v/>
      </c>
      <c r="E112" s="580" t="str">
        <f t="shared" ref="E112:K112" si="1023">R267</f>
        <v/>
      </c>
      <c r="F112" s="572" t="str">
        <f t="shared" si="1023"/>
        <v/>
      </c>
      <c r="G112" s="579" t="str">
        <f t="shared" si="1023"/>
        <v/>
      </c>
      <c r="H112" s="580" t="str">
        <f t="shared" si="1023"/>
        <v/>
      </c>
      <c r="I112" s="572" t="str">
        <f t="shared" si="1023"/>
        <v/>
      </c>
      <c r="J112" s="483" t="str">
        <f t="shared" si="711"/>
        <v/>
      </c>
      <c r="K112" s="806" t="str">
        <f t="shared" si="1023"/>
        <v/>
      </c>
      <c r="L112" s="309"/>
      <c r="M112" s="164" t="str">
        <f t="shared" si="902"/>
        <v/>
      </c>
      <c r="N112" s="575" t="str">
        <f t="shared" si="903"/>
        <v/>
      </c>
      <c r="O112" s="572" t="str">
        <f t="shared" si="904"/>
        <v/>
      </c>
      <c r="P112" s="576" t="str">
        <f t="shared" si="905"/>
        <v/>
      </c>
      <c r="Q112" s="528" t="str">
        <f t="shared" si="712"/>
        <v/>
      </c>
      <c r="R112" s="572" t="str">
        <f t="shared" si="987"/>
        <v/>
      </c>
      <c r="S112" s="577" t="str">
        <f t="shared" si="988"/>
        <v/>
      </c>
      <c r="T112" s="578" t="str">
        <f t="shared" si="989"/>
        <v/>
      </c>
      <c r="U112" s="572" t="str">
        <f t="shared" si="990"/>
        <v/>
      </c>
      <c r="V112" s="579" t="str">
        <f t="shared" si="991"/>
        <v/>
      </c>
      <c r="W112" s="528" t="str">
        <f t="shared" si="848"/>
        <v/>
      </c>
      <c r="X112" s="572" t="str">
        <f t="shared" si="992"/>
        <v/>
      </c>
      <c r="Y112" s="573" t="str">
        <f t="shared" si="841"/>
        <v/>
      </c>
      <c r="Z112" s="575" t="str">
        <f t="shared" si="906"/>
        <v/>
      </c>
      <c r="AA112" s="572" t="str">
        <f t="shared" si="907"/>
        <v/>
      </c>
      <c r="AB112" s="572" t="str">
        <f t="shared" si="908"/>
        <v/>
      </c>
      <c r="AC112" s="579" t="str">
        <f t="shared" si="993"/>
        <v/>
      </c>
      <c r="AD112" s="580" t="str">
        <f t="shared" si="994"/>
        <v/>
      </c>
      <c r="AE112" s="572" t="str">
        <f t="shared" si="995"/>
        <v/>
      </c>
      <c r="AF112" s="576" t="str">
        <f t="shared" si="996"/>
        <v/>
      </c>
      <c r="AG112" s="545" t="str">
        <f t="shared" si="997"/>
        <v/>
      </c>
      <c r="AH112" s="546" t="str">
        <f t="shared" si="998"/>
        <v/>
      </c>
      <c r="AI112" s="528" t="str">
        <f t="shared" si="999"/>
        <v/>
      </c>
      <c r="AJ112" s="529" t="str">
        <f t="shared" si="1000"/>
        <v/>
      </c>
      <c r="AK112" s="578" t="str">
        <f t="shared" si="1001"/>
        <v/>
      </c>
      <c r="AL112" s="572" t="str">
        <f t="shared" si="1002"/>
        <v/>
      </c>
      <c r="AM112" s="577" t="str">
        <f t="shared" si="1003"/>
        <v/>
      </c>
      <c r="AN112" s="524" t="str">
        <f t="shared" si="1004"/>
        <v/>
      </c>
      <c r="AO112" s="525" t="str">
        <f t="shared" si="590"/>
        <v/>
      </c>
      <c r="AP112" s="528" t="str">
        <f t="shared" si="1005"/>
        <v/>
      </c>
      <c r="AQ112" s="529" t="str">
        <f t="shared" si="909"/>
        <v/>
      </c>
      <c r="AS112" s="900" t="str">
        <f t="shared" si="1011"/>
        <v/>
      </c>
      <c r="AT112" s="896" t="str">
        <f t="shared" si="910"/>
        <v/>
      </c>
      <c r="AU112" s="418"/>
      <c r="AV112" s="164" t="str">
        <f t="shared" si="911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2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3"/>
        <v/>
      </c>
      <c r="BF112" s="4" t="str">
        <f t="shared" si="914"/>
        <v/>
      </c>
      <c r="BG112" s="5" t="str">
        <f t="shared" si="915"/>
        <v/>
      </c>
      <c r="BH112" s="10" t="str">
        <f t="shared" si="916"/>
        <v/>
      </c>
      <c r="BI112" s="9" t="str">
        <f t="shared" si="739"/>
        <v/>
      </c>
      <c r="BJ112" s="5" t="str">
        <f t="shared" si="917"/>
        <v/>
      </c>
      <c r="BK112" s="8" t="str">
        <f t="shared" si="918"/>
        <v/>
      </c>
      <c r="BL112" s="173" t="str">
        <f t="shared" si="919"/>
        <v/>
      </c>
      <c r="BM112" s="5" t="str">
        <f t="shared" si="920"/>
        <v/>
      </c>
      <c r="BN112" s="6" t="str">
        <f t="shared" si="921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6"/>
        <v/>
      </c>
      <c r="BT112" s="5" t="str">
        <f t="shared" si="1006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2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2"/>
        <v/>
      </c>
      <c r="DC112" s="5" t="str">
        <f t="shared" si="1012"/>
        <v/>
      </c>
      <c r="DD112" s="10" t="str">
        <f t="shared" si="764"/>
        <v/>
      </c>
      <c r="DE112" s="9" t="str">
        <f t="shared" si="1013"/>
        <v/>
      </c>
      <c r="DF112" s="5" t="str">
        <f t="shared" si="1013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3"/>
        <v/>
      </c>
      <c r="ET112" s="5" t="str">
        <f t="shared" si="924"/>
        <v/>
      </c>
      <c r="EU112" s="10" t="str">
        <f t="shared" si="925"/>
        <v/>
      </c>
      <c r="EV112" s="174" t="str">
        <f t="shared" si="926"/>
        <v/>
      </c>
      <c r="EW112" s="9" t="str">
        <f t="shared" si="927"/>
        <v/>
      </c>
      <c r="EX112" s="5" t="str">
        <f t="shared" si="928"/>
        <v/>
      </c>
      <c r="EY112" s="6" t="str">
        <f t="shared" si="804"/>
        <v/>
      </c>
      <c r="EZ112" s="51" t="str">
        <f t="shared" si="805"/>
        <v/>
      </c>
      <c r="FA112" s="173" t="str">
        <f t="shared" si="929"/>
        <v/>
      </c>
      <c r="FB112" s="5" t="str">
        <f t="shared" si="930"/>
        <v/>
      </c>
      <c r="FC112" s="6" t="str">
        <f t="shared" si="931"/>
        <v/>
      </c>
      <c r="FD112" s="4" t="str">
        <f t="shared" si="932"/>
        <v/>
      </c>
      <c r="FE112" s="5" t="str">
        <f t="shared" si="933"/>
        <v/>
      </c>
      <c r="FF112" s="7" t="str">
        <f t="shared" si="806"/>
        <v/>
      </c>
      <c r="FG112" s="173" t="str">
        <f t="shared" si="934"/>
        <v/>
      </c>
      <c r="FH112" s="5" t="str">
        <f t="shared" si="935"/>
        <v/>
      </c>
      <c r="FI112" s="10" t="str">
        <f t="shared" si="936"/>
        <v/>
      </c>
      <c r="FJ112" s="279" t="str">
        <f t="shared" si="807"/>
        <v/>
      </c>
      <c r="FK112" s="4" t="str">
        <f t="shared" si="937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8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9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40"/>
        <v/>
      </c>
      <c r="GH112" s="286" t="str">
        <f t="shared" si="941"/>
        <v/>
      </c>
      <c r="GI112" s="281" t="str">
        <f t="shared" si="942"/>
        <v/>
      </c>
      <c r="GJ112" s="167" t="str">
        <f t="shared" si="823"/>
        <v/>
      </c>
      <c r="GK112" s="174" t="str">
        <f t="shared" si="943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4"/>
        <v/>
      </c>
      <c r="GT112" s="343" t="str">
        <f t="shared" si="945"/>
        <v/>
      </c>
      <c r="GU112" s="344" t="str">
        <f t="shared" si="946"/>
        <v/>
      </c>
      <c r="GV112" s="343" t="str">
        <f t="shared" si="831"/>
        <v/>
      </c>
      <c r="GW112" s="345" t="str">
        <f t="shared" si="947"/>
        <v/>
      </c>
      <c r="GX112" s="346" t="str">
        <f t="shared" si="948"/>
        <v/>
      </c>
      <c r="GY112" s="344" t="str">
        <f t="shared" si="949"/>
        <v/>
      </c>
      <c r="GZ112" s="345" t="str">
        <f t="shared" si="950"/>
        <v/>
      </c>
      <c r="HA112" s="342" t="str">
        <f t="shared" si="951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2"/>
        <v/>
      </c>
      <c r="HF112" s="5" t="str">
        <f t="shared" si="953"/>
        <v/>
      </c>
      <c r="HG112" s="343" t="str">
        <f t="shared" si="835"/>
        <v/>
      </c>
      <c r="HH112" s="349" t="str">
        <f t="shared" si="836"/>
        <v/>
      </c>
      <c r="HI112" s="317" t="str">
        <f t="shared" si="954"/>
        <v/>
      </c>
      <c r="HK112" s="310" t="str">
        <f t="shared" si="1007"/>
        <v/>
      </c>
      <c r="HL112" s="348" t="str">
        <f t="shared" si="955"/>
        <v/>
      </c>
      <c r="HM112" s="935" t="str">
        <f t="shared" si="956"/>
        <v/>
      </c>
      <c r="HN112" s="936" t="str">
        <f t="shared" si="957"/>
        <v/>
      </c>
      <c r="HO112" s="937"/>
      <c r="HP112" s="938"/>
      <c r="HQ112" s="936" t="str">
        <f t="shared" si="958"/>
        <v/>
      </c>
      <c r="HR112" s="939" t="str">
        <f t="shared" si="959"/>
        <v/>
      </c>
      <c r="HS112" s="940" t="str">
        <f t="shared" si="1008"/>
        <v/>
      </c>
      <c r="HT112" s="941" t="str">
        <f t="shared" si="960"/>
        <v/>
      </c>
      <c r="HU112" s="942" t="str">
        <f t="shared" si="961"/>
        <v/>
      </c>
      <c r="HV112" s="943" t="str">
        <f t="shared" si="962"/>
        <v/>
      </c>
      <c r="HW112" s="944" t="str">
        <f t="shared" si="963"/>
        <v/>
      </c>
      <c r="HX112" s="947" t="str">
        <f t="shared" si="964"/>
        <v/>
      </c>
      <c r="HY112" s="952" t="str">
        <f t="shared" si="965"/>
        <v/>
      </c>
      <c r="HZ112" s="953" t="str">
        <f t="shared" si="966"/>
        <v/>
      </c>
      <c r="IA112" s="954" t="str">
        <f t="shared" si="967"/>
        <v/>
      </c>
      <c r="IB112" s="955" t="str">
        <f t="shared" si="968"/>
        <v/>
      </c>
      <c r="IC112" s="842" t="str">
        <f t="shared" si="969"/>
        <v/>
      </c>
      <c r="ID112" s="351" t="str">
        <f t="shared" si="970"/>
        <v/>
      </c>
      <c r="IE112" s="844" t="str">
        <f t="shared" si="971"/>
        <v/>
      </c>
      <c r="IF112" s="845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37"/>
        <v/>
      </c>
      <c r="IJ112" s="96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72"/>
        <v/>
      </c>
      <c r="IM112" s="482" t="str">
        <f t="shared" si="838"/>
        <v/>
      </c>
      <c r="IN112" s="670" t="str">
        <f t="shared" si="973"/>
        <v/>
      </c>
      <c r="IO112" s="702"/>
      <c r="IP112" s="5" t="str">
        <f t="shared" si="974"/>
        <v/>
      </c>
      <c r="IQ112" s="714"/>
      <c r="IR112" s="9" t="str">
        <f t="shared" si="975"/>
        <v/>
      </c>
      <c r="IS112" s="5" t="str">
        <f t="shared" si="976"/>
        <v/>
      </c>
      <c r="IT112" s="5" t="str">
        <f t="shared" si="977"/>
        <v/>
      </c>
      <c r="IU112" s="5" t="str">
        <f t="shared" si="978"/>
        <v/>
      </c>
      <c r="IV112" s="670" t="str">
        <f t="shared" si="979"/>
        <v/>
      </c>
      <c r="IW112" s="9" t="str">
        <f t="shared" si="980"/>
        <v/>
      </c>
      <c r="IX112" s="5" t="str">
        <f t="shared" si="981"/>
        <v/>
      </c>
      <c r="IY112" s="5" t="str">
        <f t="shared" si="982"/>
        <v/>
      </c>
      <c r="IZ112" s="5" t="str">
        <f t="shared" si="983"/>
        <v/>
      </c>
      <c r="JA112" s="705" t="str">
        <f t="shared" si="984"/>
        <v/>
      </c>
    </row>
    <row r="113" spans="1:261" ht="15" customHeight="1" x14ac:dyDescent="0.25">
      <c r="A113" s="75" t="str">
        <f t="shared" si="899"/>
        <v/>
      </c>
      <c r="B113" s="578" t="str">
        <f t="shared" ref="B113:D113" si="1024">IFERROR(O268+($A113*-E113),"")</f>
        <v/>
      </c>
      <c r="C113" s="572" t="str">
        <f t="shared" si="1024"/>
        <v/>
      </c>
      <c r="D113" s="576" t="str">
        <f t="shared" si="1024"/>
        <v/>
      </c>
      <c r="E113" s="580" t="str">
        <f t="shared" ref="E113:K113" si="1025">R268</f>
        <v/>
      </c>
      <c r="F113" s="572" t="str">
        <f t="shared" si="1025"/>
        <v/>
      </c>
      <c r="G113" s="579" t="str">
        <f t="shared" si="1025"/>
        <v/>
      </c>
      <c r="H113" s="580" t="str">
        <f t="shared" si="1025"/>
        <v/>
      </c>
      <c r="I113" s="572" t="str">
        <f t="shared" si="1025"/>
        <v/>
      </c>
      <c r="J113" s="483" t="str">
        <f t="shared" si="711"/>
        <v/>
      </c>
      <c r="K113" s="806" t="str">
        <f t="shared" si="1025"/>
        <v/>
      </c>
      <c r="L113" s="309"/>
      <c r="M113" s="164" t="str">
        <f t="shared" si="902"/>
        <v/>
      </c>
      <c r="N113" s="575" t="str">
        <f t="shared" si="903"/>
        <v/>
      </c>
      <c r="O113" s="572" t="str">
        <f t="shared" si="904"/>
        <v/>
      </c>
      <c r="P113" s="576" t="str">
        <f t="shared" si="905"/>
        <v/>
      </c>
      <c r="Q113" s="528" t="str">
        <f t="shared" si="712"/>
        <v/>
      </c>
      <c r="R113" s="572" t="str">
        <f t="shared" si="987"/>
        <v/>
      </c>
      <c r="S113" s="577" t="str">
        <f t="shared" si="988"/>
        <v/>
      </c>
      <c r="T113" s="578" t="str">
        <f t="shared" si="989"/>
        <v/>
      </c>
      <c r="U113" s="572" t="str">
        <f t="shared" si="990"/>
        <v/>
      </c>
      <c r="V113" s="579" t="str">
        <f t="shared" si="991"/>
        <v/>
      </c>
      <c r="W113" s="528" t="str">
        <f t="shared" si="848"/>
        <v/>
      </c>
      <c r="X113" s="572" t="str">
        <f t="shared" si="992"/>
        <v/>
      </c>
      <c r="Y113" s="573" t="str">
        <f t="shared" si="841"/>
        <v/>
      </c>
      <c r="Z113" s="575" t="str">
        <f t="shared" si="906"/>
        <v/>
      </c>
      <c r="AA113" s="572" t="str">
        <f t="shared" si="907"/>
        <v/>
      </c>
      <c r="AB113" s="572" t="str">
        <f t="shared" si="908"/>
        <v/>
      </c>
      <c r="AC113" s="579" t="str">
        <f t="shared" si="993"/>
        <v/>
      </c>
      <c r="AD113" s="580" t="str">
        <f t="shared" si="994"/>
        <v/>
      </c>
      <c r="AE113" s="572" t="str">
        <f t="shared" si="995"/>
        <v/>
      </c>
      <c r="AF113" s="576" t="str">
        <f t="shared" si="996"/>
        <v/>
      </c>
      <c r="AG113" s="545" t="str">
        <f t="shared" si="997"/>
        <v/>
      </c>
      <c r="AH113" s="546" t="str">
        <f t="shared" si="998"/>
        <v/>
      </c>
      <c r="AI113" s="528" t="str">
        <f t="shared" si="999"/>
        <v/>
      </c>
      <c r="AJ113" s="529" t="str">
        <f t="shared" si="1000"/>
        <v/>
      </c>
      <c r="AK113" s="578" t="str">
        <f t="shared" si="1001"/>
        <v/>
      </c>
      <c r="AL113" s="572" t="str">
        <f t="shared" si="1002"/>
        <v/>
      </c>
      <c r="AM113" s="577" t="str">
        <f t="shared" si="1003"/>
        <v/>
      </c>
      <c r="AN113" s="524" t="str">
        <f t="shared" si="1004"/>
        <v/>
      </c>
      <c r="AO113" s="525" t="str">
        <f t="shared" si="590"/>
        <v/>
      </c>
      <c r="AP113" s="528" t="str">
        <f t="shared" si="1005"/>
        <v/>
      </c>
      <c r="AQ113" s="529" t="str">
        <f t="shared" si="909"/>
        <v/>
      </c>
      <c r="AS113" s="900" t="str">
        <f t="shared" si="1011"/>
        <v/>
      </c>
      <c r="AT113" s="896" t="str">
        <f t="shared" si="910"/>
        <v/>
      </c>
      <c r="AU113" s="418"/>
      <c r="AV113" s="164" t="str">
        <f t="shared" si="911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2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3"/>
        <v/>
      </c>
      <c r="BF113" s="4" t="str">
        <f t="shared" si="914"/>
        <v/>
      </c>
      <c r="BG113" s="5" t="str">
        <f t="shared" si="915"/>
        <v/>
      </c>
      <c r="BH113" s="10" t="str">
        <f t="shared" si="916"/>
        <v/>
      </c>
      <c r="BI113" s="9" t="str">
        <f t="shared" si="739"/>
        <v/>
      </c>
      <c r="BJ113" s="5" t="str">
        <f t="shared" si="917"/>
        <v/>
      </c>
      <c r="BK113" s="8" t="str">
        <f t="shared" si="918"/>
        <v/>
      </c>
      <c r="BL113" s="173" t="str">
        <f t="shared" si="919"/>
        <v/>
      </c>
      <c r="BM113" s="5" t="str">
        <f t="shared" si="920"/>
        <v/>
      </c>
      <c r="BN113" s="6" t="str">
        <f t="shared" si="921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6"/>
        <v/>
      </c>
      <c r="BT113" s="5" t="str">
        <f t="shared" si="1006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2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2"/>
        <v/>
      </c>
      <c r="DC113" s="5" t="str">
        <f t="shared" si="1012"/>
        <v/>
      </c>
      <c r="DD113" s="10" t="str">
        <f t="shared" si="764"/>
        <v/>
      </c>
      <c r="DE113" s="9" t="str">
        <f t="shared" si="1013"/>
        <v/>
      </c>
      <c r="DF113" s="5" t="str">
        <f t="shared" si="1013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3"/>
        <v/>
      </c>
      <c r="ET113" s="5" t="str">
        <f t="shared" si="924"/>
        <v/>
      </c>
      <c r="EU113" s="10" t="str">
        <f t="shared" si="925"/>
        <v/>
      </c>
      <c r="EV113" s="174" t="str">
        <f t="shared" si="926"/>
        <v/>
      </c>
      <c r="EW113" s="9" t="str">
        <f t="shared" si="927"/>
        <v/>
      </c>
      <c r="EX113" s="5" t="str">
        <f t="shared" si="928"/>
        <v/>
      </c>
      <c r="EY113" s="6" t="str">
        <f t="shared" si="804"/>
        <v/>
      </c>
      <c r="EZ113" s="51" t="str">
        <f t="shared" si="805"/>
        <v/>
      </c>
      <c r="FA113" s="173" t="str">
        <f t="shared" si="929"/>
        <v/>
      </c>
      <c r="FB113" s="5" t="str">
        <f t="shared" si="930"/>
        <v/>
      </c>
      <c r="FC113" s="6" t="str">
        <f t="shared" si="931"/>
        <v/>
      </c>
      <c r="FD113" s="4" t="str">
        <f t="shared" si="932"/>
        <v/>
      </c>
      <c r="FE113" s="5" t="str">
        <f t="shared" si="933"/>
        <v/>
      </c>
      <c r="FF113" s="7" t="str">
        <f t="shared" si="806"/>
        <v/>
      </c>
      <c r="FG113" s="173" t="str">
        <f t="shared" si="934"/>
        <v/>
      </c>
      <c r="FH113" s="5" t="str">
        <f t="shared" si="935"/>
        <v/>
      </c>
      <c r="FI113" s="10" t="str">
        <f t="shared" si="936"/>
        <v/>
      </c>
      <c r="FJ113" s="279" t="str">
        <f t="shared" si="807"/>
        <v/>
      </c>
      <c r="FK113" s="4" t="str">
        <f t="shared" si="937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8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9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40"/>
        <v/>
      </c>
      <c r="GH113" s="286" t="str">
        <f t="shared" si="941"/>
        <v/>
      </c>
      <c r="GI113" s="281" t="str">
        <f t="shared" si="942"/>
        <v/>
      </c>
      <c r="GJ113" s="167" t="str">
        <f t="shared" si="823"/>
        <v/>
      </c>
      <c r="GK113" s="174" t="str">
        <f t="shared" si="943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4"/>
        <v/>
      </c>
      <c r="GT113" s="343" t="str">
        <f t="shared" si="945"/>
        <v/>
      </c>
      <c r="GU113" s="344" t="str">
        <f t="shared" si="946"/>
        <v/>
      </c>
      <c r="GV113" s="343" t="str">
        <f t="shared" si="831"/>
        <v/>
      </c>
      <c r="GW113" s="345" t="str">
        <f t="shared" si="947"/>
        <v/>
      </c>
      <c r="GX113" s="346" t="str">
        <f t="shared" si="948"/>
        <v/>
      </c>
      <c r="GY113" s="344" t="str">
        <f t="shared" si="949"/>
        <v/>
      </c>
      <c r="GZ113" s="345" t="str">
        <f t="shared" si="950"/>
        <v/>
      </c>
      <c r="HA113" s="342" t="str">
        <f t="shared" si="951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2"/>
        <v/>
      </c>
      <c r="HF113" s="5" t="str">
        <f t="shared" si="953"/>
        <v/>
      </c>
      <c r="HG113" s="343" t="str">
        <f t="shared" si="835"/>
        <v/>
      </c>
      <c r="HH113" s="349" t="str">
        <f t="shared" si="836"/>
        <v/>
      </c>
      <c r="HI113" s="317" t="str">
        <f t="shared" si="954"/>
        <v/>
      </c>
      <c r="HK113" s="310" t="str">
        <f t="shared" si="1007"/>
        <v/>
      </c>
      <c r="HL113" s="348" t="str">
        <f t="shared" si="955"/>
        <v/>
      </c>
      <c r="HM113" s="935" t="str">
        <f t="shared" si="956"/>
        <v/>
      </c>
      <c r="HN113" s="936" t="str">
        <f t="shared" si="957"/>
        <v/>
      </c>
      <c r="HO113" s="937"/>
      <c r="HP113" s="938"/>
      <c r="HQ113" s="936" t="str">
        <f t="shared" si="958"/>
        <v/>
      </c>
      <c r="HR113" s="939" t="str">
        <f t="shared" si="959"/>
        <v/>
      </c>
      <c r="HS113" s="940" t="str">
        <f t="shared" si="1008"/>
        <v/>
      </c>
      <c r="HT113" s="941" t="str">
        <f t="shared" si="960"/>
        <v/>
      </c>
      <c r="HU113" s="942" t="str">
        <f t="shared" si="961"/>
        <v/>
      </c>
      <c r="HV113" s="943" t="str">
        <f t="shared" si="962"/>
        <v/>
      </c>
      <c r="HW113" s="944" t="str">
        <f t="shared" si="963"/>
        <v/>
      </c>
      <c r="HX113" s="947" t="str">
        <f t="shared" si="964"/>
        <v/>
      </c>
      <c r="HY113" s="952" t="str">
        <f t="shared" si="965"/>
        <v/>
      </c>
      <c r="HZ113" s="953" t="str">
        <f t="shared" si="966"/>
        <v/>
      </c>
      <c r="IA113" s="954" t="str">
        <f t="shared" si="967"/>
        <v/>
      </c>
      <c r="IB113" s="955" t="str">
        <f t="shared" si="968"/>
        <v/>
      </c>
      <c r="IC113" s="842" t="str">
        <f t="shared" si="969"/>
        <v/>
      </c>
      <c r="ID113" s="351" t="str">
        <f t="shared" si="970"/>
        <v/>
      </c>
      <c r="IE113" s="844" t="str">
        <f t="shared" si="971"/>
        <v/>
      </c>
      <c r="IF113" s="845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37"/>
        <v/>
      </c>
      <c r="IJ113" s="96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72"/>
        <v/>
      </c>
      <c r="IM113" s="482" t="str">
        <f t="shared" si="838"/>
        <v/>
      </c>
      <c r="IN113" s="670" t="str">
        <f t="shared" si="973"/>
        <v/>
      </c>
      <c r="IO113" s="702"/>
      <c r="IP113" s="5" t="str">
        <f t="shared" si="974"/>
        <v/>
      </c>
      <c r="IQ113" s="714"/>
      <c r="IR113" s="9" t="str">
        <f t="shared" si="975"/>
        <v/>
      </c>
      <c r="IS113" s="5" t="str">
        <f t="shared" si="976"/>
        <v/>
      </c>
      <c r="IT113" s="5" t="str">
        <f t="shared" si="977"/>
        <v/>
      </c>
      <c r="IU113" s="5" t="str">
        <f t="shared" si="978"/>
        <v/>
      </c>
      <c r="IV113" s="670" t="str">
        <f t="shared" si="979"/>
        <v/>
      </c>
      <c r="IW113" s="9" t="str">
        <f t="shared" si="980"/>
        <v/>
      </c>
      <c r="IX113" s="5" t="str">
        <f t="shared" si="981"/>
        <v/>
      </c>
      <c r="IY113" s="5" t="str">
        <f t="shared" si="982"/>
        <v/>
      </c>
      <c r="IZ113" s="5" t="str">
        <f t="shared" si="983"/>
        <v/>
      </c>
      <c r="JA113" s="705" t="str">
        <f t="shared" si="984"/>
        <v/>
      </c>
    </row>
    <row r="114" spans="1:261" ht="15" customHeight="1" x14ac:dyDescent="0.25">
      <c r="A114" s="75" t="str">
        <f t="shared" si="899"/>
        <v/>
      </c>
      <c r="B114" s="578" t="str">
        <f t="shared" ref="B114:D114" si="1026">IFERROR(O269+($A114*-E114),"")</f>
        <v/>
      </c>
      <c r="C114" s="572" t="str">
        <f t="shared" si="1026"/>
        <v/>
      </c>
      <c r="D114" s="576" t="str">
        <f t="shared" si="1026"/>
        <v/>
      </c>
      <c r="E114" s="580" t="str">
        <f t="shared" ref="E114:K114" si="1027">R269</f>
        <v/>
      </c>
      <c r="F114" s="572" t="str">
        <f t="shared" si="1027"/>
        <v/>
      </c>
      <c r="G114" s="579" t="str">
        <f t="shared" si="1027"/>
        <v/>
      </c>
      <c r="H114" s="580" t="str">
        <f t="shared" si="1027"/>
        <v/>
      </c>
      <c r="I114" s="572" t="str">
        <f t="shared" si="1027"/>
        <v/>
      </c>
      <c r="J114" s="483" t="str">
        <f t="shared" si="711"/>
        <v/>
      </c>
      <c r="K114" s="806" t="str">
        <f t="shared" si="1027"/>
        <v/>
      </c>
      <c r="L114" s="309"/>
      <c r="M114" s="164" t="str">
        <f t="shared" si="902"/>
        <v/>
      </c>
      <c r="N114" s="575" t="str">
        <f t="shared" si="903"/>
        <v/>
      </c>
      <c r="O114" s="572" t="str">
        <f t="shared" si="904"/>
        <v/>
      </c>
      <c r="P114" s="576" t="str">
        <f t="shared" si="905"/>
        <v/>
      </c>
      <c r="Q114" s="528" t="str">
        <f t="shared" si="712"/>
        <v/>
      </c>
      <c r="R114" s="572" t="str">
        <f t="shared" si="987"/>
        <v/>
      </c>
      <c r="S114" s="577" t="str">
        <f t="shared" si="988"/>
        <v/>
      </c>
      <c r="T114" s="578" t="str">
        <f t="shared" si="989"/>
        <v/>
      </c>
      <c r="U114" s="572" t="str">
        <f t="shared" si="990"/>
        <v/>
      </c>
      <c r="V114" s="579" t="str">
        <f t="shared" si="991"/>
        <v/>
      </c>
      <c r="W114" s="528" t="str">
        <f t="shared" si="848"/>
        <v/>
      </c>
      <c r="X114" s="572" t="str">
        <f t="shared" si="992"/>
        <v/>
      </c>
      <c r="Y114" s="573" t="str">
        <f t="shared" si="841"/>
        <v/>
      </c>
      <c r="Z114" s="575" t="str">
        <f t="shared" si="906"/>
        <v/>
      </c>
      <c r="AA114" s="572" t="str">
        <f t="shared" si="907"/>
        <v/>
      </c>
      <c r="AB114" s="572" t="str">
        <f t="shared" si="908"/>
        <v/>
      </c>
      <c r="AC114" s="579" t="str">
        <f t="shared" si="993"/>
        <v/>
      </c>
      <c r="AD114" s="580" t="str">
        <f t="shared" si="994"/>
        <v/>
      </c>
      <c r="AE114" s="572" t="str">
        <f t="shared" si="995"/>
        <v/>
      </c>
      <c r="AF114" s="576" t="str">
        <f t="shared" si="996"/>
        <v/>
      </c>
      <c r="AG114" s="545" t="str">
        <f t="shared" si="997"/>
        <v/>
      </c>
      <c r="AH114" s="546" t="str">
        <f t="shared" si="998"/>
        <v/>
      </c>
      <c r="AI114" s="528" t="str">
        <f t="shared" si="999"/>
        <v/>
      </c>
      <c r="AJ114" s="529" t="str">
        <f t="shared" si="1000"/>
        <v/>
      </c>
      <c r="AK114" s="578" t="str">
        <f t="shared" si="1001"/>
        <v/>
      </c>
      <c r="AL114" s="572" t="str">
        <f t="shared" si="1002"/>
        <v/>
      </c>
      <c r="AM114" s="577" t="str">
        <f t="shared" si="1003"/>
        <v/>
      </c>
      <c r="AN114" s="524" t="str">
        <f t="shared" si="1004"/>
        <v/>
      </c>
      <c r="AO114" s="525" t="str">
        <f t="shared" si="590"/>
        <v/>
      </c>
      <c r="AP114" s="528" t="str">
        <f t="shared" si="1005"/>
        <v/>
      </c>
      <c r="AQ114" s="529" t="str">
        <f t="shared" si="909"/>
        <v/>
      </c>
      <c r="AS114" s="900" t="str">
        <f t="shared" si="1011"/>
        <v/>
      </c>
      <c r="AT114" s="896" t="str">
        <f t="shared" si="910"/>
        <v/>
      </c>
      <c r="AU114" s="418"/>
      <c r="AV114" s="164" t="str">
        <f t="shared" si="911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2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3"/>
        <v/>
      </c>
      <c r="BF114" s="4" t="str">
        <f t="shared" si="914"/>
        <v/>
      </c>
      <c r="BG114" s="5" t="str">
        <f t="shared" si="915"/>
        <v/>
      </c>
      <c r="BH114" s="10" t="str">
        <f t="shared" si="916"/>
        <v/>
      </c>
      <c r="BI114" s="9" t="str">
        <f t="shared" si="739"/>
        <v/>
      </c>
      <c r="BJ114" s="5" t="str">
        <f t="shared" si="917"/>
        <v/>
      </c>
      <c r="BK114" s="8" t="str">
        <f t="shared" si="918"/>
        <v/>
      </c>
      <c r="BL114" s="173" t="str">
        <f t="shared" si="919"/>
        <v/>
      </c>
      <c r="BM114" s="5" t="str">
        <f t="shared" si="920"/>
        <v/>
      </c>
      <c r="BN114" s="6" t="str">
        <f t="shared" si="921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6"/>
        <v/>
      </c>
      <c r="BT114" s="5" t="str">
        <f t="shared" si="1006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2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2"/>
        <v/>
      </c>
      <c r="DC114" s="5" t="str">
        <f t="shared" si="1012"/>
        <v/>
      </c>
      <c r="DD114" s="10" t="str">
        <f t="shared" si="764"/>
        <v/>
      </c>
      <c r="DE114" s="9" t="str">
        <f t="shared" si="1013"/>
        <v/>
      </c>
      <c r="DF114" s="5" t="str">
        <f t="shared" si="1013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3"/>
        <v/>
      </c>
      <c r="ET114" s="5" t="str">
        <f t="shared" si="924"/>
        <v/>
      </c>
      <c r="EU114" s="10" t="str">
        <f t="shared" si="925"/>
        <v/>
      </c>
      <c r="EV114" s="174" t="str">
        <f t="shared" si="926"/>
        <v/>
      </c>
      <c r="EW114" s="9" t="str">
        <f t="shared" si="927"/>
        <v/>
      </c>
      <c r="EX114" s="5" t="str">
        <f t="shared" si="928"/>
        <v/>
      </c>
      <c r="EY114" s="6" t="str">
        <f t="shared" si="804"/>
        <v/>
      </c>
      <c r="EZ114" s="51" t="str">
        <f t="shared" si="805"/>
        <v/>
      </c>
      <c r="FA114" s="173" t="str">
        <f t="shared" si="929"/>
        <v/>
      </c>
      <c r="FB114" s="5" t="str">
        <f t="shared" si="930"/>
        <v/>
      </c>
      <c r="FC114" s="6" t="str">
        <f t="shared" si="931"/>
        <v/>
      </c>
      <c r="FD114" s="4" t="str">
        <f t="shared" si="932"/>
        <v/>
      </c>
      <c r="FE114" s="5" t="str">
        <f t="shared" si="933"/>
        <v/>
      </c>
      <c r="FF114" s="7" t="str">
        <f t="shared" si="806"/>
        <v/>
      </c>
      <c r="FG114" s="173" t="str">
        <f t="shared" si="934"/>
        <v/>
      </c>
      <c r="FH114" s="5" t="str">
        <f t="shared" si="935"/>
        <v/>
      </c>
      <c r="FI114" s="10" t="str">
        <f t="shared" si="936"/>
        <v/>
      </c>
      <c r="FJ114" s="279" t="str">
        <f t="shared" si="807"/>
        <v/>
      </c>
      <c r="FK114" s="4" t="str">
        <f t="shared" si="937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8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9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40"/>
        <v/>
      </c>
      <c r="GH114" s="286" t="str">
        <f t="shared" si="941"/>
        <v/>
      </c>
      <c r="GI114" s="281" t="str">
        <f t="shared" si="942"/>
        <v/>
      </c>
      <c r="GJ114" s="167" t="str">
        <f t="shared" si="823"/>
        <v/>
      </c>
      <c r="GK114" s="174" t="str">
        <f t="shared" si="943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4"/>
        <v/>
      </c>
      <c r="GT114" s="343" t="str">
        <f t="shared" si="945"/>
        <v/>
      </c>
      <c r="GU114" s="344" t="str">
        <f t="shared" si="946"/>
        <v/>
      </c>
      <c r="GV114" s="343" t="str">
        <f t="shared" si="831"/>
        <v/>
      </c>
      <c r="GW114" s="345" t="str">
        <f t="shared" si="947"/>
        <v/>
      </c>
      <c r="GX114" s="346" t="str">
        <f t="shared" si="948"/>
        <v/>
      </c>
      <c r="GY114" s="344" t="str">
        <f t="shared" si="949"/>
        <v/>
      </c>
      <c r="GZ114" s="345" t="str">
        <f t="shared" si="950"/>
        <v/>
      </c>
      <c r="HA114" s="342" t="str">
        <f t="shared" si="951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2"/>
        <v/>
      </c>
      <c r="HF114" s="5" t="str">
        <f t="shared" si="953"/>
        <v/>
      </c>
      <c r="HG114" s="343" t="str">
        <f t="shared" si="835"/>
        <v/>
      </c>
      <c r="HH114" s="349" t="str">
        <f t="shared" si="836"/>
        <v/>
      </c>
      <c r="HI114" s="317" t="str">
        <f t="shared" si="954"/>
        <v/>
      </c>
      <c r="HK114" s="310" t="str">
        <f t="shared" si="1007"/>
        <v/>
      </c>
      <c r="HL114" s="348" t="str">
        <f t="shared" si="955"/>
        <v/>
      </c>
      <c r="HM114" s="935" t="str">
        <f t="shared" si="956"/>
        <v/>
      </c>
      <c r="HN114" s="936" t="str">
        <f t="shared" si="957"/>
        <v/>
      </c>
      <c r="HO114" s="937"/>
      <c r="HP114" s="938"/>
      <c r="HQ114" s="936" t="str">
        <f t="shared" si="958"/>
        <v/>
      </c>
      <c r="HR114" s="939" t="str">
        <f t="shared" si="959"/>
        <v/>
      </c>
      <c r="HS114" s="940" t="str">
        <f t="shared" si="1008"/>
        <v/>
      </c>
      <c r="HT114" s="941" t="str">
        <f t="shared" si="960"/>
        <v/>
      </c>
      <c r="HU114" s="942" t="str">
        <f t="shared" si="961"/>
        <v/>
      </c>
      <c r="HV114" s="943" t="str">
        <f t="shared" si="962"/>
        <v/>
      </c>
      <c r="HW114" s="944" t="str">
        <f t="shared" si="963"/>
        <v/>
      </c>
      <c r="HX114" s="947" t="str">
        <f t="shared" si="964"/>
        <v/>
      </c>
      <c r="HY114" s="952" t="str">
        <f t="shared" si="965"/>
        <v/>
      </c>
      <c r="HZ114" s="953" t="str">
        <f t="shared" si="966"/>
        <v/>
      </c>
      <c r="IA114" s="954" t="str">
        <f t="shared" si="967"/>
        <v/>
      </c>
      <c r="IB114" s="955" t="str">
        <f t="shared" si="968"/>
        <v/>
      </c>
      <c r="IC114" s="842" t="str">
        <f t="shared" si="969"/>
        <v/>
      </c>
      <c r="ID114" s="351" t="str">
        <f t="shared" si="970"/>
        <v/>
      </c>
      <c r="IE114" s="844" t="str">
        <f t="shared" si="971"/>
        <v/>
      </c>
      <c r="IF114" s="845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37"/>
        <v/>
      </c>
      <c r="IJ114" s="96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72"/>
        <v/>
      </c>
      <c r="IM114" s="482" t="str">
        <f t="shared" si="838"/>
        <v/>
      </c>
      <c r="IN114" s="670" t="str">
        <f t="shared" si="973"/>
        <v/>
      </c>
      <c r="IO114" s="702"/>
      <c r="IP114" s="5" t="str">
        <f t="shared" si="974"/>
        <v/>
      </c>
      <c r="IQ114" s="714"/>
      <c r="IR114" s="9" t="str">
        <f t="shared" si="975"/>
        <v/>
      </c>
      <c r="IS114" s="5" t="str">
        <f t="shared" si="976"/>
        <v/>
      </c>
      <c r="IT114" s="5" t="str">
        <f t="shared" si="977"/>
        <v/>
      </c>
      <c r="IU114" s="5" t="str">
        <f t="shared" si="978"/>
        <v/>
      </c>
      <c r="IV114" s="670" t="str">
        <f t="shared" si="979"/>
        <v/>
      </c>
      <c r="IW114" s="9" t="str">
        <f t="shared" si="980"/>
        <v/>
      </c>
      <c r="IX114" s="5" t="str">
        <f t="shared" si="981"/>
        <v/>
      </c>
      <c r="IY114" s="5" t="str">
        <f t="shared" si="982"/>
        <v/>
      </c>
      <c r="IZ114" s="5" t="str">
        <f t="shared" si="983"/>
        <v/>
      </c>
      <c r="JA114" s="705" t="str">
        <f t="shared" si="984"/>
        <v/>
      </c>
    </row>
    <row r="115" spans="1:261" ht="15" customHeight="1" x14ac:dyDescent="0.25">
      <c r="A115" s="75" t="str">
        <f t="shared" si="899"/>
        <v/>
      </c>
      <c r="B115" s="578" t="str">
        <f t="shared" ref="B115:D115" si="1028">IFERROR(O270+($A115*-E115),"")</f>
        <v/>
      </c>
      <c r="C115" s="572" t="str">
        <f t="shared" si="1028"/>
        <v/>
      </c>
      <c r="D115" s="576" t="str">
        <f t="shared" si="1028"/>
        <v/>
      </c>
      <c r="E115" s="580" t="str">
        <f t="shared" ref="E115:K115" si="1029">R270</f>
        <v/>
      </c>
      <c r="F115" s="572" t="str">
        <f t="shared" si="1029"/>
        <v/>
      </c>
      <c r="G115" s="579" t="str">
        <f t="shared" si="1029"/>
        <v/>
      </c>
      <c r="H115" s="580" t="str">
        <f t="shared" si="1029"/>
        <v/>
      </c>
      <c r="I115" s="572" t="str">
        <f t="shared" si="1029"/>
        <v/>
      </c>
      <c r="J115" s="483" t="str">
        <f t="shared" si="711"/>
        <v/>
      </c>
      <c r="K115" s="806" t="str">
        <f t="shared" si="1029"/>
        <v/>
      </c>
      <c r="L115" s="309"/>
      <c r="M115" s="164" t="str">
        <f t="shared" si="902"/>
        <v/>
      </c>
      <c r="N115" s="575" t="str">
        <f t="shared" si="903"/>
        <v/>
      </c>
      <c r="O115" s="572" t="str">
        <f t="shared" si="904"/>
        <v/>
      </c>
      <c r="P115" s="576" t="str">
        <f t="shared" si="905"/>
        <v/>
      </c>
      <c r="Q115" s="528" t="str">
        <f t="shared" si="712"/>
        <v/>
      </c>
      <c r="R115" s="572" t="str">
        <f t="shared" si="987"/>
        <v/>
      </c>
      <c r="S115" s="577" t="str">
        <f t="shared" si="988"/>
        <v/>
      </c>
      <c r="T115" s="578" t="str">
        <f t="shared" si="989"/>
        <v/>
      </c>
      <c r="U115" s="572" t="str">
        <f t="shared" si="990"/>
        <v/>
      </c>
      <c r="V115" s="579" t="str">
        <f t="shared" si="991"/>
        <v/>
      </c>
      <c r="W115" s="528" t="str">
        <f t="shared" si="848"/>
        <v/>
      </c>
      <c r="X115" s="572" t="str">
        <f t="shared" si="992"/>
        <v/>
      </c>
      <c r="Y115" s="573" t="str">
        <f t="shared" si="841"/>
        <v/>
      </c>
      <c r="Z115" s="575" t="str">
        <f t="shared" si="906"/>
        <v/>
      </c>
      <c r="AA115" s="572" t="str">
        <f t="shared" si="907"/>
        <v/>
      </c>
      <c r="AB115" s="572" t="str">
        <f t="shared" si="908"/>
        <v/>
      </c>
      <c r="AC115" s="579" t="str">
        <f t="shared" si="993"/>
        <v/>
      </c>
      <c r="AD115" s="580" t="str">
        <f t="shared" si="994"/>
        <v/>
      </c>
      <c r="AE115" s="572" t="str">
        <f t="shared" si="995"/>
        <v/>
      </c>
      <c r="AF115" s="576" t="str">
        <f t="shared" si="996"/>
        <v/>
      </c>
      <c r="AG115" s="545" t="str">
        <f t="shared" si="997"/>
        <v/>
      </c>
      <c r="AH115" s="546" t="str">
        <f t="shared" si="998"/>
        <v/>
      </c>
      <c r="AI115" s="528" t="str">
        <f t="shared" si="999"/>
        <v/>
      </c>
      <c r="AJ115" s="529" t="str">
        <f t="shared" si="1000"/>
        <v/>
      </c>
      <c r="AK115" s="578" t="str">
        <f t="shared" si="1001"/>
        <v/>
      </c>
      <c r="AL115" s="572" t="str">
        <f t="shared" si="1002"/>
        <v/>
      </c>
      <c r="AM115" s="577" t="str">
        <f t="shared" si="1003"/>
        <v/>
      </c>
      <c r="AN115" s="524" t="str">
        <f t="shared" si="1004"/>
        <v/>
      </c>
      <c r="AO115" s="525" t="str">
        <f t="shared" si="590"/>
        <v/>
      </c>
      <c r="AP115" s="528" t="str">
        <f t="shared" si="1005"/>
        <v/>
      </c>
      <c r="AQ115" s="529" t="str">
        <f t="shared" si="909"/>
        <v/>
      </c>
      <c r="AS115" s="900" t="str">
        <f t="shared" si="1011"/>
        <v/>
      </c>
      <c r="AT115" s="896" t="str">
        <f t="shared" si="910"/>
        <v/>
      </c>
      <c r="AU115" s="418"/>
      <c r="AV115" s="164" t="str">
        <f t="shared" si="911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2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3"/>
        <v/>
      </c>
      <c r="BF115" s="4" t="str">
        <f t="shared" si="914"/>
        <v/>
      </c>
      <c r="BG115" s="5" t="str">
        <f t="shared" si="915"/>
        <v/>
      </c>
      <c r="BH115" s="10" t="str">
        <f t="shared" si="916"/>
        <v/>
      </c>
      <c r="BI115" s="9" t="str">
        <f t="shared" si="739"/>
        <v/>
      </c>
      <c r="BJ115" s="5" t="str">
        <f t="shared" si="917"/>
        <v/>
      </c>
      <c r="BK115" s="8" t="str">
        <f t="shared" si="918"/>
        <v/>
      </c>
      <c r="BL115" s="173" t="str">
        <f t="shared" si="919"/>
        <v/>
      </c>
      <c r="BM115" s="5" t="str">
        <f t="shared" si="920"/>
        <v/>
      </c>
      <c r="BN115" s="6" t="str">
        <f t="shared" si="921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6"/>
        <v/>
      </c>
      <c r="BT115" s="5" t="str">
        <f t="shared" si="1006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2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2"/>
        <v/>
      </c>
      <c r="DC115" s="5" t="str">
        <f t="shared" si="1012"/>
        <v/>
      </c>
      <c r="DD115" s="10" t="str">
        <f t="shared" si="764"/>
        <v/>
      </c>
      <c r="DE115" s="9" t="str">
        <f t="shared" si="1013"/>
        <v/>
      </c>
      <c r="DF115" s="5" t="str">
        <f t="shared" si="1013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3"/>
        <v/>
      </c>
      <c r="ET115" s="5" t="str">
        <f t="shared" si="924"/>
        <v/>
      </c>
      <c r="EU115" s="10" t="str">
        <f t="shared" si="925"/>
        <v/>
      </c>
      <c r="EV115" s="174" t="str">
        <f t="shared" si="926"/>
        <v/>
      </c>
      <c r="EW115" s="9" t="str">
        <f t="shared" si="927"/>
        <v/>
      </c>
      <c r="EX115" s="5" t="str">
        <f t="shared" si="928"/>
        <v/>
      </c>
      <c r="EY115" s="6" t="str">
        <f t="shared" si="804"/>
        <v/>
      </c>
      <c r="EZ115" s="51" t="str">
        <f t="shared" si="805"/>
        <v/>
      </c>
      <c r="FA115" s="173" t="str">
        <f t="shared" si="929"/>
        <v/>
      </c>
      <c r="FB115" s="5" t="str">
        <f t="shared" si="930"/>
        <v/>
      </c>
      <c r="FC115" s="6" t="str">
        <f t="shared" si="931"/>
        <v/>
      </c>
      <c r="FD115" s="4" t="str">
        <f t="shared" si="932"/>
        <v/>
      </c>
      <c r="FE115" s="5" t="str">
        <f t="shared" si="933"/>
        <v/>
      </c>
      <c r="FF115" s="7" t="str">
        <f t="shared" si="806"/>
        <v/>
      </c>
      <c r="FG115" s="173" t="str">
        <f t="shared" si="934"/>
        <v/>
      </c>
      <c r="FH115" s="5" t="str">
        <f t="shared" si="935"/>
        <v/>
      </c>
      <c r="FI115" s="10" t="str">
        <f t="shared" si="936"/>
        <v/>
      </c>
      <c r="FJ115" s="279" t="str">
        <f t="shared" si="807"/>
        <v/>
      </c>
      <c r="FK115" s="4" t="str">
        <f t="shared" si="937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8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9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40"/>
        <v/>
      </c>
      <c r="GH115" s="286" t="str">
        <f t="shared" si="941"/>
        <v/>
      </c>
      <c r="GI115" s="281" t="str">
        <f t="shared" si="942"/>
        <v/>
      </c>
      <c r="GJ115" s="167" t="str">
        <f t="shared" si="823"/>
        <v/>
      </c>
      <c r="GK115" s="174" t="str">
        <f t="shared" si="943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4"/>
        <v/>
      </c>
      <c r="GT115" s="343" t="str">
        <f t="shared" si="945"/>
        <v/>
      </c>
      <c r="GU115" s="344" t="str">
        <f t="shared" si="946"/>
        <v/>
      </c>
      <c r="GV115" s="343" t="str">
        <f t="shared" si="831"/>
        <v/>
      </c>
      <c r="GW115" s="345" t="str">
        <f t="shared" si="947"/>
        <v/>
      </c>
      <c r="GX115" s="346" t="str">
        <f t="shared" si="948"/>
        <v/>
      </c>
      <c r="GY115" s="344" t="str">
        <f t="shared" si="949"/>
        <v/>
      </c>
      <c r="GZ115" s="345" t="str">
        <f t="shared" si="950"/>
        <v/>
      </c>
      <c r="HA115" s="342" t="str">
        <f t="shared" si="951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2"/>
        <v/>
      </c>
      <c r="HF115" s="5" t="str">
        <f t="shared" si="953"/>
        <v/>
      </c>
      <c r="HG115" s="343" t="str">
        <f t="shared" si="835"/>
        <v/>
      </c>
      <c r="HH115" s="349" t="str">
        <f t="shared" si="836"/>
        <v/>
      </c>
      <c r="HI115" s="317" t="str">
        <f t="shared" si="954"/>
        <v/>
      </c>
      <c r="HK115" s="310" t="str">
        <f t="shared" si="1007"/>
        <v/>
      </c>
      <c r="HL115" s="348" t="str">
        <f t="shared" si="955"/>
        <v/>
      </c>
      <c r="HM115" s="935" t="str">
        <f t="shared" si="956"/>
        <v/>
      </c>
      <c r="HN115" s="936" t="str">
        <f t="shared" si="957"/>
        <v/>
      </c>
      <c r="HO115" s="937"/>
      <c r="HP115" s="938"/>
      <c r="HQ115" s="936" t="str">
        <f t="shared" si="958"/>
        <v/>
      </c>
      <c r="HR115" s="939" t="str">
        <f t="shared" si="959"/>
        <v/>
      </c>
      <c r="HS115" s="940" t="str">
        <f t="shared" si="1008"/>
        <v/>
      </c>
      <c r="HT115" s="941" t="str">
        <f t="shared" si="960"/>
        <v/>
      </c>
      <c r="HU115" s="942" t="str">
        <f t="shared" si="961"/>
        <v/>
      </c>
      <c r="HV115" s="943" t="str">
        <f t="shared" si="962"/>
        <v/>
      </c>
      <c r="HW115" s="944" t="str">
        <f t="shared" si="963"/>
        <v/>
      </c>
      <c r="HX115" s="947" t="str">
        <f t="shared" si="964"/>
        <v/>
      </c>
      <c r="HY115" s="952" t="str">
        <f t="shared" si="965"/>
        <v/>
      </c>
      <c r="HZ115" s="953" t="str">
        <f t="shared" si="966"/>
        <v/>
      </c>
      <c r="IA115" s="954" t="str">
        <f t="shared" si="967"/>
        <v/>
      </c>
      <c r="IB115" s="955" t="str">
        <f t="shared" si="968"/>
        <v/>
      </c>
      <c r="IC115" s="842" t="str">
        <f t="shared" si="969"/>
        <v/>
      </c>
      <c r="ID115" s="351" t="str">
        <f t="shared" si="970"/>
        <v/>
      </c>
      <c r="IE115" s="844" t="str">
        <f t="shared" si="971"/>
        <v/>
      </c>
      <c r="IF115" s="845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37"/>
        <v/>
      </c>
      <c r="IJ115" s="96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72"/>
        <v/>
      </c>
      <c r="IM115" s="482" t="str">
        <f t="shared" si="838"/>
        <v/>
      </c>
      <c r="IN115" s="670" t="str">
        <f t="shared" si="973"/>
        <v/>
      </c>
      <c r="IO115" s="702"/>
      <c r="IP115" s="5" t="str">
        <f t="shared" si="974"/>
        <v/>
      </c>
      <c r="IQ115" s="714"/>
      <c r="IR115" s="9" t="str">
        <f t="shared" si="975"/>
        <v/>
      </c>
      <c r="IS115" s="5" t="str">
        <f t="shared" si="976"/>
        <v/>
      </c>
      <c r="IT115" s="5" t="str">
        <f t="shared" si="977"/>
        <v/>
      </c>
      <c r="IU115" s="5" t="str">
        <f t="shared" si="978"/>
        <v/>
      </c>
      <c r="IV115" s="670" t="str">
        <f t="shared" si="979"/>
        <v/>
      </c>
      <c r="IW115" s="9" t="str">
        <f t="shared" si="980"/>
        <v/>
      </c>
      <c r="IX115" s="5" t="str">
        <f t="shared" si="981"/>
        <v/>
      </c>
      <c r="IY115" s="5" t="str">
        <f t="shared" si="982"/>
        <v/>
      </c>
      <c r="IZ115" s="5" t="str">
        <f t="shared" si="983"/>
        <v/>
      </c>
      <c r="JA115" s="705" t="str">
        <f t="shared" si="984"/>
        <v/>
      </c>
    </row>
    <row r="116" spans="1:261" ht="15" customHeight="1" x14ac:dyDescent="0.25">
      <c r="A116" s="75" t="str">
        <f t="shared" si="899"/>
        <v/>
      </c>
      <c r="B116" s="578" t="str">
        <f t="shared" ref="B116:D116" si="1030">IFERROR(O271+($A116*-E116),"")</f>
        <v/>
      </c>
      <c r="C116" s="572" t="str">
        <f t="shared" si="1030"/>
        <v/>
      </c>
      <c r="D116" s="576" t="str">
        <f t="shared" si="1030"/>
        <v/>
      </c>
      <c r="E116" s="580" t="str">
        <f t="shared" ref="E116:K116" si="1031">R271</f>
        <v/>
      </c>
      <c r="F116" s="572" t="str">
        <f t="shared" si="1031"/>
        <v/>
      </c>
      <c r="G116" s="579" t="str">
        <f t="shared" si="1031"/>
        <v/>
      </c>
      <c r="H116" s="580" t="str">
        <f t="shared" si="1031"/>
        <v/>
      </c>
      <c r="I116" s="572" t="str">
        <f t="shared" si="1031"/>
        <v/>
      </c>
      <c r="J116" s="483" t="str">
        <f t="shared" si="711"/>
        <v/>
      </c>
      <c r="K116" s="806" t="str">
        <f t="shared" si="1031"/>
        <v/>
      </c>
      <c r="L116" s="309"/>
      <c r="M116" s="164" t="str">
        <f t="shared" si="902"/>
        <v/>
      </c>
      <c r="N116" s="575" t="str">
        <f t="shared" si="903"/>
        <v/>
      </c>
      <c r="O116" s="572" t="str">
        <f t="shared" si="904"/>
        <v/>
      </c>
      <c r="P116" s="576" t="str">
        <f t="shared" si="905"/>
        <v/>
      </c>
      <c r="Q116" s="528" t="str">
        <f t="shared" si="712"/>
        <v/>
      </c>
      <c r="R116" s="572" t="str">
        <f t="shared" si="987"/>
        <v/>
      </c>
      <c r="S116" s="577" t="str">
        <f t="shared" si="988"/>
        <v/>
      </c>
      <c r="T116" s="578" t="str">
        <f t="shared" si="989"/>
        <v/>
      </c>
      <c r="U116" s="572" t="str">
        <f t="shared" si="990"/>
        <v/>
      </c>
      <c r="V116" s="579" t="str">
        <f t="shared" si="991"/>
        <v/>
      </c>
      <c r="W116" s="528" t="str">
        <f t="shared" si="848"/>
        <v/>
      </c>
      <c r="X116" s="572" t="str">
        <f t="shared" si="992"/>
        <v/>
      </c>
      <c r="Y116" s="573" t="str">
        <f t="shared" si="841"/>
        <v/>
      </c>
      <c r="Z116" s="575" t="str">
        <f t="shared" si="906"/>
        <v/>
      </c>
      <c r="AA116" s="572" t="str">
        <f t="shared" si="907"/>
        <v/>
      </c>
      <c r="AB116" s="572" t="str">
        <f t="shared" si="908"/>
        <v/>
      </c>
      <c r="AC116" s="579" t="str">
        <f t="shared" si="993"/>
        <v/>
      </c>
      <c r="AD116" s="580" t="str">
        <f t="shared" si="994"/>
        <v/>
      </c>
      <c r="AE116" s="572" t="str">
        <f t="shared" si="995"/>
        <v/>
      </c>
      <c r="AF116" s="576" t="str">
        <f t="shared" si="996"/>
        <v/>
      </c>
      <c r="AG116" s="545" t="str">
        <f t="shared" si="997"/>
        <v/>
      </c>
      <c r="AH116" s="546" t="str">
        <f t="shared" si="998"/>
        <v/>
      </c>
      <c r="AI116" s="528" t="str">
        <f t="shared" si="999"/>
        <v/>
      </c>
      <c r="AJ116" s="529" t="str">
        <f t="shared" si="1000"/>
        <v/>
      </c>
      <c r="AK116" s="578" t="str">
        <f t="shared" si="1001"/>
        <v/>
      </c>
      <c r="AL116" s="572" t="str">
        <f t="shared" si="1002"/>
        <v/>
      </c>
      <c r="AM116" s="577" t="str">
        <f t="shared" si="1003"/>
        <v/>
      </c>
      <c r="AN116" s="524" t="str">
        <f t="shared" si="1004"/>
        <v/>
      </c>
      <c r="AO116" s="525" t="str">
        <f t="shared" si="590"/>
        <v/>
      </c>
      <c r="AP116" s="528" t="str">
        <f t="shared" si="1005"/>
        <v/>
      </c>
      <c r="AQ116" s="529" t="str">
        <f t="shared" si="909"/>
        <v/>
      </c>
      <c r="AS116" s="900" t="str">
        <f t="shared" si="1011"/>
        <v/>
      </c>
      <c r="AT116" s="896" t="str">
        <f t="shared" si="910"/>
        <v/>
      </c>
      <c r="AU116" s="418"/>
      <c r="AV116" s="164" t="str">
        <f t="shared" si="911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2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3"/>
        <v/>
      </c>
      <c r="BF116" s="4" t="str">
        <f t="shared" si="914"/>
        <v/>
      </c>
      <c r="BG116" s="5" t="str">
        <f t="shared" si="915"/>
        <v/>
      </c>
      <c r="BH116" s="10" t="str">
        <f t="shared" si="916"/>
        <v/>
      </c>
      <c r="BI116" s="9" t="str">
        <f t="shared" si="739"/>
        <v/>
      </c>
      <c r="BJ116" s="5" t="str">
        <f t="shared" si="917"/>
        <v/>
      </c>
      <c r="BK116" s="8" t="str">
        <f t="shared" si="918"/>
        <v/>
      </c>
      <c r="BL116" s="173" t="str">
        <f t="shared" si="919"/>
        <v/>
      </c>
      <c r="BM116" s="5" t="str">
        <f t="shared" si="920"/>
        <v/>
      </c>
      <c r="BN116" s="6" t="str">
        <f t="shared" si="921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6"/>
        <v/>
      </c>
      <c r="BT116" s="5" t="str">
        <f t="shared" si="1006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2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2"/>
        <v/>
      </c>
      <c r="DC116" s="5" t="str">
        <f t="shared" si="1012"/>
        <v/>
      </c>
      <c r="DD116" s="10" t="str">
        <f t="shared" si="764"/>
        <v/>
      </c>
      <c r="DE116" s="9" t="str">
        <f t="shared" si="1013"/>
        <v/>
      </c>
      <c r="DF116" s="5" t="str">
        <f t="shared" si="1013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3"/>
        <v/>
      </c>
      <c r="ET116" s="5" t="str">
        <f t="shared" si="924"/>
        <v/>
      </c>
      <c r="EU116" s="10" t="str">
        <f t="shared" si="925"/>
        <v/>
      </c>
      <c r="EV116" s="174" t="str">
        <f t="shared" si="926"/>
        <v/>
      </c>
      <c r="EW116" s="9" t="str">
        <f t="shared" si="927"/>
        <v/>
      </c>
      <c r="EX116" s="5" t="str">
        <f t="shared" si="928"/>
        <v/>
      </c>
      <c r="EY116" s="6" t="str">
        <f t="shared" si="804"/>
        <v/>
      </c>
      <c r="EZ116" s="51" t="str">
        <f t="shared" si="805"/>
        <v/>
      </c>
      <c r="FA116" s="173" t="str">
        <f t="shared" si="929"/>
        <v/>
      </c>
      <c r="FB116" s="5" t="str">
        <f t="shared" si="930"/>
        <v/>
      </c>
      <c r="FC116" s="6" t="str">
        <f t="shared" si="931"/>
        <v/>
      </c>
      <c r="FD116" s="4" t="str">
        <f t="shared" si="932"/>
        <v/>
      </c>
      <c r="FE116" s="5" t="str">
        <f t="shared" si="933"/>
        <v/>
      </c>
      <c r="FF116" s="7" t="str">
        <f t="shared" si="806"/>
        <v/>
      </c>
      <c r="FG116" s="173" t="str">
        <f t="shared" si="934"/>
        <v/>
      </c>
      <c r="FH116" s="5" t="str">
        <f t="shared" si="935"/>
        <v/>
      </c>
      <c r="FI116" s="10" t="str">
        <f t="shared" si="936"/>
        <v/>
      </c>
      <c r="FJ116" s="279" t="str">
        <f t="shared" si="807"/>
        <v/>
      </c>
      <c r="FK116" s="4" t="str">
        <f t="shared" si="937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8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9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40"/>
        <v/>
      </c>
      <c r="GH116" s="286" t="str">
        <f t="shared" si="941"/>
        <v/>
      </c>
      <c r="GI116" s="281" t="str">
        <f t="shared" si="942"/>
        <v/>
      </c>
      <c r="GJ116" s="167" t="str">
        <f t="shared" si="823"/>
        <v/>
      </c>
      <c r="GK116" s="174" t="str">
        <f t="shared" si="943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4"/>
        <v/>
      </c>
      <c r="GT116" s="343" t="str">
        <f t="shared" si="945"/>
        <v/>
      </c>
      <c r="GU116" s="344" t="str">
        <f t="shared" si="946"/>
        <v/>
      </c>
      <c r="GV116" s="343" t="str">
        <f t="shared" si="831"/>
        <v/>
      </c>
      <c r="GW116" s="345" t="str">
        <f t="shared" si="947"/>
        <v/>
      </c>
      <c r="GX116" s="346" t="str">
        <f t="shared" si="948"/>
        <v/>
      </c>
      <c r="GY116" s="344" t="str">
        <f t="shared" si="949"/>
        <v/>
      </c>
      <c r="GZ116" s="345" t="str">
        <f t="shared" si="950"/>
        <v/>
      </c>
      <c r="HA116" s="342" t="str">
        <f t="shared" si="951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2"/>
        <v/>
      </c>
      <c r="HF116" s="5" t="str">
        <f t="shared" si="953"/>
        <v/>
      </c>
      <c r="HG116" s="343" t="str">
        <f t="shared" si="835"/>
        <v/>
      </c>
      <c r="HH116" s="349" t="str">
        <f t="shared" si="836"/>
        <v/>
      </c>
      <c r="HI116" s="317" t="str">
        <f t="shared" si="954"/>
        <v/>
      </c>
      <c r="HK116" s="310" t="str">
        <f t="shared" si="1007"/>
        <v/>
      </c>
      <c r="HL116" s="348" t="str">
        <f t="shared" si="955"/>
        <v/>
      </c>
      <c r="HM116" s="935" t="str">
        <f t="shared" si="956"/>
        <v/>
      </c>
      <c r="HN116" s="936" t="str">
        <f t="shared" si="957"/>
        <v/>
      </c>
      <c r="HO116" s="937"/>
      <c r="HP116" s="938"/>
      <c r="HQ116" s="936" t="str">
        <f t="shared" si="958"/>
        <v/>
      </c>
      <c r="HR116" s="939" t="str">
        <f t="shared" si="959"/>
        <v/>
      </c>
      <c r="HS116" s="940" t="str">
        <f t="shared" si="1008"/>
        <v/>
      </c>
      <c r="HT116" s="941" t="str">
        <f t="shared" si="960"/>
        <v/>
      </c>
      <c r="HU116" s="942" t="str">
        <f t="shared" si="961"/>
        <v/>
      </c>
      <c r="HV116" s="943" t="str">
        <f t="shared" si="962"/>
        <v/>
      </c>
      <c r="HW116" s="944" t="str">
        <f t="shared" si="963"/>
        <v/>
      </c>
      <c r="HX116" s="947" t="str">
        <f t="shared" si="964"/>
        <v/>
      </c>
      <c r="HY116" s="952" t="str">
        <f t="shared" si="965"/>
        <v/>
      </c>
      <c r="HZ116" s="953" t="str">
        <f t="shared" si="966"/>
        <v/>
      </c>
      <c r="IA116" s="954" t="str">
        <f t="shared" si="967"/>
        <v/>
      </c>
      <c r="IB116" s="955" t="str">
        <f t="shared" si="968"/>
        <v/>
      </c>
      <c r="IC116" s="842" t="str">
        <f t="shared" si="969"/>
        <v/>
      </c>
      <c r="ID116" s="351" t="str">
        <f t="shared" si="970"/>
        <v/>
      </c>
      <c r="IE116" s="844" t="str">
        <f t="shared" si="971"/>
        <v/>
      </c>
      <c r="IF116" s="845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37"/>
        <v/>
      </c>
      <c r="IJ116" s="96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72"/>
        <v/>
      </c>
      <c r="IM116" s="482" t="str">
        <f t="shared" si="838"/>
        <v/>
      </c>
      <c r="IN116" s="670" t="str">
        <f t="shared" si="973"/>
        <v/>
      </c>
      <c r="IO116" s="702"/>
      <c r="IP116" s="5" t="str">
        <f t="shared" si="974"/>
        <v/>
      </c>
      <c r="IQ116" s="714"/>
      <c r="IR116" s="9" t="str">
        <f t="shared" si="975"/>
        <v/>
      </c>
      <c r="IS116" s="5" t="str">
        <f t="shared" si="976"/>
        <v/>
      </c>
      <c r="IT116" s="5" t="str">
        <f t="shared" si="977"/>
        <v/>
      </c>
      <c r="IU116" s="5" t="str">
        <f t="shared" si="978"/>
        <v/>
      </c>
      <c r="IV116" s="670" t="str">
        <f t="shared" si="979"/>
        <v/>
      </c>
      <c r="IW116" s="9" t="str">
        <f t="shared" si="980"/>
        <v/>
      </c>
      <c r="IX116" s="5" t="str">
        <f t="shared" si="981"/>
        <v/>
      </c>
      <c r="IY116" s="5" t="str">
        <f t="shared" si="982"/>
        <v/>
      </c>
      <c r="IZ116" s="5" t="str">
        <f t="shared" si="983"/>
        <v/>
      </c>
      <c r="JA116" s="705" t="str">
        <f t="shared" si="984"/>
        <v/>
      </c>
    </row>
    <row r="117" spans="1:261" ht="15" customHeight="1" x14ac:dyDescent="0.25">
      <c r="A117" s="75" t="str">
        <f t="shared" si="899"/>
        <v/>
      </c>
      <c r="B117" s="578" t="str">
        <f t="shared" ref="B117:D117" si="1032">IFERROR(O272+($A117*-E117),"")</f>
        <v/>
      </c>
      <c r="C117" s="572" t="str">
        <f t="shared" si="1032"/>
        <v/>
      </c>
      <c r="D117" s="576" t="str">
        <f t="shared" si="1032"/>
        <v/>
      </c>
      <c r="E117" s="580" t="str">
        <f t="shared" ref="E117:K117" si="1033">R272</f>
        <v/>
      </c>
      <c r="F117" s="572" t="str">
        <f t="shared" si="1033"/>
        <v/>
      </c>
      <c r="G117" s="579" t="str">
        <f t="shared" si="1033"/>
        <v/>
      </c>
      <c r="H117" s="580" t="str">
        <f t="shared" si="1033"/>
        <v/>
      </c>
      <c r="I117" s="572" t="str">
        <f t="shared" si="1033"/>
        <v/>
      </c>
      <c r="J117" s="483" t="str">
        <f t="shared" si="711"/>
        <v/>
      </c>
      <c r="K117" s="806" t="str">
        <f t="shared" si="1033"/>
        <v/>
      </c>
      <c r="L117" s="309"/>
      <c r="M117" s="164" t="str">
        <f t="shared" si="902"/>
        <v/>
      </c>
      <c r="N117" s="575" t="str">
        <f t="shared" si="903"/>
        <v/>
      </c>
      <c r="O117" s="572" t="str">
        <f t="shared" si="904"/>
        <v/>
      </c>
      <c r="P117" s="576" t="str">
        <f t="shared" si="905"/>
        <v/>
      </c>
      <c r="Q117" s="528" t="str">
        <f t="shared" si="712"/>
        <v/>
      </c>
      <c r="R117" s="572" t="str">
        <f t="shared" si="987"/>
        <v/>
      </c>
      <c r="S117" s="577" t="str">
        <f t="shared" si="988"/>
        <v/>
      </c>
      <c r="T117" s="578" t="str">
        <f t="shared" si="989"/>
        <v/>
      </c>
      <c r="U117" s="572" t="str">
        <f t="shared" si="990"/>
        <v/>
      </c>
      <c r="V117" s="579" t="str">
        <f t="shared" si="991"/>
        <v/>
      </c>
      <c r="W117" s="528" t="str">
        <f t="shared" si="848"/>
        <v/>
      </c>
      <c r="X117" s="572" t="str">
        <f t="shared" si="992"/>
        <v/>
      </c>
      <c r="Y117" s="573" t="str">
        <f t="shared" si="841"/>
        <v/>
      </c>
      <c r="Z117" s="575" t="str">
        <f t="shared" si="906"/>
        <v/>
      </c>
      <c r="AA117" s="572" t="str">
        <f t="shared" si="907"/>
        <v/>
      </c>
      <c r="AB117" s="572" t="str">
        <f t="shared" si="908"/>
        <v/>
      </c>
      <c r="AC117" s="579" t="str">
        <f t="shared" si="993"/>
        <v/>
      </c>
      <c r="AD117" s="580" t="str">
        <f t="shared" si="994"/>
        <v/>
      </c>
      <c r="AE117" s="572" t="str">
        <f t="shared" si="995"/>
        <v/>
      </c>
      <c r="AF117" s="576" t="str">
        <f t="shared" si="996"/>
        <v/>
      </c>
      <c r="AG117" s="545" t="str">
        <f t="shared" si="997"/>
        <v/>
      </c>
      <c r="AH117" s="546" t="str">
        <f t="shared" si="998"/>
        <v/>
      </c>
      <c r="AI117" s="528" t="str">
        <f t="shared" si="999"/>
        <v/>
      </c>
      <c r="AJ117" s="529" t="str">
        <f t="shared" si="1000"/>
        <v/>
      </c>
      <c r="AK117" s="578" t="str">
        <f t="shared" si="1001"/>
        <v/>
      </c>
      <c r="AL117" s="572" t="str">
        <f t="shared" si="1002"/>
        <v/>
      </c>
      <c r="AM117" s="577" t="str">
        <f t="shared" si="1003"/>
        <v/>
      </c>
      <c r="AN117" s="524" t="str">
        <f t="shared" si="1004"/>
        <v/>
      </c>
      <c r="AO117" s="525" t="str">
        <f t="shared" si="590"/>
        <v/>
      </c>
      <c r="AP117" s="528" t="str">
        <f t="shared" si="1005"/>
        <v/>
      </c>
      <c r="AQ117" s="529" t="str">
        <f t="shared" si="909"/>
        <v/>
      </c>
      <c r="AS117" s="900" t="str">
        <f t="shared" si="1011"/>
        <v/>
      </c>
      <c r="AT117" s="896" t="str">
        <f t="shared" si="910"/>
        <v/>
      </c>
      <c r="AU117" s="418"/>
      <c r="AV117" s="164" t="str">
        <f t="shared" si="911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2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3"/>
        <v/>
      </c>
      <c r="BF117" s="4" t="str">
        <f t="shared" si="914"/>
        <v/>
      </c>
      <c r="BG117" s="5" t="str">
        <f t="shared" si="915"/>
        <v/>
      </c>
      <c r="BH117" s="10" t="str">
        <f t="shared" si="916"/>
        <v/>
      </c>
      <c r="BI117" s="9" t="str">
        <f t="shared" si="739"/>
        <v/>
      </c>
      <c r="BJ117" s="5" t="str">
        <f t="shared" si="917"/>
        <v/>
      </c>
      <c r="BK117" s="8" t="str">
        <f t="shared" si="918"/>
        <v/>
      </c>
      <c r="BL117" s="173" t="str">
        <f t="shared" si="919"/>
        <v/>
      </c>
      <c r="BM117" s="5" t="str">
        <f t="shared" si="920"/>
        <v/>
      </c>
      <c r="BN117" s="6" t="str">
        <f t="shared" si="921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6"/>
        <v/>
      </c>
      <c r="BT117" s="5" t="str">
        <f t="shared" si="1006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2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2"/>
        <v/>
      </c>
      <c r="DC117" s="5" t="str">
        <f t="shared" si="1012"/>
        <v/>
      </c>
      <c r="DD117" s="10" t="str">
        <f t="shared" si="764"/>
        <v/>
      </c>
      <c r="DE117" s="9" t="str">
        <f t="shared" si="1013"/>
        <v/>
      </c>
      <c r="DF117" s="5" t="str">
        <f t="shared" si="1013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3"/>
        <v/>
      </c>
      <c r="ET117" s="5" t="str">
        <f t="shared" si="924"/>
        <v/>
      </c>
      <c r="EU117" s="10" t="str">
        <f t="shared" si="925"/>
        <v/>
      </c>
      <c r="EV117" s="174" t="str">
        <f t="shared" si="926"/>
        <v/>
      </c>
      <c r="EW117" s="9" t="str">
        <f t="shared" si="927"/>
        <v/>
      </c>
      <c r="EX117" s="5" t="str">
        <f t="shared" si="928"/>
        <v/>
      </c>
      <c r="EY117" s="6" t="str">
        <f t="shared" si="804"/>
        <v/>
      </c>
      <c r="EZ117" s="51" t="str">
        <f t="shared" si="805"/>
        <v/>
      </c>
      <c r="FA117" s="173" t="str">
        <f t="shared" si="929"/>
        <v/>
      </c>
      <c r="FB117" s="5" t="str">
        <f t="shared" si="930"/>
        <v/>
      </c>
      <c r="FC117" s="6" t="str">
        <f t="shared" si="931"/>
        <v/>
      </c>
      <c r="FD117" s="4" t="str">
        <f t="shared" si="932"/>
        <v/>
      </c>
      <c r="FE117" s="5" t="str">
        <f t="shared" si="933"/>
        <v/>
      </c>
      <c r="FF117" s="7" t="str">
        <f t="shared" si="806"/>
        <v/>
      </c>
      <c r="FG117" s="173" t="str">
        <f t="shared" si="934"/>
        <v/>
      </c>
      <c r="FH117" s="5" t="str">
        <f t="shared" si="935"/>
        <v/>
      </c>
      <c r="FI117" s="10" t="str">
        <f t="shared" si="936"/>
        <v/>
      </c>
      <c r="FJ117" s="279" t="str">
        <f t="shared" si="807"/>
        <v/>
      </c>
      <c r="FK117" s="4" t="str">
        <f t="shared" si="937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8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9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40"/>
        <v/>
      </c>
      <c r="GH117" s="286" t="str">
        <f t="shared" si="941"/>
        <v/>
      </c>
      <c r="GI117" s="281" t="str">
        <f t="shared" si="942"/>
        <v/>
      </c>
      <c r="GJ117" s="167" t="str">
        <f t="shared" si="823"/>
        <v/>
      </c>
      <c r="GK117" s="174" t="str">
        <f t="shared" si="943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4"/>
        <v/>
      </c>
      <c r="GT117" s="343" t="str">
        <f t="shared" si="945"/>
        <v/>
      </c>
      <c r="GU117" s="344" t="str">
        <f t="shared" si="946"/>
        <v/>
      </c>
      <c r="GV117" s="343" t="str">
        <f t="shared" si="831"/>
        <v/>
      </c>
      <c r="GW117" s="345" t="str">
        <f t="shared" si="947"/>
        <v/>
      </c>
      <c r="GX117" s="346" t="str">
        <f t="shared" si="948"/>
        <v/>
      </c>
      <c r="GY117" s="344" t="str">
        <f t="shared" si="949"/>
        <v/>
      </c>
      <c r="GZ117" s="345" t="str">
        <f t="shared" si="950"/>
        <v/>
      </c>
      <c r="HA117" s="342" t="str">
        <f t="shared" si="951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2"/>
        <v/>
      </c>
      <c r="HF117" s="5" t="str">
        <f t="shared" si="953"/>
        <v/>
      </c>
      <c r="HG117" s="343" t="str">
        <f t="shared" si="835"/>
        <v/>
      </c>
      <c r="HH117" s="349" t="str">
        <f t="shared" si="836"/>
        <v/>
      </c>
      <c r="HI117" s="317" t="str">
        <f t="shared" si="954"/>
        <v/>
      </c>
      <c r="HK117" s="310" t="str">
        <f t="shared" si="1007"/>
        <v/>
      </c>
      <c r="HL117" s="348" t="str">
        <f t="shared" si="955"/>
        <v/>
      </c>
      <c r="HM117" s="935" t="str">
        <f t="shared" si="956"/>
        <v/>
      </c>
      <c r="HN117" s="936" t="str">
        <f t="shared" si="957"/>
        <v/>
      </c>
      <c r="HO117" s="937"/>
      <c r="HP117" s="938"/>
      <c r="HQ117" s="936" t="str">
        <f t="shared" si="958"/>
        <v/>
      </c>
      <c r="HR117" s="939" t="str">
        <f t="shared" si="959"/>
        <v/>
      </c>
      <c r="HS117" s="940" t="str">
        <f t="shared" si="1008"/>
        <v/>
      </c>
      <c r="HT117" s="941" t="str">
        <f t="shared" si="960"/>
        <v/>
      </c>
      <c r="HU117" s="942" t="str">
        <f t="shared" si="961"/>
        <v/>
      </c>
      <c r="HV117" s="943" t="str">
        <f t="shared" si="962"/>
        <v/>
      </c>
      <c r="HW117" s="944" t="str">
        <f t="shared" si="963"/>
        <v/>
      </c>
      <c r="HX117" s="947" t="str">
        <f t="shared" si="964"/>
        <v/>
      </c>
      <c r="HY117" s="952" t="str">
        <f t="shared" si="965"/>
        <v/>
      </c>
      <c r="HZ117" s="953" t="str">
        <f t="shared" si="966"/>
        <v/>
      </c>
      <c r="IA117" s="954" t="str">
        <f t="shared" si="967"/>
        <v/>
      </c>
      <c r="IB117" s="955" t="str">
        <f t="shared" si="968"/>
        <v/>
      </c>
      <c r="IC117" s="842" t="str">
        <f t="shared" si="969"/>
        <v/>
      </c>
      <c r="ID117" s="351" t="str">
        <f t="shared" si="970"/>
        <v/>
      </c>
      <c r="IE117" s="844" t="str">
        <f t="shared" si="971"/>
        <v/>
      </c>
      <c r="IF117" s="845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37"/>
        <v/>
      </c>
      <c r="IJ117" s="96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72"/>
        <v/>
      </c>
      <c r="IM117" s="482" t="str">
        <f t="shared" si="838"/>
        <v/>
      </c>
      <c r="IN117" s="670" t="str">
        <f t="shared" si="973"/>
        <v/>
      </c>
      <c r="IO117" s="702"/>
      <c r="IP117" s="5" t="str">
        <f t="shared" si="974"/>
        <v/>
      </c>
      <c r="IQ117" s="714"/>
      <c r="IR117" s="9" t="str">
        <f t="shared" si="975"/>
        <v/>
      </c>
      <c r="IS117" s="5" t="str">
        <f t="shared" si="976"/>
        <v/>
      </c>
      <c r="IT117" s="5" t="str">
        <f t="shared" si="977"/>
        <v/>
      </c>
      <c r="IU117" s="5" t="str">
        <f t="shared" si="978"/>
        <v/>
      </c>
      <c r="IV117" s="670" t="str">
        <f t="shared" si="979"/>
        <v/>
      </c>
      <c r="IW117" s="9" t="str">
        <f t="shared" si="980"/>
        <v/>
      </c>
      <c r="IX117" s="5" t="str">
        <f t="shared" si="981"/>
        <v/>
      </c>
      <c r="IY117" s="5" t="str">
        <f t="shared" si="982"/>
        <v/>
      </c>
      <c r="IZ117" s="5" t="str">
        <f t="shared" si="983"/>
        <v/>
      </c>
      <c r="JA117" s="705" t="str">
        <f t="shared" si="984"/>
        <v/>
      </c>
    </row>
    <row r="118" spans="1:261" ht="15" customHeight="1" x14ac:dyDescent="0.25">
      <c r="A118" s="75" t="str">
        <f t="shared" si="899"/>
        <v/>
      </c>
      <c r="B118" s="578" t="str">
        <f t="shared" ref="B118:D118" si="1034">IFERROR(O273+($A118*-E118),"")</f>
        <v/>
      </c>
      <c r="C118" s="572" t="str">
        <f t="shared" si="1034"/>
        <v/>
      </c>
      <c r="D118" s="576" t="str">
        <f t="shared" si="1034"/>
        <v/>
      </c>
      <c r="E118" s="580" t="str">
        <f t="shared" ref="E118:K118" si="1035">R273</f>
        <v/>
      </c>
      <c r="F118" s="572" t="str">
        <f t="shared" si="1035"/>
        <v/>
      </c>
      <c r="G118" s="579" t="str">
        <f t="shared" si="1035"/>
        <v/>
      </c>
      <c r="H118" s="580" t="str">
        <f t="shared" si="1035"/>
        <v/>
      </c>
      <c r="I118" s="572" t="str">
        <f t="shared" si="1035"/>
        <v/>
      </c>
      <c r="J118" s="483" t="str">
        <f t="shared" si="711"/>
        <v/>
      </c>
      <c r="K118" s="806" t="str">
        <f t="shared" si="1035"/>
        <v/>
      </c>
      <c r="L118" s="309"/>
      <c r="M118" s="164" t="str">
        <f t="shared" si="902"/>
        <v/>
      </c>
      <c r="N118" s="575" t="str">
        <f t="shared" si="903"/>
        <v/>
      </c>
      <c r="O118" s="572" t="str">
        <f t="shared" si="904"/>
        <v/>
      </c>
      <c r="P118" s="576" t="str">
        <f t="shared" si="905"/>
        <v/>
      </c>
      <c r="Q118" s="528" t="str">
        <f t="shared" si="712"/>
        <v/>
      </c>
      <c r="R118" s="572" t="str">
        <f t="shared" si="987"/>
        <v/>
      </c>
      <c r="S118" s="577" t="str">
        <f t="shared" si="988"/>
        <v/>
      </c>
      <c r="T118" s="578" t="str">
        <f t="shared" si="989"/>
        <v/>
      </c>
      <c r="U118" s="572" t="str">
        <f t="shared" si="990"/>
        <v/>
      </c>
      <c r="V118" s="579" t="str">
        <f t="shared" si="991"/>
        <v/>
      </c>
      <c r="W118" s="528" t="str">
        <f t="shared" si="848"/>
        <v/>
      </c>
      <c r="X118" s="572" t="str">
        <f t="shared" si="992"/>
        <v/>
      </c>
      <c r="Y118" s="573" t="str">
        <f t="shared" si="841"/>
        <v/>
      </c>
      <c r="Z118" s="575" t="str">
        <f t="shared" si="906"/>
        <v/>
      </c>
      <c r="AA118" s="572" t="str">
        <f t="shared" si="907"/>
        <v/>
      </c>
      <c r="AB118" s="572" t="str">
        <f t="shared" si="908"/>
        <v/>
      </c>
      <c r="AC118" s="579" t="str">
        <f t="shared" si="993"/>
        <v/>
      </c>
      <c r="AD118" s="580" t="str">
        <f t="shared" si="994"/>
        <v/>
      </c>
      <c r="AE118" s="572" t="str">
        <f t="shared" si="995"/>
        <v/>
      </c>
      <c r="AF118" s="576" t="str">
        <f t="shared" si="996"/>
        <v/>
      </c>
      <c r="AG118" s="545" t="str">
        <f t="shared" si="997"/>
        <v/>
      </c>
      <c r="AH118" s="546" t="str">
        <f t="shared" si="998"/>
        <v/>
      </c>
      <c r="AI118" s="528" t="str">
        <f t="shared" si="999"/>
        <v/>
      </c>
      <c r="AJ118" s="529" t="str">
        <f t="shared" si="1000"/>
        <v/>
      </c>
      <c r="AK118" s="578" t="str">
        <f t="shared" si="1001"/>
        <v/>
      </c>
      <c r="AL118" s="572" t="str">
        <f t="shared" si="1002"/>
        <v/>
      </c>
      <c r="AM118" s="577" t="str">
        <f t="shared" si="1003"/>
        <v/>
      </c>
      <c r="AN118" s="524" t="str">
        <f t="shared" si="1004"/>
        <v/>
      </c>
      <c r="AO118" s="525" t="str">
        <f t="shared" si="590"/>
        <v/>
      </c>
      <c r="AP118" s="528" t="str">
        <f t="shared" si="1005"/>
        <v/>
      </c>
      <c r="AQ118" s="529" t="str">
        <f t="shared" si="909"/>
        <v/>
      </c>
      <c r="AS118" s="900" t="str">
        <f t="shared" si="1011"/>
        <v/>
      </c>
      <c r="AT118" s="896" t="str">
        <f t="shared" si="910"/>
        <v/>
      </c>
      <c r="AU118" s="418"/>
      <c r="AV118" s="164" t="str">
        <f t="shared" si="911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2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3"/>
        <v/>
      </c>
      <c r="BF118" s="4" t="str">
        <f t="shared" si="914"/>
        <v/>
      </c>
      <c r="BG118" s="5" t="str">
        <f t="shared" si="915"/>
        <v/>
      </c>
      <c r="BH118" s="10" t="str">
        <f t="shared" si="916"/>
        <v/>
      </c>
      <c r="BI118" s="9" t="str">
        <f t="shared" si="739"/>
        <v/>
      </c>
      <c r="BJ118" s="5" t="str">
        <f t="shared" si="917"/>
        <v/>
      </c>
      <c r="BK118" s="8" t="str">
        <f t="shared" si="918"/>
        <v/>
      </c>
      <c r="BL118" s="173" t="str">
        <f t="shared" si="919"/>
        <v/>
      </c>
      <c r="BM118" s="5" t="str">
        <f t="shared" si="920"/>
        <v/>
      </c>
      <c r="BN118" s="6" t="str">
        <f t="shared" si="921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6"/>
        <v/>
      </c>
      <c r="BT118" s="5" t="str">
        <f t="shared" si="1006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2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2"/>
        <v/>
      </c>
      <c r="DC118" s="5" t="str">
        <f t="shared" si="1012"/>
        <v/>
      </c>
      <c r="DD118" s="10" t="str">
        <f t="shared" si="764"/>
        <v/>
      </c>
      <c r="DE118" s="9" t="str">
        <f t="shared" si="1013"/>
        <v/>
      </c>
      <c r="DF118" s="5" t="str">
        <f t="shared" si="1013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3"/>
        <v/>
      </c>
      <c r="ET118" s="5" t="str">
        <f t="shared" si="924"/>
        <v/>
      </c>
      <c r="EU118" s="10" t="str">
        <f t="shared" si="925"/>
        <v/>
      </c>
      <c r="EV118" s="174" t="str">
        <f t="shared" si="926"/>
        <v/>
      </c>
      <c r="EW118" s="9" t="str">
        <f t="shared" si="927"/>
        <v/>
      </c>
      <c r="EX118" s="5" t="str">
        <f t="shared" si="928"/>
        <v/>
      </c>
      <c r="EY118" s="6" t="str">
        <f t="shared" si="804"/>
        <v/>
      </c>
      <c r="EZ118" s="51" t="str">
        <f t="shared" si="805"/>
        <v/>
      </c>
      <c r="FA118" s="173" t="str">
        <f t="shared" si="929"/>
        <v/>
      </c>
      <c r="FB118" s="5" t="str">
        <f t="shared" si="930"/>
        <v/>
      </c>
      <c r="FC118" s="6" t="str">
        <f t="shared" si="931"/>
        <v/>
      </c>
      <c r="FD118" s="4" t="str">
        <f t="shared" si="932"/>
        <v/>
      </c>
      <c r="FE118" s="5" t="str">
        <f t="shared" si="933"/>
        <v/>
      </c>
      <c r="FF118" s="7" t="str">
        <f t="shared" si="806"/>
        <v/>
      </c>
      <c r="FG118" s="173" t="str">
        <f t="shared" si="934"/>
        <v/>
      </c>
      <c r="FH118" s="5" t="str">
        <f t="shared" si="935"/>
        <v/>
      </c>
      <c r="FI118" s="10" t="str">
        <f t="shared" si="936"/>
        <v/>
      </c>
      <c r="FJ118" s="279" t="str">
        <f t="shared" si="807"/>
        <v/>
      </c>
      <c r="FK118" s="4" t="str">
        <f t="shared" si="937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8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9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40"/>
        <v/>
      </c>
      <c r="GH118" s="286" t="str">
        <f t="shared" si="941"/>
        <v/>
      </c>
      <c r="GI118" s="281" t="str">
        <f t="shared" si="942"/>
        <v/>
      </c>
      <c r="GJ118" s="167" t="str">
        <f t="shared" si="823"/>
        <v/>
      </c>
      <c r="GK118" s="174" t="str">
        <f t="shared" si="943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4"/>
        <v/>
      </c>
      <c r="GT118" s="343" t="str">
        <f t="shared" si="945"/>
        <v/>
      </c>
      <c r="GU118" s="344" t="str">
        <f t="shared" si="946"/>
        <v/>
      </c>
      <c r="GV118" s="343" t="str">
        <f t="shared" si="831"/>
        <v/>
      </c>
      <c r="GW118" s="345" t="str">
        <f t="shared" si="947"/>
        <v/>
      </c>
      <c r="GX118" s="346" t="str">
        <f t="shared" si="948"/>
        <v/>
      </c>
      <c r="GY118" s="344" t="str">
        <f t="shared" si="949"/>
        <v/>
      </c>
      <c r="GZ118" s="345" t="str">
        <f t="shared" si="950"/>
        <v/>
      </c>
      <c r="HA118" s="342" t="str">
        <f t="shared" si="951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2"/>
        <v/>
      </c>
      <c r="HF118" s="5" t="str">
        <f t="shared" si="953"/>
        <v/>
      </c>
      <c r="HG118" s="343" t="str">
        <f t="shared" si="835"/>
        <v/>
      </c>
      <c r="HH118" s="349" t="str">
        <f t="shared" si="836"/>
        <v/>
      </c>
      <c r="HI118" s="317" t="str">
        <f t="shared" si="954"/>
        <v/>
      </c>
      <c r="HK118" s="310" t="str">
        <f t="shared" si="1007"/>
        <v/>
      </c>
      <c r="HL118" s="348" t="str">
        <f t="shared" si="955"/>
        <v/>
      </c>
      <c r="HM118" s="935" t="str">
        <f t="shared" si="956"/>
        <v/>
      </c>
      <c r="HN118" s="936" t="str">
        <f t="shared" si="957"/>
        <v/>
      </c>
      <c r="HO118" s="937"/>
      <c r="HP118" s="938"/>
      <c r="HQ118" s="936" t="str">
        <f t="shared" si="958"/>
        <v/>
      </c>
      <c r="HR118" s="939" t="str">
        <f t="shared" si="959"/>
        <v/>
      </c>
      <c r="HS118" s="940" t="str">
        <f t="shared" si="1008"/>
        <v/>
      </c>
      <c r="HT118" s="941" t="str">
        <f t="shared" si="960"/>
        <v/>
      </c>
      <c r="HU118" s="942" t="str">
        <f t="shared" si="961"/>
        <v/>
      </c>
      <c r="HV118" s="943" t="str">
        <f t="shared" si="962"/>
        <v/>
      </c>
      <c r="HW118" s="944" t="str">
        <f t="shared" si="963"/>
        <v/>
      </c>
      <c r="HX118" s="947" t="str">
        <f t="shared" si="964"/>
        <v/>
      </c>
      <c r="HY118" s="952" t="str">
        <f t="shared" si="965"/>
        <v/>
      </c>
      <c r="HZ118" s="953" t="str">
        <f t="shared" si="966"/>
        <v/>
      </c>
      <c r="IA118" s="954" t="str">
        <f t="shared" si="967"/>
        <v/>
      </c>
      <c r="IB118" s="955" t="str">
        <f t="shared" si="968"/>
        <v/>
      </c>
      <c r="IC118" s="842" t="str">
        <f t="shared" si="969"/>
        <v/>
      </c>
      <c r="ID118" s="351" t="str">
        <f t="shared" si="970"/>
        <v/>
      </c>
      <c r="IE118" s="844" t="str">
        <f t="shared" si="971"/>
        <v/>
      </c>
      <c r="IF118" s="845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37"/>
        <v/>
      </c>
      <c r="IJ118" s="96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72"/>
        <v/>
      </c>
      <c r="IM118" s="482" t="str">
        <f t="shared" si="838"/>
        <v/>
      </c>
      <c r="IN118" s="670" t="str">
        <f t="shared" si="973"/>
        <v/>
      </c>
      <c r="IO118" s="702"/>
      <c r="IP118" s="5" t="str">
        <f t="shared" si="974"/>
        <v/>
      </c>
      <c r="IQ118" s="714"/>
      <c r="IR118" s="9" t="str">
        <f t="shared" si="975"/>
        <v/>
      </c>
      <c r="IS118" s="5" t="str">
        <f t="shared" si="976"/>
        <v/>
      </c>
      <c r="IT118" s="5" t="str">
        <f t="shared" si="977"/>
        <v/>
      </c>
      <c r="IU118" s="5" t="str">
        <f t="shared" si="978"/>
        <v/>
      </c>
      <c r="IV118" s="670" t="str">
        <f t="shared" si="979"/>
        <v/>
      </c>
      <c r="IW118" s="9" t="str">
        <f t="shared" si="980"/>
        <v/>
      </c>
      <c r="IX118" s="5" t="str">
        <f t="shared" si="981"/>
        <v/>
      </c>
      <c r="IY118" s="5" t="str">
        <f t="shared" si="982"/>
        <v/>
      </c>
      <c r="IZ118" s="5" t="str">
        <f t="shared" si="983"/>
        <v/>
      </c>
      <c r="JA118" s="705" t="str">
        <f t="shared" si="984"/>
        <v/>
      </c>
    </row>
    <row r="119" spans="1:261" ht="15" customHeight="1" x14ac:dyDescent="0.25">
      <c r="A119" s="75" t="str">
        <f t="shared" si="899"/>
        <v/>
      </c>
      <c r="B119" s="578" t="str">
        <f t="shared" ref="B119:D119" si="1036">IFERROR(O274+($A119*-E119),"")</f>
        <v/>
      </c>
      <c r="C119" s="572" t="str">
        <f t="shared" si="1036"/>
        <v/>
      </c>
      <c r="D119" s="576" t="str">
        <f t="shared" si="1036"/>
        <v/>
      </c>
      <c r="E119" s="580" t="str">
        <f t="shared" ref="E119:K119" si="1037">R274</f>
        <v/>
      </c>
      <c r="F119" s="572" t="str">
        <f t="shared" si="1037"/>
        <v/>
      </c>
      <c r="G119" s="579" t="str">
        <f t="shared" si="1037"/>
        <v/>
      </c>
      <c r="H119" s="580" t="str">
        <f t="shared" si="1037"/>
        <v/>
      </c>
      <c r="I119" s="572" t="str">
        <f t="shared" si="1037"/>
        <v/>
      </c>
      <c r="J119" s="483" t="str">
        <f t="shared" si="711"/>
        <v/>
      </c>
      <c r="K119" s="806" t="str">
        <f t="shared" si="1037"/>
        <v/>
      </c>
      <c r="L119" s="309"/>
      <c r="M119" s="164" t="str">
        <f t="shared" si="902"/>
        <v/>
      </c>
      <c r="N119" s="575" t="str">
        <f t="shared" si="903"/>
        <v/>
      </c>
      <c r="O119" s="572" t="str">
        <f t="shared" si="904"/>
        <v/>
      </c>
      <c r="P119" s="576" t="str">
        <f t="shared" si="905"/>
        <v/>
      </c>
      <c r="Q119" s="528" t="str">
        <f t="shared" si="712"/>
        <v/>
      </c>
      <c r="R119" s="572" t="str">
        <f t="shared" si="987"/>
        <v/>
      </c>
      <c r="S119" s="577" t="str">
        <f t="shared" si="988"/>
        <v/>
      </c>
      <c r="T119" s="578" t="str">
        <f t="shared" si="989"/>
        <v/>
      </c>
      <c r="U119" s="572" t="str">
        <f t="shared" si="990"/>
        <v/>
      </c>
      <c r="V119" s="579" t="str">
        <f t="shared" si="991"/>
        <v/>
      </c>
      <c r="W119" s="528" t="str">
        <f t="shared" si="848"/>
        <v/>
      </c>
      <c r="X119" s="572" t="str">
        <f t="shared" si="992"/>
        <v/>
      </c>
      <c r="Y119" s="573" t="str">
        <f t="shared" si="841"/>
        <v/>
      </c>
      <c r="Z119" s="575" t="str">
        <f t="shared" si="906"/>
        <v/>
      </c>
      <c r="AA119" s="572" t="str">
        <f t="shared" si="907"/>
        <v/>
      </c>
      <c r="AB119" s="572" t="str">
        <f t="shared" si="908"/>
        <v/>
      </c>
      <c r="AC119" s="579" t="str">
        <f t="shared" si="993"/>
        <v/>
      </c>
      <c r="AD119" s="580" t="str">
        <f t="shared" si="994"/>
        <v/>
      </c>
      <c r="AE119" s="572" t="str">
        <f t="shared" si="995"/>
        <v/>
      </c>
      <c r="AF119" s="576" t="str">
        <f t="shared" si="996"/>
        <v/>
      </c>
      <c r="AG119" s="545" t="str">
        <f t="shared" si="997"/>
        <v/>
      </c>
      <c r="AH119" s="546" t="str">
        <f t="shared" si="998"/>
        <v/>
      </c>
      <c r="AI119" s="528" t="str">
        <f t="shared" si="999"/>
        <v/>
      </c>
      <c r="AJ119" s="529" t="str">
        <f t="shared" si="1000"/>
        <v/>
      </c>
      <c r="AK119" s="578" t="str">
        <f t="shared" si="1001"/>
        <v/>
      </c>
      <c r="AL119" s="572" t="str">
        <f t="shared" si="1002"/>
        <v/>
      </c>
      <c r="AM119" s="577" t="str">
        <f t="shared" si="1003"/>
        <v/>
      </c>
      <c r="AN119" s="524" t="str">
        <f t="shared" si="1004"/>
        <v/>
      </c>
      <c r="AO119" s="525" t="str">
        <f t="shared" si="590"/>
        <v/>
      </c>
      <c r="AP119" s="528" t="str">
        <f t="shared" si="1005"/>
        <v/>
      </c>
      <c r="AQ119" s="529" t="str">
        <f t="shared" si="909"/>
        <v/>
      </c>
      <c r="AS119" s="900" t="str">
        <f t="shared" si="1011"/>
        <v/>
      </c>
      <c r="AT119" s="896" t="str">
        <f t="shared" si="910"/>
        <v/>
      </c>
      <c r="AU119" s="418"/>
      <c r="AV119" s="164" t="str">
        <f t="shared" si="911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2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3"/>
        <v/>
      </c>
      <c r="BF119" s="4" t="str">
        <f t="shared" si="914"/>
        <v/>
      </c>
      <c r="BG119" s="5" t="str">
        <f t="shared" si="915"/>
        <v/>
      </c>
      <c r="BH119" s="10" t="str">
        <f t="shared" si="916"/>
        <v/>
      </c>
      <c r="BI119" s="9" t="str">
        <f t="shared" si="739"/>
        <v/>
      </c>
      <c r="BJ119" s="5" t="str">
        <f t="shared" si="917"/>
        <v/>
      </c>
      <c r="BK119" s="8" t="str">
        <f t="shared" si="918"/>
        <v/>
      </c>
      <c r="BL119" s="173" t="str">
        <f t="shared" si="919"/>
        <v/>
      </c>
      <c r="BM119" s="5" t="str">
        <f t="shared" si="920"/>
        <v/>
      </c>
      <c r="BN119" s="6" t="str">
        <f t="shared" si="921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6"/>
        <v/>
      </c>
      <c r="BT119" s="5" t="str">
        <f t="shared" si="1006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2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2"/>
        <v/>
      </c>
      <c r="DC119" s="5" t="str">
        <f t="shared" si="1012"/>
        <v/>
      </c>
      <c r="DD119" s="10" t="str">
        <f t="shared" si="764"/>
        <v/>
      </c>
      <c r="DE119" s="9" t="str">
        <f t="shared" si="1013"/>
        <v/>
      </c>
      <c r="DF119" s="5" t="str">
        <f t="shared" si="1013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3"/>
        <v/>
      </c>
      <c r="ET119" s="5" t="str">
        <f t="shared" si="924"/>
        <v/>
      </c>
      <c r="EU119" s="10" t="str">
        <f t="shared" si="925"/>
        <v/>
      </c>
      <c r="EV119" s="174" t="str">
        <f t="shared" si="926"/>
        <v/>
      </c>
      <c r="EW119" s="9" t="str">
        <f t="shared" si="927"/>
        <v/>
      </c>
      <c r="EX119" s="5" t="str">
        <f t="shared" si="928"/>
        <v/>
      </c>
      <c r="EY119" s="6" t="str">
        <f t="shared" si="804"/>
        <v/>
      </c>
      <c r="EZ119" s="51" t="str">
        <f t="shared" si="805"/>
        <v/>
      </c>
      <c r="FA119" s="173" t="str">
        <f t="shared" si="929"/>
        <v/>
      </c>
      <c r="FB119" s="5" t="str">
        <f t="shared" si="930"/>
        <v/>
      </c>
      <c r="FC119" s="6" t="str">
        <f t="shared" si="931"/>
        <v/>
      </c>
      <c r="FD119" s="4" t="str">
        <f t="shared" si="932"/>
        <v/>
      </c>
      <c r="FE119" s="5" t="str">
        <f t="shared" si="933"/>
        <v/>
      </c>
      <c r="FF119" s="7" t="str">
        <f t="shared" si="806"/>
        <v/>
      </c>
      <c r="FG119" s="173" t="str">
        <f t="shared" si="934"/>
        <v/>
      </c>
      <c r="FH119" s="5" t="str">
        <f t="shared" si="935"/>
        <v/>
      </c>
      <c r="FI119" s="10" t="str">
        <f t="shared" si="936"/>
        <v/>
      </c>
      <c r="FJ119" s="279" t="str">
        <f t="shared" si="807"/>
        <v/>
      </c>
      <c r="FK119" s="4" t="str">
        <f t="shared" si="937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8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9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40"/>
        <v/>
      </c>
      <c r="GH119" s="286" t="str">
        <f t="shared" si="941"/>
        <v/>
      </c>
      <c r="GI119" s="281" t="str">
        <f t="shared" si="942"/>
        <v/>
      </c>
      <c r="GJ119" s="167" t="str">
        <f t="shared" si="823"/>
        <v/>
      </c>
      <c r="GK119" s="174" t="str">
        <f t="shared" si="943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4"/>
        <v/>
      </c>
      <c r="GT119" s="343" t="str">
        <f t="shared" si="945"/>
        <v/>
      </c>
      <c r="GU119" s="344" t="str">
        <f t="shared" si="946"/>
        <v/>
      </c>
      <c r="GV119" s="343" t="str">
        <f t="shared" si="831"/>
        <v/>
      </c>
      <c r="GW119" s="345" t="str">
        <f t="shared" si="947"/>
        <v/>
      </c>
      <c r="GX119" s="346" t="str">
        <f t="shared" si="948"/>
        <v/>
      </c>
      <c r="GY119" s="344" t="str">
        <f t="shared" si="949"/>
        <v/>
      </c>
      <c r="GZ119" s="345" t="str">
        <f t="shared" si="950"/>
        <v/>
      </c>
      <c r="HA119" s="342" t="str">
        <f t="shared" si="951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2"/>
        <v/>
      </c>
      <c r="HF119" s="5" t="str">
        <f t="shared" si="953"/>
        <v/>
      </c>
      <c r="HG119" s="343" t="str">
        <f t="shared" si="835"/>
        <v/>
      </c>
      <c r="HH119" s="349" t="str">
        <f t="shared" si="836"/>
        <v/>
      </c>
      <c r="HI119" s="317" t="str">
        <f t="shared" si="954"/>
        <v/>
      </c>
      <c r="HK119" s="310" t="str">
        <f t="shared" si="1007"/>
        <v/>
      </c>
      <c r="HL119" s="348" t="str">
        <f t="shared" si="955"/>
        <v/>
      </c>
      <c r="HM119" s="935" t="str">
        <f t="shared" si="956"/>
        <v/>
      </c>
      <c r="HN119" s="936" t="str">
        <f t="shared" si="957"/>
        <v/>
      </c>
      <c r="HO119" s="937"/>
      <c r="HP119" s="938"/>
      <c r="HQ119" s="936" t="str">
        <f t="shared" si="958"/>
        <v/>
      </c>
      <c r="HR119" s="939" t="str">
        <f t="shared" si="959"/>
        <v/>
      </c>
      <c r="HS119" s="940" t="str">
        <f t="shared" si="1008"/>
        <v/>
      </c>
      <c r="HT119" s="941" t="str">
        <f t="shared" si="960"/>
        <v/>
      </c>
      <c r="HU119" s="942" t="str">
        <f t="shared" si="961"/>
        <v/>
      </c>
      <c r="HV119" s="943" t="str">
        <f t="shared" si="962"/>
        <v/>
      </c>
      <c r="HW119" s="944" t="str">
        <f t="shared" si="963"/>
        <v/>
      </c>
      <c r="HX119" s="947" t="str">
        <f t="shared" si="964"/>
        <v/>
      </c>
      <c r="HY119" s="952" t="str">
        <f t="shared" si="965"/>
        <v/>
      </c>
      <c r="HZ119" s="953" t="str">
        <f t="shared" si="966"/>
        <v/>
      </c>
      <c r="IA119" s="954" t="str">
        <f t="shared" si="967"/>
        <v/>
      </c>
      <c r="IB119" s="955" t="str">
        <f t="shared" si="968"/>
        <v/>
      </c>
      <c r="IC119" s="842" t="str">
        <f t="shared" si="969"/>
        <v/>
      </c>
      <c r="ID119" s="351" t="str">
        <f t="shared" si="970"/>
        <v/>
      </c>
      <c r="IE119" s="844" t="str">
        <f t="shared" si="971"/>
        <v/>
      </c>
      <c r="IF119" s="845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37"/>
        <v/>
      </c>
      <c r="IJ119" s="96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72"/>
        <v/>
      </c>
      <c r="IM119" s="482" t="str">
        <f t="shared" si="838"/>
        <v/>
      </c>
      <c r="IN119" s="670" t="str">
        <f t="shared" si="973"/>
        <v/>
      </c>
      <c r="IO119" s="702"/>
      <c r="IP119" s="5" t="str">
        <f t="shared" si="974"/>
        <v/>
      </c>
      <c r="IQ119" s="714"/>
      <c r="IR119" s="9" t="str">
        <f t="shared" si="975"/>
        <v/>
      </c>
      <c r="IS119" s="5" t="str">
        <f t="shared" si="976"/>
        <v/>
      </c>
      <c r="IT119" s="5" t="str">
        <f t="shared" si="977"/>
        <v/>
      </c>
      <c r="IU119" s="5" t="str">
        <f t="shared" si="978"/>
        <v/>
      </c>
      <c r="IV119" s="670" t="str">
        <f t="shared" si="979"/>
        <v/>
      </c>
      <c r="IW119" s="9" t="str">
        <f t="shared" si="980"/>
        <v/>
      </c>
      <c r="IX119" s="5" t="str">
        <f t="shared" si="981"/>
        <v/>
      </c>
      <c r="IY119" s="5" t="str">
        <f t="shared" si="982"/>
        <v/>
      </c>
      <c r="IZ119" s="5" t="str">
        <f t="shared" si="983"/>
        <v/>
      </c>
      <c r="JA119" s="705" t="str">
        <f t="shared" si="984"/>
        <v/>
      </c>
    </row>
    <row r="120" spans="1:261" ht="15" customHeight="1" x14ac:dyDescent="0.25">
      <c r="A120" s="75" t="str">
        <f t="shared" si="899"/>
        <v/>
      </c>
      <c r="B120" s="578" t="str">
        <f t="shared" ref="B120:D120" si="1038">IFERROR(O275+($A120*-E120),"")</f>
        <v/>
      </c>
      <c r="C120" s="572" t="str">
        <f t="shared" si="1038"/>
        <v/>
      </c>
      <c r="D120" s="576" t="str">
        <f t="shared" si="1038"/>
        <v/>
      </c>
      <c r="E120" s="580" t="str">
        <f t="shared" ref="E120:K120" si="1039">R275</f>
        <v/>
      </c>
      <c r="F120" s="572" t="str">
        <f t="shared" si="1039"/>
        <v/>
      </c>
      <c r="G120" s="579" t="str">
        <f t="shared" si="1039"/>
        <v/>
      </c>
      <c r="H120" s="580" t="str">
        <f t="shared" si="1039"/>
        <v/>
      </c>
      <c r="I120" s="572" t="str">
        <f t="shared" si="1039"/>
        <v/>
      </c>
      <c r="J120" s="483" t="str">
        <f t="shared" si="711"/>
        <v/>
      </c>
      <c r="K120" s="806" t="str">
        <f t="shared" si="1039"/>
        <v/>
      </c>
      <c r="L120" s="309"/>
      <c r="M120" s="164" t="str">
        <f t="shared" si="902"/>
        <v/>
      </c>
      <c r="N120" s="575" t="str">
        <f t="shared" si="903"/>
        <v/>
      </c>
      <c r="O120" s="572" t="str">
        <f t="shared" si="904"/>
        <v/>
      </c>
      <c r="P120" s="576" t="str">
        <f t="shared" si="905"/>
        <v/>
      </c>
      <c r="Q120" s="528" t="str">
        <f t="shared" si="712"/>
        <v/>
      </c>
      <c r="R120" s="572" t="str">
        <f t="shared" si="987"/>
        <v/>
      </c>
      <c r="S120" s="577" t="str">
        <f t="shared" si="988"/>
        <v/>
      </c>
      <c r="T120" s="578" t="str">
        <f t="shared" si="989"/>
        <v/>
      </c>
      <c r="U120" s="572" t="str">
        <f t="shared" si="990"/>
        <v/>
      </c>
      <c r="V120" s="579" t="str">
        <f t="shared" si="991"/>
        <v/>
      </c>
      <c r="W120" s="528" t="str">
        <f t="shared" si="848"/>
        <v/>
      </c>
      <c r="X120" s="572" t="str">
        <f t="shared" si="992"/>
        <v/>
      </c>
      <c r="Y120" s="573" t="str">
        <f t="shared" si="841"/>
        <v/>
      </c>
      <c r="Z120" s="575" t="str">
        <f t="shared" si="906"/>
        <v/>
      </c>
      <c r="AA120" s="572" t="str">
        <f t="shared" si="907"/>
        <v/>
      </c>
      <c r="AB120" s="572" t="str">
        <f t="shared" si="908"/>
        <v/>
      </c>
      <c r="AC120" s="579" t="str">
        <f t="shared" si="993"/>
        <v/>
      </c>
      <c r="AD120" s="580" t="str">
        <f t="shared" si="994"/>
        <v/>
      </c>
      <c r="AE120" s="572" t="str">
        <f t="shared" si="995"/>
        <v/>
      </c>
      <c r="AF120" s="576" t="str">
        <f t="shared" si="996"/>
        <v/>
      </c>
      <c r="AG120" s="545" t="str">
        <f t="shared" si="997"/>
        <v/>
      </c>
      <c r="AH120" s="546" t="str">
        <f t="shared" si="998"/>
        <v/>
      </c>
      <c r="AI120" s="528" t="str">
        <f t="shared" si="999"/>
        <v/>
      </c>
      <c r="AJ120" s="529" t="str">
        <f t="shared" si="1000"/>
        <v/>
      </c>
      <c r="AK120" s="578" t="str">
        <f t="shared" si="1001"/>
        <v/>
      </c>
      <c r="AL120" s="572" t="str">
        <f t="shared" si="1002"/>
        <v/>
      </c>
      <c r="AM120" s="577" t="str">
        <f t="shared" si="1003"/>
        <v/>
      </c>
      <c r="AN120" s="524" t="str">
        <f t="shared" si="1004"/>
        <v/>
      </c>
      <c r="AO120" s="525" t="str">
        <f t="shared" ref="AO120:AO150" si="1040">IF(ROUND(IF(M120="",0,DEGREES(ACOS(AK120))),4)=90,0,IF(M120="","",DEGREES(ACOS(AK120))))</f>
        <v/>
      </c>
      <c r="AP120" s="528" t="str">
        <f t="shared" si="1005"/>
        <v/>
      </c>
      <c r="AQ120" s="529" t="str">
        <f t="shared" si="909"/>
        <v/>
      </c>
      <c r="AS120" s="900" t="str">
        <f t="shared" si="1011"/>
        <v/>
      </c>
      <c r="AT120" s="896" t="str">
        <f t="shared" si="910"/>
        <v/>
      </c>
      <c r="AU120" s="418"/>
      <c r="AV120" s="164" t="str">
        <f t="shared" si="911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2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3"/>
        <v/>
      </c>
      <c r="BF120" s="4" t="str">
        <f t="shared" si="914"/>
        <v/>
      </c>
      <c r="BG120" s="5" t="str">
        <f t="shared" si="915"/>
        <v/>
      </c>
      <c r="BH120" s="10" t="str">
        <f t="shared" si="916"/>
        <v/>
      </c>
      <c r="BI120" s="9" t="str">
        <f t="shared" si="739"/>
        <v/>
      </c>
      <c r="BJ120" s="5" t="str">
        <f t="shared" si="917"/>
        <v/>
      </c>
      <c r="BK120" s="8" t="str">
        <f t="shared" si="918"/>
        <v/>
      </c>
      <c r="BL120" s="173" t="str">
        <f t="shared" si="919"/>
        <v/>
      </c>
      <c r="BM120" s="5" t="str">
        <f t="shared" si="920"/>
        <v/>
      </c>
      <c r="BN120" s="6" t="str">
        <f t="shared" si="921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6"/>
        <v/>
      </c>
      <c r="BT120" s="5" t="str">
        <f t="shared" si="1006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2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2"/>
        <v/>
      </c>
      <c r="DC120" s="5" t="str">
        <f t="shared" si="1012"/>
        <v/>
      </c>
      <c r="DD120" s="10" t="str">
        <f t="shared" si="764"/>
        <v/>
      </c>
      <c r="DE120" s="9" t="str">
        <f t="shared" si="1013"/>
        <v/>
      </c>
      <c r="DF120" s="5" t="str">
        <f t="shared" si="1013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3"/>
        <v/>
      </c>
      <c r="ET120" s="5" t="str">
        <f t="shared" si="924"/>
        <v/>
      </c>
      <c r="EU120" s="10" t="str">
        <f t="shared" si="925"/>
        <v/>
      </c>
      <c r="EV120" s="174" t="str">
        <f t="shared" si="926"/>
        <v/>
      </c>
      <c r="EW120" s="9" t="str">
        <f t="shared" si="927"/>
        <v/>
      </c>
      <c r="EX120" s="5" t="str">
        <f t="shared" si="928"/>
        <v/>
      </c>
      <c r="EY120" s="6" t="str">
        <f t="shared" si="804"/>
        <v/>
      </c>
      <c r="EZ120" s="51" t="str">
        <f t="shared" si="805"/>
        <v/>
      </c>
      <c r="FA120" s="173" t="str">
        <f t="shared" si="929"/>
        <v/>
      </c>
      <c r="FB120" s="5" t="str">
        <f t="shared" si="930"/>
        <v/>
      </c>
      <c r="FC120" s="6" t="str">
        <f t="shared" si="931"/>
        <v/>
      </c>
      <c r="FD120" s="4" t="str">
        <f t="shared" si="932"/>
        <v/>
      </c>
      <c r="FE120" s="5" t="str">
        <f t="shared" si="933"/>
        <v/>
      </c>
      <c r="FF120" s="7" t="str">
        <f t="shared" si="806"/>
        <v/>
      </c>
      <c r="FG120" s="173" t="str">
        <f t="shared" si="934"/>
        <v/>
      </c>
      <c r="FH120" s="5" t="str">
        <f t="shared" si="935"/>
        <v/>
      </c>
      <c r="FI120" s="10" t="str">
        <f t="shared" si="936"/>
        <v/>
      </c>
      <c r="FJ120" s="279" t="str">
        <f t="shared" si="807"/>
        <v/>
      </c>
      <c r="FK120" s="4" t="str">
        <f t="shared" si="937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8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9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40"/>
        <v/>
      </c>
      <c r="GH120" s="286" t="str">
        <f t="shared" si="941"/>
        <v/>
      </c>
      <c r="GI120" s="281" t="str">
        <f t="shared" si="942"/>
        <v/>
      </c>
      <c r="GJ120" s="167" t="str">
        <f t="shared" si="823"/>
        <v/>
      </c>
      <c r="GK120" s="174" t="str">
        <f t="shared" si="943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4"/>
        <v/>
      </c>
      <c r="GT120" s="343" t="str">
        <f t="shared" si="945"/>
        <v/>
      </c>
      <c r="GU120" s="344" t="str">
        <f t="shared" si="946"/>
        <v/>
      </c>
      <c r="GV120" s="343" t="str">
        <f t="shared" si="831"/>
        <v/>
      </c>
      <c r="GW120" s="345" t="str">
        <f t="shared" si="947"/>
        <v/>
      </c>
      <c r="GX120" s="346" t="str">
        <f t="shared" si="948"/>
        <v/>
      </c>
      <c r="GY120" s="344" t="str">
        <f t="shared" si="949"/>
        <v/>
      </c>
      <c r="GZ120" s="345" t="str">
        <f t="shared" si="950"/>
        <v/>
      </c>
      <c r="HA120" s="342" t="str">
        <f t="shared" si="951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2"/>
        <v/>
      </c>
      <c r="HF120" s="5" t="str">
        <f t="shared" si="953"/>
        <v/>
      </c>
      <c r="HG120" s="343" t="str">
        <f t="shared" si="835"/>
        <v/>
      </c>
      <c r="HH120" s="349" t="str">
        <f t="shared" si="836"/>
        <v/>
      </c>
      <c r="HI120" s="317" t="str">
        <f t="shared" si="954"/>
        <v/>
      </c>
      <c r="HK120" s="310" t="str">
        <f t="shared" si="1007"/>
        <v/>
      </c>
      <c r="HL120" s="348" t="str">
        <f t="shared" si="955"/>
        <v/>
      </c>
      <c r="HM120" s="935" t="str">
        <f t="shared" si="956"/>
        <v/>
      </c>
      <c r="HN120" s="936" t="str">
        <f t="shared" si="957"/>
        <v/>
      </c>
      <c r="HO120" s="937"/>
      <c r="HP120" s="938"/>
      <c r="HQ120" s="936" t="str">
        <f t="shared" si="958"/>
        <v/>
      </c>
      <c r="HR120" s="939" t="str">
        <f t="shared" si="959"/>
        <v/>
      </c>
      <c r="HS120" s="940" t="str">
        <f t="shared" si="1008"/>
        <v/>
      </c>
      <c r="HT120" s="941" t="str">
        <f t="shared" si="960"/>
        <v/>
      </c>
      <c r="HU120" s="942" t="str">
        <f t="shared" si="961"/>
        <v/>
      </c>
      <c r="HV120" s="943" t="str">
        <f t="shared" si="962"/>
        <v/>
      </c>
      <c r="HW120" s="944" t="str">
        <f t="shared" si="963"/>
        <v/>
      </c>
      <c r="HX120" s="947" t="str">
        <f t="shared" si="964"/>
        <v/>
      </c>
      <c r="HY120" s="952" t="str">
        <f t="shared" si="965"/>
        <v/>
      </c>
      <c r="HZ120" s="953" t="str">
        <f t="shared" si="966"/>
        <v/>
      </c>
      <c r="IA120" s="954" t="str">
        <f t="shared" si="967"/>
        <v/>
      </c>
      <c r="IB120" s="955" t="str">
        <f t="shared" si="968"/>
        <v/>
      </c>
      <c r="IC120" s="842" t="str">
        <f t="shared" si="969"/>
        <v/>
      </c>
      <c r="ID120" s="351" t="str">
        <f t="shared" si="970"/>
        <v/>
      </c>
      <c r="IE120" s="844" t="str">
        <f t="shared" si="971"/>
        <v/>
      </c>
      <c r="IF120" s="845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37"/>
        <v/>
      </c>
      <c r="IJ120" s="96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72"/>
        <v/>
      </c>
      <c r="IM120" s="482" t="str">
        <f t="shared" si="838"/>
        <v/>
      </c>
      <c r="IN120" s="670" t="str">
        <f t="shared" si="973"/>
        <v/>
      </c>
      <c r="IO120" s="702"/>
      <c r="IP120" s="5" t="str">
        <f t="shared" si="974"/>
        <v/>
      </c>
      <c r="IQ120" s="714"/>
      <c r="IR120" s="9" t="str">
        <f t="shared" si="975"/>
        <v/>
      </c>
      <c r="IS120" s="5" t="str">
        <f t="shared" si="976"/>
        <v/>
      </c>
      <c r="IT120" s="5" t="str">
        <f t="shared" si="977"/>
        <v/>
      </c>
      <c r="IU120" s="5" t="str">
        <f t="shared" si="978"/>
        <v/>
      </c>
      <c r="IV120" s="670" t="str">
        <f t="shared" si="979"/>
        <v/>
      </c>
      <c r="IW120" s="9" t="str">
        <f t="shared" si="980"/>
        <v/>
      </c>
      <c r="IX120" s="5" t="str">
        <f t="shared" si="981"/>
        <v/>
      </c>
      <c r="IY120" s="5" t="str">
        <f t="shared" si="982"/>
        <v/>
      </c>
      <c r="IZ120" s="5" t="str">
        <f t="shared" si="983"/>
        <v/>
      </c>
      <c r="JA120" s="705" t="str">
        <f t="shared" si="984"/>
        <v/>
      </c>
    </row>
    <row r="121" spans="1:261" ht="15" customHeight="1" x14ac:dyDescent="0.25">
      <c r="A121" s="75" t="str">
        <f t="shared" si="899"/>
        <v/>
      </c>
      <c r="B121" s="578" t="str">
        <f t="shared" ref="B121:D121" si="1041">IFERROR(O276+($A121*-E121),"")</f>
        <v/>
      </c>
      <c r="C121" s="572" t="str">
        <f t="shared" si="1041"/>
        <v/>
      </c>
      <c r="D121" s="576" t="str">
        <f t="shared" si="1041"/>
        <v/>
      </c>
      <c r="E121" s="580" t="str">
        <f t="shared" ref="E121:K121" si="1042">R276</f>
        <v/>
      </c>
      <c r="F121" s="572" t="str">
        <f t="shared" si="1042"/>
        <v/>
      </c>
      <c r="G121" s="579" t="str">
        <f t="shared" si="1042"/>
        <v/>
      </c>
      <c r="H121" s="580" t="str">
        <f t="shared" si="1042"/>
        <v/>
      </c>
      <c r="I121" s="572" t="str">
        <f t="shared" si="1042"/>
        <v/>
      </c>
      <c r="J121" s="483" t="str">
        <f t="shared" si="711"/>
        <v/>
      </c>
      <c r="K121" s="806" t="str">
        <f t="shared" si="1042"/>
        <v/>
      </c>
      <c r="L121" s="309"/>
      <c r="M121" s="164" t="str">
        <f t="shared" si="902"/>
        <v/>
      </c>
      <c r="N121" s="575" t="str">
        <f t="shared" si="903"/>
        <v/>
      </c>
      <c r="O121" s="572" t="str">
        <f t="shared" si="904"/>
        <v/>
      </c>
      <c r="P121" s="576" t="str">
        <f t="shared" si="905"/>
        <v/>
      </c>
      <c r="Q121" s="528" t="str">
        <f t="shared" si="712"/>
        <v/>
      </c>
      <c r="R121" s="572" t="str">
        <f t="shared" si="987"/>
        <v/>
      </c>
      <c r="S121" s="577" t="str">
        <f t="shared" si="988"/>
        <v/>
      </c>
      <c r="T121" s="578" t="str">
        <f t="shared" si="989"/>
        <v/>
      </c>
      <c r="U121" s="572" t="str">
        <f t="shared" si="990"/>
        <v/>
      </c>
      <c r="V121" s="579" t="str">
        <f t="shared" si="991"/>
        <v/>
      </c>
      <c r="W121" s="528" t="str">
        <f t="shared" si="848"/>
        <v/>
      </c>
      <c r="X121" s="572" t="str">
        <f t="shared" si="992"/>
        <v/>
      </c>
      <c r="Y121" s="573" t="str">
        <f t="shared" si="841"/>
        <v/>
      </c>
      <c r="Z121" s="575" t="str">
        <f t="shared" si="906"/>
        <v/>
      </c>
      <c r="AA121" s="572" t="str">
        <f t="shared" si="907"/>
        <v/>
      </c>
      <c r="AB121" s="572" t="str">
        <f t="shared" si="908"/>
        <v/>
      </c>
      <c r="AC121" s="579" t="str">
        <f t="shared" si="993"/>
        <v/>
      </c>
      <c r="AD121" s="580" t="str">
        <f t="shared" si="994"/>
        <v/>
      </c>
      <c r="AE121" s="572" t="str">
        <f t="shared" si="995"/>
        <v/>
      </c>
      <c r="AF121" s="576" t="str">
        <f t="shared" si="996"/>
        <v/>
      </c>
      <c r="AG121" s="545" t="str">
        <f t="shared" si="997"/>
        <v/>
      </c>
      <c r="AH121" s="546" t="str">
        <f t="shared" si="998"/>
        <v/>
      </c>
      <c r="AI121" s="528" t="str">
        <f t="shared" si="999"/>
        <v/>
      </c>
      <c r="AJ121" s="529" t="str">
        <f t="shared" si="1000"/>
        <v/>
      </c>
      <c r="AK121" s="578" t="str">
        <f t="shared" si="1001"/>
        <v/>
      </c>
      <c r="AL121" s="572" t="str">
        <f t="shared" si="1002"/>
        <v/>
      </c>
      <c r="AM121" s="577" t="str">
        <f t="shared" si="1003"/>
        <v/>
      </c>
      <c r="AN121" s="524" t="str">
        <f t="shared" si="1004"/>
        <v/>
      </c>
      <c r="AO121" s="525" t="str">
        <f t="shared" si="1040"/>
        <v/>
      </c>
      <c r="AP121" s="528" t="str">
        <f t="shared" si="1005"/>
        <v/>
      </c>
      <c r="AQ121" s="529" t="str">
        <f t="shared" si="909"/>
        <v/>
      </c>
      <c r="AS121" s="900" t="str">
        <f t="shared" si="1011"/>
        <v/>
      </c>
      <c r="AT121" s="896" t="str">
        <f t="shared" si="910"/>
        <v/>
      </c>
      <c r="AU121" s="418"/>
      <c r="AV121" s="164" t="str">
        <f t="shared" si="911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2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3"/>
        <v/>
      </c>
      <c r="BF121" s="4" t="str">
        <f t="shared" si="914"/>
        <v/>
      </c>
      <c r="BG121" s="5" t="str">
        <f t="shared" si="915"/>
        <v/>
      </c>
      <c r="BH121" s="10" t="str">
        <f t="shared" si="916"/>
        <v/>
      </c>
      <c r="BI121" s="9" t="str">
        <f t="shared" si="739"/>
        <v/>
      </c>
      <c r="BJ121" s="5" t="str">
        <f t="shared" si="917"/>
        <v/>
      </c>
      <c r="BK121" s="8" t="str">
        <f t="shared" si="918"/>
        <v/>
      </c>
      <c r="BL121" s="173" t="str">
        <f t="shared" si="919"/>
        <v/>
      </c>
      <c r="BM121" s="5" t="str">
        <f t="shared" si="920"/>
        <v/>
      </c>
      <c r="BN121" s="6" t="str">
        <f t="shared" si="921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6"/>
        <v/>
      </c>
      <c r="BT121" s="5" t="str">
        <f t="shared" si="1006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2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2"/>
        <v/>
      </c>
      <c r="DC121" s="5" t="str">
        <f t="shared" si="1012"/>
        <v/>
      </c>
      <c r="DD121" s="10" t="str">
        <f t="shared" si="764"/>
        <v/>
      </c>
      <c r="DE121" s="9" t="str">
        <f t="shared" si="1013"/>
        <v/>
      </c>
      <c r="DF121" s="5" t="str">
        <f t="shared" si="1013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3"/>
        <v/>
      </c>
      <c r="ET121" s="5" t="str">
        <f t="shared" si="924"/>
        <v/>
      </c>
      <c r="EU121" s="10" t="str">
        <f t="shared" si="925"/>
        <v/>
      </c>
      <c r="EV121" s="174" t="str">
        <f t="shared" si="926"/>
        <v/>
      </c>
      <c r="EW121" s="9" t="str">
        <f t="shared" si="927"/>
        <v/>
      </c>
      <c r="EX121" s="5" t="str">
        <f t="shared" si="928"/>
        <v/>
      </c>
      <c r="EY121" s="6" t="str">
        <f t="shared" si="804"/>
        <v/>
      </c>
      <c r="EZ121" s="51" t="str">
        <f t="shared" si="805"/>
        <v/>
      </c>
      <c r="FA121" s="173" t="str">
        <f t="shared" si="929"/>
        <v/>
      </c>
      <c r="FB121" s="5" t="str">
        <f t="shared" si="930"/>
        <v/>
      </c>
      <c r="FC121" s="6" t="str">
        <f t="shared" si="931"/>
        <v/>
      </c>
      <c r="FD121" s="4" t="str">
        <f t="shared" si="932"/>
        <v/>
      </c>
      <c r="FE121" s="5" t="str">
        <f t="shared" si="933"/>
        <v/>
      </c>
      <c r="FF121" s="7" t="str">
        <f t="shared" si="806"/>
        <v/>
      </c>
      <c r="FG121" s="173" t="str">
        <f t="shared" si="934"/>
        <v/>
      </c>
      <c r="FH121" s="5" t="str">
        <f t="shared" si="935"/>
        <v/>
      </c>
      <c r="FI121" s="10" t="str">
        <f t="shared" si="936"/>
        <v/>
      </c>
      <c r="FJ121" s="279" t="str">
        <f t="shared" si="807"/>
        <v/>
      </c>
      <c r="FK121" s="4" t="str">
        <f t="shared" si="937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8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9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40"/>
        <v/>
      </c>
      <c r="GH121" s="286" t="str">
        <f t="shared" si="941"/>
        <v/>
      </c>
      <c r="GI121" s="281" t="str">
        <f t="shared" si="942"/>
        <v/>
      </c>
      <c r="GJ121" s="167" t="str">
        <f t="shared" si="823"/>
        <v/>
      </c>
      <c r="GK121" s="174" t="str">
        <f t="shared" si="943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4"/>
        <v/>
      </c>
      <c r="GT121" s="343" t="str">
        <f t="shared" si="945"/>
        <v/>
      </c>
      <c r="GU121" s="344" t="str">
        <f t="shared" si="946"/>
        <v/>
      </c>
      <c r="GV121" s="343" t="str">
        <f t="shared" si="831"/>
        <v/>
      </c>
      <c r="GW121" s="345" t="str">
        <f t="shared" si="947"/>
        <v/>
      </c>
      <c r="GX121" s="346" t="str">
        <f t="shared" si="948"/>
        <v/>
      </c>
      <c r="GY121" s="344" t="str">
        <f t="shared" si="949"/>
        <v/>
      </c>
      <c r="GZ121" s="345" t="str">
        <f t="shared" si="950"/>
        <v/>
      </c>
      <c r="HA121" s="342" t="str">
        <f t="shared" si="951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2"/>
        <v/>
      </c>
      <c r="HF121" s="5" t="str">
        <f t="shared" si="953"/>
        <v/>
      </c>
      <c r="HG121" s="343" t="str">
        <f t="shared" si="835"/>
        <v/>
      </c>
      <c r="HH121" s="349" t="str">
        <f t="shared" si="836"/>
        <v/>
      </c>
      <c r="HI121" s="317" t="str">
        <f t="shared" si="954"/>
        <v/>
      </c>
      <c r="HK121" s="310" t="str">
        <f t="shared" si="1007"/>
        <v/>
      </c>
      <c r="HL121" s="348" t="str">
        <f t="shared" si="955"/>
        <v/>
      </c>
      <c r="HM121" s="935" t="str">
        <f t="shared" si="956"/>
        <v/>
      </c>
      <c r="HN121" s="936" t="str">
        <f t="shared" si="957"/>
        <v/>
      </c>
      <c r="HO121" s="937"/>
      <c r="HP121" s="938"/>
      <c r="HQ121" s="936" t="str">
        <f t="shared" si="958"/>
        <v/>
      </c>
      <c r="HR121" s="939" t="str">
        <f t="shared" si="959"/>
        <v/>
      </c>
      <c r="HS121" s="940" t="str">
        <f t="shared" si="1008"/>
        <v/>
      </c>
      <c r="HT121" s="941" t="str">
        <f t="shared" si="960"/>
        <v/>
      </c>
      <c r="HU121" s="942" t="str">
        <f t="shared" si="961"/>
        <v/>
      </c>
      <c r="HV121" s="943" t="str">
        <f t="shared" si="962"/>
        <v/>
      </c>
      <c r="HW121" s="944" t="str">
        <f t="shared" si="963"/>
        <v/>
      </c>
      <c r="HX121" s="947" t="str">
        <f t="shared" si="964"/>
        <v/>
      </c>
      <c r="HY121" s="952" t="str">
        <f t="shared" si="965"/>
        <v/>
      </c>
      <c r="HZ121" s="953" t="str">
        <f t="shared" si="966"/>
        <v/>
      </c>
      <c r="IA121" s="954" t="str">
        <f t="shared" si="967"/>
        <v/>
      </c>
      <c r="IB121" s="955" t="str">
        <f t="shared" si="968"/>
        <v/>
      </c>
      <c r="IC121" s="842" t="str">
        <f t="shared" si="969"/>
        <v/>
      </c>
      <c r="ID121" s="351" t="str">
        <f t="shared" si="970"/>
        <v/>
      </c>
      <c r="IE121" s="844" t="str">
        <f t="shared" si="971"/>
        <v/>
      </c>
      <c r="IF121" s="845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37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72"/>
        <v/>
      </c>
      <c r="IM121" s="482" t="str">
        <f t="shared" si="838"/>
        <v/>
      </c>
      <c r="IN121" s="670" t="str">
        <f t="shared" si="973"/>
        <v/>
      </c>
      <c r="IO121" s="702"/>
      <c r="IP121" s="5" t="str">
        <f t="shared" si="974"/>
        <v/>
      </c>
      <c r="IQ121" s="714"/>
      <c r="IR121" s="9" t="str">
        <f t="shared" si="975"/>
        <v/>
      </c>
      <c r="IS121" s="5" t="str">
        <f t="shared" si="976"/>
        <v/>
      </c>
      <c r="IT121" s="5" t="str">
        <f t="shared" si="977"/>
        <v/>
      </c>
      <c r="IU121" s="5" t="str">
        <f t="shared" si="978"/>
        <v/>
      </c>
      <c r="IV121" s="670" t="str">
        <f t="shared" si="979"/>
        <v/>
      </c>
      <c r="IW121" s="9" t="str">
        <f t="shared" si="980"/>
        <v/>
      </c>
      <c r="IX121" s="5" t="str">
        <f t="shared" si="981"/>
        <v/>
      </c>
      <c r="IY121" s="5" t="str">
        <f t="shared" si="982"/>
        <v/>
      </c>
      <c r="IZ121" s="5" t="str">
        <f t="shared" si="983"/>
        <v/>
      </c>
      <c r="JA121" s="705" t="str">
        <f t="shared" si="984"/>
        <v/>
      </c>
    </row>
    <row r="122" spans="1:261" ht="15" customHeight="1" x14ac:dyDescent="0.25">
      <c r="A122" s="75" t="str">
        <f t="shared" si="899"/>
        <v/>
      </c>
      <c r="B122" s="578" t="str">
        <f t="shared" ref="B122:D122" si="1043">IFERROR(O277+($A122*-E122),"")</f>
        <v/>
      </c>
      <c r="C122" s="572" t="str">
        <f t="shared" si="1043"/>
        <v/>
      </c>
      <c r="D122" s="576" t="str">
        <f t="shared" si="1043"/>
        <v/>
      </c>
      <c r="E122" s="580" t="str">
        <f t="shared" ref="E122:K122" si="1044">R277</f>
        <v/>
      </c>
      <c r="F122" s="572" t="str">
        <f t="shared" si="1044"/>
        <v/>
      </c>
      <c r="G122" s="579" t="str">
        <f t="shared" si="1044"/>
        <v/>
      </c>
      <c r="H122" s="580" t="str">
        <f t="shared" si="1044"/>
        <v/>
      </c>
      <c r="I122" s="572" t="str">
        <f t="shared" si="1044"/>
        <v/>
      </c>
      <c r="J122" s="483" t="str">
        <f t="shared" si="711"/>
        <v/>
      </c>
      <c r="K122" s="806" t="str">
        <f t="shared" si="1044"/>
        <v/>
      </c>
      <c r="L122" s="309"/>
      <c r="M122" s="164" t="str">
        <f t="shared" si="902"/>
        <v/>
      </c>
      <c r="N122" s="575" t="str">
        <f t="shared" si="903"/>
        <v/>
      </c>
      <c r="O122" s="572" t="str">
        <f t="shared" si="904"/>
        <v/>
      </c>
      <c r="P122" s="576" t="str">
        <f t="shared" si="905"/>
        <v/>
      </c>
      <c r="Q122" s="528" t="str">
        <f t="shared" si="712"/>
        <v/>
      </c>
      <c r="R122" s="572" t="str">
        <f t="shared" si="987"/>
        <v/>
      </c>
      <c r="S122" s="577" t="str">
        <f t="shared" si="988"/>
        <v/>
      </c>
      <c r="T122" s="578" t="str">
        <f t="shared" si="989"/>
        <v/>
      </c>
      <c r="U122" s="572" t="str">
        <f t="shared" si="990"/>
        <v/>
      </c>
      <c r="V122" s="579" t="str">
        <f t="shared" si="991"/>
        <v/>
      </c>
      <c r="W122" s="528" t="str">
        <f t="shared" si="848"/>
        <v/>
      </c>
      <c r="X122" s="572" t="str">
        <f t="shared" si="992"/>
        <v/>
      </c>
      <c r="Y122" s="573" t="str">
        <f t="shared" si="841"/>
        <v/>
      </c>
      <c r="Z122" s="575" t="str">
        <f t="shared" si="906"/>
        <v/>
      </c>
      <c r="AA122" s="572" t="str">
        <f t="shared" si="907"/>
        <v/>
      </c>
      <c r="AB122" s="572" t="str">
        <f t="shared" si="908"/>
        <v/>
      </c>
      <c r="AC122" s="579" t="str">
        <f t="shared" si="993"/>
        <v/>
      </c>
      <c r="AD122" s="580" t="str">
        <f t="shared" si="994"/>
        <v/>
      </c>
      <c r="AE122" s="572" t="str">
        <f t="shared" si="995"/>
        <v/>
      </c>
      <c r="AF122" s="576" t="str">
        <f t="shared" si="996"/>
        <v/>
      </c>
      <c r="AG122" s="545" t="str">
        <f t="shared" si="997"/>
        <v/>
      </c>
      <c r="AH122" s="546" t="str">
        <f t="shared" si="998"/>
        <v/>
      </c>
      <c r="AI122" s="528" t="str">
        <f t="shared" si="999"/>
        <v/>
      </c>
      <c r="AJ122" s="529" t="str">
        <f t="shared" si="1000"/>
        <v/>
      </c>
      <c r="AK122" s="578" t="str">
        <f t="shared" si="1001"/>
        <v/>
      </c>
      <c r="AL122" s="572" t="str">
        <f t="shared" si="1002"/>
        <v/>
      </c>
      <c r="AM122" s="577" t="str">
        <f t="shared" si="1003"/>
        <v/>
      </c>
      <c r="AN122" s="524" t="str">
        <f t="shared" si="1004"/>
        <v/>
      </c>
      <c r="AO122" s="525" t="str">
        <f t="shared" si="1040"/>
        <v/>
      </c>
      <c r="AP122" s="528" t="str">
        <f t="shared" si="1005"/>
        <v/>
      </c>
      <c r="AQ122" s="529" t="str">
        <f t="shared" si="909"/>
        <v/>
      </c>
      <c r="AS122" s="900" t="str">
        <f t="shared" si="1011"/>
        <v/>
      </c>
      <c r="AT122" s="896" t="str">
        <f t="shared" si="910"/>
        <v/>
      </c>
      <c r="AU122" s="418"/>
      <c r="AV122" s="164" t="str">
        <f t="shared" si="911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2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3"/>
        <v/>
      </c>
      <c r="BF122" s="4" t="str">
        <f t="shared" si="914"/>
        <v/>
      </c>
      <c r="BG122" s="5" t="str">
        <f t="shared" si="915"/>
        <v/>
      </c>
      <c r="BH122" s="10" t="str">
        <f t="shared" si="916"/>
        <v/>
      </c>
      <c r="BI122" s="9" t="str">
        <f t="shared" si="739"/>
        <v/>
      </c>
      <c r="BJ122" s="5" t="str">
        <f t="shared" si="917"/>
        <v/>
      </c>
      <c r="BK122" s="8" t="str">
        <f t="shared" si="918"/>
        <v/>
      </c>
      <c r="BL122" s="173" t="str">
        <f t="shared" si="919"/>
        <v/>
      </c>
      <c r="BM122" s="5" t="str">
        <f t="shared" si="920"/>
        <v/>
      </c>
      <c r="BN122" s="6" t="str">
        <f t="shared" si="921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6"/>
        <v/>
      </c>
      <c r="BT122" s="5" t="str">
        <f t="shared" si="1006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2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2"/>
        <v/>
      </c>
      <c r="DC122" s="5" t="str">
        <f t="shared" si="1012"/>
        <v/>
      </c>
      <c r="DD122" s="10" t="str">
        <f t="shared" si="764"/>
        <v/>
      </c>
      <c r="DE122" s="9" t="str">
        <f t="shared" si="1013"/>
        <v/>
      </c>
      <c r="DF122" s="5" t="str">
        <f t="shared" si="1013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3"/>
        <v/>
      </c>
      <c r="ET122" s="5" t="str">
        <f t="shared" si="924"/>
        <v/>
      </c>
      <c r="EU122" s="10" t="str">
        <f t="shared" si="925"/>
        <v/>
      </c>
      <c r="EV122" s="174" t="str">
        <f t="shared" si="926"/>
        <v/>
      </c>
      <c r="EW122" s="9" t="str">
        <f t="shared" si="927"/>
        <v/>
      </c>
      <c r="EX122" s="5" t="str">
        <f t="shared" si="928"/>
        <v/>
      </c>
      <c r="EY122" s="6" t="str">
        <f t="shared" si="804"/>
        <v/>
      </c>
      <c r="EZ122" s="51" t="str">
        <f t="shared" si="805"/>
        <v/>
      </c>
      <c r="FA122" s="173" t="str">
        <f t="shared" si="929"/>
        <v/>
      </c>
      <c r="FB122" s="5" t="str">
        <f t="shared" si="930"/>
        <v/>
      </c>
      <c r="FC122" s="6" t="str">
        <f t="shared" si="931"/>
        <v/>
      </c>
      <c r="FD122" s="4" t="str">
        <f t="shared" si="932"/>
        <v/>
      </c>
      <c r="FE122" s="5" t="str">
        <f t="shared" si="933"/>
        <v/>
      </c>
      <c r="FF122" s="7" t="str">
        <f t="shared" si="806"/>
        <v/>
      </c>
      <c r="FG122" s="173" t="str">
        <f t="shared" si="934"/>
        <v/>
      </c>
      <c r="FH122" s="5" t="str">
        <f t="shared" si="935"/>
        <v/>
      </c>
      <c r="FI122" s="10" t="str">
        <f t="shared" si="936"/>
        <v/>
      </c>
      <c r="FJ122" s="279" t="str">
        <f t="shared" si="807"/>
        <v/>
      </c>
      <c r="FK122" s="4" t="str">
        <f t="shared" si="937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8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9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40"/>
        <v/>
      </c>
      <c r="GH122" s="286" t="str">
        <f t="shared" si="941"/>
        <v/>
      </c>
      <c r="GI122" s="281" t="str">
        <f t="shared" si="942"/>
        <v/>
      </c>
      <c r="GJ122" s="167" t="str">
        <f t="shared" si="823"/>
        <v/>
      </c>
      <c r="GK122" s="174" t="str">
        <f t="shared" si="943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4"/>
        <v/>
      </c>
      <c r="GT122" s="343" t="str">
        <f t="shared" si="945"/>
        <v/>
      </c>
      <c r="GU122" s="344" t="str">
        <f t="shared" si="946"/>
        <v/>
      </c>
      <c r="GV122" s="343" t="str">
        <f t="shared" si="831"/>
        <v/>
      </c>
      <c r="GW122" s="345" t="str">
        <f t="shared" si="947"/>
        <v/>
      </c>
      <c r="GX122" s="346" t="str">
        <f t="shared" si="948"/>
        <v/>
      </c>
      <c r="GY122" s="344" t="str">
        <f t="shared" si="949"/>
        <v/>
      </c>
      <c r="GZ122" s="345" t="str">
        <f t="shared" si="950"/>
        <v/>
      </c>
      <c r="HA122" s="342" t="str">
        <f t="shared" si="951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2"/>
        <v/>
      </c>
      <c r="HF122" s="5" t="str">
        <f t="shared" si="953"/>
        <v/>
      </c>
      <c r="HG122" s="343" t="str">
        <f t="shared" si="835"/>
        <v/>
      </c>
      <c r="HH122" s="349" t="str">
        <f t="shared" si="836"/>
        <v/>
      </c>
      <c r="HI122" s="317" t="str">
        <f t="shared" si="954"/>
        <v/>
      </c>
      <c r="HK122" s="310" t="str">
        <f t="shared" si="1007"/>
        <v/>
      </c>
      <c r="HL122" s="348" t="str">
        <f t="shared" si="955"/>
        <v/>
      </c>
      <c r="HM122" s="935" t="str">
        <f t="shared" si="956"/>
        <v/>
      </c>
      <c r="HN122" s="936" t="str">
        <f t="shared" si="957"/>
        <v/>
      </c>
      <c r="HO122" s="937"/>
      <c r="HP122" s="938"/>
      <c r="HQ122" s="936" t="str">
        <f t="shared" si="958"/>
        <v/>
      </c>
      <c r="HR122" s="939" t="str">
        <f t="shared" si="959"/>
        <v/>
      </c>
      <c r="HS122" s="940" t="str">
        <f t="shared" si="1008"/>
        <v/>
      </c>
      <c r="HT122" s="941" t="str">
        <f t="shared" si="960"/>
        <v/>
      </c>
      <c r="HU122" s="942" t="str">
        <f t="shared" si="961"/>
        <v/>
      </c>
      <c r="HV122" s="943" t="str">
        <f t="shared" si="962"/>
        <v/>
      </c>
      <c r="HW122" s="944" t="str">
        <f t="shared" si="963"/>
        <v/>
      </c>
      <c r="HX122" s="947" t="str">
        <f t="shared" si="964"/>
        <v/>
      </c>
      <c r="HY122" s="952" t="str">
        <f t="shared" si="965"/>
        <v/>
      </c>
      <c r="HZ122" s="953" t="str">
        <f t="shared" si="966"/>
        <v/>
      </c>
      <c r="IA122" s="954" t="str">
        <f t="shared" si="967"/>
        <v/>
      </c>
      <c r="IB122" s="955" t="str">
        <f t="shared" si="968"/>
        <v/>
      </c>
      <c r="IC122" s="842" t="str">
        <f t="shared" si="969"/>
        <v/>
      </c>
      <c r="ID122" s="351" t="str">
        <f t="shared" si="970"/>
        <v/>
      </c>
      <c r="IE122" s="844" t="str">
        <f t="shared" si="971"/>
        <v/>
      </c>
      <c r="IF122" s="845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37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72"/>
        <v/>
      </c>
      <c r="IM122" s="482" t="str">
        <f t="shared" si="838"/>
        <v/>
      </c>
      <c r="IN122" s="670" t="str">
        <f t="shared" si="973"/>
        <v/>
      </c>
      <c r="IO122" s="702"/>
      <c r="IP122" s="5" t="str">
        <f t="shared" si="974"/>
        <v/>
      </c>
      <c r="IQ122" s="714"/>
      <c r="IR122" s="9" t="str">
        <f t="shared" si="975"/>
        <v/>
      </c>
      <c r="IS122" s="5" t="str">
        <f t="shared" si="976"/>
        <v/>
      </c>
      <c r="IT122" s="5" t="str">
        <f t="shared" si="977"/>
        <v/>
      </c>
      <c r="IU122" s="5" t="str">
        <f t="shared" si="978"/>
        <v/>
      </c>
      <c r="IV122" s="670" t="str">
        <f t="shared" si="979"/>
        <v/>
      </c>
      <c r="IW122" s="9" t="str">
        <f t="shared" si="980"/>
        <v/>
      </c>
      <c r="IX122" s="5" t="str">
        <f t="shared" si="981"/>
        <v/>
      </c>
      <c r="IY122" s="5" t="str">
        <f t="shared" si="982"/>
        <v/>
      </c>
      <c r="IZ122" s="5" t="str">
        <f t="shared" si="983"/>
        <v/>
      </c>
      <c r="JA122" s="705" t="str">
        <f t="shared" si="984"/>
        <v/>
      </c>
    </row>
    <row r="123" spans="1:261" ht="15" customHeight="1" x14ac:dyDescent="0.25">
      <c r="A123" s="75" t="str">
        <f t="shared" si="899"/>
        <v/>
      </c>
      <c r="B123" s="578" t="str">
        <f t="shared" ref="B123:D123" si="1045">IFERROR(O278+($A123*-E123),"")</f>
        <v/>
      </c>
      <c r="C123" s="572" t="str">
        <f t="shared" si="1045"/>
        <v/>
      </c>
      <c r="D123" s="576" t="str">
        <f t="shared" si="1045"/>
        <v/>
      </c>
      <c r="E123" s="580" t="str">
        <f t="shared" ref="E123:K123" si="1046">R278</f>
        <v/>
      </c>
      <c r="F123" s="572" t="str">
        <f t="shared" si="1046"/>
        <v/>
      </c>
      <c r="G123" s="579" t="str">
        <f t="shared" si="1046"/>
        <v/>
      </c>
      <c r="H123" s="580" t="str">
        <f t="shared" si="1046"/>
        <v/>
      </c>
      <c r="I123" s="572" t="str">
        <f t="shared" si="1046"/>
        <v/>
      </c>
      <c r="J123" s="483" t="str">
        <f t="shared" si="711"/>
        <v/>
      </c>
      <c r="K123" s="806" t="str">
        <f t="shared" si="1046"/>
        <v/>
      </c>
      <c r="L123" s="309"/>
      <c r="M123" s="164" t="str">
        <f t="shared" si="902"/>
        <v/>
      </c>
      <c r="N123" s="575" t="str">
        <f t="shared" si="903"/>
        <v/>
      </c>
      <c r="O123" s="572" t="str">
        <f t="shared" si="904"/>
        <v/>
      </c>
      <c r="P123" s="576" t="str">
        <f t="shared" si="905"/>
        <v/>
      </c>
      <c r="Q123" s="528" t="str">
        <f t="shared" si="712"/>
        <v/>
      </c>
      <c r="R123" s="572" t="str">
        <f t="shared" si="987"/>
        <v/>
      </c>
      <c r="S123" s="577" t="str">
        <f t="shared" si="988"/>
        <v/>
      </c>
      <c r="T123" s="578" t="str">
        <f t="shared" si="989"/>
        <v/>
      </c>
      <c r="U123" s="572" t="str">
        <f t="shared" si="990"/>
        <v/>
      </c>
      <c r="V123" s="579" t="str">
        <f t="shared" si="991"/>
        <v/>
      </c>
      <c r="W123" s="528" t="str">
        <f t="shared" si="848"/>
        <v/>
      </c>
      <c r="X123" s="572" t="str">
        <f t="shared" si="992"/>
        <v/>
      </c>
      <c r="Y123" s="573" t="str">
        <f t="shared" si="841"/>
        <v/>
      </c>
      <c r="Z123" s="575" t="str">
        <f t="shared" si="906"/>
        <v/>
      </c>
      <c r="AA123" s="572" t="str">
        <f t="shared" si="907"/>
        <v/>
      </c>
      <c r="AB123" s="572" t="str">
        <f t="shared" si="908"/>
        <v/>
      </c>
      <c r="AC123" s="579" t="str">
        <f t="shared" si="993"/>
        <v/>
      </c>
      <c r="AD123" s="580" t="str">
        <f t="shared" si="994"/>
        <v/>
      </c>
      <c r="AE123" s="572" t="str">
        <f t="shared" si="995"/>
        <v/>
      </c>
      <c r="AF123" s="576" t="str">
        <f t="shared" si="996"/>
        <v/>
      </c>
      <c r="AG123" s="545" t="str">
        <f t="shared" si="997"/>
        <v/>
      </c>
      <c r="AH123" s="546" t="str">
        <f t="shared" si="998"/>
        <v/>
      </c>
      <c r="AI123" s="528" t="str">
        <f t="shared" si="999"/>
        <v/>
      </c>
      <c r="AJ123" s="529" t="str">
        <f t="shared" si="1000"/>
        <v/>
      </c>
      <c r="AK123" s="578" t="str">
        <f t="shared" si="1001"/>
        <v/>
      </c>
      <c r="AL123" s="572" t="str">
        <f t="shared" si="1002"/>
        <v/>
      </c>
      <c r="AM123" s="577" t="str">
        <f t="shared" si="1003"/>
        <v/>
      </c>
      <c r="AN123" s="524" t="str">
        <f t="shared" si="1004"/>
        <v/>
      </c>
      <c r="AO123" s="525" t="str">
        <f t="shared" si="1040"/>
        <v/>
      </c>
      <c r="AP123" s="528" t="str">
        <f t="shared" si="1005"/>
        <v/>
      </c>
      <c r="AQ123" s="529" t="str">
        <f t="shared" si="909"/>
        <v/>
      </c>
      <c r="AS123" s="900" t="str">
        <f t="shared" si="1011"/>
        <v/>
      </c>
      <c r="AT123" s="896" t="str">
        <f t="shared" si="910"/>
        <v/>
      </c>
      <c r="AU123" s="418"/>
      <c r="AV123" s="164" t="str">
        <f t="shared" si="911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2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3"/>
        <v/>
      </c>
      <c r="BF123" s="4" t="str">
        <f t="shared" si="914"/>
        <v/>
      </c>
      <c r="BG123" s="5" t="str">
        <f t="shared" si="915"/>
        <v/>
      </c>
      <c r="BH123" s="10" t="str">
        <f t="shared" si="916"/>
        <v/>
      </c>
      <c r="BI123" s="9" t="str">
        <f t="shared" si="739"/>
        <v/>
      </c>
      <c r="BJ123" s="5" t="str">
        <f t="shared" si="917"/>
        <v/>
      </c>
      <c r="BK123" s="8" t="str">
        <f t="shared" si="918"/>
        <v/>
      </c>
      <c r="BL123" s="173" t="str">
        <f t="shared" si="919"/>
        <v/>
      </c>
      <c r="BM123" s="5" t="str">
        <f t="shared" si="920"/>
        <v/>
      </c>
      <c r="BN123" s="6" t="str">
        <f t="shared" si="921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6"/>
        <v/>
      </c>
      <c r="BT123" s="5" t="str">
        <f t="shared" si="1006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2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2"/>
        <v/>
      </c>
      <c r="DC123" s="5" t="str">
        <f t="shared" si="1012"/>
        <v/>
      </c>
      <c r="DD123" s="10" t="str">
        <f t="shared" si="764"/>
        <v/>
      </c>
      <c r="DE123" s="9" t="str">
        <f t="shared" si="1013"/>
        <v/>
      </c>
      <c r="DF123" s="5" t="str">
        <f t="shared" si="1013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3"/>
        <v/>
      </c>
      <c r="ET123" s="5" t="str">
        <f t="shared" si="924"/>
        <v/>
      </c>
      <c r="EU123" s="10" t="str">
        <f t="shared" si="925"/>
        <v/>
      </c>
      <c r="EV123" s="174" t="str">
        <f t="shared" si="926"/>
        <v/>
      </c>
      <c r="EW123" s="9" t="str">
        <f t="shared" si="927"/>
        <v/>
      </c>
      <c r="EX123" s="5" t="str">
        <f t="shared" si="928"/>
        <v/>
      </c>
      <c r="EY123" s="6" t="str">
        <f t="shared" si="804"/>
        <v/>
      </c>
      <c r="EZ123" s="51" t="str">
        <f t="shared" si="805"/>
        <v/>
      </c>
      <c r="FA123" s="173" t="str">
        <f t="shared" si="929"/>
        <v/>
      </c>
      <c r="FB123" s="5" t="str">
        <f t="shared" si="930"/>
        <v/>
      </c>
      <c r="FC123" s="6" t="str">
        <f t="shared" si="931"/>
        <v/>
      </c>
      <c r="FD123" s="4" t="str">
        <f t="shared" si="932"/>
        <v/>
      </c>
      <c r="FE123" s="5" t="str">
        <f t="shared" si="933"/>
        <v/>
      </c>
      <c r="FF123" s="7" t="str">
        <f t="shared" si="806"/>
        <v/>
      </c>
      <c r="FG123" s="173" t="str">
        <f t="shared" si="934"/>
        <v/>
      </c>
      <c r="FH123" s="5" t="str">
        <f t="shared" si="935"/>
        <v/>
      </c>
      <c r="FI123" s="10" t="str">
        <f t="shared" si="936"/>
        <v/>
      </c>
      <c r="FJ123" s="279" t="str">
        <f t="shared" si="807"/>
        <v/>
      </c>
      <c r="FK123" s="4" t="str">
        <f t="shared" si="937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8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9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40"/>
        <v/>
      </c>
      <c r="GH123" s="286" t="str">
        <f t="shared" si="941"/>
        <v/>
      </c>
      <c r="GI123" s="281" t="str">
        <f t="shared" si="942"/>
        <v/>
      </c>
      <c r="GJ123" s="167" t="str">
        <f t="shared" si="823"/>
        <v/>
      </c>
      <c r="GK123" s="174" t="str">
        <f t="shared" si="943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4"/>
        <v/>
      </c>
      <c r="GT123" s="343" t="str">
        <f t="shared" si="945"/>
        <v/>
      </c>
      <c r="GU123" s="344" t="str">
        <f t="shared" si="946"/>
        <v/>
      </c>
      <c r="GV123" s="343" t="str">
        <f t="shared" si="831"/>
        <v/>
      </c>
      <c r="GW123" s="345" t="str">
        <f t="shared" si="947"/>
        <v/>
      </c>
      <c r="GX123" s="346" t="str">
        <f t="shared" si="948"/>
        <v/>
      </c>
      <c r="GY123" s="344" t="str">
        <f t="shared" si="949"/>
        <v/>
      </c>
      <c r="GZ123" s="345" t="str">
        <f t="shared" si="950"/>
        <v/>
      </c>
      <c r="HA123" s="342" t="str">
        <f t="shared" si="951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2"/>
        <v/>
      </c>
      <c r="HF123" s="5" t="str">
        <f t="shared" si="953"/>
        <v/>
      </c>
      <c r="HG123" s="343" t="str">
        <f t="shared" si="835"/>
        <v/>
      </c>
      <c r="HH123" s="349" t="str">
        <f t="shared" si="836"/>
        <v/>
      </c>
      <c r="HI123" s="317" t="str">
        <f t="shared" si="954"/>
        <v/>
      </c>
      <c r="HK123" s="310" t="str">
        <f t="shared" si="1007"/>
        <v/>
      </c>
      <c r="HL123" s="348" t="str">
        <f t="shared" si="955"/>
        <v/>
      </c>
      <c r="HM123" s="935" t="str">
        <f t="shared" si="956"/>
        <v/>
      </c>
      <c r="HN123" s="936" t="str">
        <f t="shared" si="957"/>
        <v/>
      </c>
      <c r="HO123" s="937"/>
      <c r="HP123" s="938"/>
      <c r="HQ123" s="936" t="str">
        <f t="shared" si="958"/>
        <v/>
      </c>
      <c r="HR123" s="939" t="str">
        <f t="shared" si="959"/>
        <v/>
      </c>
      <c r="HS123" s="940" t="str">
        <f t="shared" si="1008"/>
        <v/>
      </c>
      <c r="HT123" s="941" t="str">
        <f t="shared" si="960"/>
        <v/>
      </c>
      <c r="HU123" s="942" t="str">
        <f t="shared" si="961"/>
        <v/>
      </c>
      <c r="HV123" s="943" t="str">
        <f t="shared" si="962"/>
        <v/>
      </c>
      <c r="HW123" s="944" t="str">
        <f t="shared" si="963"/>
        <v/>
      </c>
      <c r="HX123" s="947" t="str">
        <f t="shared" si="964"/>
        <v/>
      </c>
      <c r="HY123" s="952" t="str">
        <f t="shared" si="965"/>
        <v/>
      </c>
      <c r="HZ123" s="953" t="str">
        <f t="shared" si="966"/>
        <v/>
      </c>
      <c r="IA123" s="954" t="str">
        <f t="shared" si="967"/>
        <v/>
      </c>
      <c r="IB123" s="955" t="str">
        <f t="shared" si="968"/>
        <v/>
      </c>
      <c r="IC123" s="842" t="str">
        <f t="shared" si="969"/>
        <v/>
      </c>
      <c r="ID123" s="351" t="str">
        <f t="shared" si="970"/>
        <v/>
      </c>
      <c r="IE123" s="844" t="str">
        <f t="shared" si="971"/>
        <v/>
      </c>
      <c r="IF123" s="845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37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72"/>
        <v/>
      </c>
      <c r="IM123" s="482" t="str">
        <f t="shared" si="838"/>
        <v/>
      </c>
      <c r="IN123" s="670" t="str">
        <f t="shared" si="973"/>
        <v/>
      </c>
      <c r="IO123" s="702"/>
      <c r="IP123" s="5" t="str">
        <f t="shared" si="974"/>
        <v/>
      </c>
      <c r="IQ123" s="714"/>
      <c r="IR123" s="9" t="str">
        <f t="shared" si="975"/>
        <v/>
      </c>
      <c r="IS123" s="5" t="str">
        <f t="shared" si="976"/>
        <v/>
      </c>
      <c r="IT123" s="5" t="str">
        <f t="shared" si="977"/>
        <v/>
      </c>
      <c r="IU123" s="5" t="str">
        <f t="shared" si="978"/>
        <v/>
      </c>
      <c r="IV123" s="670" t="str">
        <f t="shared" si="979"/>
        <v/>
      </c>
      <c r="IW123" s="9" t="str">
        <f t="shared" si="980"/>
        <v/>
      </c>
      <c r="IX123" s="5" t="str">
        <f t="shared" si="981"/>
        <v/>
      </c>
      <c r="IY123" s="5" t="str">
        <f t="shared" si="982"/>
        <v/>
      </c>
      <c r="IZ123" s="5" t="str">
        <f t="shared" si="983"/>
        <v/>
      </c>
      <c r="JA123" s="705" t="str">
        <f t="shared" si="984"/>
        <v/>
      </c>
    </row>
    <row r="124" spans="1:261" ht="15" customHeight="1" x14ac:dyDescent="0.25">
      <c r="A124" s="75" t="str">
        <f t="shared" si="899"/>
        <v/>
      </c>
      <c r="B124" s="578" t="str">
        <f t="shared" ref="B124:D124" si="1047">IFERROR(O279+($A124*-E124),"")</f>
        <v/>
      </c>
      <c r="C124" s="572" t="str">
        <f t="shared" si="1047"/>
        <v/>
      </c>
      <c r="D124" s="576" t="str">
        <f t="shared" si="1047"/>
        <v/>
      </c>
      <c r="E124" s="580" t="str">
        <f t="shared" ref="E124:K124" si="1048">R279</f>
        <v/>
      </c>
      <c r="F124" s="572" t="str">
        <f t="shared" si="1048"/>
        <v/>
      </c>
      <c r="G124" s="579" t="str">
        <f t="shared" si="1048"/>
        <v/>
      </c>
      <c r="H124" s="580" t="str">
        <f t="shared" si="1048"/>
        <v/>
      </c>
      <c r="I124" s="572" t="str">
        <f t="shared" si="1048"/>
        <v/>
      </c>
      <c r="J124" s="483" t="str">
        <f t="shared" si="711"/>
        <v/>
      </c>
      <c r="K124" s="806" t="str">
        <f t="shared" si="1048"/>
        <v/>
      </c>
      <c r="L124" s="309"/>
      <c r="M124" s="164" t="str">
        <f t="shared" si="902"/>
        <v/>
      </c>
      <c r="N124" s="575" t="str">
        <f t="shared" si="903"/>
        <v/>
      </c>
      <c r="O124" s="572" t="str">
        <f t="shared" si="904"/>
        <v/>
      </c>
      <c r="P124" s="576" t="str">
        <f t="shared" si="905"/>
        <v/>
      </c>
      <c r="Q124" s="528" t="str">
        <f t="shared" si="712"/>
        <v/>
      </c>
      <c r="R124" s="572" t="str">
        <f t="shared" si="987"/>
        <v/>
      </c>
      <c r="S124" s="577" t="str">
        <f t="shared" si="988"/>
        <v/>
      </c>
      <c r="T124" s="578" t="str">
        <f t="shared" si="989"/>
        <v/>
      </c>
      <c r="U124" s="572" t="str">
        <f t="shared" si="990"/>
        <v/>
      </c>
      <c r="V124" s="579" t="str">
        <f t="shared" si="991"/>
        <v/>
      </c>
      <c r="W124" s="528" t="str">
        <f t="shared" si="848"/>
        <v/>
      </c>
      <c r="X124" s="572" t="str">
        <f t="shared" si="992"/>
        <v/>
      </c>
      <c r="Y124" s="573" t="str">
        <f t="shared" si="841"/>
        <v/>
      </c>
      <c r="Z124" s="575" t="str">
        <f t="shared" si="906"/>
        <v/>
      </c>
      <c r="AA124" s="572" t="str">
        <f t="shared" si="907"/>
        <v/>
      </c>
      <c r="AB124" s="572" t="str">
        <f t="shared" si="908"/>
        <v/>
      </c>
      <c r="AC124" s="579" t="str">
        <f t="shared" si="993"/>
        <v/>
      </c>
      <c r="AD124" s="580" t="str">
        <f t="shared" si="994"/>
        <v/>
      </c>
      <c r="AE124" s="572" t="str">
        <f t="shared" si="995"/>
        <v/>
      </c>
      <c r="AF124" s="576" t="str">
        <f t="shared" si="996"/>
        <v/>
      </c>
      <c r="AG124" s="545" t="str">
        <f t="shared" si="997"/>
        <v/>
      </c>
      <c r="AH124" s="546" t="str">
        <f t="shared" si="998"/>
        <v/>
      </c>
      <c r="AI124" s="528" t="str">
        <f t="shared" si="999"/>
        <v/>
      </c>
      <c r="AJ124" s="529" t="str">
        <f t="shared" si="1000"/>
        <v/>
      </c>
      <c r="AK124" s="578" t="str">
        <f t="shared" si="1001"/>
        <v/>
      </c>
      <c r="AL124" s="572" t="str">
        <f t="shared" si="1002"/>
        <v/>
      </c>
      <c r="AM124" s="577" t="str">
        <f t="shared" si="1003"/>
        <v/>
      </c>
      <c r="AN124" s="524" t="str">
        <f t="shared" si="1004"/>
        <v/>
      </c>
      <c r="AO124" s="525" t="str">
        <f t="shared" si="1040"/>
        <v/>
      </c>
      <c r="AP124" s="528" t="str">
        <f t="shared" si="1005"/>
        <v/>
      </c>
      <c r="AQ124" s="529" t="str">
        <f t="shared" si="909"/>
        <v/>
      </c>
      <c r="AS124" s="900" t="str">
        <f t="shared" si="1011"/>
        <v/>
      </c>
      <c r="AT124" s="896" t="str">
        <f t="shared" si="910"/>
        <v/>
      </c>
      <c r="AU124" s="418"/>
      <c r="AV124" s="164" t="str">
        <f t="shared" si="911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2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3"/>
        <v/>
      </c>
      <c r="BF124" s="4" t="str">
        <f t="shared" si="914"/>
        <v/>
      </c>
      <c r="BG124" s="5" t="str">
        <f t="shared" si="915"/>
        <v/>
      </c>
      <c r="BH124" s="10" t="str">
        <f t="shared" si="916"/>
        <v/>
      </c>
      <c r="BI124" s="9" t="str">
        <f t="shared" si="739"/>
        <v/>
      </c>
      <c r="BJ124" s="5" t="str">
        <f t="shared" si="917"/>
        <v/>
      </c>
      <c r="BK124" s="8" t="str">
        <f t="shared" si="918"/>
        <v/>
      </c>
      <c r="BL124" s="173" t="str">
        <f t="shared" si="919"/>
        <v/>
      </c>
      <c r="BM124" s="5" t="str">
        <f t="shared" si="920"/>
        <v/>
      </c>
      <c r="BN124" s="6" t="str">
        <f t="shared" si="921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6"/>
        <v/>
      </c>
      <c r="BT124" s="5" t="str">
        <f t="shared" si="1006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2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2"/>
        <v/>
      </c>
      <c r="DC124" s="5" t="str">
        <f t="shared" si="1012"/>
        <v/>
      </c>
      <c r="DD124" s="10" t="str">
        <f t="shared" si="764"/>
        <v/>
      </c>
      <c r="DE124" s="9" t="str">
        <f t="shared" si="1013"/>
        <v/>
      </c>
      <c r="DF124" s="5" t="str">
        <f t="shared" si="1013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3"/>
        <v/>
      </c>
      <c r="ET124" s="5" t="str">
        <f t="shared" si="924"/>
        <v/>
      </c>
      <c r="EU124" s="10" t="str">
        <f t="shared" si="925"/>
        <v/>
      </c>
      <c r="EV124" s="174" t="str">
        <f t="shared" si="926"/>
        <v/>
      </c>
      <c r="EW124" s="9" t="str">
        <f t="shared" si="927"/>
        <v/>
      </c>
      <c r="EX124" s="5" t="str">
        <f t="shared" si="928"/>
        <v/>
      </c>
      <c r="EY124" s="6" t="str">
        <f t="shared" si="804"/>
        <v/>
      </c>
      <c r="EZ124" s="51" t="str">
        <f t="shared" si="805"/>
        <v/>
      </c>
      <c r="FA124" s="173" t="str">
        <f t="shared" si="929"/>
        <v/>
      </c>
      <c r="FB124" s="5" t="str">
        <f t="shared" si="930"/>
        <v/>
      </c>
      <c r="FC124" s="6" t="str">
        <f t="shared" si="931"/>
        <v/>
      </c>
      <c r="FD124" s="4" t="str">
        <f t="shared" si="932"/>
        <v/>
      </c>
      <c r="FE124" s="5" t="str">
        <f t="shared" si="933"/>
        <v/>
      </c>
      <c r="FF124" s="7" t="str">
        <f t="shared" si="806"/>
        <v/>
      </c>
      <c r="FG124" s="173" t="str">
        <f t="shared" si="934"/>
        <v/>
      </c>
      <c r="FH124" s="5" t="str">
        <f t="shared" si="935"/>
        <v/>
      </c>
      <c r="FI124" s="10" t="str">
        <f t="shared" si="936"/>
        <v/>
      </c>
      <c r="FJ124" s="279" t="str">
        <f t="shared" si="807"/>
        <v/>
      </c>
      <c r="FK124" s="4" t="str">
        <f t="shared" si="937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8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9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40"/>
        <v/>
      </c>
      <c r="GH124" s="286" t="str">
        <f t="shared" si="941"/>
        <v/>
      </c>
      <c r="GI124" s="281" t="str">
        <f t="shared" si="942"/>
        <v/>
      </c>
      <c r="GJ124" s="167" t="str">
        <f t="shared" si="823"/>
        <v/>
      </c>
      <c r="GK124" s="174" t="str">
        <f t="shared" si="943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4"/>
        <v/>
      </c>
      <c r="GT124" s="343" t="str">
        <f t="shared" si="945"/>
        <v/>
      </c>
      <c r="GU124" s="344" t="str">
        <f t="shared" si="946"/>
        <v/>
      </c>
      <c r="GV124" s="343" t="str">
        <f t="shared" si="831"/>
        <v/>
      </c>
      <c r="GW124" s="345" t="str">
        <f t="shared" si="947"/>
        <v/>
      </c>
      <c r="GX124" s="346" t="str">
        <f t="shared" si="948"/>
        <v/>
      </c>
      <c r="GY124" s="344" t="str">
        <f t="shared" si="949"/>
        <v/>
      </c>
      <c r="GZ124" s="345" t="str">
        <f t="shared" si="950"/>
        <v/>
      </c>
      <c r="HA124" s="342" t="str">
        <f t="shared" si="951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2"/>
        <v/>
      </c>
      <c r="HF124" s="5" t="str">
        <f t="shared" si="953"/>
        <v/>
      </c>
      <c r="HG124" s="343" t="str">
        <f t="shared" si="835"/>
        <v/>
      </c>
      <c r="HH124" s="349" t="str">
        <f t="shared" si="836"/>
        <v/>
      </c>
      <c r="HI124" s="317" t="str">
        <f t="shared" si="954"/>
        <v/>
      </c>
      <c r="HK124" s="310" t="str">
        <f t="shared" si="1007"/>
        <v/>
      </c>
      <c r="HL124" s="348" t="str">
        <f t="shared" si="955"/>
        <v/>
      </c>
      <c r="HM124" s="935" t="str">
        <f t="shared" si="956"/>
        <v/>
      </c>
      <c r="HN124" s="936" t="str">
        <f t="shared" si="957"/>
        <v/>
      </c>
      <c r="HO124" s="937"/>
      <c r="HP124" s="938"/>
      <c r="HQ124" s="936" t="str">
        <f t="shared" si="958"/>
        <v/>
      </c>
      <c r="HR124" s="939" t="str">
        <f t="shared" si="959"/>
        <v/>
      </c>
      <c r="HS124" s="940" t="str">
        <f t="shared" si="1008"/>
        <v/>
      </c>
      <c r="HT124" s="941" t="str">
        <f t="shared" si="960"/>
        <v/>
      </c>
      <c r="HU124" s="942" t="str">
        <f t="shared" si="961"/>
        <v/>
      </c>
      <c r="HV124" s="943" t="str">
        <f t="shared" si="962"/>
        <v/>
      </c>
      <c r="HW124" s="944" t="str">
        <f t="shared" si="963"/>
        <v/>
      </c>
      <c r="HX124" s="947" t="str">
        <f t="shared" si="964"/>
        <v/>
      </c>
      <c r="HY124" s="952" t="str">
        <f t="shared" si="965"/>
        <v/>
      </c>
      <c r="HZ124" s="953" t="str">
        <f t="shared" si="966"/>
        <v/>
      </c>
      <c r="IA124" s="954" t="str">
        <f t="shared" si="967"/>
        <v/>
      </c>
      <c r="IB124" s="955" t="str">
        <f t="shared" si="968"/>
        <v/>
      </c>
      <c r="IC124" s="842" t="str">
        <f t="shared" si="969"/>
        <v/>
      </c>
      <c r="ID124" s="351" t="str">
        <f t="shared" si="970"/>
        <v/>
      </c>
      <c r="IE124" s="844" t="str">
        <f t="shared" si="971"/>
        <v/>
      </c>
      <c r="IF124" s="845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37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72"/>
        <v/>
      </c>
      <c r="IM124" s="482" t="str">
        <f t="shared" si="838"/>
        <v/>
      </c>
      <c r="IN124" s="670" t="str">
        <f t="shared" si="973"/>
        <v/>
      </c>
      <c r="IO124" s="702"/>
      <c r="IP124" s="5" t="str">
        <f t="shared" si="974"/>
        <v/>
      </c>
      <c r="IQ124" s="714"/>
      <c r="IR124" s="9" t="str">
        <f t="shared" si="975"/>
        <v/>
      </c>
      <c r="IS124" s="5" t="str">
        <f t="shared" si="976"/>
        <v/>
      </c>
      <c r="IT124" s="5" t="str">
        <f t="shared" si="977"/>
        <v/>
      </c>
      <c r="IU124" s="5" t="str">
        <f t="shared" si="978"/>
        <v/>
      </c>
      <c r="IV124" s="670" t="str">
        <f t="shared" si="979"/>
        <v/>
      </c>
      <c r="IW124" s="9" t="str">
        <f t="shared" si="980"/>
        <v/>
      </c>
      <c r="IX124" s="5" t="str">
        <f t="shared" si="981"/>
        <v/>
      </c>
      <c r="IY124" s="5" t="str">
        <f t="shared" si="982"/>
        <v/>
      </c>
      <c r="IZ124" s="5" t="str">
        <f t="shared" si="983"/>
        <v/>
      </c>
      <c r="JA124" s="705" t="str">
        <f t="shared" si="984"/>
        <v/>
      </c>
    </row>
    <row r="125" spans="1:261" ht="15" customHeight="1" x14ac:dyDescent="0.25">
      <c r="A125" s="75" t="str">
        <f t="shared" si="899"/>
        <v/>
      </c>
      <c r="B125" s="578" t="str">
        <f t="shared" ref="B125:D125" si="1049">IFERROR(O280+($A125*-E125),"")</f>
        <v/>
      </c>
      <c r="C125" s="572" t="str">
        <f t="shared" si="1049"/>
        <v/>
      </c>
      <c r="D125" s="576" t="str">
        <f t="shared" si="1049"/>
        <v/>
      </c>
      <c r="E125" s="580" t="str">
        <f t="shared" ref="E125:K125" si="1050">R280</f>
        <v/>
      </c>
      <c r="F125" s="572" t="str">
        <f t="shared" si="1050"/>
        <v/>
      </c>
      <c r="G125" s="579" t="str">
        <f t="shared" si="1050"/>
        <v/>
      </c>
      <c r="H125" s="580" t="str">
        <f t="shared" si="1050"/>
        <v/>
      </c>
      <c r="I125" s="572" t="str">
        <f t="shared" si="1050"/>
        <v/>
      </c>
      <c r="J125" s="483" t="str">
        <f t="shared" si="711"/>
        <v/>
      </c>
      <c r="K125" s="806" t="str">
        <f t="shared" si="1050"/>
        <v/>
      </c>
      <c r="L125" s="309"/>
      <c r="M125" s="164" t="str">
        <f t="shared" si="902"/>
        <v/>
      </c>
      <c r="N125" s="575" t="str">
        <f t="shared" si="903"/>
        <v/>
      </c>
      <c r="O125" s="572" t="str">
        <f t="shared" si="904"/>
        <v/>
      </c>
      <c r="P125" s="576" t="str">
        <f t="shared" si="905"/>
        <v/>
      </c>
      <c r="Q125" s="528" t="str">
        <f t="shared" si="712"/>
        <v/>
      </c>
      <c r="R125" s="572" t="str">
        <f t="shared" si="987"/>
        <v/>
      </c>
      <c r="S125" s="577" t="str">
        <f t="shared" si="988"/>
        <v/>
      </c>
      <c r="T125" s="578" t="str">
        <f t="shared" si="989"/>
        <v/>
      </c>
      <c r="U125" s="572" t="str">
        <f t="shared" si="990"/>
        <v/>
      </c>
      <c r="V125" s="579" t="str">
        <f t="shared" si="991"/>
        <v/>
      </c>
      <c r="W125" s="528" t="str">
        <f t="shared" si="848"/>
        <v/>
      </c>
      <c r="X125" s="572" t="str">
        <f t="shared" si="992"/>
        <v/>
      </c>
      <c r="Y125" s="573" t="str">
        <f t="shared" si="841"/>
        <v/>
      </c>
      <c r="Z125" s="575" t="str">
        <f t="shared" si="906"/>
        <v/>
      </c>
      <c r="AA125" s="572" t="str">
        <f t="shared" si="907"/>
        <v/>
      </c>
      <c r="AB125" s="572" t="str">
        <f t="shared" si="908"/>
        <v/>
      </c>
      <c r="AC125" s="579" t="str">
        <f t="shared" si="993"/>
        <v/>
      </c>
      <c r="AD125" s="580" t="str">
        <f t="shared" si="994"/>
        <v/>
      </c>
      <c r="AE125" s="572" t="str">
        <f t="shared" si="995"/>
        <v/>
      </c>
      <c r="AF125" s="576" t="str">
        <f t="shared" si="996"/>
        <v/>
      </c>
      <c r="AG125" s="545" t="str">
        <f t="shared" si="997"/>
        <v/>
      </c>
      <c r="AH125" s="546" t="str">
        <f t="shared" si="998"/>
        <v/>
      </c>
      <c r="AI125" s="528" t="str">
        <f t="shared" si="999"/>
        <v/>
      </c>
      <c r="AJ125" s="529" t="str">
        <f t="shared" si="1000"/>
        <v/>
      </c>
      <c r="AK125" s="578" t="str">
        <f t="shared" si="1001"/>
        <v/>
      </c>
      <c r="AL125" s="572" t="str">
        <f t="shared" si="1002"/>
        <v/>
      </c>
      <c r="AM125" s="577" t="str">
        <f t="shared" si="1003"/>
        <v/>
      </c>
      <c r="AN125" s="524" t="str">
        <f t="shared" si="1004"/>
        <v/>
      </c>
      <c r="AO125" s="525" t="str">
        <f t="shared" si="1040"/>
        <v/>
      </c>
      <c r="AP125" s="528" t="str">
        <f t="shared" si="1005"/>
        <v/>
      </c>
      <c r="AQ125" s="529" t="str">
        <f t="shared" si="909"/>
        <v/>
      </c>
      <c r="AS125" s="900" t="str">
        <f t="shared" si="1011"/>
        <v/>
      </c>
      <c r="AT125" s="896" t="str">
        <f t="shared" si="910"/>
        <v/>
      </c>
      <c r="AU125" s="418"/>
      <c r="AV125" s="164" t="str">
        <f t="shared" si="911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2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3"/>
        <v/>
      </c>
      <c r="BF125" s="4" t="str">
        <f t="shared" si="914"/>
        <v/>
      </c>
      <c r="BG125" s="5" t="str">
        <f t="shared" si="915"/>
        <v/>
      </c>
      <c r="BH125" s="10" t="str">
        <f t="shared" si="916"/>
        <v/>
      </c>
      <c r="BI125" s="9" t="str">
        <f t="shared" si="739"/>
        <v/>
      </c>
      <c r="BJ125" s="5" t="str">
        <f t="shared" si="917"/>
        <v/>
      </c>
      <c r="BK125" s="8" t="str">
        <f t="shared" si="918"/>
        <v/>
      </c>
      <c r="BL125" s="173" t="str">
        <f t="shared" si="919"/>
        <v/>
      </c>
      <c r="BM125" s="5" t="str">
        <f t="shared" si="920"/>
        <v/>
      </c>
      <c r="BN125" s="6" t="str">
        <f t="shared" si="921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6"/>
        <v/>
      </c>
      <c r="BT125" s="5" t="str">
        <f t="shared" si="1006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2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2"/>
        <v/>
      </c>
      <c r="DC125" s="5" t="str">
        <f t="shared" si="1012"/>
        <v/>
      </c>
      <c r="DD125" s="10" t="str">
        <f t="shared" si="764"/>
        <v/>
      </c>
      <c r="DE125" s="9" t="str">
        <f t="shared" si="1013"/>
        <v/>
      </c>
      <c r="DF125" s="5" t="str">
        <f t="shared" si="1013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3"/>
        <v/>
      </c>
      <c r="ET125" s="5" t="str">
        <f t="shared" si="924"/>
        <v/>
      </c>
      <c r="EU125" s="10" t="str">
        <f t="shared" si="925"/>
        <v/>
      </c>
      <c r="EV125" s="174" t="str">
        <f t="shared" si="926"/>
        <v/>
      </c>
      <c r="EW125" s="9" t="str">
        <f t="shared" si="927"/>
        <v/>
      </c>
      <c r="EX125" s="5" t="str">
        <f t="shared" si="928"/>
        <v/>
      </c>
      <c r="EY125" s="6" t="str">
        <f t="shared" si="804"/>
        <v/>
      </c>
      <c r="EZ125" s="51" t="str">
        <f t="shared" si="805"/>
        <v/>
      </c>
      <c r="FA125" s="173" t="str">
        <f t="shared" si="929"/>
        <v/>
      </c>
      <c r="FB125" s="5" t="str">
        <f t="shared" si="930"/>
        <v/>
      </c>
      <c r="FC125" s="6" t="str">
        <f t="shared" si="931"/>
        <v/>
      </c>
      <c r="FD125" s="4" t="str">
        <f t="shared" si="932"/>
        <v/>
      </c>
      <c r="FE125" s="5" t="str">
        <f t="shared" si="933"/>
        <v/>
      </c>
      <c r="FF125" s="7" t="str">
        <f t="shared" si="806"/>
        <v/>
      </c>
      <c r="FG125" s="173" t="str">
        <f t="shared" si="934"/>
        <v/>
      </c>
      <c r="FH125" s="5" t="str">
        <f t="shared" si="935"/>
        <v/>
      </c>
      <c r="FI125" s="10" t="str">
        <f t="shared" si="936"/>
        <v/>
      </c>
      <c r="FJ125" s="279" t="str">
        <f t="shared" si="807"/>
        <v/>
      </c>
      <c r="FK125" s="4" t="str">
        <f t="shared" si="937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8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9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40"/>
        <v/>
      </c>
      <c r="GH125" s="286" t="str">
        <f t="shared" si="941"/>
        <v/>
      </c>
      <c r="GI125" s="281" t="str">
        <f t="shared" si="942"/>
        <v/>
      </c>
      <c r="GJ125" s="167" t="str">
        <f t="shared" si="823"/>
        <v/>
      </c>
      <c r="GK125" s="174" t="str">
        <f t="shared" si="943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4"/>
        <v/>
      </c>
      <c r="GT125" s="343" t="str">
        <f t="shared" si="945"/>
        <v/>
      </c>
      <c r="GU125" s="344" t="str">
        <f t="shared" si="946"/>
        <v/>
      </c>
      <c r="GV125" s="343" t="str">
        <f t="shared" si="831"/>
        <v/>
      </c>
      <c r="GW125" s="345" t="str">
        <f t="shared" si="947"/>
        <v/>
      </c>
      <c r="GX125" s="346" t="str">
        <f t="shared" si="948"/>
        <v/>
      </c>
      <c r="GY125" s="344" t="str">
        <f t="shared" si="949"/>
        <v/>
      </c>
      <c r="GZ125" s="345" t="str">
        <f t="shared" si="950"/>
        <v/>
      </c>
      <c r="HA125" s="342" t="str">
        <f t="shared" si="951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2"/>
        <v/>
      </c>
      <c r="HF125" s="5" t="str">
        <f t="shared" si="953"/>
        <v/>
      </c>
      <c r="HG125" s="343" t="str">
        <f t="shared" si="835"/>
        <v/>
      </c>
      <c r="HH125" s="349" t="str">
        <f t="shared" si="836"/>
        <v/>
      </c>
      <c r="HI125" s="317" t="str">
        <f t="shared" si="954"/>
        <v/>
      </c>
      <c r="HK125" s="310" t="str">
        <f t="shared" si="1007"/>
        <v/>
      </c>
      <c r="HL125" s="348" t="str">
        <f t="shared" si="955"/>
        <v/>
      </c>
      <c r="HM125" s="935" t="str">
        <f t="shared" si="956"/>
        <v/>
      </c>
      <c r="HN125" s="936" t="str">
        <f t="shared" si="957"/>
        <v/>
      </c>
      <c r="HO125" s="937"/>
      <c r="HP125" s="938"/>
      <c r="HQ125" s="936" t="str">
        <f t="shared" si="958"/>
        <v/>
      </c>
      <c r="HR125" s="939" t="str">
        <f t="shared" si="959"/>
        <v/>
      </c>
      <c r="HS125" s="940" t="str">
        <f t="shared" si="1008"/>
        <v/>
      </c>
      <c r="HT125" s="941" t="str">
        <f t="shared" si="960"/>
        <v/>
      </c>
      <c r="HU125" s="942" t="str">
        <f t="shared" si="961"/>
        <v/>
      </c>
      <c r="HV125" s="943" t="str">
        <f t="shared" si="962"/>
        <v/>
      </c>
      <c r="HW125" s="944" t="str">
        <f t="shared" si="963"/>
        <v/>
      </c>
      <c r="HX125" s="947" t="str">
        <f t="shared" si="964"/>
        <v/>
      </c>
      <c r="HY125" s="952" t="str">
        <f t="shared" si="965"/>
        <v/>
      </c>
      <c r="HZ125" s="953" t="str">
        <f t="shared" si="966"/>
        <v/>
      </c>
      <c r="IA125" s="954" t="str">
        <f t="shared" si="967"/>
        <v/>
      </c>
      <c r="IB125" s="955" t="str">
        <f t="shared" si="968"/>
        <v/>
      </c>
      <c r="IC125" s="842" t="str">
        <f t="shared" si="969"/>
        <v/>
      </c>
      <c r="ID125" s="351" t="str">
        <f t="shared" si="970"/>
        <v/>
      </c>
      <c r="IE125" s="844" t="str">
        <f t="shared" si="971"/>
        <v/>
      </c>
      <c r="IF125" s="845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37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72"/>
        <v/>
      </c>
      <c r="IM125" s="482" t="str">
        <f t="shared" si="838"/>
        <v/>
      </c>
      <c r="IN125" s="670" t="str">
        <f t="shared" si="973"/>
        <v/>
      </c>
      <c r="IO125" s="702"/>
      <c r="IP125" s="5" t="str">
        <f t="shared" si="974"/>
        <v/>
      </c>
      <c r="IQ125" s="714"/>
      <c r="IR125" s="9" t="str">
        <f t="shared" si="975"/>
        <v/>
      </c>
      <c r="IS125" s="5" t="str">
        <f t="shared" si="976"/>
        <v/>
      </c>
      <c r="IT125" s="5" t="str">
        <f t="shared" si="977"/>
        <v/>
      </c>
      <c r="IU125" s="5" t="str">
        <f t="shared" si="978"/>
        <v/>
      </c>
      <c r="IV125" s="670" t="str">
        <f t="shared" si="979"/>
        <v/>
      </c>
      <c r="IW125" s="9" t="str">
        <f t="shared" si="980"/>
        <v/>
      </c>
      <c r="IX125" s="5" t="str">
        <f t="shared" si="981"/>
        <v/>
      </c>
      <c r="IY125" s="5" t="str">
        <f t="shared" si="982"/>
        <v/>
      </c>
      <c r="IZ125" s="5" t="str">
        <f t="shared" si="983"/>
        <v/>
      </c>
      <c r="JA125" s="705" t="str">
        <f t="shared" si="984"/>
        <v/>
      </c>
    </row>
    <row r="126" spans="1:261" ht="15" customHeight="1" x14ac:dyDescent="0.25">
      <c r="A126" s="75" t="str">
        <f t="shared" si="899"/>
        <v/>
      </c>
      <c r="B126" s="578" t="str">
        <f t="shared" ref="B126:D126" si="1051">IFERROR(O281+($A126*-E126),"")</f>
        <v/>
      </c>
      <c r="C126" s="572" t="str">
        <f t="shared" si="1051"/>
        <v/>
      </c>
      <c r="D126" s="576" t="str">
        <f t="shared" si="1051"/>
        <v/>
      </c>
      <c r="E126" s="580" t="str">
        <f t="shared" ref="E126:K126" si="1052">R281</f>
        <v/>
      </c>
      <c r="F126" s="572" t="str">
        <f t="shared" si="1052"/>
        <v/>
      </c>
      <c r="G126" s="579" t="str">
        <f t="shared" si="1052"/>
        <v/>
      </c>
      <c r="H126" s="580" t="str">
        <f t="shared" si="1052"/>
        <v/>
      </c>
      <c r="I126" s="572" t="str">
        <f t="shared" si="1052"/>
        <v/>
      </c>
      <c r="J126" s="483" t="str">
        <f t="shared" si="711"/>
        <v/>
      </c>
      <c r="K126" s="806" t="str">
        <f t="shared" si="1052"/>
        <v/>
      </c>
      <c r="L126" s="309"/>
      <c r="M126" s="164" t="str">
        <f t="shared" si="902"/>
        <v/>
      </c>
      <c r="N126" s="575" t="str">
        <f t="shared" si="903"/>
        <v/>
      </c>
      <c r="O126" s="572" t="str">
        <f t="shared" si="904"/>
        <v/>
      </c>
      <c r="P126" s="576" t="str">
        <f t="shared" si="905"/>
        <v/>
      </c>
      <c r="Q126" s="528" t="str">
        <f t="shared" si="712"/>
        <v/>
      </c>
      <c r="R126" s="572" t="str">
        <f t="shared" si="987"/>
        <v/>
      </c>
      <c r="S126" s="577" t="str">
        <f t="shared" si="988"/>
        <v/>
      </c>
      <c r="T126" s="578" t="str">
        <f t="shared" si="989"/>
        <v/>
      </c>
      <c r="U126" s="572" t="str">
        <f t="shared" si="990"/>
        <v/>
      </c>
      <c r="V126" s="579" t="str">
        <f t="shared" si="991"/>
        <v/>
      </c>
      <c r="W126" s="528" t="str">
        <f t="shared" si="848"/>
        <v/>
      </c>
      <c r="X126" s="572" t="str">
        <f t="shared" si="992"/>
        <v/>
      </c>
      <c r="Y126" s="573" t="str">
        <f t="shared" si="841"/>
        <v/>
      </c>
      <c r="Z126" s="575" t="str">
        <f t="shared" si="906"/>
        <v/>
      </c>
      <c r="AA126" s="572" t="str">
        <f t="shared" si="907"/>
        <v/>
      </c>
      <c r="AB126" s="572" t="str">
        <f t="shared" si="908"/>
        <v/>
      </c>
      <c r="AC126" s="579" t="str">
        <f t="shared" si="993"/>
        <v/>
      </c>
      <c r="AD126" s="580" t="str">
        <f t="shared" si="994"/>
        <v/>
      </c>
      <c r="AE126" s="572" t="str">
        <f t="shared" si="995"/>
        <v/>
      </c>
      <c r="AF126" s="576" t="str">
        <f t="shared" si="996"/>
        <v/>
      </c>
      <c r="AG126" s="545" t="str">
        <f t="shared" si="997"/>
        <v/>
      </c>
      <c r="AH126" s="546" t="str">
        <f t="shared" si="998"/>
        <v/>
      </c>
      <c r="AI126" s="528" t="str">
        <f t="shared" si="999"/>
        <v/>
      </c>
      <c r="AJ126" s="529" t="str">
        <f t="shared" si="1000"/>
        <v/>
      </c>
      <c r="AK126" s="578" t="str">
        <f t="shared" si="1001"/>
        <v/>
      </c>
      <c r="AL126" s="572" t="str">
        <f t="shared" si="1002"/>
        <v/>
      </c>
      <c r="AM126" s="577" t="str">
        <f t="shared" si="1003"/>
        <v/>
      </c>
      <c r="AN126" s="524" t="str">
        <f t="shared" si="1004"/>
        <v/>
      </c>
      <c r="AO126" s="525" t="str">
        <f t="shared" si="1040"/>
        <v/>
      </c>
      <c r="AP126" s="528" t="str">
        <f t="shared" si="1005"/>
        <v/>
      </c>
      <c r="AQ126" s="529" t="str">
        <f t="shared" si="909"/>
        <v/>
      </c>
      <c r="AS126" s="900" t="str">
        <f t="shared" si="1011"/>
        <v/>
      </c>
      <c r="AT126" s="896" t="str">
        <f t="shared" si="910"/>
        <v/>
      </c>
      <c r="AU126" s="418"/>
      <c r="AV126" s="164" t="str">
        <f t="shared" si="911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2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3"/>
        <v/>
      </c>
      <c r="BF126" s="4" t="str">
        <f t="shared" si="914"/>
        <v/>
      </c>
      <c r="BG126" s="5" t="str">
        <f t="shared" si="915"/>
        <v/>
      </c>
      <c r="BH126" s="10" t="str">
        <f t="shared" si="916"/>
        <v/>
      </c>
      <c r="BI126" s="9" t="str">
        <f t="shared" si="739"/>
        <v/>
      </c>
      <c r="BJ126" s="5" t="str">
        <f t="shared" si="917"/>
        <v/>
      </c>
      <c r="BK126" s="8" t="str">
        <f t="shared" si="918"/>
        <v/>
      </c>
      <c r="BL126" s="173" t="str">
        <f t="shared" si="919"/>
        <v/>
      </c>
      <c r="BM126" s="5" t="str">
        <f t="shared" si="920"/>
        <v/>
      </c>
      <c r="BN126" s="6" t="str">
        <f t="shared" si="921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6"/>
        <v/>
      </c>
      <c r="BT126" s="5" t="str">
        <f t="shared" si="1006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2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2"/>
        <v/>
      </c>
      <c r="DC126" s="5" t="str">
        <f t="shared" si="1012"/>
        <v/>
      </c>
      <c r="DD126" s="10" t="str">
        <f t="shared" si="764"/>
        <v/>
      </c>
      <c r="DE126" s="9" t="str">
        <f t="shared" si="1013"/>
        <v/>
      </c>
      <c r="DF126" s="5" t="str">
        <f t="shared" si="1013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3"/>
        <v/>
      </c>
      <c r="ET126" s="5" t="str">
        <f t="shared" si="924"/>
        <v/>
      </c>
      <c r="EU126" s="10" t="str">
        <f t="shared" si="925"/>
        <v/>
      </c>
      <c r="EV126" s="174" t="str">
        <f t="shared" si="926"/>
        <v/>
      </c>
      <c r="EW126" s="9" t="str">
        <f t="shared" si="927"/>
        <v/>
      </c>
      <c r="EX126" s="5" t="str">
        <f t="shared" si="928"/>
        <v/>
      </c>
      <c r="EY126" s="6" t="str">
        <f t="shared" si="804"/>
        <v/>
      </c>
      <c r="EZ126" s="51" t="str">
        <f t="shared" si="805"/>
        <v/>
      </c>
      <c r="FA126" s="173" t="str">
        <f t="shared" si="929"/>
        <v/>
      </c>
      <c r="FB126" s="5" t="str">
        <f t="shared" si="930"/>
        <v/>
      </c>
      <c r="FC126" s="6" t="str">
        <f t="shared" si="931"/>
        <v/>
      </c>
      <c r="FD126" s="4" t="str">
        <f t="shared" si="932"/>
        <v/>
      </c>
      <c r="FE126" s="5" t="str">
        <f t="shared" si="933"/>
        <v/>
      </c>
      <c r="FF126" s="7" t="str">
        <f t="shared" si="806"/>
        <v/>
      </c>
      <c r="FG126" s="173" t="str">
        <f t="shared" si="934"/>
        <v/>
      </c>
      <c r="FH126" s="5" t="str">
        <f t="shared" si="935"/>
        <v/>
      </c>
      <c r="FI126" s="10" t="str">
        <f t="shared" si="936"/>
        <v/>
      </c>
      <c r="FJ126" s="279" t="str">
        <f t="shared" si="807"/>
        <v/>
      </c>
      <c r="FK126" s="4" t="str">
        <f t="shared" si="937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8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9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40"/>
        <v/>
      </c>
      <c r="GH126" s="286" t="str">
        <f t="shared" si="941"/>
        <v/>
      </c>
      <c r="GI126" s="281" t="str">
        <f t="shared" si="942"/>
        <v/>
      </c>
      <c r="GJ126" s="167" t="str">
        <f t="shared" si="823"/>
        <v/>
      </c>
      <c r="GK126" s="174" t="str">
        <f t="shared" si="943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4"/>
        <v/>
      </c>
      <c r="GT126" s="343" t="str">
        <f t="shared" si="945"/>
        <v/>
      </c>
      <c r="GU126" s="344" t="str">
        <f t="shared" si="946"/>
        <v/>
      </c>
      <c r="GV126" s="343" t="str">
        <f t="shared" si="831"/>
        <v/>
      </c>
      <c r="GW126" s="345" t="str">
        <f t="shared" si="947"/>
        <v/>
      </c>
      <c r="GX126" s="346" t="str">
        <f t="shared" si="948"/>
        <v/>
      </c>
      <c r="GY126" s="344" t="str">
        <f t="shared" si="949"/>
        <v/>
      </c>
      <c r="GZ126" s="345" t="str">
        <f t="shared" si="950"/>
        <v/>
      </c>
      <c r="HA126" s="342" t="str">
        <f t="shared" si="951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2"/>
        <v/>
      </c>
      <c r="HF126" s="5" t="str">
        <f t="shared" si="953"/>
        <v/>
      </c>
      <c r="HG126" s="343" t="str">
        <f t="shared" si="835"/>
        <v/>
      </c>
      <c r="HH126" s="349" t="str">
        <f t="shared" si="836"/>
        <v/>
      </c>
      <c r="HI126" s="317" t="str">
        <f t="shared" si="954"/>
        <v/>
      </c>
      <c r="HK126" s="310" t="str">
        <f t="shared" si="1007"/>
        <v/>
      </c>
      <c r="HL126" s="348" t="str">
        <f t="shared" si="955"/>
        <v/>
      </c>
      <c r="HM126" s="935" t="str">
        <f t="shared" si="956"/>
        <v/>
      </c>
      <c r="HN126" s="936" t="str">
        <f t="shared" si="957"/>
        <v/>
      </c>
      <c r="HO126" s="937"/>
      <c r="HP126" s="938"/>
      <c r="HQ126" s="936" t="str">
        <f t="shared" si="958"/>
        <v/>
      </c>
      <c r="HR126" s="939" t="str">
        <f t="shared" si="959"/>
        <v/>
      </c>
      <c r="HS126" s="940" t="str">
        <f t="shared" si="1008"/>
        <v/>
      </c>
      <c r="HT126" s="941" t="str">
        <f t="shared" si="960"/>
        <v/>
      </c>
      <c r="HU126" s="942" t="str">
        <f t="shared" si="961"/>
        <v/>
      </c>
      <c r="HV126" s="943" t="str">
        <f t="shared" si="962"/>
        <v/>
      </c>
      <c r="HW126" s="944" t="str">
        <f t="shared" si="963"/>
        <v/>
      </c>
      <c r="HX126" s="947" t="str">
        <f t="shared" si="964"/>
        <v/>
      </c>
      <c r="HY126" s="952" t="str">
        <f t="shared" si="965"/>
        <v/>
      </c>
      <c r="HZ126" s="953" t="str">
        <f t="shared" si="966"/>
        <v/>
      </c>
      <c r="IA126" s="954" t="str">
        <f t="shared" si="967"/>
        <v/>
      </c>
      <c r="IB126" s="955" t="str">
        <f t="shared" si="968"/>
        <v/>
      </c>
      <c r="IC126" s="842" t="str">
        <f t="shared" si="969"/>
        <v/>
      </c>
      <c r="ID126" s="351" t="str">
        <f t="shared" si="970"/>
        <v/>
      </c>
      <c r="IE126" s="844" t="str">
        <f t="shared" si="971"/>
        <v/>
      </c>
      <c r="IF126" s="845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37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72"/>
        <v/>
      </c>
      <c r="IM126" s="482" t="str">
        <f t="shared" si="838"/>
        <v/>
      </c>
      <c r="IN126" s="670" t="str">
        <f t="shared" si="973"/>
        <v/>
      </c>
      <c r="IO126" s="702"/>
      <c r="IP126" s="5" t="str">
        <f t="shared" si="974"/>
        <v/>
      </c>
      <c r="IQ126" s="714"/>
      <c r="IR126" s="9" t="str">
        <f t="shared" si="975"/>
        <v/>
      </c>
      <c r="IS126" s="5" t="str">
        <f t="shared" si="976"/>
        <v/>
      </c>
      <c r="IT126" s="5" t="str">
        <f t="shared" si="977"/>
        <v/>
      </c>
      <c r="IU126" s="5" t="str">
        <f t="shared" si="978"/>
        <v/>
      </c>
      <c r="IV126" s="670" t="str">
        <f t="shared" si="979"/>
        <v/>
      </c>
      <c r="IW126" s="9" t="str">
        <f t="shared" si="980"/>
        <v/>
      </c>
      <c r="IX126" s="5" t="str">
        <f t="shared" si="981"/>
        <v/>
      </c>
      <c r="IY126" s="5" t="str">
        <f t="shared" si="982"/>
        <v/>
      </c>
      <c r="IZ126" s="5" t="str">
        <f t="shared" si="983"/>
        <v/>
      </c>
      <c r="JA126" s="705" t="str">
        <f t="shared" si="984"/>
        <v/>
      </c>
    </row>
    <row r="127" spans="1:261" ht="15" customHeight="1" x14ac:dyDescent="0.25">
      <c r="A127" s="75" t="str">
        <f t="shared" si="899"/>
        <v/>
      </c>
      <c r="B127" s="578" t="str">
        <f t="shared" ref="B127:D127" si="1053">IFERROR(O282+($A127*-E127),"")</f>
        <v/>
      </c>
      <c r="C127" s="572" t="str">
        <f t="shared" si="1053"/>
        <v/>
      </c>
      <c r="D127" s="576" t="str">
        <f t="shared" si="1053"/>
        <v/>
      </c>
      <c r="E127" s="580" t="str">
        <f t="shared" ref="E127:K127" si="1054">R282</f>
        <v/>
      </c>
      <c r="F127" s="572" t="str">
        <f t="shared" si="1054"/>
        <v/>
      </c>
      <c r="G127" s="579" t="str">
        <f t="shared" si="1054"/>
        <v/>
      </c>
      <c r="H127" s="580" t="str">
        <f t="shared" si="1054"/>
        <v/>
      </c>
      <c r="I127" s="572" t="str">
        <f t="shared" si="1054"/>
        <v/>
      </c>
      <c r="J127" s="483" t="str">
        <f t="shared" si="711"/>
        <v/>
      </c>
      <c r="K127" s="806" t="str">
        <f t="shared" si="1054"/>
        <v/>
      </c>
      <c r="L127" s="309"/>
      <c r="M127" s="164" t="str">
        <f t="shared" si="902"/>
        <v/>
      </c>
      <c r="N127" s="575" t="str">
        <f t="shared" si="903"/>
        <v/>
      </c>
      <c r="O127" s="572" t="str">
        <f t="shared" si="904"/>
        <v/>
      </c>
      <c r="P127" s="576" t="str">
        <f t="shared" si="905"/>
        <v/>
      </c>
      <c r="Q127" s="528" t="str">
        <f t="shared" si="712"/>
        <v/>
      </c>
      <c r="R127" s="572" t="str">
        <f t="shared" si="987"/>
        <v/>
      </c>
      <c r="S127" s="577" t="str">
        <f t="shared" si="988"/>
        <v/>
      </c>
      <c r="T127" s="578" t="str">
        <f t="shared" si="989"/>
        <v/>
      </c>
      <c r="U127" s="572" t="str">
        <f t="shared" si="990"/>
        <v/>
      </c>
      <c r="V127" s="579" t="str">
        <f t="shared" si="991"/>
        <v/>
      </c>
      <c r="W127" s="528" t="str">
        <f t="shared" si="848"/>
        <v/>
      </c>
      <c r="X127" s="572" t="str">
        <f t="shared" si="992"/>
        <v/>
      </c>
      <c r="Y127" s="573" t="str">
        <f t="shared" si="841"/>
        <v/>
      </c>
      <c r="Z127" s="575" t="str">
        <f t="shared" si="906"/>
        <v/>
      </c>
      <c r="AA127" s="572" t="str">
        <f t="shared" si="907"/>
        <v/>
      </c>
      <c r="AB127" s="572" t="str">
        <f t="shared" si="908"/>
        <v/>
      </c>
      <c r="AC127" s="579" t="str">
        <f t="shared" si="993"/>
        <v/>
      </c>
      <c r="AD127" s="580" t="str">
        <f t="shared" si="994"/>
        <v/>
      </c>
      <c r="AE127" s="572" t="str">
        <f t="shared" si="995"/>
        <v/>
      </c>
      <c r="AF127" s="576" t="str">
        <f t="shared" si="996"/>
        <v/>
      </c>
      <c r="AG127" s="545" t="str">
        <f t="shared" si="997"/>
        <v/>
      </c>
      <c r="AH127" s="546" t="str">
        <f t="shared" si="998"/>
        <v/>
      </c>
      <c r="AI127" s="528" t="str">
        <f t="shared" si="999"/>
        <v/>
      </c>
      <c r="AJ127" s="529" t="str">
        <f t="shared" si="1000"/>
        <v/>
      </c>
      <c r="AK127" s="578" t="str">
        <f t="shared" si="1001"/>
        <v/>
      </c>
      <c r="AL127" s="572" t="str">
        <f t="shared" si="1002"/>
        <v/>
      </c>
      <c r="AM127" s="577" t="str">
        <f t="shared" si="1003"/>
        <v/>
      </c>
      <c r="AN127" s="524" t="str">
        <f t="shared" si="1004"/>
        <v/>
      </c>
      <c r="AO127" s="525" t="str">
        <f t="shared" si="1040"/>
        <v/>
      </c>
      <c r="AP127" s="528" t="str">
        <f t="shared" si="1005"/>
        <v/>
      </c>
      <c r="AQ127" s="529" t="str">
        <f t="shared" si="909"/>
        <v/>
      </c>
      <c r="AS127" s="900" t="str">
        <f t="shared" si="1011"/>
        <v/>
      </c>
      <c r="AT127" s="896" t="str">
        <f t="shared" si="910"/>
        <v/>
      </c>
      <c r="AU127" s="418"/>
      <c r="AV127" s="164" t="str">
        <f t="shared" si="911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2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3"/>
        <v/>
      </c>
      <c r="BF127" s="4" t="str">
        <f t="shared" si="914"/>
        <v/>
      </c>
      <c r="BG127" s="5" t="str">
        <f t="shared" si="915"/>
        <v/>
      </c>
      <c r="BH127" s="10" t="str">
        <f t="shared" si="916"/>
        <v/>
      </c>
      <c r="BI127" s="9" t="str">
        <f t="shared" si="739"/>
        <v/>
      </c>
      <c r="BJ127" s="5" t="str">
        <f t="shared" si="917"/>
        <v/>
      </c>
      <c r="BK127" s="8" t="str">
        <f t="shared" si="918"/>
        <v/>
      </c>
      <c r="BL127" s="173" t="str">
        <f t="shared" si="919"/>
        <v/>
      </c>
      <c r="BM127" s="5" t="str">
        <f t="shared" si="920"/>
        <v/>
      </c>
      <c r="BN127" s="6" t="str">
        <f t="shared" si="921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6"/>
        <v/>
      </c>
      <c r="BT127" s="5" t="str">
        <f t="shared" si="1006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2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2"/>
        <v/>
      </c>
      <c r="DC127" s="5" t="str">
        <f t="shared" si="1012"/>
        <v/>
      </c>
      <c r="DD127" s="10" t="str">
        <f t="shared" si="764"/>
        <v/>
      </c>
      <c r="DE127" s="9" t="str">
        <f t="shared" si="1013"/>
        <v/>
      </c>
      <c r="DF127" s="5" t="str">
        <f t="shared" si="1013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3"/>
        <v/>
      </c>
      <c r="ET127" s="5" t="str">
        <f t="shared" si="924"/>
        <v/>
      </c>
      <c r="EU127" s="10" t="str">
        <f t="shared" si="925"/>
        <v/>
      </c>
      <c r="EV127" s="174" t="str">
        <f t="shared" si="926"/>
        <v/>
      </c>
      <c r="EW127" s="9" t="str">
        <f t="shared" si="927"/>
        <v/>
      </c>
      <c r="EX127" s="5" t="str">
        <f t="shared" si="928"/>
        <v/>
      </c>
      <c r="EY127" s="6" t="str">
        <f t="shared" si="804"/>
        <v/>
      </c>
      <c r="EZ127" s="51" t="str">
        <f t="shared" si="805"/>
        <v/>
      </c>
      <c r="FA127" s="173" t="str">
        <f t="shared" si="929"/>
        <v/>
      </c>
      <c r="FB127" s="5" t="str">
        <f t="shared" si="930"/>
        <v/>
      </c>
      <c r="FC127" s="6" t="str">
        <f t="shared" si="931"/>
        <v/>
      </c>
      <c r="FD127" s="4" t="str">
        <f t="shared" si="932"/>
        <v/>
      </c>
      <c r="FE127" s="5" t="str">
        <f t="shared" si="933"/>
        <v/>
      </c>
      <c r="FF127" s="7" t="str">
        <f t="shared" si="806"/>
        <v/>
      </c>
      <c r="FG127" s="173" t="str">
        <f t="shared" si="934"/>
        <v/>
      </c>
      <c r="FH127" s="5" t="str">
        <f t="shared" si="935"/>
        <v/>
      </c>
      <c r="FI127" s="10" t="str">
        <f t="shared" si="936"/>
        <v/>
      </c>
      <c r="FJ127" s="279" t="str">
        <f t="shared" si="807"/>
        <v/>
      </c>
      <c r="FK127" s="4" t="str">
        <f t="shared" si="937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8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9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40"/>
        <v/>
      </c>
      <c r="GH127" s="286" t="str">
        <f t="shared" si="941"/>
        <v/>
      </c>
      <c r="GI127" s="281" t="str">
        <f t="shared" si="942"/>
        <v/>
      </c>
      <c r="GJ127" s="167" t="str">
        <f t="shared" si="823"/>
        <v/>
      </c>
      <c r="GK127" s="174" t="str">
        <f t="shared" si="943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4"/>
        <v/>
      </c>
      <c r="GT127" s="343" t="str">
        <f t="shared" si="945"/>
        <v/>
      </c>
      <c r="GU127" s="344" t="str">
        <f t="shared" si="946"/>
        <v/>
      </c>
      <c r="GV127" s="343" t="str">
        <f t="shared" si="831"/>
        <v/>
      </c>
      <c r="GW127" s="345" t="str">
        <f t="shared" si="947"/>
        <v/>
      </c>
      <c r="GX127" s="346" t="str">
        <f t="shared" si="948"/>
        <v/>
      </c>
      <c r="GY127" s="344" t="str">
        <f t="shared" si="949"/>
        <v/>
      </c>
      <c r="GZ127" s="345" t="str">
        <f t="shared" si="950"/>
        <v/>
      </c>
      <c r="HA127" s="342" t="str">
        <f t="shared" si="951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2"/>
        <v/>
      </c>
      <c r="HF127" s="5" t="str">
        <f t="shared" si="953"/>
        <v/>
      </c>
      <c r="HG127" s="343" t="str">
        <f t="shared" si="835"/>
        <v/>
      </c>
      <c r="HH127" s="349" t="str">
        <f t="shared" si="836"/>
        <v/>
      </c>
      <c r="HI127" s="317" t="str">
        <f t="shared" si="954"/>
        <v/>
      </c>
      <c r="HK127" s="310" t="str">
        <f t="shared" si="1007"/>
        <v/>
      </c>
      <c r="HL127" s="348" t="str">
        <f t="shared" si="955"/>
        <v/>
      </c>
      <c r="HM127" s="935" t="str">
        <f t="shared" si="956"/>
        <v/>
      </c>
      <c r="HN127" s="936" t="str">
        <f t="shared" si="957"/>
        <v/>
      </c>
      <c r="HO127" s="937"/>
      <c r="HP127" s="938"/>
      <c r="HQ127" s="936" t="str">
        <f t="shared" si="958"/>
        <v/>
      </c>
      <c r="HR127" s="939" t="str">
        <f t="shared" si="959"/>
        <v/>
      </c>
      <c r="HS127" s="940" t="str">
        <f t="shared" si="1008"/>
        <v/>
      </c>
      <c r="HT127" s="941" t="str">
        <f t="shared" si="960"/>
        <v/>
      </c>
      <c r="HU127" s="942" t="str">
        <f t="shared" si="961"/>
        <v/>
      </c>
      <c r="HV127" s="943" t="str">
        <f t="shared" si="962"/>
        <v/>
      </c>
      <c r="HW127" s="944" t="str">
        <f t="shared" si="963"/>
        <v/>
      </c>
      <c r="HX127" s="947" t="str">
        <f t="shared" si="964"/>
        <v/>
      </c>
      <c r="HY127" s="952" t="str">
        <f t="shared" si="965"/>
        <v/>
      </c>
      <c r="HZ127" s="953" t="str">
        <f t="shared" si="966"/>
        <v/>
      </c>
      <c r="IA127" s="954" t="str">
        <f t="shared" si="967"/>
        <v/>
      </c>
      <c r="IB127" s="955" t="str">
        <f t="shared" si="968"/>
        <v/>
      </c>
      <c r="IC127" s="842" t="str">
        <f t="shared" si="969"/>
        <v/>
      </c>
      <c r="ID127" s="351" t="str">
        <f t="shared" si="970"/>
        <v/>
      </c>
      <c r="IE127" s="844" t="str">
        <f t="shared" si="971"/>
        <v/>
      </c>
      <c r="IF127" s="845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37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72"/>
        <v/>
      </c>
      <c r="IM127" s="482" t="str">
        <f t="shared" si="838"/>
        <v/>
      </c>
      <c r="IN127" s="670" t="str">
        <f t="shared" si="973"/>
        <v/>
      </c>
      <c r="IO127" s="702"/>
      <c r="IP127" s="5" t="str">
        <f t="shared" si="974"/>
        <v/>
      </c>
      <c r="IQ127" s="714"/>
      <c r="IR127" s="9" t="str">
        <f t="shared" si="975"/>
        <v/>
      </c>
      <c r="IS127" s="5" t="str">
        <f t="shared" si="976"/>
        <v/>
      </c>
      <c r="IT127" s="5" t="str">
        <f t="shared" si="977"/>
        <v/>
      </c>
      <c r="IU127" s="5" t="str">
        <f t="shared" si="978"/>
        <v/>
      </c>
      <c r="IV127" s="670" t="str">
        <f t="shared" si="979"/>
        <v/>
      </c>
      <c r="IW127" s="9" t="str">
        <f t="shared" si="980"/>
        <v/>
      </c>
      <c r="IX127" s="5" t="str">
        <f t="shared" si="981"/>
        <v/>
      </c>
      <c r="IY127" s="5" t="str">
        <f t="shared" si="982"/>
        <v/>
      </c>
      <c r="IZ127" s="5" t="str">
        <f t="shared" si="983"/>
        <v/>
      </c>
      <c r="JA127" s="705" t="str">
        <f t="shared" si="984"/>
        <v/>
      </c>
    </row>
    <row r="128" spans="1:261" ht="15" customHeight="1" x14ac:dyDescent="0.25">
      <c r="A128" s="75" t="str">
        <f t="shared" si="899"/>
        <v/>
      </c>
      <c r="B128" s="578" t="str">
        <f t="shared" ref="B128:D128" si="1055">IFERROR(O283+($A128*-E128),"")</f>
        <v/>
      </c>
      <c r="C128" s="572" t="str">
        <f t="shared" si="1055"/>
        <v/>
      </c>
      <c r="D128" s="576" t="str">
        <f t="shared" si="1055"/>
        <v/>
      </c>
      <c r="E128" s="580" t="str">
        <f t="shared" ref="E128:K128" si="1056">R283</f>
        <v/>
      </c>
      <c r="F128" s="572" t="str">
        <f t="shared" si="1056"/>
        <v/>
      </c>
      <c r="G128" s="579" t="str">
        <f t="shared" si="1056"/>
        <v/>
      </c>
      <c r="H128" s="580" t="str">
        <f t="shared" si="1056"/>
        <v/>
      </c>
      <c r="I128" s="572" t="str">
        <f t="shared" si="1056"/>
        <v/>
      </c>
      <c r="J128" s="483" t="str">
        <f t="shared" si="711"/>
        <v/>
      </c>
      <c r="K128" s="806" t="str">
        <f t="shared" si="1056"/>
        <v/>
      </c>
      <c r="L128" s="309"/>
      <c r="M128" s="164" t="str">
        <f t="shared" si="902"/>
        <v/>
      </c>
      <c r="N128" s="575" t="str">
        <f t="shared" si="903"/>
        <v/>
      </c>
      <c r="O128" s="572" t="str">
        <f t="shared" si="904"/>
        <v/>
      </c>
      <c r="P128" s="576" t="str">
        <f t="shared" si="905"/>
        <v/>
      </c>
      <c r="Q128" s="528" t="str">
        <f t="shared" si="712"/>
        <v/>
      </c>
      <c r="R128" s="572" t="str">
        <f t="shared" si="987"/>
        <v/>
      </c>
      <c r="S128" s="577" t="str">
        <f t="shared" si="988"/>
        <v/>
      </c>
      <c r="T128" s="578" t="str">
        <f t="shared" si="989"/>
        <v/>
      </c>
      <c r="U128" s="572" t="str">
        <f t="shared" si="990"/>
        <v/>
      </c>
      <c r="V128" s="579" t="str">
        <f t="shared" si="991"/>
        <v/>
      </c>
      <c r="W128" s="528" t="str">
        <f t="shared" si="848"/>
        <v/>
      </c>
      <c r="X128" s="572" t="str">
        <f t="shared" si="992"/>
        <v/>
      </c>
      <c r="Y128" s="573" t="str">
        <f t="shared" si="841"/>
        <v/>
      </c>
      <c r="Z128" s="575" t="str">
        <f t="shared" si="906"/>
        <v/>
      </c>
      <c r="AA128" s="572" t="str">
        <f t="shared" si="907"/>
        <v/>
      </c>
      <c r="AB128" s="572" t="str">
        <f t="shared" si="908"/>
        <v/>
      </c>
      <c r="AC128" s="579" t="str">
        <f t="shared" si="993"/>
        <v/>
      </c>
      <c r="AD128" s="580" t="str">
        <f t="shared" si="994"/>
        <v/>
      </c>
      <c r="AE128" s="572" t="str">
        <f t="shared" si="995"/>
        <v/>
      </c>
      <c r="AF128" s="576" t="str">
        <f t="shared" si="996"/>
        <v/>
      </c>
      <c r="AG128" s="545" t="str">
        <f t="shared" si="997"/>
        <v/>
      </c>
      <c r="AH128" s="546" t="str">
        <f t="shared" si="998"/>
        <v/>
      </c>
      <c r="AI128" s="528" t="str">
        <f t="shared" si="999"/>
        <v/>
      </c>
      <c r="AJ128" s="529" t="str">
        <f t="shared" si="1000"/>
        <v/>
      </c>
      <c r="AK128" s="578" t="str">
        <f t="shared" si="1001"/>
        <v/>
      </c>
      <c r="AL128" s="572" t="str">
        <f t="shared" si="1002"/>
        <v/>
      </c>
      <c r="AM128" s="577" t="str">
        <f t="shared" si="1003"/>
        <v/>
      </c>
      <c r="AN128" s="524" t="str">
        <f t="shared" si="1004"/>
        <v/>
      </c>
      <c r="AO128" s="525" t="str">
        <f t="shared" si="1040"/>
        <v/>
      </c>
      <c r="AP128" s="528" t="str">
        <f t="shared" si="1005"/>
        <v/>
      </c>
      <c r="AQ128" s="529" t="str">
        <f t="shared" si="909"/>
        <v/>
      </c>
      <c r="AS128" s="900" t="str">
        <f t="shared" si="1011"/>
        <v/>
      </c>
      <c r="AT128" s="896" t="str">
        <f t="shared" si="910"/>
        <v/>
      </c>
      <c r="AU128" s="418"/>
      <c r="AV128" s="164" t="str">
        <f t="shared" si="911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2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3"/>
        <v/>
      </c>
      <c r="BF128" s="4" t="str">
        <f t="shared" si="914"/>
        <v/>
      </c>
      <c r="BG128" s="5" t="str">
        <f t="shared" si="915"/>
        <v/>
      </c>
      <c r="BH128" s="10" t="str">
        <f t="shared" si="916"/>
        <v/>
      </c>
      <c r="BI128" s="9" t="str">
        <f t="shared" si="739"/>
        <v/>
      </c>
      <c r="BJ128" s="5" t="str">
        <f t="shared" si="917"/>
        <v/>
      </c>
      <c r="BK128" s="8" t="str">
        <f t="shared" si="918"/>
        <v/>
      </c>
      <c r="BL128" s="173" t="str">
        <f t="shared" si="919"/>
        <v/>
      </c>
      <c r="BM128" s="5" t="str">
        <f t="shared" si="920"/>
        <v/>
      </c>
      <c r="BN128" s="6" t="str">
        <f t="shared" si="921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6"/>
        <v/>
      </c>
      <c r="BT128" s="5" t="str">
        <f t="shared" si="1006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2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2"/>
        <v/>
      </c>
      <c r="DC128" s="5" t="str">
        <f t="shared" si="1012"/>
        <v/>
      </c>
      <c r="DD128" s="10" t="str">
        <f t="shared" si="764"/>
        <v/>
      </c>
      <c r="DE128" s="9" t="str">
        <f t="shared" si="1013"/>
        <v/>
      </c>
      <c r="DF128" s="5" t="str">
        <f t="shared" si="1013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3"/>
        <v/>
      </c>
      <c r="ET128" s="5" t="str">
        <f t="shared" si="924"/>
        <v/>
      </c>
      <c r="EU128" s="10" t="str">
        <f t="shared" si="925"/>
        <v/>
      </c>
      <c r="EV128" s="174" t="str">
        <f t="shared" si="926"/>
        <v/>
      </c>
      <c r="EW128" s="9" t="str">
        <f t="shared" si="927"/>
        <v/>
      </c>
      <c r="EX128" s="5" t="str">
        <f t="shared" si="928"/>
        <v/>
      </c>
      <c r="EY128" s="6" t="str">
        <f t="shared" si="804"/>
        <v/>
      </c>
      <c r="EZ128" s="51" t="str">
        <f t="shared" si="805"/>
        <v/>
      </c>
      <c r="FA128" s="173" t="str">
        <f t="shared" si="929"/>
        <v/>
      </c>
      <c r="FB128" s="5" t="str">
        <f t="shared" si="930"/>
        <v/>
      </c>
      <c r="FC128" s="6" t="str">
        <f t="shared" si="931"/>
        <v/>
      </c>
      <c r="FD128" s="4" t="str">
        <f t="shared" si="932"/>
        <v/>
      </c>
      <c r="FE128" s="5" t="str">
        <f t="shared" si="933"/>
        <v/>
      </c>
      <c r="FF128" s="7" t="str">
        <f t="shared" si="806"/>
        <v/>
      </c>
      <c r="FG128" s="173" t="str">
        <f t="shared" si="934"/>
        <v/>
      </c>
      <c r="FH128" s="5" t="str">
        <f t="shared" si="935"/>
        <v/>
      </c>
      <c r="FI128" s="10" t="str">
        <f t="shared" si="936"/>
        <v/>
      </c>
      <c r="FJ128" s="279" t="str">
        <f t="shared" si="807"/>
        <v/>
      </c>
      <c r="FK128" s="4" t="str">
        <f t="shared" si="937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8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9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40"/>
        <v/>
      </c>
      <c r="GH128" s="286" t="str">
        <f t="shared" si="941"/>
        <v/>
      </c>
      <c r="GI128" s="281" t="str">
        <f t="shared" si="942"/>
        <v/>
      </c>
      <c r="GJ128" s="167" t="str">
        <f t="shared" si="823"/>
        <v/>
      </c>
      <c r="GK128" s="174" t="str">
        <f t="shared" si="943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4"/>
        <v/>
      </c>
      <c r="GT128" s="343" t="str">
        <f t="shared" si="945"/>
        <v/>
      </c>
      <c r="GU128" s="344" t="str">
        <f t="shared" si="946"/>
        <v/>
      </c>
      <c r="GV128" s="343" t="str">
        <f t="shared" si="831"/>
        <v/>
      </c>
      <c r="GW128" s="345" t="str">
        <f t="shared" si="947"/>
        <v/>
      </c>
      <c r="GX128" s="346" t="str">
        <f t="shared" si="948"/>
        <v/>
      </c>
      <c r="GY128" s="344" t="str">
        <f t="shared" si="949"/>
        <v/>
      </c>
      <c r="GZ128" s="345" t="str">
        <f t="shared" si="950"/>
        <v/>
      </c>
      <c r="HA128" s="342" t="str">
        <f t="shared" si="951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2"/>
        <v/>
      </c>
      <c r="HF128" s="5" t="str">
        <f t="shared" si="953"/>
        <v/>
      </c>
      <c r="HG128" s="343" t="str">
        <f t="shared" si="835"/>
        <v/>
      </c>
      <c r="HH128" s="349" t="str">
        <f t="shared" si="836"/>
        <v/>
      </c>
      <c r="HI128" s="317" t="str">
        <f t="shared" si="954"/>
        <v/>
      </c>
      <c r="HK128" s="310" t="str">
        <f t="shared" si="1007"/>
        <v/>
      </c>
      <c r="HL128" s="348" t="str">
        <f t="shared" si="955"/>
        <v/>
      </c>
      <c r="HM128" s="935" t="str">
        <f t="shared" si="956"/>
        <v/>
      </c>
      <c r="HN128" s="936" t="str">
        <f t="shared" si="957"/>
        <v/>
      </c>
      <c r="HO128" s="937"/>
      <c r="HP128" s="938"/>
      <c r="HQ128" s="936" t="str">
        <f t="shared" si="958"/>
        <v/>
      </c>
      <c r="HR128" s="939" t="str">
        <f t="shared" si="959"/>
        <v/>
      </c>
      <c r="HS128" s="940" t="str">
        <f t="shared" si="1008"/>
        <v/>
      </c>
      <c r="HT128" s="941" t="str">
        <f t="shared" si="960"/>
        <v/>
      </c>
      <c r="HU128" s="942" t="str">
        <f t="shared" si="961"/>
        <v/>
      </c>
      <c r="HV128" s="943" t="str">
        <f t="shared" si="962"/>
        <v/>
      </c>
      <c r="HW128" s="944" t="str">
        <f t="shared" si="963"/>
        <v/>
      </c>
      <c r="HX128" s="947" t="str">
        <f t="shared" si="964"/>
        <v/>
      </c>
      <c r="HY128" s="952" t="str">
        <f t="shared" si="965"/>
        <v/>
      </c>
      <c r="HZ128" s="953" t="str">
        <f t="shared" si="966"/>
        <v/>
      </c>
      <c r="IA128" s="954" t="str">
        <f t="shared" si="967"/>
        <v/>
      </c>
      <c r="IB128" s="955" t="str">
        <f t="shared" si="968"/>
        <v/>
      </c>
      <c r="IC128" s="842" t="str">
        <f t="shared" si="969"/>
        <v/>
      </c>
      <c r="ID128" s="351" t="str">
        <f t="shared" si="970"/>
        <v/>
      </c>
      <c r="IE128" s="844" t="str">
        <f t="shared" si="971"/>
        <v/>
      </c>
      <c r="IF128" s="845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37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72"/>
        <v/>
      </c>
      <c r="IM128" s="482" t="str">
        <f t="shared" si="838"/>
        <v/>
      </c>
      <c r="IN128" s="670" t="str">
        <f t="shared" si="973"/>
        <v/>
      </c>
      <c r="IO128" s="702"/>
      <c r="IP128" s="5" t="str">
        <f t="shared" si="974"/>
        <v/>
      </c>
      <c r="IQ128" s="714"/>
      <c r="IR128" s="9" t="str">
        <f t="shared" si="975"/>
        <v/>
      </c>
      <c r="IS128" s="5" t="str">
        <f t="shared" si="976"/>
        <v/>
      </c>
      <c r="IT128" s="5" t="str">
        <f t="shared" si="977"/>
        <v/>
      </c>
      <c r="IU128" s="5" t="str">
        <f t="shared" si="978"/>
        <v/>
      </c>
      <c r="IV128" s="670" t="str">
        <f t="shared" si="979"/>
        <v/>
      </c>
      <c r="IW128" s="9" t="str">
        <f t="shared" si="980"/>
        <v/>
      </c>
      <c r="IX128" s="5" t="str">
        <f t="shared" si="981"/>
        <v/>
      </c>
      <c r="IY128" s="5" t="str">
        <f t="shared" si="982"/>
        <v/>
      </c>
      <c r="IZ128" s="5" t="str">
        <f t="shared" si="983"/>
        <v/>
      </c>
      <c r="JA128" s="705" t="str">
        <f t="shared" si="984"/>
        <v/>
      </c>
    </row>
    <row r="129" spans="1:261" ht="15" customHeight="1" x14ac:dyDescent="0.25">
      <c r="A129" s="75" t="str">
        <f t="shared" si="899"/>
        <v/>
      </c>
      <c r="B129" s="578" t="str">
        <f t="shared" ref="B129:D129" si="1057">IFERROR(O284+($A129*-E129),"")</f>
        <v/>
      </c>
      <c r="C129" s="572" t="str">
        <f t="shared" si="1057"/>
        <v/>
      </c>
      <c r="D129" s="576" t="str">
        <f t="shared" si="1057"/>
        <v/>
      </c>
      <c r="E129" s="580" t="str">
        <f t="shared" ref="E129:K129" si="1058">R284</f>
        <v/>
      </c>
      <c r="F129" s="572" t="str">
        <f t="shared" si="1058"/>
        <v/>
      </c>
      <c r="G129" s="579" t="str">
        <f t="shared" si="1058"/>
        <v/>
      </c>
      <c r="H129" s="580" t="str">
        <f t="shared" si="1058"/>
        <v/>
      </c>
      <c r="I129" s="572" t="str">
        <f t="shared" si="1058"/>
        <v/>
      </c>
      <c r="J129" s="483" t="str">
        <f t="shared" si="711"/>
        <v/>
      </c>
      <c r="K129" s="806" t="str">
        <f t="shared" si="1058"/>
        <v/>
      </c>
      <c r="L129" s="309"/>
      <c r="M129" s="164" t="str">
        <f t="shared" si="902"/>
        <v/>
      </c>
      <c r="N129" s="575" t="str">
        <f t="shared" si="903"/>
        <v/>
      </c>
      <c r="O129" s="572" t="str">
        <f t="shared" si="904"/>
        <v/>
      </c>
      <c r="P129" s="576" t="str">
        <f t="shared" si="905"/>
        <v/>
      </c>
      <c r="Q129" s="528" t="str">
        <f t="shared" si="712"/>
        <v/>
      </c>
      <c r="R129" s="572" t="str">
        <f t="shared" si="987"/>
        <v/>
      </c>
      <c r="S129" s="577" t="str">
        <f t="shared" si="988"/>
        <v/>
      </c>
      <c r="T129" s="578" t="str">
        <f t="shared" si="989"/>
        <v/>
      </c>
      <c r="U129" s="572" t="str">
        <f t="shared" si="990"/>
        <v/>
      </c>
      <c r="V129" s="579" t="str">
        <f t="shared" si="991"/>
        <v/>
      </c>
      <c r="W129" s="528" t="str">
        <f t="shared" si="848"/>
        <v/>
      </c>
      <c r="X129" s="572" t="str">
        <f t="shared" si="992"/>
        <v/>
      </c>
      <c r="Y129" s="573" t="str">
        <f t="shared" si="841"/>
        <v/>
      </c>
      <c r="Z129" s="575" t="str">
        <f t="shared" si="906"/>
        <v/>
      </c>
      <c r="AA129" s="572" t="str">
        <f t="shared" si="907"/>
        <v/>
      </c>
      <c r="AB129" s="572" t="str">
        <f t="shared" si="908"/>
        <v/>
      </c>
      <c r="AC129" s="579" t="str">
        <f t="shared" si="993"/>
        <v/>
      </c>
      <c r="AD129" s="580" t="str">
        <f t="shared" si="994"/>
        <v/>
      </c>
      <c r="AE129" s="572" t="str">
        <f t="shared" si="995"/>
        <v/>
      </c>
      <c r="AF129" s="576" t="str">
        <f t="shared" si="996"/>
        <v/>
      </c>
      <c r="AG129" s="545" t="str">
        <f t="shared" si="997"/>
        <v/>
      </c>
      <c r="AH129" s="546" t="str">
        <f t="shared" si="998"/>
        <v/>
      </c>
      <c r="AI129" s="528" t="str">
        <f t="shared" si="999"/>
        <v/>
      </c>
      <c r="AJ129" s="529" t="str">
        <f t="shared" si="1000"/>
        <v/>
      </c>
      <c r="AK129" s="578" t="str">
        <f t="shared" si="1001"/>
        <v/>
      </c>
      <c r="AL129" s="572" t="str">
        <f t="shared" si="1002"/>
        <v/>
      </c>
      <c r="AM129" s="577" t="str">
        <f t="shared" si="1003"/>
        <v/>
      </c>
      <c r="AN129" s="524" t="str">
        <f t="shared" si="1004"/>
        <v/>
      </c>
      <c r="AO129" s="525" t="str">
        <f t="shared" si="1040"/>
        <v/>
      </c>
      <c r="AP129" s="528" t="str">
        <f t="shared" si="1005"/>
        <v/>
      </c>
      <c r="AQ129" s="529" t="str">
        <f t="shared" si="909"/>
        <v/>
      </c>
      <c r="AS129" s="900" t="str">
        <f t="shared" si="1011"/>
        <v/>
      </c>
      <c r="AT129" s="896" t="str">
        <f t="shared" si="910"/>
        <v/>
      </c>
      <c r="AU129" s="418"/>
      <c r="AV129" s="164" t="str">
        <f t="shared" si="911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2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3"/>
        <v/>
      </c>
      <c r="BF129" s="4" t="str">
        <f t="shared" si="914"/>
        <v/>
      </c>
      <c r="BG129" s="5" t="str">
        <f t="shared" si="915"/>
        <v/>
      </c>
      <c r="BH129" s="10" t="str">
        <f t="shared" si="916"/>
        <v/>
      </c>
      <c r="BI129" s="9" t="str">
        <f t="shared" si="739"/>
        <v/>
      </c>
      <c r="BJ129" s="5" t="str">
        <f t="shared" si="917"/>
        <v/>
      </c>
      <c r="BK129" s="8" t="str">
        <f t="shared" si="918"/>
        <v/>
      </c>
      <c r="BL129" s="173" t="str">
        <f t="shared" si="919"/>
        <v/>
      </c>
      <c r="BM129" s="5" t="str">
        <f t="shared" si="920"/>
        <v/>
      </c>
      <c r="BN129" s="6" t="str">
        <f t="shared" si="921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6"/>
        <v/>
      </c>
      <c r="BT129" s="5" t="str">
        <f t="shared" si="1006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2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2"/>
        <v/>
      </c>
      <c r="DC129" s="5" t="str">
        <f t="shared" si="1012"/>
        <v/>
      </c>
      <c r="DD129" s="10" t="str">
        <f t="shared" si="764"/>
        <v/>
      </c>
      <c r="DE129" s="9" t="str">
        <f t="shared" si="1013"/>
        <v/>
      </c>
      <c r="DF129" s="5" t="str">
        <f t="shared" si="1013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3"/>
        <v/>
      </c>
      <c r="ET129" s="5" t="str">
        <f t="shared" si="924"/>
        <v/>
      </c>
      <c r="EU129" s="10" t="str">
        <f t="shared" si="925"/>
        <v/>
      </c>
      <c r="EV129" s="174" t="str">
        <f t="shared" si="926"/>
        <v/>
      </c>
      <c r="EW129" s="9" t="str">
        <f t="shared" si="927"/>
        <v/>
      </c>
      <c r="EX129" s="5" t="str">
        <f t="shared" si="928"/>
        <v/>
      </c>
      <c r="EY129" s="6" t="str">
        <f t="shared" si="804"/>
        <v/>
      </c>
      <c r="EZ129" s="51" t="str">
        <f t="shared" si="805"/>
        <v/>
      </c>
      <c r="FA129" s="173" t="str">
        <f t="shared" si="929"/>
        <v/>
      </c>
      <c r="FB129" s="5" t="str">
        <f t="shared" si="930"/>
        <v/>
      </c>
      <c r="FC129" s="6" t="str">
        <f t="shared" si="931"/>
        <v/>
      </c>
      <c r="FD129" s="4" t="str">
        <f t="shared" si="932"/>
        <v/>
      </c>
      <c r="FE129" s="5" t="str">
        <f t="shared" si="933"/>
        <v/>
      </c>
      <c r="FF129" s="7" t="str">
        <f t="shared" si="806"/>
        <v/>
      </c>
      <c r="FG129" s="173" t="str">
        <f t="shared" si="934"/>
        <v/>
      </c>
      <c r="FH129" s="5" t="str">
        <f t="shared" si="935"/>
        <v/>
      </c>
      <c r="FI129" s="10" t="str">
        <f t="shared" si="936"/>
        <v/>
      </c>
      <c r="FJ129" s="279" t="str">
        <f t="shared" si="807"/>
        <v/>
      </c>
      <c r="FK129" s="4" t="str">
        <f t="shared" si="937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8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9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40"/>
        <v/>
      </c>
      <c r="GH129" s="286" t="str">
        <f t="shared" si="941"/>
        <v/>
      </c>
      <c r="GI129" s="281" t="str">
        <f t="shared" si="942"/>
        <v/>
      </c>
      <c r="GJ129" s="167" t="str">
        <f t="shared" si="823"/>
        <v/>
      </c>
      <c r="GK129" s="174" t="str">
        <f t="shared" si="943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4"/>
        <v/>
      </c>
      <c r="GT129" s="343" t="str">
        <f t="shared" si="945"/>
        <v/>
      </c>
      <c r="GU129" s="344" t="str">
        <f t="shared" si="946"/>
        <v/>
      </c>
      <c r="GV129" s="343" t="str">
        <f t="shared" si="831"/>
        <v/>
      </c>
      <c r="GW129" s="345" t="str">
        <f t="shared" si="947"/>
        <v/>
      </c>
      <c r="GX129" s="346" t="str">
        <f t="shared" si="948"/>
        <v/>
      </c>
      <c r="GY129" s="344" t="str">
        <f t="shared" si="949"/>
        <v/>
      </c>
      <c r="GZ129" s="345" t="str">
        <f t="shared" si="950"/>
        <v/>
      </c>
      <c r="HA129" s="342" t="str">
        <f t="shared" si="951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2"/>
        <v/>
      </c>
      <c r="HF129" s="5" t="str">
        <f t="shared" si="953"/>
        <v/>
      </c>
      <c r="HG129" s="343" t="str">
        <f t="shared" si="835"/>
        <v/>
      </c>
      <c r="HH129" s="349" t="str">
        <f t="shared" si="836"/>
        <v/>
      </c>
      <c r="HI129" s="317" t="str">
        <f t="shared" si="954"/>
        <v/>
      </c>
      <c r="HK129" s="310" t="str">
        <f t="shared" si="1007"/>
        <v/>
      </c>
      <c r="HL129" s="348" t="str">
        <f t="shared" si="955"/>
        <v/>
      </c>
      <c r="HM129" s="935" t="str">
        <f t="shared" si="956"/>
        <v/>
      </c>
      <c r="HN129" s="936" t="str">
        <f t="shared" si="957"/>
        <v/>
      </c>
      <c r="HO129" s="937"/>
      <c r="HP129" s="938"/>
      <c r="HQ129" s="936" t="str">
        <f t="shared" si="958"/>
        <v/>
      </c>
      <c r="HR129" s="939" t="str">
        <f t="shared" si="959"/>
        <v/>
      </c>
      <c r="HS129" s="940" t="str">
        <f t="shared" si="1008"/>
        <v/>
      </c>
      <c r="HT129" s="941" t="str">
        <f t="shared" si="960"/>
        <v/>
      </c>
      <c r="HU129" s="942" t="str">
        <f t="shared" si="961"/>
        <v/>
      </c>
      <c r="HV129" s="943" t="str">
        <f t="shared" si="962"/>
        <v/>
      </c>
      <c r="HW129" s="944" t="str">
        <f t="shared" si="963"/>
        <v/>
      </c>
      <c r="HX129" s="947" t="str">
        <f t="shared" si="964"/>
        <v/>
      </c>
      <c r="HY129" s="952" t="str">
        <f t="shared" si="965"/>
        <v/>
      </c>
      <c r="HZ129" s="953" t="str">
        <f t="shared" si="966"/>
        <v/>
      </c>
      <c r="IA129" s="954" t="str">
        <f t="shared" si="967"/>
        <v/>
      </c>
      <c r="IB129" s="955" t="str">
        <f t="shared" si="968"/>
        <v/>
      </c>
      <c r="IC129" s="842" t="str">
        <f t="shared" si="969"/>
        <v/>
      </c>
      <c r="ID129" s="351" t="str">
        <f t="shared" si="970"/>
        <v/>
      </c>
      <c r="IE129" s="844" t="str">
        <f t="shared" si="971"/>
        <v/>
      </c>
      <c r="IF129" s="845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37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72"/>
        <v/>
      </c>
      <c r="IM129" s="482" t="str">
        <f t="shared" si="838"/>
        <v/>
      </c>
      <c r="IN129" s="670" t="str">
        <f t="shared" si="973"/>
        <v/>
      </c>
      <c r="IO129" s="702"/>
      <c r="IP129" s="5" t="str">
        <f t="shared" si="974"/>
        <v/>
      </c>
      <c r="IQ129" s="714"/>
      <c r="IR129" s="9" t="str">
        <f t="shared" si="975"/>
        <v/>
      </c>
      <c r="IS129" s="5" t="str">
        <f t="shared" si="976"/>
        <v/>
      </c>
      <c r="IT129" s="5" t="str">
        <f t="shared" si="977"/>
        <v/>
      </c>
      <c r="IU129" s="5" t="str">
        <f t="shared" si="978"/>
        <v/>
      </c>
      <c r="IV129" s="670" t="str">
        <f t="shared" si="979"/>
        <v/>
      </c>
      <c r="IW129" s="9" t="str">
        <f t="shared" si="980"/>
        <v/>
      </c>
      <c r="IX129" s="5" t="str">
        <f t="shared" si="981"/>
        <v/>
      </c>
      <c r="IY129" s="5" t="str">
        <f t="shared" si="982"/>
        <v/>
      </c>
      <c r="IZ129" s="5" t="str">
        <f t="shared" si="983"/>
        <v/>
      </c>
      <c r="JA129" s="705" t="str">
        <f t="shared" si="984"/>
        <v/>
      </c>
    </row>
    <row r="130" spans="1:261" ht="15" customHeight="1" x14ac:dyDescent="0.25">
      <c r="A130" s="75" t="str">
        <f t="shared" si="899"/>
        <v/>
      </c>
      <c r="B130" s="585" t="str">
        <f t="shared" ref="B130:D130" si="1059">IFERROR(O285+($A130*-E130),"")</f>
        <v/>
      </c>
      <c r="C130" s="582" t="str">
        <f t="shared" si="1059"/>
        <v/>
      </c>
      <c r="D130" s="583" t="str">
        <f t="shared" si="1059"/>
        <v/>
      </c>
      <c r="E130" s="588" t="str">
        <f t="shared" ref="E130:K130" si="1060">R285</f>
        <v/>
      </c>
      <c r="F130" s="582" t="str">
        <f t="shared" si="1060"/>
        <v/>
      </c>
      <c r="G130" s="586" t="str">
        <f t="shared" si="1060"/>
        <v/>
      </c>
      <c r="H130" s="588" t="str">
        <f t="shared" si="1060"/>
        <v/>
      </c>
      <c r="I130" s="582" t="str">
        <f t="shared" si="1060"/>
        <v/>
      </c>
      <c r="J130" s="491" t="str">
        <f t="shared" si="711"/>
        <v/>
      </c>
      <c r="K130" s="807" t="str">
        <f t="shared" si="1060"/>
        <v/>
      </c>
      <c r="L130" s="309"/>
      <c r="M130" s="492" t="str">
        <f t="shared" si="902"/>
        <v/>
      </c>
      <c r="N130" s="581" t="str">
        <f t="shared" si="903"/>
        <v/>
      </c>
      <c r="O130" s="582" t="str">
        <f t="shared" si="904"/>
        <v/>
      </c>
      <c r="P130" s="583" t="str">
        <f t="shared" si="905"/>
        <v/>
      </c>
      <c r="Q130" s="536" t="str">
        <f t="shared" ref="Q130:Q150" si="1061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62">IF(M130="","",SQRT(N130^2+O130^2))</f>
        <v/>
      </c>
      <c r="S130" s="584" t="str">
        <f t="shared" ref="S130:S150" si="1063">IF(M130="","",P130)</f>
        <v/>
      </c>
      <c r="T130" s="585" t="str">
        <f t="shared" ref="T130:T150" si="1064">IF(M130="","",X130*COS(RADIANS(W130)))</f>
        <v/>
      </c>
      <c r="U130" s="582" t="str">
        <f t="shared" ref="U130:U150" si="1065">IF(M130="","",X130*SIN(RADIANS(W130)))</f>
        <v/>
      </c>
      <c r="V130" s="586" t="str">
        <f t="shared" ref="V130:V150" si="1066">IF(M130="","",Y130)</f>
        <v/>
      </c>
      <c r="W130" s="536" t="str">
        <f t="shared" ref="W130:W150" si="1067">IF(M130="","",IF(Q130-$Q$8&lt;0,360+Q130-$Q$8,Q130-$Q$8))</f>
        <v/>
      </c>
      <c r="X130" s="582" t="str">
        <f t="shared" ref="X130:X150" si="1068">IF(M130="","",R130)</f>
        <v/>
      </c>
      <c r="Y130" s="587" t="str">
        <f t="shared" ref="Y130:Y150" si="1069">IF(M130="","",S130)</f>
        <v/>
      </c>
      <c r="Z130" s="581" t="str">
        <f t="shared" si="906"/>
        <v/>
      </c>
      <c r="AA130" s="582" t="str">
        <f t="shared" si="907"/>
        <v/>
      </c>
      <c r="AB130" s="582" t="str">
        <f t="shared" si="908"/>
        <v/>
      </c>
      <c r="AC130" s="586" t="str">
        <f t="shared" ref="AC130:AC150" si="1070">IF(M130="","",SQRT(Z130^2+AA130^2+AB130^2))</f>
        <v/>
      </c>
      <c r="AD130" s="588" t="str">
        <f t="shared" ref="AD130:AD150" si="1071">IF(M130="","",Z130*(1/SQRT(Z130^2+AA130^2+AB130^2)))</f>
        <v/>
      </c>
      <c r="AE130" s="582" t="str">
        <f t="shared" ref="AE130:AE150" si="1072">IF(M130="","",AA130*(1/SQRT(Z130^2+AA130^2+AB130^2)))</f>
        <v/>
      </c>
      <c r="AF130" s="583" t="str">
        <f t="shared" ref="AF130:AF150" si="1073">IF(M130="","",AB130*(1/SQRT(Z130^2+AA130^2+AB130^2)))</f>
        <v/>
      </c>
      <c r="AG130" s="547" t="str">
        <f t="shared" ref="AG130:AG150" si="1074">IF(M130="","",DEGREES(ATAN2(-AF130,AE130)))</f>
        <v/>
      </c>
      <c r="AH130" s="548" t="str">
        <f t="shared" ref="AH130:AH150" si="1075">IF(M130="","",DEGREES(ACOS(AD130)))</f>
        <v/>
      </c>
      <c r="AI130" s="536" t="str">
        <f t="shared" ref="AI130:AI150" si="1076">IF(M130="","",DEGREES(-ACOS(-AF130)))</f>
        <v/>
      </c>
      <c r="AJ130" s="537" t="str">
        <f t="shared" ref="AJ130:AJ150" si="1077">IF(M130="","",DEGREES(ATAN2(-AE130,AD130)))</f>
        <v/>
      </c>
      <c r="AK130" s="585" t="str">
        <f t="shared" ref="AK130:AK150" si="1078">IF(M130="","",(COS(RADIANS((90-$Q$8)-W130))*AD130)+(-SIN(RADIANS((90-$Q$8)-W130))*AE130))</f>
        <v/>
      </c>
      <c r="AL130" s="582" t="str">
        <f t="shared" ref="AL130:AL150" si="1079">IF(M130="","",(SIN(RADIANS((90-$Q$8)-W130))*AD130)+(COS(RADIANS((90-$Q$8)-W130))*AE130))</f>
        <v/>
      </c>
      <c r="AM130" s="584" t="str">
        <f t="shared" ref="AM130:AM150" si="1080">IF(M130="","",AF130)</f>
        <v/>
      </c>
      <c r="AN130" s="534" t="str">
        <f t="shared" ref="AN130:AN150" si="1081">IF(M130="","",DEGREES(ATAN2(-AM130,AL130)))</f>
        <v/>
      </c>
      <c r="AO130" s="535" t="str">
        <f t="shared" si="1040"/>
        <v/>
      </c>
      <c r="AP130" s="536" t="str">
        <f t="shared" ref="AP130:AP150" si="1082">IF(M130="","",DEGREES(ATAN2(AK130,AL130)))</f>
        <v/>
      </c>
      <c r="AQ130" s="537" t="str">
        <f t="shared" si="909"/>
        <v/>
      </c>
      <c r="AS130" s="901" t="str">
        <f t="shared" si="1011"/>
        <v/>
      </c>
      <c r="AT130" s="897" t="str">
        <f t="shared" si="910"/>
        <v/>
      </c>
      <c r="AU130" s="418"/>
      <c r="AV130" s="164" t="str">
        <f t="shared" si="911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083">IF(ISNUMBER(AV130),$AY130*SQRT((2*PI()*$AW130)^2+$AS$5^2),"")</f>
        <v/>
      </c>
      <c r="BA130" s="505" t="str">
        <f t="shared" ref="BA130:BA150" si="1084">IF(ISNUMBER(AV130),AZ130/$AZ$151,"")</f>
        <v/>
      </c>
      <c r="BB130" s="506" t="str">
        <f t="shared" si="713"/>
        <v/>
      </c>
      <c r="BC130" s="496"/>
      <c r="BD130" s="494" t="str">
        <f t="shared" ref="BD130:BD150" si="1085">IF(ISNUMBER(AV130),AW130,"")</f>
        <v/>
      </c>
      <c r="BE130" s="497" t="str">
        <f t="shared" si="913"/>
        <v/>
      </c>
      <c r="BF130" s="498" t="str">
        <f t="shared" si="914"/>
        <v/>
      </c>
      <c r="BG130" s="494" t="str">
        <f t="shared" si="915"/>
        <v/>
      </c>
      <c r="BH130" s="495" t="str">
        <f t="shared" si="916"/>
        <v/>
      </c>
      <c r="BI130" s="496" t="str">
        <f t="shared" ref="BI130:BI150" si="1086">IF(ISNUMBER($AV130),BF130+0,"")</f>
        <v/>
      </c>
      <c r="BJ130" s="494" t="str">
        <f t="shared" si="917"/>
        <v/>
      </c>
      <c r="BK130" s="499" t="str">
        <f t="shared" si="918"/>
        <v/>
      </c>
      <c r="BL130" s="502" t="str">
        <f t="shared" si="919"/>
        <v/>
      </c>
      <c r="BM130" s="494" t="str">
        <f t="shared" si="920"/>
        <v/>
      </c>
      <c r="BN130" s="497" t="str">
        <f t="shared" si="921"/>
        <v/>
      </c>
      <c r="BO130" s="498" t="str">
        <f t="shared" ref="BO130:BO150" si="1087">IF(ISNUMBER($AV130),BJ130*BN130-BM130*BK130-BG130*(BN130-BK130)+BH130*(BM130-BJ130),"")</f>
        <v/>
      </c>
      <c r="BP130" s="494" t="str">
        <f t="shared" ref="BP130:BP150" si="1088">IF(ISNUMBER($AV130),BF130*(BN130-BK130)-(BI130*BN130-BL130*BK130)+BH130*(BI130-BL130),"")</f>
        <v/>
      </c>
      <c r="BQ130" s="494" t="str">
        <f t="shared" ref="BQ130:BQ150" si="1089">IF(ISNUMBER($AV130),BF130*(BJ130-BM130)-BG130*(BI130-BL130)+(BI130*BM130-BL130*BJ130),"")</f>
        <v/>
      </c>
      <c r="BR130" s="497" t="str">
        <f t="shared" ref="BR130:BR150" si="1090">IF(ISNUMBER($AV130),-(BF130*(BJ130*BN130-BM130*BK130)-BG130*(BI130*BN130-BL130*BK130)+BH130*(BI130*BM130-BL130*BJ130)),"")</f>
        <v/>
      </c>
      <c r="BS130" s="498" t="str">
        <f t="shared" si="1006"/>
        <v/>
      </c>
      <c r="BT130" s="494" t="str">
        <f t="shared" si="1006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1">IF(ISNUMBER($AV130),BW130*CA130-BZ130*BX130-BT130*(CA130-BX130)+BU130*(BZ130-BW130),"")</f>
        <v/>
      </c>
      <c r="CC130" s="494" t="str">
        <f t="shared" ref="CC130:CC150" si="1092">IF(ISNUMBER($AV130),BS130*(CA130-BX130)-(BV130*CA130-BY130*BX130)+BU130*(BV130-BY130),"")</f>
        <v/>
      </c>
      <c r="CD130" s="494" t="str">
        <f t="shared" ref="CD130:CD150" si="1093">IF(ISNUMBER($AV130),BS130*(BW130-BZ130)-BT130*(BV130-BY130)+(BV130*BZ130-BY130*BW130),"")</f>
        <v/>
      </c>
      <c r="CE130" s="497" t="str">
        <f t="shared" ref="CE130:CE150" si="1094">IF(ISNUMBER($AV130),-(BS130*(BW130*CA130-BZ130*BX130)-BT130*(BV130*CA130-BY130*BX130)+BU130*(BV130*BZ130-BY130*BW130)),"")</f>
        <v/>
      </c>
      <c r="CF130" s="498" t="str">
        <f t="shared" ref="CF130:CF150" si="1095">IF(ISNUMBER($AV130),(BP130*CD130)-(BQ130*CC130),"")</f>
        <v/>
      </c>
      <c r="CG130" s="494" t="str">
        <f t="shared" ref="CG130:CG150" si="1096">IF(ISNUMBER($AV130),(BQ130*CB130)-(BO130*CD130),"")</f>
        <v/>
      </c>
      <c r="CH130" s="494" t="str">
        <f t="shared" ref="CH130:CH150" si="1097">IF(ISNUMBER($AV130),(BO130*CC130)-(BP130*CB130),"")</f>
        <v/>
      </c>
      <c r="CI130" s="498" t="str">
        <f t="shared" si="723"/>
        <v/>
      </c>
      <c r="CJ130" s="494" t="str">
        <f t="shared" ref="CJ130:CJ150" si="1098">IF(ISNUMBER($AV130),(CD130*BR130-BQ130*CE130)/(BQ130*CC130-CD130*BP130),"")</f>
        <v/>
      </c>
      <c r="CK130" s="499" t="str">
        <f t="shared" ref="CK130:CK150" si="1099">IF(ISNUMBER($AV130),(CC130*BR130-BP130*CE130)/(-CC130*BQ130+BP130*CD130),"")</f>
        <v/>
      </c>
      <c r="CL130" s="502" t="str">
        <f t="shared" ref="CL130:CL150" si="1100">IF(ISNUMBER($AV130),CI130+CF130,"")</f>
        <v/>
      </c>
      <c r="CM130" s="494" t="str">
        <f t="shared" ref="CM130:CM150" si="1101">IF(ISNUMBER($AV130),CJ130+CG130,"")</f>
        <v/>
      </c>
      <c r="CN130" s="497" t="str">
        <f t="shared" ref="CN130:CN150" si="1102">IF(ISNUMBER($AV130),CK130+CH130,"")</f>
        <v/>
      </c>
      <c r="CO130" s="507" t="str">
        <f t="shared" si="922"/>
        <v/>
      </c>
      <c r="CP130" s="498" t="str">
        <f t="shared" ref="CP130:CP150" si="1103">IF(ISNUMBER($AV130),(CL130-CI130)^2+(CM130-CJ130)^2+(CN130-CK130)^2,"")</f>
        <v/>
      </c>
      <c r="CQ130" s="494" t="str">
        <f t="shared" ref="CQ130:CQ150" si="1104">IF(ISNUMBER($AV130),2*((CL130-CI130)*(CI130-BF130)+(CM130-CJ130)*(CJ130-BG130)+(CN130-CK130)*(CK130-BH130)),"")</f>
        <v/>
      </c>
      <c r="CR130" s="494" t="str">
        <f t="shared" ref="CR130:CR150" si="1105">IF(ISNUMBER($AV130),BF130^2+BG130^2+BH130^2+CI130^2+CJ130^2+CK130^2-2*(BF130*CI130+BG130*CJ130+BH130*CK130)-CO130^2,"")</f>
        <v/>
      </c>
      <c r="CS130" s="499" t="str">
        <f t="shared" ref="CS130:CS150" si="1106">IF(ISNUMBER($AV130),CQ130^2-(4*CP130*CR130),"")</f>
        <v/>
      </c>
      <c r="CT130" s="496" t="str">
        <f t="shared" ref="CT130:CT150" si="1107">IF(ISNUMBER($AV130),(-CQ130+SQRT(CS130))/(CP130*2),"")</f>
        <v/>
      </c>
      <c r="CU130" s="497" t="str">
        <f t="shared" ref="CU130:CU150" si="1108">IF(ISNUMBER($AV130),(-CQ130-SQRT(CS130))/(CP130*2),"")</f>
        <v/>
      </c>
      <c r="CV130" s="498" t="str">
        <f t="shared" ref="CV130:CV150" si="1109">IF(ISNUMBER($AV130),CI130+($CT130*(CL130-CI130)),"")</f>
        <v/>
      </c>
      <c r="CW130" s="494" t="str">
        <f t="shared" ref="CW130:CW150" si="1110">IF(ISNUMBER($AV130),CJ130+($CT130*(CM130-CJ130)),"")</f>
        <v/>
      </c>
      <c r="CX130" s="499" t="str">
        <f t="shared" ref="CX130:CX150" si="1111">IF(ISNUMBER($AV130),CK130+($CT130*(CN130-CK130)),"")</f>
        <v/>
      </c>
      <c r="CY130" s="496" t="str">
        <f t="shared" ref="CY130:CY150" si="1112">IF(ISNUMBER($AV130),CI130+($CU130*(CL130-CI130)),"")</f>
        <v/>
      </c>
      <c r="CZ130" s="494" t="str">
        <f t="shared" ref="CZ130:CZ150" si="1113">IF(ISNUMBER($AV130),CJ130+($CU130*(CM130-CJ130)),"")</f>
        <v/>
      </c>
      <c r="DA130" s="497" t="str">
        <f t="shared" ref="DA130:DA150" si="1114">IF(ISNUMBER($AV130),CK130+($CU130*(CN130-CK130)),"")</f>
        <v/>
      </c>
      <c r="DB130" s="498" t="str">
        <f t="shared" si="1012"/>
        <v/>
      </c>
      <c r="DC130" s="494" t="str">
        <f t="shared" si="1012"/>
        <v/>
      </c>
      <c r="DD130" s="495" t="str">
        <f t="shared" si="764"/>
        <v/>
      </c>
      <c r="DE130" s="496" t="str">
        <f t="shared" si="1013"/>
        <v/>
      </c>
      <c r="DF130" s="494" t="str">
        <f t="shared" si="1013"/>
        <v/>
      </c>
      <c r="DG130" s="495" t="str">
        <f t="shared" si="766"/>
        <v/>
      </c>
      <c r="DH130" s="501" t="str">
        <f t="shared" ref="DH130:DH150" si="1115">IF(ISNUMBER($AV130),BD130,"")</f>
        <v/>
      </c>
      <c r="DI130" s="498" t="str">
        <f t="shared" ref="DI130:DI150" si="1116">IF(ISNUMBER($AV130),DE130-DB130,"")</f>
        <v/>
      </c>
      <c r="DJ130" s="494" t="str">
        <f t="shared" ref="DJ130:DJ150" si="1117">IF(ISNUMBER($AV130),DF130-DC130,"")</f>
        <v/>
      </c>
      <c r="DK130" s="495" t="str">
        <f t="shared" ref="DK130:DK150" si="1118">IF(ISNUMBER($AV130),DG130-DD130,"")</f>
        <v/>
      </c>
      <c r="DL130" s="496" t="str">
        <f t="shared" ref="DL130:DL150" si="1119">IF(ISNUMBER($AV130),CV130-DB130,"")</f>
        <v/>
      </c>
      <c r="DM130" s="502" t="str">
        <f t="shared" ref="DM130:DM150" si="1120">IF(ISNUMBER($AV130),CW130-DC130,"")</f>
        <v/>
      </c>
      <c r="DN130" s="508" t="str">
        <f t="shared" ref="DN130:DN150" si="1121">IF(ISNUMBER($AV130),CX130-DD130,"")</f>
        <v/>
      </c>
      <c r="DO130" s="496" t="str">
        <f t="shared" ref="DO130:DO150" si="1122">IF(ISNUMBER($AV130),CY130-CV130,"")</f>
        <v/>
      </c>
      <c r="DP130" s="502" t="str">
        <f t="shared" ref="DP130:DP150" si="1123">IF(ISNUMBER($AV130),CZ130-CW130,"")</f>
        <v/>
      </c>
      <c r="DQ130" s="503" t="str">
        <f t="shared" ref="DQ130:DQ150" si="1124">IF(ISNUMBER($AV130),DA130-CX130,"")</f>
        <v/>
      </c>
      <c r="DR130" s="502" t="str">
        <f t="shared" ref="DR130:DR150" si="1125">IF(ISNUMBER($AV130),SUMPRODUCT(DI130:DK130,DL130:DN130),"")</f>
        <v/>
      </c>
      <c r="DS130" s="494" t="str">
        <f t="shared" ref="DS130:DS150" si="1126">IF(ISNUMBER($AV130),SUMPRODUCT(DO130:DQ130,DI130:DK130),"")</f>
        <v/>
      </c>
      <c r="DT130" s="494" t="str">
        <f t="shared" ref="DT130:DT150" si="1127">IF(ISNUMBER($AV130),SUMPRODUCT(DI130:DK130,DI130:DK130),"")</f>
        <v/>
      </c>
      <c r="DU130" s="494" t="str">
        <f t="shared" ref="DU130:DU150" si="1128">IF(ISNUMBER($AV130),SUMPRODUCT(DO130:DQ130,DO130:DQ130),"")</f>
        <v/>
      </c>
      <c r="DV130" s="494" t="str">
        <f t="shared" ref="DV130:DV150" si="1129">IF(ISNUMBER($AV130),SUMPRODUCT(DL130:DN130,DO130:DQ130),"")</f>
        <v/>
      </c>
      <c r="DW130" s="494" t="str">
        <f t="shared" ref="DW130:DW150" si="1130">IF(ISNUMBER($AV130),SUMPRODUCT(DL130:DN130,DL130:DN130),"")</f>
        <v/>
      </c>
      <c r="DX130" s="507" t="str">
        <f t="shared" ref="DX130:DX150" si="1131">IF(ISNUMBER($AV130),DW130-DH130*DH130,"")</f>
        <v/>
      </c>
      <c r="DY130" s="496" t="str">
        <f t="shared" ref="DY130:DY150" si="1132">IF(ISNUMBER($AV130),DT130*DU130-DS130*DS130,"")</f>
        <v/>
      </c>
      <c r="DZ130" s="494" t="str">
        <f t="shared" ref="DZ130:DZ150" si="1133">IF(ISNUMBER($AV130),DT130*DV130-DS130*DR130,"")</f>
        <v/>
      </c>
      <c r="EA130" s="495" t="str">
        <f t="shared" ref="EA130:EA150" si="1134">IF(ISNUMBER($AV130),DT130*DX130-DR130*DR130,"")</f>
        <v/>
      </c>
      <c r="EB130" s="497" t="str">
        <f t="shared" ref="EB130:EB150" si="1135">IF(ISNUMBER($AV130),DZ130*DZ130-DY130*EA130,"")</f>
        <v/>
      </c>
      <c r="EC130" s="502" t="str">
        <f t="shared" ref="EC130:EC150" si="1136">IF(ISNUMBER($AV130),(-DZ130+SQRT(DZ130^2-DY130*EA130))/DY130,"")</f>
        <v/>
      </c>
      <c r="ED130" s="494" t="str">
        <f t="shared" ref="ED130:ED150" si="1137">IF(ISNUMBER($AV130),(-DZ130-SQRT(DZ130^2-DY130*EA130))/DY130,"")</f>
        <v/>
      </c>
      <c r="EE130" s="498" t="str">
        <f t="shared" ref="EE130:EE150" si="1138">IF(ISNUMBER($AV130),CV130+DO130*$EC130,"")</f>
        <v/>
      </c>
      <c r="EF130" s="494" t="str">
        <f t="shared" ref="EF130:EF150" si="1139">IF(ISNUMBER($AV130),CW130+DP130*$EC130,"")</f>
        <v/>
      </c>
      <c r="EG130" s="495" t="str">
        <f t="shared" ref="EG130:EG150" si="1140">IF(ISNUMBER($AV130),CX130+DQ130*$EC130,"")</f>
        <v/>
      </c>
      <c r="EH130" s="496" t="str">
        <f t="shared" ref="EH130:EH150" si="1141">IF(ISNUMBER($AV130),CV130+DO130*$ED130,"")</f>
        <v/>
      </c>
      <c r="EI130" s="494" t="str">
        <f t="shared" ref="EI130:EI150" si="1142">IF(ISNUMBER($AV130),CW130+DP130*$ED130,"")</f>
        <v/>
      </c>
      <c r="EJ130" s="497" t="str">
        <f t="shared" ref="EJ130:EJ150" si="1143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4">IF(ISNUMBER($AV130),IF($EK130=TRUE,EE130,IF($EL130=TRUE,EH130,"")),"")</f>
        <v/>
      </c>
      <c r="EN130" s="494" t="str">
        <f t="shared" ref="EN130:EN150" si="1145">IF(ISNUMBER($AV130),IF($EK130=TRUE,EF130,IF($EL130=TRUE,EI130,"")),"")</f>
        <v/>
      </c>
      <c r="EO130" s="495" t="str">
        <f t="shared" ref="EO130:EO150" si="1146">IF(ISNUMBER($AV130),IF($EK130=TRUE,EG130,IF($EL130=TRUE,EJ130,"")),"")</f>
        <v/>
      </c>
      <c r="EP130" s="496" t="str">
        <f t="shared" ref="EP130:EP150" si="1147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8">IF(ISNUMBER($AV130),SQRT(EM130^2+EN130^2),"")</f>
        <v/>
      </c>
      <c r="ER130" s="500" t="str">
        <f t="shared" ref="ER130:ER150" si="1149">IF(ISNUMBER($AV130),EO130,"")</f>
        <v/>
      </c>
      <c r="ES130" s="493" t="str">
        <f t="shared" si="923"/>
        <v/>
      </c>
      <c r="ET130" s="494" t="str">
        <f t="shared" si="924"/>
        <v/>
      </c>
      <c r="EU130" s="495" t="str">
        <f t="shared" si="925"/>
        <v/>
      </c>
      <c r="EV130" s="174" t="str">
        <f t="shared" ref="EV130:EV150" si="1150">IF(ISNUMBER($AV130),IF(($EV$1-EP130)&lt;0,(360+($EV$1-EP130)),($EV$1-EP130)),"")</f>
        <v/>
      </c>
      <c r="EW130" s="496" t="str">
        <f t="shared" ref="EW130:EW150" si="1151">IF(ISNUMBER($AV130),(COS(RADIANS($EV130))*ES130)+(-SIN(RADIANS($EV130))*ET130),"")</f>
        <v/>
      </c>
      <c r="EX130" s="494" t="str">
        <f t="shared" ref="EX130:EX150" si="1152">IF(ISNUMBER($AV130),(SIN(RADIANS($EV130))*ES130)+(COS(RADIANS($EV130))*ET130),"")</f>
        <v/>
      </c>
      <c r="EY130" s="497" t="str">
        <f t="shared" ref="EY130:EY150" si="1153">IF(ISNUMBER($AV130),EU130,"")</f>
        <v/>
      </c>
      <c r="EZ130" s="504" t="str">
        <f t="shared" si="805"/>
        <v/>
      </c>
      <c r="FA130" s="502" t="str">
        <f t="shared" si="929"/>
        <v/>
      </c>
      <c r="FB130" s="494" t="str">
        <f t="shared" si="930"/>
        <v/>
      </c>
      <c r="FC130" s="497" t="str">
        <f t="shared" si="931"/>
        <v/>
      </c>
      <c r="FD130" s="498" t="str">
        <f t="shared" ref="FD130:FD150" si="1154">IF(ISNUMBER($AV130),(COS(RADIANS($EV130))*FA130)+(-SIN(RADIANS($EV130))*FB130),"")</f>
        <v/>
      </c>
      <c r="FE130" s="494" t="str">
        <f t="shared" ref="FE130:FE150" si="1155">IF(ISNUMBER($AV130),(SIN(RADIANS($EV130))*FA130)+(COS(RADIANS($EV130))*FB130),"")</f>
        <v/>
      </c>
      <c r="FF130" s="500" t="str">
        <f t="shared" ref="FF130:FF150" si="1156">IF(ISNUMBER($AV130),FC130,"")</f>
        <v/>
      </c>
      <c r="FG130" s="173" t="str">
        <f t="shared" ref="FG130:FG150" si="1157">IF(ISNUMBER($AV130),EW130-FD130,"")</f>
        <v/>
      </c>
      <c r="FH130" s="5" t="str">
        <f t="shared" ref="FH130:FH150" si="1158">IF(ISNUMBER($AV130),EX130-FE130,"")</f>
        <v/>
      </c>
      <c r="FI130" s="10" t="str">
        <f t="shared" ref="FI130:FI150" si="1159">IF(ISNUMBER($AV130),EY130-FF130,"")</f>
        <v/>
      </c>
      <c r="FJ130" s="279" t="str">
        <f t="shared" ref="FJ130:FJ150" si="1160">IF(ISNUMBER($AV130),DEGREES(ACOS((2-SQRT((FG130)^2+(FH130)^2+(FI130)^2)^2)/2)),"")</f>
        <v/>
      </c>
      <c r="FK130" s="4" t="str">
        <f t="shared" ref="FK130:FK150" si="1161">IF(ISNUMBER($AV130),SQRT(ES130^2+ET130^2),"")</f>
        <v/>
      </c>
      <c r="FL130" s="5" t="str">
        <f t="shared" ref="FL130:FL150" si="1162">IF(ISNUMBER($AV130),SQRT(FA130^2+FB130^2),"")</f>
        <v/>
      </c>
      <c r="FM130" s="8" t="str">
        <f t="shared" ref="FM130:FM150" si="1163">IF(ISNUMBER($AV130),SQRT(FG130^2+FH130^2),"")</f>
        <v/>
      </c>
      <c r="FN130" s="9" t="str">
        <f t="shared" ref="FN130:FN150" si="1164">IF(ISNUMBER($AV130),DEGREES(ACOS((FK130^2+FL130^2-FM130^2)/(2*FK130*FL130))),"")</f>
        <v/>
      </c>
      <c r="FO130" s="10" t="str">
        <f t="shared" ref="FO130:FO150" si="1165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6">IF(ISNUMBER($AV130),FN130*FO130,"")</f>
        <v/>
      </c>
      <c r="FQ130" s="173" t="str">
        <f t="shared" ref="FQ130:FQ150" si="1167">IF(ISNUMBER($AV130),SIN(RADIANS(FN130)),"")</f>
        <v/>
      </c>
      <c r="FR130" s="10" t="str">
        <f t="shared" ref="FR130:FR150" si="1168">IF(ISNUMBER($AV130),COS(RADIANS(FN130)),"")</f>
        <v/>
      </c>
      <c r="FS130" s="9" t="str">
        <f t="shared" ref="FS130:FS150" si="1169">IF(ISNUMBER($AV130),FQ130/(FQ130+FR130),"")</f>
        <v/>
      </c>
      <c r="FT130" s="6" t="str">
        <f t="shared" ref="FT130:FT150" si="1170">IF(ISNUMBER($AV130),FR130/(FQ130+FR130),"")</f>
        <v/>
      </c>
      <c r="FU130" s="4" t="str">
        <f t="shared" ref="FU130:FU150" si="1171">IF(ISNUMBER($AV130),SQRT(EW130^2+EY130^2),"")</f>
        <v/>
      </c>
      <c r="FV130" s="5" t="str">
        <f t="shared" ref="FV130:FV150" si="1172">IF(ISNUMBER($AV130),SQRT(FD130^2+FF130^2),"")</f>
        <v/>
      </c>
      <c r="FW130" s="8" t="str">
        <f t="shared" ref="FW130:FW150" si="1173">IF(ISNUMBER($AV130),SQRT(FG130^2+FI130^2),"")</f>
        <v/>
      </c>
      <c r="FX130" s="9" t="str">
        <f t="shared" ref="FX130:FX150" si="1174">IF(ISNUMBER($AV130),DEGREES(ACOS((FU130^2+FV130^2-FW130^2)/(2*FU130*FV130))),"")</f>
        <v/>
      </c>
      <c r="FY130" s="10" t="str">
        <f t="shared" ref="FY130:FY150" si="1175">IF(ISNUMBER($AV130),IF(EU130&lt;FC130,1,-1),"")</f>
        <v/>
      </c>
      <c r="FZ130" s="277" t="str">
        <f t="shared" ref="FZ130:FZ150" si="1176">IF(ISNUMBER($AV130),FX130*FY130,"")</f>
        <v/>
      </c>
      <c r="GA130" s="177" t="str">
        <f t="shared" ref="GA130:GA150" si="1177">IF(ISNUMBER($AV130),DEGREES(FZ130*SIN(RADIANS(FU130))),"")</f>
        <v/>
      </c>
      <c r="GB130" s="4" t="str">
        <f t="shared" ref="GB130:GB150" si="1178">IF(ISNUMBER($AV130),COS(RADIANS(FP130+90))*COS(RADIANS(FZ130)),"")</f>
        <v/>
      </c>
      <c r="GC130" s="5" t="str">
        <f t="shared" ref="GC130:GC150" si="1179">IF(ISNUMBER($AV130),SIN(RADIANS(FP130+90))*COS(RADIANS(FZ130)),"")</f>
        <v/>
      </c>
      <c r="GD130" s="10" t="str">
        <f t="shared" ref="GD130:GD150" si="1180">IF(ISNUMBER($AV130),-SIN(RADIANS(FZ130)),"")</f>
        <v/>
      </c>
      <c r="GE130" s="311" t="str">
        <f t="shared" ref="GE130:GE150" si="1181">IF(ISNUMBER($AV130),SUM(ABS(GB130),ABS(GC130),ABS(GD130)),"")</f>
        <v/>
      </c>
      <c r="GF130" s="341" t="str">
        <f t="shared" ref="GF130:GF150" si="1182">IF(ISNUMBER($AV130),1/GE130,"")</f>
        <v/>
      </c>
      <c r="GG130" s="306" t="str">
        <f t="shared" ref="GG130:GG150" si="1183">IF(ISNUMBER($AV130),ABS(GB130)/(ABS($GB130)+ABS($GC130)+ABS($GD130)),"")</f>
        <v/>
      </c>
      <c r="GH130" s="307" t="str">
        <f t="shared" ref="GH130:GH150" si="1184">IF(ISNUMBER($AV130),ABS(GC130)/(ABS($GB130)+ABS($GC130)+ABS($GD130)),"")</f>
        <v/>
      </c>
      <c r="GI130" s="308" t="str">
        <f t="shared" ref="GI130:GI150" si="1185">IF(ISNUMBER($AV130),ABS(GD130)/(ABS($GB130)+ABS($GC130)+ABS($GD130)),"")</f>
        <v/>
      </c>
      <c r="GJ130" s="167" t="str">
        <f t="shared" ref="GJ130:GJ150" si="1186">IF(ISNUMBER($AV130),AW130,"")</f>
        <v/>
      </c>
      <c r="GK130" s="174" t="str">
        <f t="shared" si="943"/>
        <v/>
      </c>
      <c r="GL130" s="174" t="str">
        <f t="shared" ref="GL130:GL150" si="1187">IF(ISNUMBER($AV130),AY130,"")</f>
        <v/>
      </c>
      <c r="GM130" s="177" t="str">
        <f t="shared" ref="GM130:GM150" si="1188">IF(ISNUMBER($AV130),AZ130,"")</f>
        <v/>
      </c>
      <c r="GN130" s="280" t="str">
        <f t="shared" ref="GN130:GN150" si="1189">IF(ISNUMBER($AV130),BA130,"")</f>
        <v/>
      </c>
      <c r="GO130" s="4" t="str">
        <f t="shared" ref="GO130:GO150" si="1190">IF(ISNUMBER($AV130),FP130,"")</f>
        <v/>
      </c>
      <c r="GP130" s="8" t="str">
        <f t="shared" ref="GP130:GP150" si="1191">IF(ISNUMBER($AV130),FZ130,"")</f>
        <v/>
      </c>
      <c r="GQ130" s="177" t="str">
        <f t="shared" ref="GQ130:GQ150" si="1192">IF(ISNUMBER($AV130),FJ130,"")</f>
        <v/>
      </c>
      <c r="GR130" s="371" t="str">
        <f t="shared" ref="GR130:GR150" si="1193">IF(ISNUMBER($AV130),GS130+GU130+GY130,"")</f>
        <v/>
      </c>
      <c r="GS130" s="342" t="str">
        <f t="shared" ref="GS130:GS150" si="1194">IF(ISNUMBER($AV130),GU130/GH130*GG130,"")</f>
        <v/>
      </c>
      <c r="GT130" s="343" t="str">
        <f t="shared" ref="GT130:GT150" si="1195">IF(ISNUMBER($AV130),GS130/$GK130,"")</f>
        <v/>
      </c>
      <c r="GU130" s="344" t="str">
        <f t="shared" si="946"/>
        <v/>
      </c>
      <c r="GV130" s="343" t="str">
        <f t="shared" ref="GV130:GV150" si="1196">IF(ISNUMBER($AV130),GW130*$GL130,"")</f>
        <v/>
      </c>
      <c r="GW130" s="345" t="str">
        <f t="shared" si="947"/>
        <v/>
      </c>
      <c r="GX130" s="346" t="str">
        <f t="shared" si="948"/>
        <v/>
      </c>
      <c r="GY130" s="344" t="str">
        <f t="shared" ref="GY130:GY150" si="1197">IF(ISNUMBER($AV130),GU130/GH130*GI130,"")</f>
        <v/>
      </c>
      <c r="GZ130" s="345" t="str">
        <f t="shared" ref="GZ130:GZ150" si="1198">IF(ISNUMBER($AV130),GY130/$GK130,"")</f>
        <v/>
      </c>
      <c r="HA130" s="342" t="str">
        <f t="shared" si="951"/>
        <v/>
      </c>
      <c r="HB130" s="5" t="str">
        <f t="shared" si="832"/>
        <v/>
      </c>
      <c r="HC130" s="343" t="str">
        <f t="shared" ref="HC130:HC150" si="1199">IF(ISNUMBER($AV130),HA130*COS(RADIANS(HB130)),"")</f>
        <v/>
      </c>
      <c r="HD130" s="363" t="str">
        <f t="shared" ref="HD130:HD150" si="1200">IF(ISNUMBER($AV130),HA130*SIN(RADIANS(HB130)),"")</f>
        <v/>
      </c>
      <c r="HE130" s="344" t="str">
        <f t="shared" si="952"/>
        <v/>
      </c>
      <c r="HF130" s="5" t="str">
        <f t="shared" si="953"/>
        <v/>
      </c>
      <c r="HG130" s="343" t="str">
        <f t="shared" ref="HG130:HG150" si="1201">IF(ISNUMBER($AV130),HE130*COS(RADIANS(HF130)),"")</f>
        <v/>
      </c>
      <c r="HH130" s="349" t="str">
        <f t="shared" ref="HH130:HH150" si="1202">IF(ISNUMBER($AV130),HE130*SIN(RADIANS(HF130)),"")</f>
        <v/>
      </c>
      <c r="HI130" s="317" t="str">
        <f t="shared" si="954"/>
        <v/>
      </c>
      <c r="HK130" s="310" t="str">
        <f t="shared" si="1007"/>
        <v/>
      </c>
      <c r="HL130" s="348" t="str">
        <f t="shared" si="955"/>
        <v/>
      </c>
      <c r="HM130" s="935" t="str">
        <f t="shared" si="956"/>
        <v/>
      </c>
      <c r="HN130" s="936" t="str">
        <f t="shared" si="957"/>
        <v/>
      </c>
      <c r="HO130" s="937"/>
      <c r="HP130" s="938"/>
      <c r="HQ130" s="936" t="str">
        <f t="shared" si="958"/>
        <v/>
      </c>
      <c r="HR130" s="939" t="str">
        <f t="shared" si="959"/>
        <v/>
      </c>
      <c r="HS130" s="940" t="str">
        <f t="shared" ref="HS130:HS150" si="1203">IFERROR(SMALL($GJ$9:$GJ$150,($HK129+1)),"")</f>
        <v/>
      </c>
      <c r="HT130" s="941" t="str">
        <f t="shared" si="960"/>
        <v/>
      </c>
      <c r="HU130" s="942" t="str">
        <f t="shared" si="961"/>
        <v/>
      </c>
      <c r="HV130" s="943" t="str">
        <f t="shared" si="962"/>
        <v/>
      </c>
      <c r="HW130" s="944" t="str">
        <f t="shared" si="963"/>
        <v/>
      </c>
      <c r="HX130" s="947" t="str">
        <f t="shared" si="964"/>
        <v/>
      </c>
      <c r="HY130" s="952" t="str">
        <f t="shared" si="965"/>
        <v/>
      </c>
      <c r="HZ130" s="953" t="str">
        <f t="shared" si="966"/>
        <v/>
      </c>
      <c r="IA130" s="954" t="str">
        <f t="shared" si="967"/>
        <v/>
      </c>
      <c r="IB130" s="955" t="str">
        <f t="shared" si="968"/>
        <v/>
      </c>
      <c r="IC130" s="842" t="str">
        <f t="shared" si="969"/>
        <v/>
      </c>
      <c r="ID130" s="351" t="str">
        <f t="shared" si="970"/>
        <v/>
      </c>
      <c r="IE130" s="844" t="str">
        <f t="shared" si="971"/>
        <v/>
      </c>
      <c r="IF130" s="845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37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72"/>
        <v/>
      </c>
      <c r="IM130" s="482" t="str">
        <f t="shared" si="838"/>
        <v/>
      </c>
      <c r="IN130" s="670" t="str">
        <f t="shared" si="973"/>
        <v/>
      </c>
      <c r="IO130" s="702"/>
      <c r="IP130" s="5" t="str">
        <f t="shared" si="974"/>
        <v/>
      </c>
      <c r="IQ130" s="714"/>
      <c r="IR130" s="9" t="str">
        <f t="shared" si="975"/>
        <v/>
      </c>
      <c r="IS130" s="5" t="str">
        <f t="shared" si="976"/>
        <v/>
      </c>
      <c r="IT130" s="5" t="str">
        <f t="shared" si="977"/>
        <v/>
      </c>
      <c r="IU130" s="5" t="str">
        <f t="shared" si="978"/>
        <v/>
      </c>
      <c r="IV130" s="670" t="str">
        <f t="shared" si="979"/>
        <v/>
      </c>
      <c r="IW130" s="9" t="str">
        <f t="shared" si="980"/>
        <v/>
      </c>
      <c r="IX130" s="5" t="str">
        <f t="shared" si="981"/>
        <v/>
      </c>
      <c r="IY130" s="5" t="str">
        <f t="shared" si="982"/>
        <v/>
      </c>
      <c r="IZ130" s="5" t="str">
        <f t="shared" si="983"/>
        <v/>
      </c>
      <c r="JA130" s="705" t="str">
        <f t="shared" si="984"/>
        <v/>
      </c>
    </row>
    <row r="131" spans="1:261" ht="15" customHeight="1" x14ac:dyDescent="0.25">
      <c r="A131" s="75" t="str">
        <f t="shared" si="899"/>
        <v/>
      </c>
      <c r="B131" s="585" t="str">
        <f t="shared" ref="B131:D131" si="1204">IFERROR(O286+($A131*-E131),"")</f>
        <v/>
      </c>
      <c r="C131" s="582" t="str">
        <f t="shared" si="1204"/>
        <v/>
      </c>
      <c r="D131" s="583" t="str">
        <f t="shared" si="1204"/>
        <v/>
      </c>
      <c r="E131" s="588" t="str">
        <f t="shared" ref="E131:K131" si="1205">R286</f>
        <v/>
      </c>
      <c r="F131" s="582" t="str">
        <f t="shared" si="1205"/>
        <v/>
      </c>
      <c r="G131" s="586" t="str">
        <f t="shared" si="1205"/>
        <v/>
      </c>
      <c r="H131" s="588" t="str">
        <f t="shared" si="1205"/>
        <v/>
      </c>
      <c r="I131" s="582" t="str">
        <f t="shared" si="1205"/>
        <v/>
      </c>
      <c r="J131" s="491" t="str">
        <f t="shared" si="711"/>
        <v/>
      </c>
      <c r="K131" s="807" t="str">
        <f t="shared" si="1205"/>
        <v/>
      </c>
      <c r="L131" s="309"/>
      <c r="M131" s="492" t="str">
        <f t="shared" si="902"/>
        <v/>
      </c>
      <c r="N131" s="581" t="str">
        <f t="shared" si="903"/>
        <v/>
      </c>
      <c r="O131" s="582" t="str">
        <f t="shared" si="904"/>
        <v/>
      </c>
      <c r="P131" s="583" t="str">
        <f t="shared" si="905"/>
        <v/>
      </c>
      <c r="Q131" s="536" t="str">
        <f t="shared" si="1061"/>
        <v/>
      </c>
      <c r="R131" s="582" t="str">
        <f t="shared" si="1062"/>
        <v/>
      </c>
      <c r="S131" s="584" t="str">
        <f t="shared" si="1063"/>
        <v/>
      </c>
      <c r="T131" s="585" t="str">
        <f t="shared" si="1064"/>
        <v/>
      </c>
      <c r="U131" s="582" t="str">
        <f t="shared" si="1065"/>
        <v/>
      </c>
      <c r="V131" s="586" t="str">
        <f t="shared" si="1066"/>
        <v/>
      </c>
      <c r="W131" s="536" t="str">
        <f t="shared" si="1067"/>
        <v/>
      </c>
      <c r="X131" s="582" t="str">
        <f t="shared" si="1068"/>
        <v/>
      </c>
      <c r="Y131" s="587" t="str">
        <f t="shared" si="1069"/>
        <v/>
      </c>
      <c r="Z131" s="581" t="str">
        <f t="shared" si="906"/>
        <v/>
      </c>
      <c r="AA131" s="582" t="str">
        <f t="shared" si="907"/>
        <v/>
      </c>
      <c r="AB131" s="582" t="str">
        <f t="shared" si="908"/>
        <v/>
      </c>
      <c r="AC131" s="586" t="str">
        <f t="shared" si="1070"/>
        <v/>
      </c>
      <c r="AD131" s="588" t="str">
        <f t="shared" si="1071"/>
        <v/>
      </c>
      <c r="AE131" s="582" t="str">
        <f t="shared" si="1072"/>
        <v/>
      </c>
      <c r="AF131" s="583" t="str">
        <f t="shared" si="1073"/>
        <v/>
      </c>
      <c r="AG131" s="547" t="str">
        <f t="shared" si="1074"/>
        <v/>
      </c>
      <c r="AH131" s="548" t="str">
        <f t="shared" si="1075"/>
        <v/>
      </c>
      <c r="AI131" s="536" t="str">
        <f t="shared" si="1076"/>
        <v/>
      </c>
      <c r="AJ131" s="537" t="str">
        <f t="shared" si="1077"/>
        <v/>
      </c>
      <c r="AK131" s="585" t="str">
        <f t="shared" si="1078"/>
        <v/>
      </c>
      <c r="AL131" s="582" t="str">
        <f t="shared" si="1079"/>
        <v/>
      </c>
      <c r="AM131" s="584" t="str">
        <f t="shared" si="1080"/>
        <v/>
      </c>
      <c r="AN131" s="534" t="str">
        <f t="shared" si="1081"/>
        <v/>
      </c>
      <c r="AO131" s="535" t="str">
        <f t="shared" si="1040"/>
        <v/>
      </c>
      <c r="AP131" s="536" t="str">
        <f t="shared" si="1082"/>
        <v/>
      </c>
      <c r="AQ131" s="537" t="str">
        <f t="shared" si="909"/>
        <v/>
      </c>
      <c r="AS131" s="901" t="str">
        <f t="shared" si="1011"/>
        <v/>
      </c>
      <c r="AT131" s="897" t="str">
        <f t="shared" si="910"/>
        <v/>
      </c>
      <c r="AU131" s="418"/>
      <c r="AV131" s="164" t="str">
        <f t="shared" si="911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083"/>
        <v/>
      </c>
      <c r="BA131" s="505" t="str">
        <f t="shared" si="1084"/>
        <v/>
      </c>
      <c r="BB131" s="506" t="str">
        <f t="shared" si="713"/>
        <v/>
      </c>
      <c r="BC131" s="496"/>
      <c r="BD131" s="494" t="str">
        <f t="shared" si="1085"/>
        <v/>
      </c>
      <c r="BE131" s="497" t="str">
        <f t="shared" si="913"/>
        <v/>
      </c>
      <c r="BF131" s="498" t="str">
        <f t="shared" si="914"/>
        <v/>
      </c>
      <c r="BG131" s="494" t="str">
        <f t="shared" si="915"/>
        <v/>
      </c>
      <c r="BH131" s="495" t="str">
        <f t="shared" si="916"/>
        <v/>
      </c>
      <c r="BI131" s="496" t="str">
        <f t="shared" si="1086"/>
        <v/>
      </c>
      <c r="BJ131" s="494" t="str">
        <f t="shared" si="917"/>
        <v/>
      </c>
      <c r="BK131" s="499" t="str">
        <f t="shared" si="918"/>
        <v/>
      </c>
      <c r="BL131" s="502" t="str">
        <f t="shared" si="919"/>
        <v/>
      </c>
      <c r="BM131" s="494" t="str">
        <f t="shared" si="920"/>
        <v/>
      </c>
      <c r="BN131" s="497" t="str">
        <f t="shared" si="921"/>
        <v/>
      </c>
      <c r="BO131" s="498" t="str">
        <f t="shared" si="1087"/>
        <v/>
      </c>
      <c r="BP131" s="494" t="str">
        <f t="shared" si="1088"/>
        <v/>
      </c>
      <c r="BQ131" s="494" t="str">
        <f t="shared" si="1089"/>
        <v/>
      </c>
      <c r="BR131" s="497" t="str">
        <f t="shared" si="1090"/>
        <v/>
      </c>
      <c r="BS131" s="498" t="str">
        <f t="shared" si="1006"/>
        <v/>
      </c>
      <c r="BT131" s="494" t="str">
        <f t="shared" si="1006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1"/>
        <v/>
      </c>
      <c r="CC131" s="494" t="str">
        <f t="shared" si="1092"/>
        <v/>
      </c>
      <c r="CD131" s="494" t="str">
        <f t="shared" si="1093"/>
        <v/>
      </c>
      <c r="CE131" s="497" t="str">
        <f t="shared" si="1094"/>
        <v/>
      </c>
      <c r="CF131" s="498" t="str">
        <f t="shared" si="1095"/>
        <v/>
      </c>
      <c r="CG131" s="494" t="str">
        <f t="shared" si="1096"/>
        <v/>
      </c>
      <c r="CH131" s="494" t="str">
        <f t="shared" si="1097"/>
        <v/>
      </c>
      <c r="CI131" s="498" t="str">
        <f t="shared" si="723"/>
        <v/>
      </c>
      <c r="CJ131" s="494" t="str">
        <f t="shared" si="1098"/>
        <v/>
      </c>
      <c r="CK131" s="499" t="str">
        <f t="shared" si="1099"/>
        <v/>
      </c>
      <c r="CL131" s="502" t="str">
        <f t="shared" si="1100"/>
        <v/>
      </c>
      <c r="CM131" s="494" t="str">
        <f t="shared" si="1101"/>
        <v/>
      </c>
      <c r="CN131" s="497" t="str">
        <f t="shared" si="1102"/>
        <v/>
      </c>
      <c r="CO131" s="507" t="str">
        <f t="shared" si="922"/>
        <v/>
      </c>
      <c r="CP131" s="498" t="str">
        <f t="shared" si="1103"/>
        <v/>
      </c>
      <c r="CQ131" s="494" t="str">
        <f t="shared" si="1104"/>
        <v/>
      </c>
      <c r="CR131" s="494" t="str">
        <f t="shared" si="1105"/>
        <v/>
      </c>
      <c r="CS131" s="499" t="str">
        <f t="shared" si="1106"/>
        <v/>
      </c>
      <c r="CT131" s="496" t="str">
        <f t="shared" si="1107"/>
        <v/>
      </c>
      <c r="CU131" s="497" t="str">
        <f t="shared" si="1108"/>
        <v/>
      </c>
      <c r="CV131" s="498" t="str">
        <f t="shared" si="1109"/>
        <v/>
      </c>
      <c r="CW131" s="494" t="str">
        <f t="shared" si="1110"/>
        <v/>
      </c>
      <c r="CX131" s="499" t="str">
        <f t="shared" si="1111"/>
        <v/>
      </c>
      <c r="CY131" s="496" t="str">
        <f t="shared" si="1112"/>
        <v/>
      </c>
      <c r="CZ131" s="494" t="str">
        <f t="shared" si="1113"/>
        <v/>
      </c>
      <c r="DA131" s="497" t="str">
        <f t="shared" si="1114"/>
        <v/>
      </c>
      <c r="DB131" s="498" t="str">
        <f t="shared" si="1012"/>
        <v/>
      </c>
      <c r="DC131" s="494" t="str">
        <f t="shared" si="1012"/>
        <v/>
      </c>
      <c r="DD131" s="495" t="str">
        <f t="shared" si="764"/>
        <v/>
      </c>
      <c r="DE131" s="496" t="str">
        <f t="shared" si="1013"/>
        <v/>
      </c>
      <c r="DF131" s="494" t="str">
        <f t="shared" si="1013"/>
        <v/>
      </c>
      <c r="DG131" s="495" t="str">
        <f t="shared" si="766"/>
        <v/>
      </c>
      <c r="DH131" s="501" t="str">
        <f t="shared" si="1115"/>
        <v/>
      </c>
      <c r="DI131" s="498" t="str">
        <f t="shared" si="1116"/>
        <v/>
      </c>
      <c r="DJ131" s="494" t="str">
        <f t="shared" si="1117"/>
        <v/>
      </c>
      <c r="DK131" s="495" t="str">
        <f t="shared" si="1118"/>
        <v/>
      </c>
      <c r="DL131" s="496" t="str">
        <f t="shared" si="1119"/>
        <v/>
      </c>
      <c r="DM131" s="502" t="str">
        <f t="shared" si="1120"/>
        <v/>
      </c>
      <c r="DN131" s="508" t="str">
        <f t="shared" si="1121"/>
        <v/>
      </c>
      <c r="DO131" s="496" t="str">
        <f t="shared" si="1122"/>
        <v/>
      </c>
      <c r="DP131" s="502" t="str">
        <f t="shared" si="1123"/>
        <v/>
      </c>
      <c r="DQ131" s="503" t="str">
        <f t="shared" si="1124"/>
        <v/>
      </c>
      <c r="DR131" s="502" t="str">
        <f t="shared" si="1125"/>
        <v/>
      </c>
      <c r="DS131" s="494" t="str">
        <f t="shared" si="1126"/>
        <v/>
      </c>
      <c r="DT131" s="494" t="str">
        <f t="shared" si="1127"/>
        <v/>
      </c>
      <c r="DU131" s="494" t="str">
        <f t="shared" si="1128"/>
        <v/>
      </c>
      <c r="DV131" s="494" t="str">
        <f t="shared" si="1129"/>
        <v/>
      </c>
      <c r="DW131" s="494" t="str">
        <f t="shared" si="1130"/>
        <v/>
      </c>
      <c r="DX131" s="507" t="str">
        <f t="shared" si="1131"/>
        <v/>
      </c>
      <c r="DY131" s="496" t="str">
        <f t="shared" si="1132"/>
        <v/>
      </c>
      <c r="DZ131" s="494" t="str">
        <f t="shared" si="1133"/>
        <v/>
      </c>
      <c r="EA131" s="495" t="str">
        <f t="shared" si="1134"/>
        <v/>
      </c>
      <c r="EB131" s="497" t="str">
        <f t="shared" si="1135"/>
        <v/>
      </c>
      <c r="EC131" s="502" t="str">
        <f t="shared" si="1136"/>
        <v/>
      </c>
      <c r="ED131" s="494" t="str">
        <f t="shared" si="1137"/>
        <v/>
      </c>
      <c r="EE131" s="498" t="str">
        <f t="shared" si="1138"/>
        <v/>
      </c>
      <c r="EF131" s="494" t="str">
        <f t="shared" si="1139"/>
        <v/>
      </c>
      <c r="EG131" s="495" t="str">
        <f t="shared" si="1140"/>
        <v/>
      </c>
      <c r="EH131" s="496" t="str">
        <f t="shared" si="1141"/>
        <v/>
      </c>
      <c r="EI131" s="494" t="str">
        <f t="shared" si="1142"/>
        <v/>
      </c>
      <c r="EJ131" s="497" t="str">
        <f t="shared" si="1143"/>
        <v/>
      </c>
      <c r="EK131" s="509" t="str">
        <f t="shared" si="796"/>
        <v/>
      </c>
      <c r="EL131" s="510" t="str">
        <f t="shared" si="797"/>
        <v/>
      </c>
      <c r="EM131" s="498" t="str">
        <f t="shared" si="1144"/>
        <v/>
      </c>
      <c r="EN131" s="494" t="str">
        <f t="shared" si="1145"/>
        <v/>
      </c>
      <c r="EO131" s="495" t="str">
        <f t="shared" si="1146"/>
        <v/>
      </c>
      <c r="EP131" s="496" t="str">
        <f t="shared" si="1147"/>
        <v/>
      </c>
      <c r="EQ131" s="494" t="str">
        <f t="shared" si="1148"/>
        <v/>
      </c>
      <c r="ER131" s="500" t="str">
        <f t="shared" si="1149"/>
        <v/>
      </c>
      <c r="ES131" s="493" t="str">
        <f t="shared" si="923"/>
        <v/>
      </c>
      <c r="ET131" s="494" t="str">
        <f t="shared" si="924"/>
        <v/>
      </c>
      <c r="EU131" s="495" t="str">
        <f t="shared" si="925"/>
        <v/>
      </c>
      <c r="EV131" s="174" t="str">
        <f t="shared" si="1150"/>
        <v/>
      </c>
      <c r="EW131" s="496" t="str">
        <f t="shared" si="1151"/>
        <v/>
      </c>
      <c r="EX131" s="494" t="str">
        <f t="shared" si="1152"/>
        <v/>
      </c>
      <c r="EY131" s="497" t="str">
        <f t="shared" si="1153"/>
        <v/>
      </c>
      <c r="EZ131" s="504" t="str">
        <f t="shared" si="805"/>
        <v/>
      </c>
      <c r="FA131" s="502" t="str">
        <f t="shared" si="929"/>
        <v/>
      </c>
      <c r="FB131" s="494" t="str">
        <f t="shared" si="930"/>
        <v/>
      </c>
      <c r="FC131" s="497" t="str">
        <f t="shared" si="931"/>
        <v/>
      </c>
      <c r="FD131" s="498" t="str">
        <f t="shared" si="1154"/>
        <v/>
      </c>
      <c r="FE131" s="494" t="str">
        <f t="shared" si="1155"/>
        <v/>
      </c>
      <c r="FF131" s="500" t="str">
        <f t="shared" si="1156"/>
        <v/>
      </c>
      <c r="FG131" s="173" t="str">
        <f t="shared" si="1157"/>
        <v/>
      </c>
      <c r="FH131" s="5" t="str">
        <f t="shared" si="1158"/>
        <v/>
      </c>
      <c r="FI131" s="10" t="str">
        <f t="shared" si="1159"/>
        <v/>
      </c>
      <c r="FJ131" s="279" t="str">
        <f t="shared" si="1160"/>
        <v/>
      </c>
      <c r="FK131" s="4" t="str">
        <f t="shared" si="1161"/>
        <v/>
      </c>
      <c r="FL131" s="5" t="str">
        <f t="shared" si="1162"/>
        <v/>
      </c>
      <c r="FM131" s="8" t="str">
        <f t="shared" si="1163"/>
        <v/>
      </c>
      <c r="FN131" s="9" t="str">
        <f t="shared" si="1164"/>
        <v/>
      </c>
      <c r="FO131" s="10" t="str">
        <f t="shared" si="1165"/>
        <v/>
      </c>
      <c r="FP131" s="277" t="str">
        <f t="shared" si="1166"/>
        <v/>
      </c>
      <c r="FQ131" s="173" t="str">
        <f t="shared" si="1167"/>
        <v/>
      </c>
      <c r="FR131" s="10" t="str">
        <f t="shared" si="1168"/>
        <v/>
      </c>
      <c r="FS131" s="9" t="str">
        <f t="shared" si="1169"/>
        <v/>
      </c>
      <c r="FT131" s="6" t="str">
        <f t="shared" si="1170"/>
        <v/>
      </c>
      <c r="FU131" s="4" t="str">
        <f t="shared" si="1171"/>
        <v/>
      </c>
      <c r="FV131" s="5" t="str">
        <f t="shared" si="1172"/>
        <v/>
      </c>
      <c r="FW131" s="8" t="str">
        <f t="shared" si="1173"/>
        <v/>
      </c>
      <c r="FX131" s="9" t="str">
        <f t="shared" si="1174"/>
        <v/>
      </c>
      <c r="FY131" s="10" t="str">
        <f t="shared" si="1175"/>
        <v/>
      </c>
      <c r="FZ131" s="277" t="str">
        <f t="shared" si="1176"/>
        <v/>
      </c>
      <c r="GA131" s="177" t="str">
        <f t="shared" si="1177"/>
        <v/>
      </c>
      <c r="GB131" s="4" t="str">
        <f t="shared" si="1178"/>
        <v/>
      </c>
      <c r="GC131" s="5" t="str">
        <f t="shared" si="1179"/>
        <v/>
      </c>
      <c r="GD131" s="10" t="str">
        <f t="shared" si="1180"/>
        <v/>
      </c>
      <c r="GE131" s="311" t="str">
        <f t="shared" si="1181"/>
        <v/>
      </c>
      <c r="GF131" s="341" t="str">
        <f t="shared" si="1182"/>
        <v/>
      </c>
      <c r="GG131" s="306" t="str">
        <f t="shared" si="1183"/>
        <v/>
      </c>
      <c r="GH131" s="307" t="str">
        <f t="shared" si="1184"/>
        <v/>
      </c>
      <c r="GI131" s="308" t="str">
        <f t="shared" si="1185"/>
        <v/>
      </c>
      <c r="GJ131" s="167" t="str">
        <f t="shared" si="1186"/>
        <v/>
      </c>
      <c r="GK131" s="174" t="str">
        <f t="shared" si="943"/>
        <v/>
      </c>
      <c r="GL131" s="174" t="str">
        <f t="shared" si="1187"/>
        <v/>
      </c>
      <c r="GM131" s="177" t="str">
        <f t="shared" si="1188"/>
        <v/>
      </c>
      <c r="GN131" s="280" t="str">
        <f t="shared" si="1189"/>
        <v/>
      </c>
      <c r="GO131" s="4" t="str">
        <f t="shared" si="1190"/>
        <v/>
      </c>
      <c r="GP131" s="8" t="str">
        <f t="shared" si="1191"/>
        <v/>
      </c>
      <c r="GQ131" s="177" t="str">
        <f t="shared" si="1192"/>
        <v/>
      </c>
      <c r="GR131" s="371" t="str">
        <f t="shared" si="1193"/>
        <v/>
      </c>
      <c r="GS131" s="342" t="str">
        <f t="shared" si="1194"/>
        <v/>
      </c>
      <c r="GT131" s="343" t="str">
        <f t="shared" si="1195"/>
        <v/>
      </c>
      <c r="GU131" s="344" t="str">
        <f t="shared" si="946"/>
        <v/>
      </c>
      <c r="GV131" s="343" t="str">
        <f t="shared" si="1196"/>
        <v/>
      </c>
      <c r="GW131" s="345" t="str">
        <f t="shared" si="947"/>
        <v/>
      </c>
      <c r="GX131" s="346" t="str">
        <f t="shared" si="948"/>
        <v/>
      </c>
      <c r="GY131" s="344" t="str">
        <f t="shared" si="1197"/>
        <v/>
      </c>
      <c r="GZ131" s="345" t="str">
        <f t="shared" si="1198"/>
        <v/>
      </c>
      <c r="HA131" s="342" t="str">
        <f t="shared" si="951"/>
        <v/>
      </c>
      <c r="HB131" s="5" t="str">
        <f t="shared" si="832"/>
        <v/>
      </c>
      <c r="HC131" s="343" t="str">
        <f t="shared" si="1199"/>
        <v/>
      </c>
      <c r="HD131" s="363" t="str">
        <f t="shared" si="1200"/>
        <v/>
      </c>
      <c r="HE131" s="344" t="str">
        <f t="shared" si="952"/>
        <v/>
      </c>
      <c r="HF131" s="5" t="str">
        <f t="shared" si="953"/>
        <v/>
      </c>
      <c r="HG131" s="343" t="str">
        <f t="shared" si="1201"/>
        <v/>
      </c>
      <c r="HH131" s="349" t="str">
        <f t="shared" si="1202"/>
        <v/>
      </c>
      <c r="HI131" s="317" t="str">
        <f t="shared" si="954"/>
        <v/>
      </c>
      <c r="HK131" s="310" t="str">
        <f t="shared" si="1007"/>
        <v/>
      </c>
      <c r="HL131" s="348" t="str">
        <f t="shared" si="955"/>
        <v/>
      </c>
      <c r="HM131" s="935" t="str">
        <f t="shared" si="956"/>
        <v/>
      </c>
      <c r="HN131" s="936" t="str">
        <f t="shared" si="957"/>
        <v/>
      </c>
      <c r="HO131" s="937"/>
      <c r="HP131" s="938"/>
      <c r="HQ131" s="936" t="str">
        <f t="shared" si="958"/>
        <v/>
      </c>
      <c r="HR131" s="939" t="str">
        <f t="shared" si="959"/>
        <v/>
      </c>
      <c r="HS131" s="940" t="str">
        <f t="shared" si="1203"/>
        <v/>
      </c>
      <c r="HT131" s="941" t="str">
        <f t="shared" si="960"/>
        <v/>
      </c>
      <c r="HU131" s="942" t="str">
        <f t="shared" si="961"/>
        <v/>
      </c>
      <c r="HV131" s="943" t="str">
        <f t="shared" si="962"/>
        <v/>
      </c>
      <c r="HW131" s="944" t="str">
        <f t="shared" si="963"/>
        <v/>
      </c>
      <c r="HX131" s="947" t="str">
        <f t="shared" si="964"/>
        <v/>
      </c>
      <c r="HY131" s="952" t="str">
        <f t="shared" si="965"/>
        <v/>
      </c>
      <c r="HZ131" s="953" t="str">
        <f t="shared" si="966"/>
        <v/>
      </c>
      <c r="IA131" s="954" t="str">
        <f t="shared" si="967"/>
        <v/>
      </c>
      <c r="IB131" s="955" t="str">
        <f t="shared" si="968"/>
        <v/>
      </c>
      <c r="IC131" s="842" t="str">
        <f t="shared" si="969"/>
        <v/>
      </c>
      <c r="ID131" s="351" t="str">
        <f t="shared" si="970"/>
        <v/>
      </c>
      <c r="IE131" s="844" t="str">
        <f t="shared" si="971"/>
        <v/>
      </c>
      <c r="IF131" s="845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37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72"/>
        <v/>
      </c>
      <c r="IM131" s="482" t="str">
        <f t="shared" si="838"/>
        <v/>
      </c>
      <c r="IN131" s="670" t="str">
        <f t="shared" si="973"/>
        <v/>
      </c>
      <c r="IO131" s="702"/>
      <c r="IP131" s="5" t="str">
        <f t="shared" si="974"/>
        <v/>
      </c>
      <c r="IQ131" s="714"/>
      <c r="IR131" s="9" t="str">
        <f t="shared" si="975"/>
        <v/>
      </c>
      <c r="IS131" s="5" t="str">
        <f t="shared" si="976"/>
        <v/>
      </c>
      <c r="IT131" s="5" t="str">
        <f t="shared" si="977"/>
        <v/>
      </c>
      <c r="IU131" s="5" t="str">
        <f t="shared" si="978"/>
        <v/>
      </c>
      <c r="IV131" s="670" t="str">
        <f t="shared" si="979"/>
        <v/>
      </c>
      <c r="IW131" s="9" t="str">
        <f t="shared" si="980"/>
        <v/>
      </c>
      <c r="IX131" s="5" t="str">
        <f t="shared" si="981"/>
        <v/>
      </c>
      <c r="IY131" s="5" t="str">
        <f t="shared" si="982"/>
        <v/>
      </c>
      <c r="IZ131" s="5" t="str">
        <f t="shared" si="983"/>
        <v/>
      </c>
      <c r="JA131" s="705" t="str">
        <f t="shared" si="984"/>
        <v/>
      </c>
    </row>
    <row r="132" spans="1:261" ht="15" customHeight="1" x14ac:dyDescent="0.25">
      <c r="A132" s="75" t="str">
        <f t="shared" si="899"/>
        <v/>
      </c>
      <c r="B132" s="585" t="str">
        <f t="shared" ref="B132:D132" si="1206">IFERROR(O287+($A132*-E132),"")</f>
        <v/>
      </c>
      <c r="C132" s="582" t="str">
        <f t="shared" si="1206"/>
        <v/>
      </c>
      <c r="D132" s="583" t="str">
        <f t="shared" si="1206"/>
        <v/>
      </c>
      <c r="E132" s="588" t="str">
        <f t="shared" ref="E132:K132" si="1207">R287</f>
        <v/>
      </c>
      <c r="F132" s="582" t="str">
        <f t="shared" si="1207"/>
        <v/>
      </c>
      <c r="G132" s="586" t="str">
        <f t="shared" si="1207"/>
        <v/>
      </c>
      <c r="H132" s="588" t="str">
        <f t="shared" si="1207"/>
        <v/>
      </c>
      <c r="I132" s="582" t="str">
        <f t="shared" si="1207"/>
        <v/>
      </c>
      <c r="J132" s="491" t="str">
        <f t="shared" si="711"/>
        <v/>
      </c>
      <c r="K132" s="807" t="str">
        <f t="shared" si="1207"/>
        <v/>
      </c>
      <c r="L132" s="309"/>
      <c r="M132" s="492" t="str">
        <f t="shared" si="902"/>
        <v/>
      </c>
      <c r="N132" s="581" t="str">
        <f t="shared" si="903"/>
        <v/>
      </c>
      <c r="O132" s="582" t="str">
        <f t="shared" si="904"/>
        <v/>
      </c>
      <c r="P132" s="583" t="str">
        <f t="shared" si="905"/>
        <v/>
      </c>
      <c r="Q132" s="536" t="str">
        <f t="shared" si="1061"/>
        <v/>
      </c>
      <c r="R132" s="582" t="str">
        <f t="shared" si="1062"/>
        <v/>
      </c>
      <c r="S132" s="584" t="str">
        <f t="shared" si="1063"/>
        <v/>
      </c>
      <c r="T132" s="585" t="str">
        <f t="shared" si="1064"/>
        <v/>
      </c>
      <c r="U132" s="582" t="str">
        <f t="shared" si="1065"/>
        <v/>
      </c>
      <c r="V132" s="586" t="str">
        <f t="shared" si="1066"/>
        <v/>
      </c>
      <c r="W132" s="536" t="str">
        <f t="shared" si="1067"/>
        <v/>
      </c>
      <c r="X132" s="582" t="str">
        <f t="shared" si="1068"/>
        <v/>
      </c>
      <c r="Y132" s="587" t="str">
        <f t="shared" si="1069"/>
        <v/>
      </c>
      <c r="Z132" s="581" t="str">
        <f t="shared" si="906"/>
        <v/>
      </c>
      <c r="AA132" s="582" t="str">
        <f t="shared" si="907"/>
        <v/>
      </c>
      <c r="AB132" s="582" t="str">
        <f t="shared" si="908"/>
        <v/>
      </c>
      <c r="AC132" s="586" t="str">
        <f t="shared" si="1070"/>
        <v/>
      </c>
      <c r="AD132" s="588" t="str">
        <f t="shared" si="1071"/>
        <v/>
      </c>
      <c r="AE132" s="582" t="str">
        <f t="shared" si="1072"/>
        <v/>
      </c>
      <c r="AF132" s="583" t="str">
        <f t="shared" si="1073"/>
        <v/>
      </c>
      <c r="AG132" s="547" t="str">
        <f t="shared" si="1074"/>
        <v/>
      </c>
      <c r="AH132" s="548" t="str">
        <f t="shared" si="1075"/>
        <v/>
      </c>
      <c r="AI132" s="536" t="str">
        <f t="shared" si="1076"/>
        <v/>
      </c>
      <c r="AJ132" s="537" t="str">
        <f t="shared" si="1077"/>
        <v/>
      </c>
      <c r="AK132" s="585" t="str">
        <f t="shared" si="1078"/>
        <v/>
      </c>
      <c r="AL132" s="582" t="str">
        <f t="shared" si="1079"/>
        <v/>
      </c>
      <c r="AM132" s="584" t="str">
        <f t="shared" si="1080"/>
        <v/>
      </c>
      <c r="AN132" s="534" t="str">
        <f t="shared" si="1081"/>
        <v/>
      </c>
      <c r="AO132" s="535" t="str">
        <f t="shared" si="1040"/>
        <v/>
      </c>
      <c r="AP132" s="536" t="str">
        <f t="shared" si="1082"/>
        <v/>
      </c>
      <c r="AQ132" s="537" t="str">
        <f t="shared" si="909"/>
        <v/>
      </c>
      <c r="AS132" s="901" t="str">
        <f t="shared" si="1011"/>
        <v/>
      </c>
      <c r="AT132" s="897" t="str">
        <f t="shared" si="910"/>
        <v/>
      </c>
      <c r="AU132" s="418"/>
      <c r="AV132" s="164" t="str">
        <f t="shared" si="911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083"/>
        <v/>
      </c>
      <c r="BA132" s="505" t="str">
        <f t="shared" si="1084"/>
        <v/>
      </c>
      <c r="BB132" s="506" t="str">
        <f t="shared" si="713"/>
        <v/>
      </c>
      <c r="BC132" s="496"/>
      <c r="BD132" s="494" t="str">
        <f t="shared" si="1085"/>
        <v/>
      </c>
      <c r="BE132" s="497" t="str">
        <f t="shared" si="913"/>
        <v/>
      </c>
      <c r="BF132" s="498" t="str">
        <f t="shared" si="914"/>
        <v/>
      </c>
      <c r="BG132" s="494" t="str">
        <f t="shared" si="915"/>
        <v/>
      </c>
      <c r="BH132" s="495" t="str">
        <f t="shared" si="916"/>
        <v/>
      </c>
      <c r="BI132" s="496" t="str">
        <f t="shared" si="1086"/>
        <v/>
      </c>
      <c r="BJ132" s="494" t="str">
        <f t="shared" si="917"/>
        <v/>
      </c>
      <c r="BK132" s="499" t="str">
        <f t="shared" si="918"/>
        <v/>
      </c>
      <c r="BL132" s="502" t="str">
        <f t="shared" si="919"/>
        <v/>
      </c>
      <c r="BM132" s="494" t="str">
        <f t="shared" si="920"/>
        <v/>
      </c>
      <c r="BN132" s="497" t="str">
        <f t="shared" si="921"/>
        <v/>
      </c>
      <c r="BO132" s="498" t="str">
        <f t="shared" si="1087"/>
        <v/>
      </c>
      <c r="BP132" s="494" t="str">
        <f t="shared" si="1088"/>
        <v/>
      </c>
      <c r="BQ132" s="494" t="str">
        <f t="shared" si="1089"/>
        <v/>
      </c>
      <c r="BR132" s="497" t="str">
        <f t="shared" si="1090"/>
        <v/>
      </c>
      <c r="BS132" s="498" t="str">
        <f t="shared" si="1006"/>
        <v/>
      </c>
      <c r="BT132" s="494" t="str">
        <f t="shared" si="1006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1"/>
        <v/>
      </c>
      <c r="CC132" s="494" t="str">
        <f t="shared" si="1092"/>
        <v/>
      </c>
      <c r="CD132" s="494" t="str">
        <f t="shared" si="1093"/>
        <v/>
      </c>
      <c r="CE132" s="497" t="str">
        <f t="shared" si="1094"/>
        <v/>
      </c>
      <c r="CF132" s="498" t="str">
        <f t="shared" si="1095"/>
        <v/>
      </c>
      <c r="CG132" s="494" t="str">
        <f t="shared" si="1096"/>
        <v/>
      </c>
      <c r="CH132" s="494" t="str">
        <f t="shared" si="1097"/>
        <v/>
      </c>
      <c r="CI132" s="498" t="str">
        <f t="shared" si="723"/>
        <v/>
      </c>
      <c r="CJ132" s="494" t="str">
        <f t="shared" si="1098"/>
        <v/>
      </c>
      <c r="CK132" s="499" t="str">
        <f t="shared" si="1099"/>
        <v/>
      </c>
      <c r="CL132" s="502" t="str">
        <f t="shared" si="1100"/>
        <v/>
      </c>
      <c r="CM132" s="494" t="str">
        <f t="shared" si="1101"/>
        <v/>
      </c>
      <c r="CN132" s="497" t="str">
        <f t="shared" si="1102"/>
        <v/>
      </c>
      <c r="CO132" s="507" t="str">
        <f t="shared" si="922"/>
        <v/>
      </c>
      <c r="CP132" s="498" t="str">
        <f t="shared" si="1103"/>
        <v/>
      </c>
      <c r="CQ132" s="494" t="str">
        <f t="shared" si="1104"/>
        <v/>
      </c>
      <c r="CR132" s="494" t="str">
        <f t="shared" si="1105"/>
        <v/>
      </c>
      <c r="CS132" s="499" t="str">
        <f t="shared" si="1106"/>
        <v/>
      </c>
      <c r="CT132" s="496" t="str">
        <f t="shared" si="1107"/>
        <v/>
      </c>
      <c r="CU132" s="497" t="str">
        <f t="shared" si="1108"/>
        <v/>
      </c>
      <c r="CV132" s="498" t="str">
        <f t="shared" si="1109"/>
        <v/>
      </c>
      <c r="CW132" s="494" t="str">
        <f t="shared" si="1110"/>
        <v/>
      </c>
      <c r="CX132" s="499" t="str">
        <f t="shared" si="1111"/>
        <v/>
      </c>
      <c r="CY132" s="496" t="str">
        <f t="shared" si="1112"/>
        <v/>
      </c>
      <c r="CZ132" s="494" t="str">
        <f t="shared" si="1113"/>
        <v/>
      </c>
      <c r="DA132" s="497" t="str">
        <f t="shared" si="1114"/>
        <v/>
      </c>
      <c r="DB132" s="498" t="str">
        <f t="shared" si="1012"/>
        <v/>
      </c>
      <c r="DC132" s="494" t="str">
        <f t="shared" si="1012"/>
        <v/>
      </c>
      <c r="DD132" s="495" t="str">
        <f t="shared" si="764"/>
        <v/>
      </c>
      <c r="DE132" s="496" t="str">
        <f t="shared" si="1013"/>
        <v/>
      </c>
      <c r="DF132" s="494" t="str">
        <f t="shared" si="1013"/>
        <v/>
      </c>
      <c r="DG132" s="495" t="str">
        <f t="shared" si="766"/>
        <v/>
      </c>
      <c r="DH132" s="501" t="str">
        <f t="shared" si="1115"/>
        <v/>
      </c>
      <c r="DI132" s="498" t="str">
        <f t="shared" si="1116"/>
        <v/>
      </c>
      <c r="DJ132" s="494" t="str">
        <f t="shared" si="1117"/>
        <v/>
      </c>
      <c r="DK132" s="495" t="str">
        <f t="shared" si="1118"/>
        <v/>
      </c>
      <c r="DL132" s="496" t="str">
        <f t="shared" si="1119"/>
        <v/>
      </c>
      <c r="DM132" s="502" t="str">
        <f t="shared" si="1120"/>
        <v/>
      </c>
      <c r="DN132" s="508" t="str">
        <f t="shared" si="1121"/>
        <v/>
      </c>
      <c r="DO132" s="496" t="str">
        <f t="shared" si="1122"/>
        <v/>
      </c>
      <c r="DP132" s="502" t="str">
        <f t="shared" si="1123"/>
        <v/>
      </c>
      <c r="DQ132" s="503" t="str">
        <f t="shared" si="1124"/>
        <v/>
      </c>
      <c r="DR132" s="502" t="str">
        <f t="shared" si="1125"/>
        <v/>
      </c>
      <c r="DS132" s="494" t="str">
        <f t="shared" si="1126"/>
        <v/>
      </c>
      <c r="DT132" s="494" t="str">
        <f t="shared" si="1127"/>
        <v/>
      </c>
      <c r="DU132" s="494" t="str">
        <f t="shared" si="1128"/>
        <v/>
      </c>
      <c r="DV132" s="494" t="str">
        <f t="shared" si="1129"/>
        <v/>
      </c>
      <c r="DW132" s="494" t="str">
        <f t="shared" si="1130"/>
        <v/>
      </c>
      <c r="DX132" s="507" t="str">
        <f t="shared" si="1131"/>
        <v/>
      </c>
      <c r="DY132" s="496" t="str">
        <f t="shared" si="1132"/>
        <v/>
      </c>
      <c r="DZ132" s="494" t="str">
        <f t="shared" si="1133"/>
        <v/>
      </c>
      <c r="EA132" s="495" t="str">
        <f t="shared" si="1134"/>
        <v/>
      </c>
      <c r="EB132" s="497" t="str">
        <f t="shared" si="1135"/>
        <v/>
      </c>
      <c r="EC132" s="502" t="str">
        <f t="shared" si="1136"/>
        <v/>
      </c>
      <c r="ED132" s="494" t="str">
        <f t="shared" si="1137"/>
        <v/>
      </c>
      <c r="EE132" s="498" t="str">
        <f t="shared" si="1138"/>
        <v/>
      </c>
      <c r="EF132" s="494" t="str">
        <f t="shared" si="1139"/>
        <v/>
      </c>
      <c r="EG132" s="495" t="str">
        <f t="shared" si="1140"/>
        <v/>
      </c>
      <c r="EH132" s="496" t="str">
        <f t="shared" si="1141"/>
        <v/>
      </c>
      <c r="EI132" s="494" t="str">
        <f t="shared" si="1142"/>
        <v/>
      </c>
      <c r="EJ132" s="497" t="str">
        <f t="shared" si="1143"/>
        <v/>
      </c>
      <c r="EK132" s="509" t="str">
        <f t="shared" si="796"/>
        <v/>
      </c>
      <c r="EL132" s="510" t="str">
        <f t="shared" si="797"/>
        <v/>
      </c>
      <c r="EM132" s="498" t="str">
        <f t="shared" si="1144"/>
        <v/>
      </c>
      <c r="EN132" s="494" t="str">
        <f t="shared" si="1145"/>
        <v/>
      </c>
      <c r="EO132" s="495" t="str">
        <f t="shared" si="1146"/>
        <v/>
      </c>
      <c r="EP132" s="496" t="str">
        <f t="shared" si="1147"/>
        <v/>
      </c>
      <c r="EQ132" s="494" t="str">
        <f t="shared" si="1148"/>
        <v/>
      </c>
      <c r="ER132" s="500" t="str">
        <f t="shared" si="1149"/>
        <v/>
      </c>
      <c r="ES132" s="493" t="str">
        <f t="shared" si="923"/>
        <v/>
      </c>
      <c r="ET132" s="494" t="str">
        <f t="shared" si="924"/>
        <v/>
      </c>
      <c r="EU132" s="495" t="str">
        <f t="shared" si="925"/>
        <v/>
      </c>
      <c r="EV132" s="174" t="str">
        <f t="shared" si="1150"/>
        <v/>
      </c>
      <c r="EW132" s="496" t="str">
        <f t="shared" si="1151"/>
        <v/>
      </c>
      <c r="EX132" s="494" t="str">
        <f t="shared" si="1152"/>
        <v/>
      </c>
      <c r="EY132" s="497" t="str">
        <f t="shared" si="1153"/>
        <v/>
      </c>
      <c r="EZ132" s="504" t="str">
        <f t="shared" si="805"/>
        <v/>
      </c>
      <c r="FA132" s="502" t="str">
        <f t="shared" si="929"/>
        <v/>
      </c>
      <c r="FB132" s="494" t="str">
        <f t="shared" si="930"/>
        <v/>
      </c>
      <c r="FC132" s="497" t="str">
        <f t="shared" si="931"/>
        <v/>
      </c>
      <c r="FD132" s="498" t="str">
        <f t="shared" si="1154"/>
        <v/>
      </c>
      <c r="FE132" s="494" t="str">
        <f t="shared" si="1155"/>
        <v/>
      </c>
      <c r="FF132" s="500" t="str">
        <f t="shared" si="1156"/>
        <v/>
      </c>
      <c r="FG132" s="173" t="str">
        <f t="shared" si="1157"/>
        <v/>
      </c>
      <c r="FH132" s="5" t="str">
        <f t="shared" si="1158"/>
        <v/>
      </c>
      <c r="FI132" s="10" t="str">
        <f t="shared" si="1159"/>
        <v/>
      </c>
      <c r="FJ132" s="279" t="str">
        <f t="shared" si="1160"/>
        <v/>
      </c>
      <c r="FK132" s="4" t="str">
        <f t="shared" si="1161"/>
        <v/>
      </c>
      <c r="FL132" s="5" t="str">
        <f t="shared" si="1162"/>
        <v/>
      </c>
      <c r="FM132" s="8" t="str">
        <f t="shared" si="1163"/>
        <v/>
      </c>
      <c r="FN132" s="9" t="str">
        <f t="shared" si="1164"/>
        <v/>
      </c>
      <c r="FO132" s="10" t="str">
        <f t="shared" si="1165"/>
        <v/>
      </c>
      <c r="FP132" s="277" t="str">
        <f t="shared" si="1166"/>
        <v/>
      </c>
      <c r="FQ132" s="173" t="str">
        <f t="shared" si="1167"/>
        <v/>
      </c>
      <c r="FR132" s="10" t="str">
        <f t="shared" si="1168"/>
        <v/>
      </c>
      <c r="FS132" s="9" t="str">
        <f t="shared" si="1169"/>
        <v/>
      </c>
      <c r="FT132" s="6" t="str">
        <f t="shared" si="1170"/>
        <v/>
      </c>
      <c r="FU132" s="4" t="str">
        <f t="shared" si="1171"/>
        <v/>
      </c>
      <c r="FV132" s="5" t="str">
        <f t="shared" si="1172"/>
        <v/>
      </c>
      <c r="FW132" s="8" t="str">
        <f t="shared" si="1173"/>
        <v/>
      </c>
      <c r="FX132" s="9" t="str">
        <f t="shared" si="1174"/>
        <v/>
      </c>
      <c r="FY132" s="10" t="str">
        <f t="shared" si="1175"/>
        <v/>
      </c>
      <c r="FZ132" s="277" t="str">
        <f t="shared" si="1176"/>
        <v/>
      </c>
      <c r="GA132" s="177" t="str">
        <f t="shared" si="1177"/>
        <v/>
      </c>
      <c r="GB132" s="4" t="str">
        <f t="shared" si="1178"/>
        <v/>
      </c>
      <c r="GC132" s="5" t="str">
        <f t="shared" si="1179"/>
        <v/>
      </c>
      <c r="GD132" s="10" t="str">
        <f t="shared" si="1180"/>
        <v/>
      </c>
      <c r="GE132" s="311" t="str">
        <f t="shared" si="1181"/>
        <v/>
      </c>
      <c r="GF132" s="341" t="str">
        <f t="shared" si="1182"/>
        <v/>
      </c>
      <c r="GG132" s="306" t="str">
        <f t="shared" si="1183"/>
        <v/>
      </c>
      <c r="GH132" s="307" t="str">
        <f t="shared" si="1184"/>
        <v/>
      </c>
      <c r="GI132" s="308" t="str">
        <f t="shared" si="1185"/>
        <v/>
      </c>
      <c r="GJ132" s="167" t="str">
        <f t="shared" si="1186"/>
        <v/>
      </c>
      <c r="GK132" s="174" t="str">
        <f t="shared" si="943"/>
        <v/>
      </c>
      <c r="GL132" s="174" t="str">
        <f t="shared" si="1187"/>
        <v/>
      </c>
      <c r="GM132" s="177" t="str">
        <f t="shared" si="1188"/>
        <v/>
      </c>
      <c r="GN132" s="280" t="str">
        <f t="shared" si="1189"/>
        <v/>
      </c>
      <c r="GO132" s="4" t="str">
        <f t="shared" si="1190"/>
        <v/>
      </c>
      <c r="GP132" s="8" t="str">
        <f t="shared" si="1191"/>
        <v/>
      </c>
      <c r="GQ132" s="177" t="str">
        <f t="shared" si="1192"/>
        <v/>
      </c>
      <c r="GR132" s="371" t="str">
        <f t="shared" si="1193"/>
        <v/>
      </c>
      <c r="GS132" s="342" t="str">
        <f t="shared" si="1194"/>
        <v/>
      </c>
      <c r="GT132" s="343" t="str">
        <f t="shared" si="1195"/>
        <v/>
      </c>
      <c r="GU132" s="344" t="str">
        <f t="shared" si="946"/>
        <v/>
      </c>
      <c r="GV132" s="343" t="str">
        <f t="shared" si="1196"/>
        <v/>
      </c>
      <c r="GW132" s="345" t="str">
        <f t="shared" si="947"/>
        <v/>
      </c>
      <c r="GX132" s="346" t="str">
        <f t="shared" si="948"/>
        <v/>
      </c>
      <c r="GY132" s="344" t="str">
        <f t="shared" si="1197"/>
        <v/>
      </c>
      <c r="GZ132" s="345" t="str">
        <f t="shared" si="1198"/>
        <v/>
      </c>
      <c r="HA132" s="342" t="str">
        <f t="shared" si="951"/>
        <v/>
      </c>
      <c r="HB132" s="5" t="str">
        <f t="shared" si="832"/>
        <v/>
      </c>
      <c r="HC132" s="343" t="str">
        <f t="shared" si="1199"/>
        <v/>
      </c>
      <c r="HD132" s="363" t="str">
        <f t="shared" si="1200"/>
        <v/>
      </c>
      <c r="HE132" s="344" t="str">
        <f t="shared" si="952"/>
        <v/>
      </c>
      <c r="HF132" s="5" t="str">
        <f t="shared" si="953"/>
        <v/>
      </c>
      <c r="HG132" s="343" t="str">
        <f t="shared" si="1201"/>
        <v/>
      </c>
      <c r="HH132" s="349" t="str">
        <f t="shared" si="1202"/>
        <v/>
      </c>
      <c r="HI132" s="317" t="str">
        <f t="shared" si="954"/>
        <v/>
      </c>
      <c r="HK132" s="310" t="str">
        <f t="shared" si="1007"/>
        <v/>
      </c>
      <c r="HL132" s="348" t="str">
        <f t="shared" si="955"/>
        <v/>
      </c>
      <c r="HM132" s="935" t="str">
        <f t="shared" si="956"/>
        <v/>
      </c>
      <c r="HN132" s="936" t="str">
        <f t="shared" si="957"/>
        <v/>
      </c>
      <c r="HO132" s="937"/>
      <c r="HP132" s="938"/>
      <c r="HQ132" s="936" t="str">
        <f t="shared" si="958"/>
        <v/>
      </c>
      <c r="HR132" s="939" t="str">
        <f t="shared" si="959"/>
        <v/>
      </c>
      <c r="HS132" s="940" t="str">
        <f t="shared" si="1203"/>
        <v/>
      </c>
      <c r="HT132" s="941" t="str">
        <f t="shared" si="960"/>
        <v/>
      </c>
      <c r="HU132" s="942" t="str">
        <f t="shared" si="961"/>
        <v/>
      </c>
      <c r="HV132" s="943" t="str">
        <f t="shared" si="962"/>
        <v/>
      </c>
      <c r="HW132" s="944" t="str">
        <f t="shared" si="963"/>
        <v/>
      </c>
      <c r="HX132" s="947" t="str">
        <f t="shared" si="964"/>
        <v/>
      </c>
      <c r="HY132" s="952" t="str">
        <f t="shared" si="965"/>
        <v/>
      </c>
      <c r="HZ132" s="953" t="str">
        <f t="shared" si="966"/>
        <v/>
      </c>
      <c r="IA132" s="954" t="str">
        <f t="shared" si="967"/>
        <v/>
      </c>
      <c r="IB132" s="955" t="str">
        <f t="shared" si="968"/>
        <v/>
      </c>
      <c r="IC132" s="842" t="str">
        <f t="shared" si="969"/>
        <v/>
      </c>
      <c r="ID132" s="351" t="str">
        <f t="shared" si="970"/>
        <v/>
      </c>
      <c r="IE132" s="844" t="str">
        <f t="shared" si="971"/>
        <v/>
      </c>
      <c r="IF132" s="845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37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72"/>
        <v/>
      </c>
      <c r="IM132" s="482" t="str">
        <f t="shared" si="838"/>
        <v/>
      </c>
      <c r="IN132" s="670" t="str">
        <f t="shared" si="973"/>
        <v/>
      </c>
      <c r="IO132" s="702"/>
      <c r="IP132" s="5" t="str">
        <f t="shared" si="974"/>
        <v/>
      </c>
      <c r="IQ132" s="714"/>
      <c r="IR132" s="9" t="str">
        <f t="shared" si="975"/>
        <v/>
      </c>
      <c r="IS132" s="5" t="str">
        <f t="shared" si="976"/>
        <v/>
      </c>
      <c r="IT132" s="5" t="str">
        <f t="shared" si="977"/>
        <v/>
      </c>
      <c r="IU132" s="5" t="str">
        <f t="shared" si="978"/>
        <v/>
      </c>
      <c r="IV132" s="670" t="str">
        <f t="shared" si="979"/>
        <v/>
      </c>
      <c r="IW132" s="9" t="str">
        <f t="shared" si="980"/>
        <v/>
      </c>
      <c r="IX132" s="5" t="str">
        <f t="shared" si="981"/>
        <v/>
      </c>
      <c r="IY132" s="5" t="str">
        <f t="shared" si="982"/>
        <v/>
      </c>
      <c r="IZ132" s="5" t="str">
        <f t="shared" si="983"/>
        <v/>
      </c>
      <c r="JA132" s="705" t="str">
        <f t="shared" si="984"/>
        <v/>
      </c>
    </row>
    <row r="133" spans="1:261" ht="15" customHeight="1" x14ac:dyDescent="0.25">
      <c r="A133" s="75" t="str">
        <f t="shared" si="899"/>
        <v/>
      </c>
      <c r="B133" s="585" t="str">
        <f t="shared" ref="B133:D133" si="1208">IFERROR(O288+($A133*-E133),"")</f>
        <v/>
      </c>
      <c r="C133" s="582" t="str">
        <f t="shared" si="1208"/>
        <v/>
      </c>
      <c r="D133" s="583" t="str">
        <f t="shared" si="1208"/>
        <v/>
      </c>
      <c r="E133" s="588" t="str">
        <f t="shared" ref="E133:K133" si="1209">R288</f>
        <v/>
      </c>
      <c r="F133" s="582" t="str">
        <f t="shared" si="1209"/>
        <v/>
      </c>
      <c r="G133" s="586" t="str">
        <f t="shared" si="1209"/>
        <v/>
      </c>
      <c r="H133" s="588" t="str">
        <f t="shared" si="1209"/>
        <v/>
      </c>
      <c r="I133" s="582" t="str">
        <f t="shared" si="1209"/>
        <v/>
      </c>
      <c r="J133" s="491" t="str">
        <f t="shared" si="711"/>
        <v/>
      </c>
      <c r="K133" s="807" t="str">
        <f t="shared" si="1209"/>
        <v/>
      </c>
      <c r="L133" s="309"/>
      <c r="M133" s="492" t="str">
        <f t="shared" si="902"/>
        <v/>
      </c>
      <c r="N133" s="581" t="str">
        <f t="shared" si="903"/>
        <v/>
      </c>
      <c r="O133" s="582" t="str">
        <f t="shared" si="904"/>
        <v/>
      </c>
      <c r="P133" s="583" t="str">
        <f t="shared" si="905"/>
        <v/>
      </c>
      <c r="Q133" s="536" t="str">
        <f t="shared" si="1061"/>
        <v/>
      </c>
      <c r="R133" s="582" t="str">
        <f t="shared" si="1062"/>
        <v/>
      </c>
      <c r="S133" s="584" t="str">
        <f t="shared" si="1063"/>
        <v/>
      </c>
      <c r="T133" s="585" t="str">
        <f t="shared" si="1064"/>
        <v/>
      </c>
      <c r="U133" s="582" t="str">
        <f t="shared" si="1065"/>
        <v/>
      </c>
      <c r="V133" s="586" t="str">
        <f t="shared" si="1066"/>
        <v/>
      </c>
      <c r="W133" s="536" t="str">
        <f t="shared" si="1067"/>
        <v/>
      </c>
      <c r="X133" s="582" t="str">
        <f t="shared" si="1068"/>
        <v/>
      </c>
      <c r="Y133" s="587" t="str">
        <f t="shared" si="1069"/>
        <v/>
      </c>
      <c r="Z133" s="581" t="str">
        <f t="shared" si="906"/>
        <v/>
      </c>
      <c r="AA133" s="582" t="str">
        <f t="shared" si="907"/>
        <v/>
      </c>
      <c r="AB133" s="582" t="str">
        <f t="shared" si="908"/>
        <v/>
      </c>
      <c r="AC133" s="586" t="str">
        <f t="shared" si="1070"/>
        <v/>
      </c>
      <c r="AD133" s="588" t="str">
        <f t="shared" si="1071"/>
        <v/>
      </c>
      <c r="AE133" s="582" t="str">
        <f t="shared" si="1072"/>
        <v/>
      </c>
      <c r="AF133" s="583" t="str">
        <f t="shared" si="1073"/>
        <v/>
      </c>
      <c r="AG133" s="547" t="str">
        <f t="shared" si="1074"/>
        <v/>
      </c>
      <c r="AH133" s="548" t="str">
        <f t="shared" si="1075"/>
        <v/>
      </c>
      <c r="AI133" s="536" t="str">
        <f t="shared" si="1076"/>
        <v/>
      </c>
      <c r="AJ133" s="537" t="str">
        <f t="shared" si="1077"/>
        <v/>
      </c>
      <c r="AK133" s="585" t="str">
        <f t="shared" si="1078"/>
        <v/>
      </c>
      <c r="AL133" s="582" t="str">
        <f t="shared" si="1079"/>
        <v/>
      </c>
      <c r="AM133" s="584" t="str">
        <f t="shared" si="1080"/>
        <v/>
      </c>
      <c r="AN133" s="534" t="str">
        <f t="shared" si="1081"/>
        <v/>
      </c>
      <c r="AO133" s="535" t="str">
        <f t="shared" si="1040"/>
        <v/>
      </c>
      <c r="AP133" s="536" t="str">
        <f t="shared" si="1082"/>
        <v/>
      </c>
      <c r="AQ133" s="537" t="str">
        <f t="shared" si="909"/>
        <v/>
      </c>
      <c r="AS133" s="901" t="str">
        <f t="shared" si="1011"/>
        <v/>
      </c>
      <c r="AT133" s="897" t="str">
        <f t="shared" si="910"/>
        <v/>
      </c>
      <c r="AU133" s="418"/>
      <c r="AV133" s="164" t="str">
        <f t="shared" si="911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083"/>
        <v/>
      </c>
      <c r="BA133" s="505" t="str">
        <f t="shared" si="1084"/>
        <v/>
      </c>
      <c r="BB133" s="506" t="str">
        <f t="shared" si="713"/>
        <v/>
      </c>
      <c r="BC133" s="496"/>
      <c r="BD133" s="494" t="str">
        <f t="shared" si="1085"/>
        <v/>
      </c>
      <c r="BE133" s="497" t="str">
        <f t="shared" si="913"/>
        <v/>
      </c>
      <c r="BF133" s="498" t="str">
        <f t="shared" si="914"/>
        <v/>
      </c>
      <c r="BG133" s="494" t="str">
        <f t="shared" si="915"/>
        <v/>
      </c>
      <c r="BH133" s="495" t="str">
        <f t="shared" si="916"/>
        <v/>
      </c>
      <c r="BI133" s="496" t="str">
        <f t="shared" si="1086"/>
        <v/>
      </c>
      <c r="BJ133" s="494" t="str">
        <f t="shared" si="917"/>
        <v/>
      </c>
      <c r="BK133" s="499" t="str">
        <f t="shared" si="918"/>
        <v/>
      </c>
      <c r="BL133" s="502" t="str">
        <f t="shared" si="919"/>
        <v/>
      </c>
      <c r="BM133" s="494" t="str">
        <f t="shared" si="920"/>
        <v/>
      </c>
      <c r="BN133" s="497" t="str">
        <f t="shared" si="921"/>
        <v/>
      </c>
      <c r="BO133" s="498" t="str">
        <f t="shared" si="1087"/>
        <v/>
      </c>
      <c r="BP133" s="494" t="str">
        <f t="shared" si="1088"/>
        <v/>
      </c>
      <c r="BQ133" s="494" t="str">
        <f t="shared" si="1089"/>
        <v/>
      </c>
      <c r="BR133" s="497" t="str">
        <f t="shared" si="1090"/>
        <v/>
      </c>
      <c r="BS133" s="498" t="str">
        <f t="shared" si="1006"/>
        <v/>
      </c>
      <c r="BT133" s="494" t="str">
        <f t="shared" si="1006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1"/>
        <v/>
      </c>
      <c r="CC133" s="494" t="str">
        <f t="shared" si="1092"/>
        <v/>
      </c>
      <c r="CD133" s="494" t="str">
        <f t="shared" si="1093"/>
        <v/>
      </c>
      <c r="CE133" s="497" t="str">
        <f t="shared" si="1094"/>
        <v/>
      </c>
      <c r="CF133" s="498" t="str">
        <f t="shared" si="1095"/>
        <v/>
      </c>
      <c r="CG133" s="494" t="str">
        <f t="shared" si="1096"/>
        <v/>
      </c>
      <c r="CH133" s="494" t="str">
        <f t="shared" si="1097"/>
        <v/>
      </c>
      <c r="CI133" s="498" t="str">
        <f t="shared" si="723"/>
        <v/>
      </c>
      <c r="CJ133" s="494" t="str">
        <f t="shared" si="1098"/>
        <v/>
      </c>
      <c r="CK133" s="499" t="str">
        <f t="shared" si="1099"/>
        <v/>
      </c>
      <c r="CL133" s="502" t="str">
        <f t="shared" si="1100"/>
        <v/>
      </c>
      <c r="CM133" s="494" t="str">
        <f t="shared" si="1101"/>
        <v/>
      </c>
      <c r="CN133" s="497" t="str">
        <f t="shared" si="1102"/>
        <v/>
      </c>
      <c r="CO133" s="507" t="str">
        <f t="shared" si="922"/>
        <v/>
      </c>
      <c r="CP133" s="498" t="str">
        <f t="shared" si="1103"/>
        <v/>
      </c>
      <c r="CQ133" s="494" t="str">
        <f t="shared" si="1104"/>
        <v/>
      </c>
      <c r="CR133" s="494" t="str">
        <f t="shared" si="1105"/>
        <v/>
      </c>
      <c r="CS133" s="499" t="str">
        <f t="shared" si="1106"/>
        <v/>
      </c>
      <c r="CT133" s="496" t="str">
        <f t="shared" si="1107"/>
        <v/>
      </c>
      <c r="CU133" s="497" t="str">
        <f t="shared" si="1108"/>
        <v/>
      </c>
      <c r="CV133" s="498" t="str">
        <f t="shared" si="1109"/>
        <v/>
      </c>
      <c r="CW133" s="494" t="str">
        <f t="shared" si="1110"/>
        <v/>
      </c>
      <c r="CX133" s="499" t="str">
        <f t="shared" si="1111"/>
        <v/>
      </c>
      <c r="CY133" s="496" t="str">
        <f t="shared" si="1112"/>
        <v/>
      </c>
      <c r="CZ133" s="494" t="str">
        <f t="shared" si="1113"/>
        <v/>
      </c>
      <c r="DA133" s="497" t="str">
        <f t="shared" si="1114"/>
        <v/>
      </c>
      <c r="DB133" s="498" t="str">
        <f t="shared" si="1012"/>
        <v/>
      </c>
      <c r="DC133" s="494" t="str">
        <f t="shared" si="1012"/>
        <v/>
      </c>
      <c r="DD133" s="495" t="str">
        <f t="shared" si="764"/>
        <v/>
      </c>
      <c r="DE133" s="496" t="str">
        <f t="shared" si="1013"/>
        <v/>
      </c>
      <c r="DF133" s="494" t="str">
        <f t="shared" si="1013"/>
        <v/>
      </c>
      <c r="DG133" s="495" t="str">
        <f t="shared" si="766"/>
        <v/>
      </c>
      <c r="DH133" s="501" t="str">
        <f t="shared" si="1115"/>
        <v/>
      </c>
      <c r="DI133" s="498" t="str">
        <f t="shared" si="1116"/>
        <v/>
      </c>
      <c r="DJ133" s="494" t="str">
        <f t="shared" si="1117"/>
        <v/>
      </c>
      <c r="DK133" s="495" t="str">
        <f t="shared" si="1118"/>
        <v/>
      </c>
      <c r="DL133" s="496" t="str">
        <f t="shared" si="1119"/>
        <v/>
      </c>
      <c r="DM133" s="502" t="str">
        <f t="shared" si="1120"/>
        <v/>
      </c>
      <c r="DN133" s="508" t="str">
        <f t="shared" si="1121"/>
        <v/>
      </c>
      <c r="DO133" s="496" t="str">
        <f t="shared" si="1122"/>
        <v/>
      </c>
      <c r="DP133" s="502" t="str">
        <f t="shared" si="1123"/>
        <v/>
      </c>
      <c r="DQ133" s="503" t="str">
        <f t="shared" si="1124"/>
        <v/>
      </c>
      <c r="DR133" s="502" t="str">
        <f t="shared" si="1125"/>
        <v/>
      </c>
      <c r="DS133" s="494" t="str">
        <f t="shared" si="1126"/>
        <v/>
      </c>
      <c r="DT133" s="494" t="str">
        <f t="shared" si="1127"/>
        <v/>
      </c>
      <c r="DU133" s="494" t="str">
        <f t="shared" si="1128"/>
        <v/>
      </c>
      <c r="DV133" s="494" t="str">
        <f t="shared" si="1129"/>
        <v/>
      </c>
      <c r="DW133" s="494" t="str">
        <f t="shared" si="1130"/>
        <v/>
      </c>
      <c r="DX133" s="507" t="str">
        <f t="shared" si="1131"/>
        <v/>
      </c>
      <c r="DY133" s="496" t="str">
        <f t="shared" si="1132"/>
        <v/>
      </c>
      <c r="DZ133" s="494" t="str">
        <f t="shared" si="1133"/>
        <v/>
      </c>
      <c r="EA133" s="495" t="str">
        <f t="shared" si="1134"/>
        <v/>
      </c>
      <c r="EB133" s="497" t="str">
        <f t="shared" si="1135"/>
        <v/>
      </c>
      <c r="EC133" s="502" t="str">
        <f t="shared" si="1136"/>
        <v/>
      </c>
      <c r="ED133" s="494" t="str">
        <f t="shared" si="1137"/>
        <v/>
      </c>
      <c r="EE133" s="498" t="str">
        <f t="shared" si="1138"/>
        <v/>
      </c>
      <c r="EF133" s="494" t="str">
        <f t="shared" si="1139"/>
        <v/>
      </c>
      <c r="EG133" s="495" t="str">
        <f t="shared" si="1140"/>
        <v/>
      </c>
      <c r="EH133" s="496" t="str">
        <f t="shared" si="1141"/>
        <v/>
      </c>
      <c r="EI133" s="494" t="str">
        <f t="shared" si="1142"/>
        <v/>
      </c>
      <c r="EJ133" s="497" t="str">
        <f t="shared" si="1143"/>
        <v/>
      </c>
      <c r="EK133" s="509" t="str">
        <f t="shared" si="796"/>
        <v/>
      </c>
      <c r="EL133" s="510" t="str">
        <f t="shared" si="797"/>
        <v/>
      </c>
      <c r="EM133" s="498" t="str">
        <f t="shared" si="1144"/>
        <v/>
      </c>
      <c r="EN133" s="494" t="str">
        <f t="shared" si="1145"/>
        <v/>
      </c>
      <c r="EO133" s="495" t="str">
        <f t="shared" si="1146"/>
        <v/>
      </c>
      <c r="EP133" s="496" t="str">
        <f t="shared" si="1147"/>
        <v/>
      </c>
      <c r="EQ133" s="494" t="str">
        <f t="shared" si="1148"/>
        <v/>
      </c>
      <c r="ER133" s="500" t="str">
        <f t="shared" si="1149"/>
        <v/>
      </c>
      <c r="ES133" s="493" t="str">
        <f t="shared" si="923"/>
        <v/>
      </c>
      <c r="ET133" s="494" t="str">
        <f t="shared" si="924"/>
        <v/>
      </c>
      <c r="EU133" s="495" t="str">
        <f t="shared" si="925"/>
        <v/>
      </c>
      <c r="EV133" s="174" t="str">
        <f t="shared" si="1150"/>
        <v/>
      </c>
      <c r="EW133" s="496" t="str">
        <f t="shared" si="1151"/>
        <v/>
      </c>
      <c r="EX133" s="494" t="str">
        <f t="shared" si="1152"/>
        <v/>
      </c>
      <c r="EY133" s="497" t="str">
        <f t="shared" si="1153"/>
        <v/>
      </c>
      <c r="EZ133" s="504" t="str">
        <f t="shared" si="805"/>
        <v/>
      </c>
      <c r="FA133" s="502" t="str">
        <f t="shared" si="929"/>
        <v/>
      </c>
      <c r="FB133" s="494" t="str">
        <f t="shared" si="930"/>
        <v/>
      </c>
      <c r="FC133" s="497" t="str">
        <f t="shared" si="931"/>
        <v/>
      </c>
      <c r="FD133" s="498" t="str">
        <f t="shared" si="1154"/>
        <v/>
      </c>
      <c r="FE133" s="494" t="str">
        <f t="shared" si="1155"/>
        <v/>
      </c>
      <c r="FF133" s="500" t="str">
        <f t="shared" si="1156"/>
        <v/>
      </c>
      <c r="FG133" s="173" t="str">
        <f t="shared" si="1157"/>
        <v/>
      </c>
      <c r="FH133" s="5" t="str">
        <f t="shared" si="1158"/>
        <v/>
      </c>
      <c r="FI133" s="10" t="str">
        <f t="shared" si="1159"/>
        <v/>
      </c>
      <c r="FJ133" s="279" t="str">
        <f t="shared" si="1160"/>
        <v/>
      </c>
      <c r="FK133" s="4" t="str">
        <f t="shared" si="1161"/>
        <v/>
      </c>
      <c r="FL133" s="5" t="str">
        <f t="shared" si="1162"/>
        <v/>
      </c>
      <c r="FM133" s="8" t="str">
        <f t="shared" si="1163"/>
        <v/>
      </c>
      <c r="FN133" s="9" t="str">
        <f t="shared" si="1164"/>
        <v/>
      </c>
      <c r="FO133" s="10" t="str">
        <f t="shared" si="1165"/>
        <v/>
      </c>
      <c r="FP133" s="277" t="str">
        <f t="shared" si="1166"/>
        <v/>
      </c>
      <c r="FQ133" s="173" t="str">
        <f t="shared" si="1167"/>
        <v/>
      </c>
      <c r="FR133" s="10" t="str">
        <f t="shared" si="1168"/>
        <v/>
      </c>
      <c r="FS133" s="9" t="str">
        <f t="shared" si="1169"/>
        <v/>
      </c>
      <c r="FT133" s="6" t="str">
        <f t="shared" si="1170"/>
        <v/>
      </c>
      <c r="FU133" s="4" t="str">
        <f t="shared" si="1171"/>
        <v/>
      </c>
      <c r="FV133" s="5" t="str">
        <f t="shared" si="1172"/>
        <v/>
      </c>
      <c r="FW133" s="8" t="str">
        <f t="shared" si="1173"/>
        <v/>
      </c>
      <c r="FX133" s="9" t="str">
        <f t="shared" si="1174"/>
        <v/>
      </c>
      <c r="FY133" s="10" t="str">
        <f t="shared" si="1175"/>
        <v/>
      </c>
      <c r="FZ133" s="277" t="str">
        <f t="shared" si="1176"/>
        <v/>
      </c>
      <c r="GA133" s="177" t="str">
        <f t="shared" si="1177"/>
        <v/>
      </c>
      <c r="GB133" s="4" t="str">
        <f t="shared" si="1178"/>
        <v/>
      </c>
      <c r="GC133" s="5" t="str">
        <f t="shared" si="1179"/>
        <v/>
      </c>
      <c r="GD133" s="10" t="str">
        <f t="shared" si="1180"/>
        <v/>
      </c>
      <c r="GE133" s="311" t="str">
        <f t="shared" si="1181"/>
        <v/>
      </c>
      <c r="GF133" s="341" t="str">
        <f t="shared" si="1182"/>
        <v/>
      </c>
      <c r="GG133" s="306" t="str">
        <f t="shared" si="1183"/>
        <v/>
      </c>
      <c r="GH133" s="307" t="str">
        <f t="shared" si="1184"/>
        <v/>
      </c>
      <c r="GI133" s="308" t="str">
        <f t="shared" si="1185"/>
        <v/>
      </c>
      <c r="GJ133" s="167" t="str">
        <f t="shared" si="1186"/>
        <v/>
      </c>
      <c r="GK133" s="174" t="str">
        <f t="shared" si="943"/>
        <v/>
      </c>
      <c r="GL133" s="174" t="str">
        <f t="shared" si="1187"/>
        <v/>
      </c>
      <c r="GM133" s="177" t="str">
        <f t="shared" si="1188"/>
        <v/>
      </c>
      <c r="GN133" s="280" t="str">
        <f t="shared" si="1189"/>
        <v/>
      </c>
      <c r="GO133" s="4" t="str">
        <f t="shared" si="1190"/>
        <v/>
      </c>
      <c r="GP133" s="8" t="str">
        <f t="shared" si="1191"/>
        <v/>
      </c>
      <c r="GQ133" s="177" t="str">
        <f t="shared" si="1192"/>
        <v/>
      </c>
      <c r="GR133" s="371" t="str">
        <f t="shared" si="1193"/>
        <v/>
      </c>
      <c r="GS133" s="342" t="str">
        <f t="shared" si="1194"/>
        <v/>
      </c>
      <c r="GT133" s="343" t="str">
        <f t="shared" si="1195"/>
        <v/>
      </c>
      <c r="GU133" s="344" t="str">
        <f t="shared" si="946"/>
        <v/>
      </c>
      <c r="GV133" s="343" t="str">
        <f t="shared" si="1196"/>
        <v/>
      </c>
      <c r="GW133" s="345" t="str">
        <f t="shared" si="947"/>
        <v/>
      </c>
      <c r="GX133" s="346" t="str">
        <f t="shared" si="948"/>
        <v/>
      </c>
      <c r="GY133" s="344" t="str">
        <f t="shared" si="1197"/>
        <v/>
      </c>
      <c r="GZ133" s="345" t="str">
        <f t="shared" si="1198"/>
        <v/>
      </c>
      <c r="HA133" s="342" t="str">
        <f t="shared" si="951"/>
        <v/>
      </c>
      <c r="HB133" s="5" t="str">
        <f t="shared" si="832"/>
        <v/>
      </c>
      <c r="HC133" s="343" t="str">
        <f t="shared" si="1199"/>
        <v/>
      </c>
      <c r="HD133" s="363" t="str">
        <f t="shared" si="1200"/>
        <v/>
      </c>
      <c r="HE133" s="344" t="str">
        <f t="shared" si="952"/>
        <v/>
      </c>
      <c r="HF133" s="5" t="str">
        <f t="shared" si="953"/>
        <v/>
      </c>
      <c r="HG133" s="343" t="str">
        <f t="shared" si="1201"/>
        <v/>
      </c>
      <c r="HH133" s="349" t="str">
        <f t="shared" si="1202"/>
        <v/>
      </c>
      <c r="HI133" s="317" t="str">
        <f t="shared" si="954"/>
        <v/>
      </c>
      <c r="HK133" s="310" t="str">
        <f t="shared" si="1007"/>
        <v/>
      </c>
      <c r="HL133" s="348" t="str">
        <f t="shared" si="955"/>
        <v/>
      </c>
      <c r="HM133" s="935" t="str">
        <f t="shared" si="956"/>
        <v/>
      </c>
      <c r="HN133" s="936" t="str">
        <f t="shared" si="957"/>
        <v/>
      </c>
      <c r="HO133" s="937"/>
      <c r="HP133" s="938"/>
      <c r="HQ133" s="936" t="str">
        <f t="shared" si="958"/>
        <v/>
      </c>
      <c r="HR133" s="939" t="str">
        <f t="shared" si="959"/>
        <v/>
      </c>
      <c r="HS133" s="940" t="str">
        <f t="shared" si="1203"/>
        <v/>
      </c>
      <c r="HT133" s="941" t="str">
        <f t="shared" si="960"/>
        <v/>
      </c>
      <c r="HU133" s="942" t="str">
        <f t="shared" si="961"/>
        <v/>
      </c>
      <c r="HV133" s="943" t="str">
        <f t="shared" si="962"/>
        <v/>
      </c>
      <c r="HW133" s="944" t="str">
        <f t="shared" si="963"/>
        <v/>
      </c>
      <c r="HX133" s="947" t="str">
        <f t="shared" si="964"/>
        <v/>
      </c>
      <c r="HY133" s="952" t="str">
        <f t="shared" si="965"/>
        <v/>
      </c>
      <c r="HZ133" s="953" t="str">
        <f t="shared" si="966"/>
        <v/>
      </c>
      <c r="IA133" s="954" t="str">
        <f t="shared" si="967"/>
        <v/>
      </c>
      <c r="IB133" s="955" t="str">
        <f t="shared" si="968"/>
        <v/>
      </c>
      <c r="IC133" s="842" t="str">
        <f t="shared" si="969"/>
        <v/>
      </c>
      <c r="ID133" s="351" t="str">
        <f t="shared" si="970"/>
        <v/>
      </c>
      <c r="IE133" s="844" t="str">
        <f t="shared" si="971"/>
        <v/>
      </c>
      <c r="IF133" s="845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37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72"/>
        <v/>
      </c>
      <c r="IM133" s="482" t="str">
        <f t="shared" si="838"/>
        <v/>
      </c>
      <c r="IN133" s="670" t="str">
        <f t="shared" si="973"/>
        <v/>
      </c>
      <c r="IO133" s="702"/>
      <c r="IP133" s="5" t="str">
        <f t="shared" si="974"/>
        <v/>
      </c>
      <c r="IQ133" s="714"/>
      <c r="IR133" s="9" t="str">
        <f t="shared" si="975"/>
        <v/>
      </c>
      <c r="IS133" s="5" t="str">
        <f t="shared" si="976"/>
        <v/>
      </c>
      <c r="IT133" s="5" t="str">
        <f t="shared" si="977"/>
        <v/>
      </c>
      <c r="IU133" s="5" t="str">
        <f t="shared" si="978"/>
        <v/>
      </c>
      <c r="IV133" s="670" t="str">
        <f t="shared" si="979"/>
        <v/>
      </c>
      <c r="IW133" s="9" t="str">
        <f t="shared" si="980"/>
        <v/>
      </c>
      <c r="IX133" s="5" t="str">
        <f t="shared" si="981"/>
        <v/>
      </c>
      <c r="IY133" s="5" t="str">
        <f t="shared" si="982"/>
        <v/>
      </c>
      <c r="IZ133" s="5" t="str">
        <f t="shared" si="983"/>
        <v/>
      </c>
      <c r="JA133" s="705" t="str">
        <f t="shared" si="984"/>
        <v/>
      </c>
    </row>
    <row r="134" spans="1:261" ht="15" customHeight="1" x14ac:dyDescent="0.25">
      <c r="A134" s="75" t="str">
        <f t="shared" si="899"/>
        <v/>
      </c>
      <c r="B134" s="585" t="str">
        <f t="shared" ref="B134:D134" si="1210">IFERROR(O289+($A134*-E134),"")</f>
        <v/>
      </c>
      <c r="C134" s="582" t="str">
        <f t="shared" si="1210"/>
        <v/>
      </c>
      <c r="D134" s="583" t="str">
        <f t="shared" si="1210"/>
        <v/>
      </c>
      <c r="E134" s="588" t="str">
        <f t="shared" ref="E134:K134" si="1211">R289</f>
        <v/>
      </c>
      <c r="F134" s="582" t="str">
        <f t="shared" si="1211"/>
        <v/>
      </c>
      <c r="G134" s="586" t="str">
        <f t="shared" si="1211"/>
        <v/>
      </c>
      <c r="H134" s="588" t="str">
        <f t="shared" si="1211"/>
        <v/>
      </c>
      <c r="I134" s="582" t="str">
        <f t="shared" si="1211"/>
        <v/>
      </c>
      <c r="J134" s="491" t="str">
        <f t="shared" si="711"/>
        <v/>
      </c>
      <c r="K134" s="807" t="str">
        <f t="shared" si="1211"/>
        <v/>
      </c>
      <c r="L134" s="309"/>
      <c r="M134" s="492" t="str">
        <f t="shared" si="902"/>
        <v/>
      </c>
      <c r="N134" s="581" t="str">
        <f t="shared" si="903"/>
        <v/>
      </c>
      <c r="O134" s="582" t="str">
        <f t="shared" si="904"/>
        <v/>
      </c>
      <c r="P134" s="583" t="str">
        <f t="shared" si="905"/>
        <v/>
      </c>
      <c r="Q134" s="536" t="str">
        <f t="shared" si="1061"/>
        <v/>
      </c>
      <c r="R134" s="582" t="str">
        <f t="shared" si="1062"/>
        <v/>
      </c>
      <c r="S134" s="584" t="str">
        <f t="shared" si="1063"/>
        <v/>
      </c>
      <c r="T134" s="585" t="str">
        <f t="shared" si="1064"/>
        <v/>
      </c>
      <c r="U134" s="582" t="str">
        <f t="shared" si="1065"/>
        <v/>
      </c>
      <c r="V134" s="586" t="str">
        <f t="shared" si="1066"/>
        <v/>
      </c>
      <c r="W134" s="536" t="str">
        <f t="shared" si="1067"/>
        <v/>
      </c>
      <c r="X134" s="582" t="str">
        <f t="shared" si="1068"/>
        <v/>
      </c>
      <c r="Y134" s="587" t="str">
        <f t="shared" si="1069"/>
        <v/>
      </c>
      <c r="Z134" s="581" t="str">
        <f t="shared" si="906"/>
        <v/>
      </c>
      <c r="AA134" s="582" t="str">
        <f t="shared" si="907"/>
        <v/>
      </c>
      <c r="AB134" s="582" t="str">
        <f t="shared" si="908"/>
        <v/>
      </c>
      <c r="AC134" s="586" t="str">
        <f t="shared" si="1070"/>
        <v/>
      </c>
      <c r="AD134" s="588" t="str">
        <f t="shared" si="1071"/>
        <v/>
      </c>
      <c r="AE134" s="582" t="str">
        <f t="shared" si="1072"/>
        <v/>
      </c>
      <c r="AF134" s="583" t="str">
        <f t="shared" si="1073"/>
        <v/>
      </c>
      <c r="AG134" s="547" t="str">
        <f t="shared" si="1074"/>
        <v/>
      </c>
      <c r="AH134" s="548" t="str">
        <f t="shared" si="1075"/>
        <v/>
      </c>
      <c r="AI134" s="536" t="str">
        <f t="shared" si="1076"/>
        <v/>
      </c>
      <c r="AJ134" s="537" t="str">
        <f t="shared" si="1077"/>
        <v/>
      </c>
      <c r="AK134" s="585" t="str">
        <f t="shared" si="1078"/>
        <v/>
      </c>
      <c r="AL134" s="582" t="str">
        <f t="shared" si="1079"/>
        <v/>
      </c>
      <c r="AM134" s="584" t="str">
        <f t="shared" si="1080"/>
        <v/>
      </c>
      <c r="AN134" s="534" t="str">
        <f t="shared" si="1081"/>
        <v/>
      </c>
      <c r="AO134" s="535" t="str">
        <f t="shared" si="1040"/>
        <v/>
      </c>
      <c r="AP134" s="536" t="str">
        <f t="shared" si="1082"/>
        <v/>
      </c>
      <c r="AQ134" s="537" t="str">
        <f t="shared" si="909"/>
        <v/>
      </c>
      <c r="AS134" s="901" t="str">
        <f t="shared" si="1011"/>
        <v/>
      </c>
      <c r="AT134" s="897" t="str">
        <f t="shared" si="910"/>
        <v/>
      </c>
      <c r="AU134" s="418"/>
      <c r="AV134" s="164" t="str">
        <f t="shared" si="911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083"/>
        <v/>
      </c>
      <c r="BA134" s="505" t="str">
        <f t="shared" si="1084"/>
        <v/>
      </c>
      <c r="BB134" s="506" t="str">
        <f t="shared" si="713"/>
        <v/>
      </c>
      <c r="BC134" s="496"/>
      <c r="BD134" s="494" t="str">
        <f t="shared" si="1085"/>
        <v/>
      </c>
      <c r="BE134" s="497" t="str">
        <f t="shared" si="913"/>
        <v/>
      </c>
      <c r="BF134" s="498" t="str">
        <f t="shared" si="914"/>
        <v/>
      </c>
      <c r="BG134" s="494" t="str">
        <f t="shared" si="915"/>
        <v/>
      </c>
      <c r="BH134" s="495" t="str">
        <f t="shared" si="916"/>
        <v/>
      </c>
      <c r="BI134" s="496" t="str">
        <f t="shared" si="1086"/>
        <v/>
      </c>
      <c r="BJ134" s="494" t="str">
        <f t="shared" si="917"/>
        <v/>
      </c>
      <c r="BK134" s="499" t="str">
        <f t="shared" si="918"/>
        <v/>
      </c>
      <c r="BL134" s="502" t="str">
        <f t="shared" si="919"/>
        <v/>
      </c>
      <c r="BM134" s="494" t="str">
        <f t="shared" si="920"/>
        <v/>
      </c>
      <c r="BN134" s="497" t="str">
        <f t="shared" si="921"/>
        <v/>
      </c>
      <c r="BO134" s="498" t="str">
        <f t="shared" si="1087"/>
        <v/>
      </c>
      <c r="BP134" s="494" t="str">
        <f t="shared" si="1088"/>
        <v/>
      </c>
      <c r="BQ134" s="494" t="str">
        <f t="shared" si="1089"/>
        <v/>
      </c>
      <c r="BR134" s="497" t="str">
        <f t="shared" si="1090"/>
        <v/>
      </c>
      <c r="BS134" s="498" t="str">
        <f t="shared" si="1006"/>
        <v/>
      </c>
      <c r="BT134" s="494" t="str">
        <f t="shared" si="1006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1"/>
        <v/>
      </c>
      <c r="CC134" s="494" t="str">
        <f t="shared" si="1092"/>
        <v/>
      </c>
      <c r="CD134" s="494" t="str">
        <f t="shared" si="1093"/>
        <v/>
      </c>
      <c r="CE134" s="497" t="str">
        <f t="shared" si="1094"/>
        <v/>
      </c>
      <c r="CF134" s="498" t="str">
        <f t="shared" si="1095"/>
        <v/>
      </c>
      <c r="CG134" s="494" t="str">
        <f t="shared" si="1096"/>
        <v/>
      </c>
      <c r="CH134" s="494" t="str">
        <f t="shared" si="1097"/>
        <v/>
      </c>
      <c r="CI134" s="498" t="str">
        <f t="shared" si="723"/>
        <v/>
      </c>
      <c r="CJ134" s="494" t="str">
        <f t="shared" si="1098"/>
        <v/>
      </c>
      <c r="CK134" s="499" t="str">
        <f t="shared" si="1099"/>
        <v/>
      </c>
      <c r="CL134" s="502" t="str">
        <f t="shared" si="1100"/>
        <v/>
      </c>
      <c r="CM134" s="494" t="str">
        <f t="shared" si="1101"/>
        <v/>
      </c>
      <c r="CN134" s="497" t="str">
        <f t="shared" si="1102"/>
        <v/>
      </c>
      <c r="CO134" s="507" t="str">
        <f t="shared" si="922"/>
        <v/>
      </c>
      <c r="CP134" s="498" t="str">
        <f t="shared" si="1103"/>
        <v/>
      </c>
      <c r="CQ134" s="494" t="str">
        <f t="shared" si="1104"/>
        <v/>
      </c>
      <c r="CR134" s="494" t="str">
        <f t="shared" si="1105"/>
        <v/>
      </c>
      <c r="CS134" s="499" t="str">
        <f t="shared" si="1106"/>
        <v/>
      </c>
      <c r="CT134" s="496" t="str">
        <f t="shared" si="1107"/>
        <v/>
      </c>
      <c r="CU134" s="497" t="str">
        <f t="shared" si="1108"/>
        <v/>
      </c>
      <c r="CV134" s="498" t="str">
        <f t="shared" si="1109"/>
        <v/>
      </c>
      <c r="CW134" s="494" t="str">
        <f t="shared" si="1110"/>
        <v/>
      </c>
      <c r="CX134" s="499" t="str">
        <f t="shared" si="1111"/>
        <v/>
      </c>
      <c r="CY134" s="496" t="str">
        <f t="shared" si="1112"/>
        <v/>
      </c>
      <c r="CZ134" s="494" t="str">
        <f t="shared" si="1113"/>
        <v/>
      </c>
      <c r="DA134" s="497" t="str">
        <f t="shared" si="1114"/>
        <v/>
      </c>
      <c r="DB134" s="498" t="str">
        <f t="shared" si="1012"/>
        <v/>
      </c>
      <c r="DC134" s="494" t="str">
        <f t="shared" si="1012"/>
        <v/>
      </c>
      <c r="DD134" s="495" t="str">
        <f t="shared" si="764"/>
        <v/>
      </c>
      <c r="DE134" s="496" t="str">
        <f t="shared" si="1013"/>
        <v/>
      </c>
      <c r="DF134" s="494" t="str">
        <f t="shared" si="1013"/>
        <v/>
      </c>
      <c r="DG134" s="495" t="str">
        <f t="shared" si="766"/>
        <v/>
      </c>
      <c r="DH134" s="501" t="str">
        <f t="shared" si="1115"/>
        <v/>
      </c>
      <c r="DI134" s="498" t="str">
        <f t="shared" si="1116"/>
        <v/>
      </c>
      <c r="DJ134" s="494" t="str">
        <f t="shared" si="1117"/>
        <v/>
      </c>
      <c r="DK134" s="495" t="str">
        <f t="shared" si="1118"/>
        <v/>
      </c>
      <c r="DL134" s="496" t="str">
        <f t="shared" si="1119"/>
        <v/>
      </c>
      <c r="DM134" s="502" t="str">
        <f t="shared" si="1120"/>
        <v/>
      </c>
      <c r="DN134" s="508" t="str">
        <f t="shared" si="1121"/>
        <v/>
      </c>
      <c r="DO134" s="496" t="str">
        <f t="shared" si="1122"/>
        <v/>
      </c>
      <c r="DP134" s="502" t="str">
        <f t="shared" si="1123"/>
        <v/>
      </c>
      <c r="DQ134" s="503" t="str">
        <f t="shared" si="1124"/>
        <v/>
      </c>
      <c r="DR134" s="502" t="str">
        <f t="shared" si="1125"/>
        <v/>
      </c>
      <c r="DS134" s="494" t="str">
        <f t="shared" si="1126"/>
        <v/>
      </c>
      <c r="DT134" s="494" t="str">
        <f t="shared" si="1127"/>
        <v/>
      </c>
      <c r="DU134" s="494" t="str">
        <f t="shared" si="1128"/>
        <v/>
      </c>
      <c r="DV134" s="494" t="str">
        <f t="shared" si="1129"/>
        <v/>
      </c>
      <c r="DW134" s="494" t="str">
        <f t="shared" si="1130"/>
        <v/>
      </c>
      <c r="DX134" s="507" t="str">
        <f t="shared" si="1131"/>
        <v/>
      </c>
      <c r="DY134" s="496" t="str">
        <f t="shared" si="1132"/>
        <v/>
      </c>
      <c r="DZ134" s="494" t="str">
        <f t="shared" si="1133"/>
        <v/>
      </c>
      <c r="EA134" s="495" t="str">
        <f t="shared" si="1134"/>
        <v/>
      </c>
      <c r="EB134" s="497" t="str">
        <f t="shared" si="1135"/>
        <v/>
      </c>
      <c r="EC134" s="502" t="str">
        <f t="shared" si="1136"/>
        <v/>
      </c>
      <c r="ED134" s="494" t="str">
        <f t="shared" si="1137"/>
        <v/>
      </c>
      <c r="EE134" s="498" t="str">
        <f t="shared" si="1138"/>
        <v/>
      </c>
      <c r="EF134" s="494" t="str">
        <f t="shared" si="1139"/>
        <v/>
      </c>
      <c r="EG134" s="495" t="str">
        <f t="shared" si="1140"/>
        <v/>
      </c>
      <c r="EH134" s="496" t="str">
        <f t="shared" si="1141"/>
        <v/>
      </c>
      <c r="EI134" s="494" t="str">
        <f t="shared" si="1142"/>
        <v/>
      </c>
      <c r="EJ134" s="497" t="str">
        <f t="shared" si="1143"/>
        <v/>
      </c>
      <c r="EK134" s="509" t="str">
        <f t="shared" si="796"/>
        <v/>
      </c>
      <c r="EL134" s="510" t="str">
        <f t="shared" si="797"/>
        <v/>
      </c>
      <c r="EM134" s="498" t="str">
        <f t="shared" si="1144"/>
        <v/>
      </c>
      <c r="EN134" s="494" t="str">
        <f t="shared" si="1145"/>
        <v/>
      </c>
      <c r="EO134" s="495" t="str">
        <f t="shared" si="1146"/>
        <v/>
      </c>
      <c r="EP134" s="496" t="str">
        <f t="shared" si="1147"/>
        <v/>
      </c>
      <c r="EQ134" s="494" t="str">
        <f t="shared" si="1148"/>
        <v/>
      </c>
      <c r="ER134" s="500" t="str">
        <f t="shared" si="1149"/>
        <v/>
      </c>
      <c r="ES134" s="493" t="str">
        <f t="shared" si="923"/>
        <v/>
      </c>
      <c r="ET134" s="494" t="str">
        <f t="shared" si="924"/>
        <v/>
      </c>
      <c r="EU134" s="495" t="str">
        <f t="shared" si="925"/>
        <v/>
      </c>
      <c r="EV134" s="174" t="str">
        <f t="shared" si="1150"/>
        <v/>
      </c>
      <c r="EW134" s="496" t="str">
        <f t="shared" si="1151"/>
        <v/>
      </c>
      <c r="EX134" s="494" t="str">
        <f t="shared" si="1152"/>
        <v/>
      </c>
      <c r="EY134" s="497" t="str">
        <f t="shared" si="1153"/>
        <v/>
      </c>
      <c r="EZ134" s="504" t="str">
        <f t="shared" si="805"/>
        <v/>
      </c>
      <c r="FA134" s="502" t="str">
        <f t="shared" si="929"/>
        <v/>
      </c>
      <c r="FB134" s="494" t="str">
        <f t="shared" si="930"/>
        <v/>
      </c>
      <c r="FC134" s="497" t="str">
        <f t="shared" si="931"/>
        <v/>
      </c>
      <c r="FD134" s="498" t="str">
        <f t="shared" si="1154"/>
        <v/>
      </c>
      <c r="FE134" s="494" t="str">
        <f t="shared" si="1155"/>
        <v/>
      </c>
      <c r="FF134" s="500" t="str">
        <f t="shared" si="1156"/>
        <v/>
      </c>
      <c r="FG134" s="173" t="str">
        <f t="shared" si="1157"/>
        <v/>
      </c>
      <c r="FH134" s="5" t="str">
        <f t="shared" si="1158"/>
        <v/>
      </c>
      <c r="FI134" s="10" t="str">
        <f t="shared" si="1159"/>
        <v/>
      </c>
      <c r="FJ134" s="279" t="str">
        <f t="shared" si="1160"/>
        <v/>
      </c>
      <c r="FK134" s="4" t="str">
        <f t="shared" si="1161"/>
        <v/>
      </c>
      <c r="FL134" s="5" t="str">
        <f t="shared" si="1162"/>
        <v/>
      </c>
      <c r="FM134" s="8" t="str">
        <f t="shared" si="1163"/>
        <v/>
      </c>
      <c r="FN134" s="9" t="str">
        <f t="shared" si="1164"/>
        <v/>
      </c>
      <c r="FO134" s="10" t="str">
        <f t="shared" si="1165"/>
        <v/>
      </c>
      <c r="FP134" s="277" t="str">
        <f t="shared" si="1166"/>
        <v/>
      </c>
      <c r="FQ134" s="173" t="str">
        <f t="shared" si="1167"/>
        <v/>
      </c>
      <c r="FR134" s="10" t="str">
        <f t="shared" si="1168"/>
        <v/>
      </c>
      <c r="FS134" s="9" t="str">
        <f t="shared" si="1169"/>
        <v/>
      </c>
      <c r="FT134" s="6" t="str">
        <f t="shared" si="1170"/>
        <v/>
      </c>
      <c r="FU134" s="4" t="str">
        <f t="shared" si="1171"/>
        <v/>
      </c>
      <c r="FV134" s="5" t="str">
        <f t="shared" si="1172"/>
        <v/>
      </c>
      <c r="FW134" s="8" t="str">
        <f t="shared" si="1173"/>
        <v/>
      </c>
      <c r="FX134" s="9" t="str">
        <f t="shared" si="1174"/>
        <v/>
      </c>
      <c r="FY134" s="10" t="str">
        <f t="shared" si="1175"/>
        <v/>
      </c>
      <c r="FZ134" s="277" t="str">
        <f t="shared" si="1176"/>
        <v/>
      </c>
      <c r="GA134" s="177" t="str">
        <f t="shared" si="1177"/>
        <v/>
      </c>
      <c r="GB134" s="4" t="str">
        <f t="shared" si="1178"/>
        <v/>
      </c>
      <c r="GC134" s="5" t="str">
        <f t="shared" si="1179"/>
        <v/>
      </c>
      <c r="GD134" s="10" t="str">
        <f t="shared" si="1180"/>
        <v/>
      </c>
      <c r="GE134" s="311" t="str">
        <f t="shared" si="1181"/>
        <v/>
      </c>
      <c r="GF134" s="341" t="str">
        <f t="shared" si="1182"/>
        <v/>
      </c>
      <c r="GG134" s="306" t="str">
        <f t="shared" si="1183"/>
        <v/>
      </c>
      <c r="GH134" s="307" t="str">
        <f t="shared" si="1184"/>
        <v/>
      </c>
      <c r="GI134" s="308" t="str">
        <f t="shared" si="1185"/>
        <v/>
      </c>
      <c r="GJ134" s="167" t="str">
        <f t="shared" si="1186"/>
        <v/>
      </c>
      <c r="GK134" s="174" t="str">
        <f t="shared" si="943"/>
        <v/>
      </c>
      <c r="GL134" s="174" t="str">
        <f t="shared" si="1187"/>
        <v/>
      </c>
      <c r="GM134" s="177" t="str">
        <f t="shared" si="1188"/>
        <v/>
      </c>
      <c r="GN134" s="280" t="str">
        <f t="shared" si="1189"/>
        <v/>
      </c>
      <c r="GO134" s="4" t="str">
        <f t="shared" si="1190"/>
        <v/>
      </c>
      <c r="GP134" s="8" t="str">
        <f t="shared" si="1191"/>
        <v/>
      </c>
      <c r="GQ134" s="177" t="str">
        <f t="shared" si="1192"/>
        <v/>
      </c>
      <c r="GR134" s="371" t="str">
        <f t="shared" si="1193"/>
        <v/>
      </c>
      <c r="GS134" s="342" t="str">
        <f t="shared" si="1194"/>
        <v/>
      </c>
      <c r="GT134" s="343" t="str">
        <f t="shared" si="1195"/>
        <v/>
      </c>
      <c r="GU134" s="344" t="str">
        <f t="shared" si="946"/>
        <v/>
      </c>
      <c r="GV134" s="343" t="str">
        <f t="shared" si="1196"/>
        <v/>
      </c>
      <c r="GW134" s="345" t="str">
        <f t="shared" si="947"/>
        <v/>
      </c>
      <c r="GX134" s="346" t="str">
        <f t="shared" si="948"/>
        <v/>
      </c>
      <c r="GY134" s="344" t="str">
        <f t="shared" si="1197"/>
        <v/>
      </c>
      <c r="GZ134" s="345" t="str">
        <f t="shared" si="1198"/>
        <v/>
      </c>
      <c r="HA134" s="342" t="str">
        <f t="shared" si="951"/>
        <v/>
      </c>
      <c r="HB134" s="5" t="str">
        <f t="shared" si="832"/>
        <v/>
      </c>
      <c r="HC134" s="343" t="str">
        <f t="shared" si="1199"/>
        <v/>
      </c>
      <c r="HD134" s="363" t="str">
        <f t="shared" si="1200"/>
        <v/>
      </c>
      <c r="HE134" s="344" t="str">
        <f t="shared" si="952"/>
        <v/>
      </c>
      <c r="HF134" s="5" t="str">
        <f t="shared" si="953"/>
        <v/>
      </c>
      <c r="HG134" s="343" t="str">
        <f t="shared" si="1201"/>
        <v/>
      </c>
      <c r="HH134" s="349" t="str">
        <f t="shared" si="1202"/>
        <v/>
      </c>
      <c r="HI134" s="317" t="str">
        <f t="shared" si="954"/>
        <v/>
      </c>
      <c r="HK134" s="310" t="str">
        <f t="shared" si="1007"/>
        <v/>
      </c>
      <c r="HL134" s="348" t="str">
        <f t="shared" si="955"/>
        <v/>
      </c>
      <c r="HM134" s="935" t="str">
        <f t="shared" si="956"/>
        <v/>
      </c>
      <c r="HN134" s="936" t="str">
        <f t="shared" si="957"/>
        <v/>
      </c>
      <c r="HO134" s="937"/>
      <c r="HP134" s="938"/>
      <c r="HQ134" s="936" t="str">
        <f t="shared" si="958"/>
        <v/>
      </c>
      <c r="HR134" s="939" t="str">
        <f t="shared" si="959"/>
        <v/>
      </c>
      <c r="HS134" s="940" t="str">
        <f t="shared" si="1203"/>
        <v/>
      </c>
      <c r="HT134" s="941" t="str">
        <f t="shared" si="960"/>
        <v/>
      </c>
      <c r="HU134" s="942" t="str">
        <f t="shared" si="961"/>
        <v/>
      </c>
      <c r="HV134" s="943" t="str">
        <f t="shared" si="962"/>
        <v/>
      </c>
      <c r="HW134" s="944" t="str">
        <f t="shared" si="963"/>
        <v/>
      </c>
      <c r="HX134" s="947" t="str">
        <f t="shared" si="964"/>
        <v/>
      </c>
      <c r="HY134" s="952" t="str">
        <f t="shared" si="965"/>
        <v/>
      </c>
      <c r="HZ134" s="953" t="str">
        <f t="shared" si="966"/>
        <v/>
      </c>
      <c r="IA134" s="954" t="str">
        <f t="shared" si="967"/>
        <v/>
      </c>
      <c r="IB134" s="955" t="str">
        <f t="shared" si="968"/>
        <v/>
      </c>
      <c r="IC134" s="842" t="str">
        <f t="shared" si="969"/>
        <v/>
      </c>
      <c r="ID134" s="351" t="str">
        <f t="shared" si="970"/>
        <v/>
      </c>
      <c r="IE134" s="844" t="str">
        <f t="shared" si="971"/>
        <v/>
      </c>
      <c r="IF134" s="845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37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72"/>
        <v/>
      </c>
      <c r="IM134" s="482" t="str">
        <f t="shared" si="838"/>
        <v/>
      </c>
      <c r="IN134" s="670" t="str">
        <f t="shared" si="973"/>
        <v/>
      </c>
      <c r="IO134" s="702"/>
      <c r="IP134" s="5" t="str">
        <f t="shared" si="974"/>
        <v/>
      </c>
      <c r="IQ134" s="714"/>
      <c r="IR134" s="9" t="str">
        <f t="shared" si="975"/>
        <v/>
      </c>
      <c r="IS134" s="5" t="str">
        <f t="shared" si="976"/>
        <v/>
      </c>
      <c r="IT134" s="5" t="str">
        <f t="shared" si="977"/>
        <v/>
      </c>
      <c r="IU134" s="5" t="str">
        <f t="shared" si="978"/>
        <v/>
      </c>
      <c r="IV134" s="670" t="str">
        <f t="shared" si="979"/>
        <v/>
      </c>
      <c r="IW134" s="9" t="str">
        <f t="shared" si="980"/>
        <v/>
      </c>
      <c r="IX134" s="5" t="str">
        <f t="shared" si="981"/>
        <v/>
      </c>
      <c r="IY134" s="5" t="str">
        <f t="shared" si="982"/>
        <v/>
      </c>
      <c r="IZ134" s="5" t="str">
        <f t="shared" si="983"/>
        <v/>
      </c>
      <c r="JA134" s="705" t="str">
        <f t="shared" si="984"/>
        <v/>
      </c>
    </row>
    <row r="135" spans="1:261" ht="15" customHeight="1" x14ac:dyDescent="0.25">
      <c r="A135" s="75" t="str">
        <f t="shared" si="899"/>
        <v/>
      </c>
      <c r="B135" s="585" t="str">
        <f t="shared" ref="B135:D135" si="1212">IFERROR(O290+($A135*-E135),"")</f>
        <v/>
      </c>
      <c r="C135" s="582" t="str">
        <f t="shared" si="1212"/>
        <v/>
      </c>
      <c r="D135" s="583" t="str">
        <f t="shared" si="1212"/>
        <v/>
      </c>
      <c r="E135" s="588" t="str">
        <f t="shared" ref="E135:K135" si="1213">R290</f>
        <v/>
      </c>
      <c r="F135" s="582" t="str">
        <f t="shared" si="1213"/>
        <v/>
      </c>
      <c r="G135" s="586" t="str">
        <f t="shared" si="1213"/>
        <v/>
      </c>
      <c r="H135" s="588" t="str">
        <f t="shared" si="1213"/>
        <v/>
      </c>
      <c r="I135" s="582" t="str">
        <f t="shared" si="1213"/>
        <v/>
      </c>
      <c r="J135" s="491" t="str">
        <f t="shared" si="711"/>
        <v/>
      </c>
      <c r="K135" s="807" t="str">
        <f t="shared" si="1213"/>
        <v/>
      </c>
      <c r="L135" s="309"/>
      <c r="M135" s="492" t="str">
        <f t="shared" si="902"/>
        <v/>
      </c>
      <c r="N135" s="581" t="str">
        <f t="shared" si="903"/>
        <v/>
      </c>
      <c r="O135" s="582" t="str">
        <f t="shared" si="904"/>
        <v/>
      </c>
      <c r="P135" s="583" t="str">
        <f t="shared" si="905"/>
        <v/>
      </c>
      <c r="Q135" s="536" t="str">
        <f t="shared" si="1061"/>
        <v/>
      </c>
      <c r="R135" s="582" t="str">
        <f t="shared" si="1062"/>
        <v/>
      </c>
      <c r="S135" s="584" t="str">
        <f t="shared" si="1063"/>
        <v/>
      </c>
      <c r="T135" s="585" t="str">
        <f t="shared" si="1064"/>
        <v/>
      </c>
      <c r="U135" s="582" t="str">
        <f t="shared" si="1065"/>
        <v/>
      </c>
      <c r="V135" s="586" t="str">
        <f t="shared" si="1066"/>
        <v/>
      </c>
      <c r="W135" s="536" t="str">
        <f t="shared" si="1067"/>
        <v/>
      </c>
      <c r="X135" s="582" t="str">
        <f t="shared" si="1068"/>
        <v/>
      </c>
      <c r="Y135" s="587" t="str">
        <f t="shared" si="1069"/>
        <v/>
      </c>
      <c r="Z135" s="581" t="str">
        <f t="shared" si="906"/>
        <v/>
      </c>
      <c r="AA135" s="582" t="str">
        <f t="shared" si="907"/>
        <v/>
      </c>
      <c r="AB135" s="582" t="str">
        <f t="shared" si="908"/>
        <v/>
      </c>
      <c r="AC135" s="586" t="str">
        <f t="shared" si="1070"/>
        <v/>
      </c>
      <c r="AD135" s="588" t="str">
        <f t="shared" si="1071"/>
        <v/>
      </c>
      <c r="AE135" s="582" t="str">
        <f t="shared" si="1072"/>
        <v/>
      </c>
      <c r="AF135" s="583" t="str">
        <f t="shared" si="1073"/>
        <v/>
      </c>
      <c r="AG135" s="547" t="str">
        <f t="shared" si="1074"/>
        <v/>
      </c>
      <c r="AH135" s="548" t="str">
        <f t="shared" si="1075"/>
        <v/>
      </c>
      <c r="AI135" s="536" t="str">
        <f t="shared" si="1076"/>
        <v/>
      </c>
      <c r="AJ135" s="537" t="str">
        <f t="shared" si="1077"/>
        <v/>
      </c>
      <c r="AK135" s="585" t="str">
        <f t="shared" si="1078"/>
        <v/>
      </c>
      <c r="AL135" s="582" t="str">
        <f t="shared" si="1079"/>
        <v/>
      </c>
      <c r="AM135" s="584" t="str">
        <f t="shared" si="1080"/>
        <v/>
      </c>
      <c r="AN135" s="534" t="str">
        <f t="shared" si="1081"/>
        <v/>
      </c>
      <c r="AO135" s="535" t="str">
        <f t="shared" si="1040"/>
        <v/>
      </c>
      <c r="AP135" s="536" t="str">
        <f t="shared" si="1082"/>
        <v/>
      </c>
      <c r="AQ135" s="537" t="str">
        <f t="shared" si="909"/>
        <v/>
      </c>
      <c r="AS135" s="901" t="str">
        <f t="shared" si="1011"/>
        <v/>
      </c>
      <c r="AT135" s="897" t="str">
        <f t="shared" si="910"/>
        <v/>
      </c>
      <c r="AU135" s="418"/>
      <c r="AV135" s="164" t="str">
        <f t="shared" si="911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083"/>
        <v/>
      </c>
      <c r="BA135" s="505" t="str">
        <f t="shared" si="1084"/>
        <v/>
      </c>
      <c r="BB135" s="506" t="str">
        <f t="shared" si="713"/>
        <v/>
      </c>
      <c r="BC135" s="496"/>
      <c r="BD135" s="494" t="str">
        <f t="shared" si="1085"/>
        <v/>
      </c>
      <c r="BE135" s="497" t="str">
        <f t="shared" si="913"/>
        <v/>
      </c>
      <c r="BF135" s="498" t="str">
        <f t="shared" si="914"/>
        <v/>
      </c>
      <c r="BG135" s="494" t="str">
        <f t="shared" si="915"/>
        <v/>
      </c>
      <c r="BH135" s="495" t="str">
        <f t="shared" si="916"/>
        <v/>
      </c>
      <c r="BI135" s="496" t="str">
        <f t="shared" si="1086"/>
        <v/>
      </c>
      <c r="BJ135" s="494" t="str">
        <f t="shared" si="917"/>
        <v/>
      </c>
      <c r="BK135" s="499" t="str">
        <f t="shared" si="918"/>
        <v/>
      </c>
      <c r="BL135" s="502" t="str">
        <f t="shared" si="919"/>
        <v/>
      </c>
      <c r="BM135" s="494" t="str">
        <f t="shared" si="920"/>
        <v/>
      </c>
      <c r="BN135" s="497" t="str">
        <f t="shared" si="921"/>
        <v/>
      </c>
      <c r="BO135" s="498" t="str">
        <f t="shared" si="1087"/>
        <v/>
      </c>
      <c r="BP135" s="494" t="str">
        <f t="shared" si="1088"/>
        <v/>
      </c>
      <c r="BQ135" s="494" t="str">
        <f t="shared" si="1089"/>
        <v/>
      </c>
      <c r="BR135" s="497" t="str">
        <f t="shared" si="1090"/>
        <v/>
      </c>
      <c r="BS135" s="498" t="str">
        <f t="shared" si="1006"/>
        <v/>
      </c>
      <c r="BT135" s="494" t="str">
        <f t="shared" si="1006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1"/>
        <v/>
      </c>
      <c r="CC135" s="494" t="str">
        <f t="shared" si="1092"/>
        <v/>
      </c>
      <c r="CD135" s="494" t="str">
        <f t="shared" si="1093"/>
        <v/>
      </c>
      <c r="CE135" s="497" t="str">
        <f t="shared" si="1094"/>
        <v/>
      </c>
      <c r="CF135" s="498" t="str">
        <f t="shared" si="1095"/>
        <v/>
      </c>
      <c r="CG135" s="494" t="str">
        <f t="shared" si="1096"/>
        <v/>
      </c>
      <c r="CH135" s="494" t="str">
        <f t="shared" si="1097"/>
        <v/>
      </c>
      <c r="CI135" s="498" t="str">
        <f t="shared" si="723"/>
        <v/>
      </c>
      <c r="CJ135" s="494" t="str">
        <f t="shared" si="1098"/>
        <v/>
      </c>
      <c r="CK135" s="499" t="str">
        <f t="shared" si="1099"/>
        <v/>
      </c>
      <c r="CL135" s="502" t="str">
        <f t="shared" si="1100"/>
        <v/>
      </c>
      <c r="CM135" s="494" t="str">
        <f t="shared" si="1101"/>
        <v/>
      </c>
      <c r="CN135" s="497" t="str">
        <f t="shared" si="1102"/>
        <v/>
      </c>
      <c r="CO135" s="507" t="str">
        <f t="shared" si="922"/>
        <v/>
      </c>
      <c r="CP135" s="498" t="str">
        <f t="shared" si="1103"/>
        <v/>
      </c>
      <c r="CQ135" s="494" t="str">
        <f t="shared" si="1104"/>
        <v/>
      </c>
      <c r="CR135" s="494" t="str">
        <f t="shared" si="1105"/>
        <v/>
      </c>
      <c r="CS135" s="499" t="str">
        <f t="shared" si="1106"/>
        <v/>
      </c>
      <c r="CT135" s="496" t="str">
        <f t="shared" si="1107"/>
        <v/>
      </c>
      <c r="CU135" s="497" t="str">
        <f t="shared" si="1108"/>
        <v/>
      </c>
      <c r="CV135" s="498" t="str">
        <f t="shared" si="1109"/>
        <v/>
      </c>
      <c r="CW135" s="494" t="str">
        <f t="shared" si="1110"/>
        <v/>
      </c>
      <c r="CX135" s="499" t="str">
        <f t="shared" si="1111"/>
        <v/>
      </c>
      <c r="CY135" s="496" t="str">
        <f t="shared" si="1112"/>
        <v/>
      </c>
      <c r="CZ135" s="494" t="str">
        <f t="shared" si="1113"/>
        <v/>
      </c>
      <c r="DA135" s="497" t="str">
        <f t="shared" si="1114"/>
        <v/>
      </c>
      <c r="DB135" s="498" t="str">
        <f t="shared" si="1012"/>
        <v/>
      </c>
      <c r="DC135" s="494" t="str">
        <f t="shared" si="1012"/>
        <v/>
      </c>
      <c r="DD135" s="495" t="str">
        <f t="shared" si="764"/>
        <v/>
      </c>
      <c r="DE135" s="496" t="str">
        <f t="shared" si="1013"/>
        <v/>
      </c>
      <c r="DF135" s="494" t="str">
        <f t="shared" si="1013"/>
        <v/>
      </c>
      <c r="DG135" s="495" t="str">
        <f t="shared" si="766"/>
        <v/>
      </c>
      <c r="DH135" s="501" t="str">
        <f t="shared" si="1115"/>
        <v/>
      </c>
      <c r="DI135" s="498" t="str">
        <f t="shared" si="1116"/>
        <v/>
      </c>
      <c r="DJ135" s="494" t="str">
        <f t="shared" si="1117"/>
        <v/>
      </c>
      <c r="DK135" s="495" t="str">
        <f t="shared" si="1118"/>
        <v/>
      </c>
      <c r="DL135" s="496" t="str">
        <f t="shared" si="1119"/>
        <v/>
      </c>
      <c r="DM135" s="502" t="str">
        <f t="shared" si="1120"/>
        <v/>
      </c>
      <c r="DN135" s="508" t="str">
        <f t="shared" si="1121"/>
        <v/>
      </c>
      <c r="DO135" s="496" t="str">
        <f t="shared" si="1122"/>
        <v/>
      </c>
      <c r="DP135" s="502" t="str">
        <f t="shared" si="1123"/>
        <v/>
      </c>
      <c r="DQ135" s="503" t="str">
        <f t="shared" si="1124"/>
        <v/>
      </c>
      <c r="DR135" s="502" t="str">
        <f t="shared" si="1125"/>
        <v/>
      </c>
      <c r="DS135" s="494" t="str">
        <f t="shared" si="1126"/>
        <v/>
      </c>
      <c r="DT135" s="494" t="str">
        <f t="shared" si="1127"/>
        <v/>
      </c>
      <c r="DU135" s="494" t="str">
        <f t="shared" si="1128"/>
        <v/>
      </c>
      <c r="DV135" s="494" t="str">
        <f t="shared" si="1129"/>
        <v/>
      </c>
      <c r="DW135" s="494" t="str">
        <f t="shared" si="1130"/>
        <v/>
      </c>
      <c r="DX135" s="507" t="str">
        <f t="shared" si="1131"/>
        <v/>
      </c>
      <c r="DY135" s="496" t="str">
        <f t="shared" si="1132"/>
        <v/>
      </c>
      <c r="DZ135" s="494" t="str">
        <f t="shared" si="1133"/>
        <v/>
      </c>
      <c r="EA135" s="495" t="str">
        <f t="shared" si="1134"/>
        <v/>
      </c>
      <c r="EB135" s="497" t="str">
        <f t="shared" si="1135"/>
        <v/>
      </c>
      <c r="EC135" s="502" t="str">
        <f t="shared" si="1136"/>
        <v/>
      </c>
      <c r="ED135" s="494" t="str">
        <f t="shared" si="1137"/>
        <v/>
      </c>
      <c r="EE135" s="498" t="str">
        <f t="shared" si="1138"/>
        <v/>
      </c>
      <c r="EF135" s="494" t="str">
        <f t="shared" si="1139"/>
        <v/>
      </c>
      <c r="EG135" s="495" t="str">
        <f t="shared" si="1140"/>
        <v/>
      </c>
      <c r="EH135" s="496" t="str">
        <f t="shared" si="1141"/>
        <v/>
      </c>
      <c r="EI135" s="494" t="str">
        <f t="shared" si="1142"/>
        <v/>
      </c>
      <c r="EJ135" s="497" t="str">
        <f t="shared" si="1143"/>
        <v/>
      </c>
      <c r="EK135" s="509" t="str">
        <f t="shared" si="796"/>
        <v/>
      </c>
      <c r="EL135" s="510" t="str">
        <f t="shared" si="797"/>
        <v/>
      </c>
      <c r="EM135" s="498" t="str">
        <f t="shared" si="1144"/>
        <v/>
      </c>
      <c r="EN135" s="494" t="str">
        <f t="shared" si="1145"/>
        <v/>
      </c>
      <c r="EO135" s="495" t="str">
        <f t="shared" si="1146"/>
        <v/>
      </c>
      <c r="EP135" s="496" t="str">
        <f t="shared" si="1147"/>
        <v/>
      </c>
      <c r="EQ135" s="494" t="str">
        <f t="shared" si="1148"/>
        <v/>
      </c>
      <c r="ER135" s="500" t="str">
        <f t="shared" si="1149"/>
        <v/>
      </c>
      <c r="ES135" s="493" t="str">
        <f t="shared" si="923"/>
        <v/>
      </c>
      <c r="ET135" s="494" t="str">
        <f t="shared" si="924"/>
        <v/>
      </c>
      <c r="EU135" s="495" t="str">
        <f t="shared" si="925"/>
        <v/>
      </c>
      <c r="EV135" s="174" t="str">
        <f t="shared" si="1150"/>
        <v/>
      </c>
      <c r="EW135" s="496" t="str">
        <f t="shared" si="1151"/>
        <v/>
      </c>
      <c r="EX135" s="494" t="str">
        <f t="shared" si="1152"/>
        <v/>
      </c>
      <c r="EY135" s="497" t="str">
        <f t="shared" si="1153"/>
        <v/>
      </c>
      <c r="EZ135" s="504" t="str">
        <f t="shared" si="805"/>
        <v/>
      </c>
      <c r="FA135" s="502" t="str">
        <f t="shared" si="929"/>
        <v/>
      </c>
      <c r="FB135" s="494" t="str">
        <f t="shared" si="930"/>
        <v/>
      </c>
      <c r="FC135" s="497" t="str">
        <f t="shared" si="931"/>
        <v/>
      </c>
      <c r="FD135" s="498" t="str">
        <f t="shared" si="1154"/>
        <v/>
      </c>
      <c r="FE135" s="494" t="str">
        <f t="shared" si="1155"/>
        <v/>
      </c>
      <c r="FF135" s="500" t="str">
        <f t="shared" si="1156"/>
        <v/>
      </c>
      <c r="FG135" s="173" t="str">
        <f t="shared" si="1157"/>
        <v/>
      </c>
      <c r="FH135" s="5" t="str">
        <f t="shared" si="1158"/>
        <v/>
      </c>
      <c r="FI135" s="10" t="str">
        <f t="shared" si="1159"/>
        <v/>
      </c>
      <c r="FJ135" s="279" t="str">
        <f t="shared" si="1160"/>
        <v/>
      </c>
      <c r="FK135" s="4" t="str">
        <f t="shared" si="1161"/>
        <v/>
      </c>
      <c r="FL135" s="5" t="str">
        <f t="shared" si="1162"/>
        <v/>
      </c>
      <c r="FM135" s="8" t="str">
        <f t="shared" si="1163"/>
        <v/>
      </c>
      <c r="FN135" s="9" t="str">
        <f t="shared" si="1164"/>
        <v/>
      </c>
      <c r="FO135" s="10" t="str">
        <f t="shared" si="1165"/>
        <v/>
      </c>
      <c r="FP135" s="277" t="str">
        <f t="shared" si="1166"/>
        <v/>
      </c>
      <c r="FQ135" s="173" t="str">
        <f t="shared" si="1167"/>
        <v/>
      </c>
      <c r="FR135" s="10" t="str">
        <f t="shared" si="1168"/>
        <v/>
      </c>
      <c r="FS135" s="9" t="str">
        <f t="shared" si="1169"/>
        <v/>
      </c>
      <c r="FT135" s="6" t="str">
        <f t="shared" si="1170"/>
        <v/>
      </c>
      <c r="FU135" s="4" t="str">
        <f t="shared" si="1171"/>
        <v/>
      </c>
      <c r="FV135" s="5" t="str">
        <f t="shared" si="1172"/>
        <v/>
      </c>
      <c r="FW135" s="8" t="str">
        <f t="shared" si="1173"/>
        <v/>
      </c>
      <c r="FX135" s="9" t="str">
        <f t="shared" si="1174"/>
        <v/>
      </c>
      <c r="FY135" s="10" t="str">
        <f t="shared" si="1175"/>
        <v/>
      </c>
      <c r="FZ135" s="277" t="str">
        <f t="shared" si="1176"/>
        <v/>
      </c>
      <c r="GA135" s="177" t="str">
        <f t="shared" si="1177"/>
        <v/>
      </c>
      <c r="GB135" s="4" t="str">
        <f t="shared" si="1178"/>
        <v/>
      </c>
      <c r="GC135" s="5" t="str">
        <f t="shared" si="1179"/>
        <v/>
      </c>
      <c r="GD135" s="10" t="str">
        <f t="shared" si="1180"/>
        <v/>
      </c>
      <c r="GE135" s="311" t="str">
        <f t="shared" si="1181"/>
        <v/>
      </c>
      <c r="GF135" s="341" t="str">
        <f t="shared" si="1182"/>
        <v/>
      </c>
      <c r="GG135" s="306" t="str">
        <f t="shared" si="1183"/>
        <v/>
      </c>
      <c r="GH135" s="307" t="str">
        <f t="shared" si="1184"/>
        <v/>
      </c>
      <c r="GI135" s="308" t="str">
        <f t="shared" si="1185"/>
        <v/>
      </c>
      <c r="GJ135" s="167" t="str">
        <f t="shared" si="1186"/>
        <v/>
      </c>
      <c r="GK135" s="174" t="str">
        <f t="shared" si="943"/>
        <v/>
      </c>
      <c r="GL135" s="174" t="str">
        <f t="shared" si="1187"/>
        <v/>
      </c>
      <c r="GM135" s="177" t="str">
        <f t="shared" si="1188"/>
        <v/>
      </c>
      <c r="GN135" s="280" t="str">
        <f t="shared" si="1189"/>
        <v/>
      </c>
      <c r="GO135" s="4" t="str">
        <f t="shared" si="1190"/>
        <v/>
      </c>
      <c r="GP135" s="8" t="str">
        <f t="shared" si="1191"/>
        <v/>
      </c>
      <c r="GQ135" s="177" t="str">
        <f t="shared" si="1192"/>
        <v/>
      </c>
      <c r="GR135" s="371" t="str">
        <f t="shared" si="1193"/>
        <v/>
      </c>
      <c r="GS135" s="342" t="str">
        <f t="shared" si="1194"/>
        <v/>
      </c>
      <c r="GT135" s="343" t="str">
        <f t="shared" si="1195"/>
        <v/>
      </c>
      <c r="GU135" s="344" t="str">
        <f t="shared" si="946"/>
        <v/>
      </c>
      <c r="GV135" s="343" t="str">
        <f t="shared" si="1196"/>
        <v/>
      </c>
      <c r="GW135" s="345" t="str">
        <f t="shared" si="947"/>
        <v/>
      </c>
      <c r="GX135" s="346" t="str">
        <f t="shared" si="948"/>
        <v/>
      </c>
      <c r="GY135" s="344" t="str">
        <f t="shared" si="1197"/>
        <v/>
      </c>
      <c r="GZ135" s="345" t="str">
        <f t="shared" si="1198"/>
        <v/>
      </c>
      <c r="HA135" s="342" t="str">
        <f t="shared" si="951"/>
        <v/>
      </c>
      <c r="HB135" s="5" t="str">
        <f t="shared" si="832"/>
        <v/>
      </c>
      <c r="HC135" s="343" t="str">
        <f t="shared" si="1199"/>
        <v/>
      </c>
      <c r="HD135" s="363" t="str">
        <f t="shared" si="1200"/>
        <v/>
      </c>
      <c r="HE135" s="344" t="str">
        <f t="shared" si="952"/>
        <v/>
      </c>
      <c r="HF135" s="5" t="str">
        <f t="shared" si="953"/>
        <v/>
      </c>
      <c r="HG135" s="343" t="str">
        <f t="shared" si="1201"/>
        <v/>
      </c>
      <c r="HH135" s="349" t="str">
        <f t="shared" si="1202"/>
        <v/>
      </c>
      <c r="HI135" s="317" t="str">
        <f t="shared" si="954"/>
        <v/>
      </c>
      <c r="HK135" s="310" t="str">
        <f t="shared" si="1007"/>
        <v/>
      </c>
      <c r="HL135" s="348" t="str">
        <f t="shared" si="955"/>
        <v/>
      </c>
      <c r="HM135" s="935" t="str">
        <f t="shared" si="956"/>
        <v/>
      </c>
      <c r="HN135" s="936" t="str">
        <f t="shared" si="957"/>
        <v/>
      </c>
      <c r="HO135" s="937"/>
      <c r="HP135" s="938"/>
      <c r="HQ135" s="936" t="str">
        <f t="shared" si="958"/>
        <v/>
      </c>
      <c r="HR135" s="939" t="str">
        <f t="shared" si="959"/>
        <v/>
      </c>
      <c r="HS135" s="940" t="str">
        <f t="shared" si="1203"/>
        <v/>
      </c>
      <c r="HT135" s="941" t="str">
        <f t="shared" si="960"/>
        <v/>
      </c>
      <c r="HU135" s="942" t="str">
        <f t="shared" si="961"/>
        <v/>
      </c>
      <c r="HV135" s="943" t="str">
        <f t="shared" si="962"/>
        <v/>
      </c>
      <c r="HW135" s="944" t="str">
        <f t="shared" si="963"/>
        <v/>
      </c>
      <c r="HX135" s="947" t="str">
        <f t="shared" si="964"/>
        <v/>
      </c>
      <c r="HY135" s="952" t="str">
        <f t="shared" si="965"/>
        <v/>
      </c>
      <c r="HZ135" s="953" t="str">
        <f t="shared" si="966"/>
        <v/>
      </c>
      <c r="IA135" s="954" t="str">
        <f t="shared" si="967"/>
        <v/>
      </c>
      <c r="IB135" s="955" t="str">
        <f t="shared" si="968"/>
        <v/>
      </c>
      <c r="IC135" s="842" t="str">
        <f t="shared" si="969"/>
        <v/>
      </c>
      <c r="ID135" s="351" t="str">
        <f t="shared" si="970"/>
        <v/>
      </c>
      <c r="IE135" s="844" t="str">
        <f t="shared" si="971"/>
        <v/>
      </c>
      <c r="IF135" s="845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37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72"/>
        <v/>
      </c>
      <c r="IM135" s="482" t="str">
        <f t="shared" si="838"/>
        <v/>
      </c>
      <c r="IN135" s="670" t="str">
        <f t="shared" si="973"/>
        <v/>
      </c>
      <c r="IO135" s="702"/>
      <c r="IP135" s="5" t="str">
        <f t="shared" si="974"/>
        <v/>
      </c>
      <c r="IQ135" s="714"/>
      <c r="IR135" s="9" t="str">
        <f t="shared" si="975"/>
        <v/>
      </c>
      <c r="IS135" s="5" t="str">
        <f t="shared" si="976"/>
        <v/>
      </c>
      <c r="IT135" s="5" t="str">
        <f t="shared" si="977"/>
        <v/>
      </c>
      <c r="IU135" s="5" t="str">
        <f t="shared" si="978"/>
        <v/>
      </c>
      <c r="IV135" s="670" t="str">
        <f t="shared" si="979"/>
        <v/>
      </c>
      <c r="IW135" s="9" t="str">
        <f t="shared" si="980"/>
        <v/>
      </c>
      <c r="IX135" s="5" t="str">
        <f t="shared" si="981"/>
        <v/>
      </c>
      <c r="IY135" s="5" t="str">
        <f t="shared" si="982"/>
        <v/>
      </c>
      <c r="IZ135" s="5" t="str">
        <f t="shared" si="983"/>
        <v/>
      </c>
      <c r="JA135" s="705" t="str">
        <f t="shared" si="984"/>
        <v/>
      </c>
    </row>
    <row r="136" spans="1:261" ht="15" customHeight="1" x14ac:dyDescent="0.25">
      <c r="A136" s="75" t="str">
        <f t="shared" si="899"/>
        <v/>
      </c>
      <c r="B136" s="585" t="str">
        <f t="shared" ref="B136:D136" si="1214">IFERROR(O291+($A136*-E136),"")</f>
        <v/>
      </c>
      <c r="C136" s="582" t="str">
        <f t="shared" si="1214"/>
        <v/>
      </c>
      <c r="D136" s="583" t="str">
        <f t="shared" si="1214"/>
        <v/>
      </c>
      <c r="E136" s="588" t="str">
        <f t="shared" ref="E136:K136" si="1215">R291</f>
        <v/>
      </c>
      <c r="F136" s="582" t="str">
        <f t="shared" si="1215"/>
        <v/>
      </c>
      <c r="G136" s="586" t="str">
        <f t="shared" si="1215"/>
        <v/>
      </c>
      <c r="H136" s="588" t="str">
        <f t="shared" si="1215"/>
        <v/>
      </c>
      <c r="I136" s="582" t="str">
        <f t="shared" si="1215"/>
        <v/>
      </c>
      <c r="J136" s="491" t="str">
        <f t="shared" si="711"/>
        <v/>
      </c>
      <c r="K136" s="807" t="str">
        <f t="shared" si="1215"/>
        <v/>
      </c>
      <c r="L136" s="309"/>
      <c r="M136" s="492" t="str">
        <f t="shared" si="902"/>
        <v/>
      </c>
      <c r="N136" s="581" t="str">
        <f t="shared" si="903"/>
        <v/>
      </c>
      <c r="O136" s="582" t="str">
        <f t="shared" si="904"/>
        <v/>
      </c>
      <c r="P136" s="583" t="str">
        <f t="shared" si="905"/>
        <v/>
      </c>
      <c r="Q136" s="536" t="str">
        <f t="shared" si="1061"/>
        <v/>
      </c>
      <c r="R136" s="582" t="str">
        <f t="shared" si="1062"/>
        <v/>
      </c>
      <c r="S136" s="584" t="str">
        <f t="shared" si="1063"/>
        <v/>
      </c>
      <c r="T136" s="585" t="str">
        <f t="shared" si="1064"/>
        <v/>
      </c>
      <c r="U136" s="582" t="str">
        <f t="shared" si="1065"/>
        <v/>
      </c>
      <c r="V136" s="586" t="str">
        <f t="shared" si="1066"/>
        <v/>
      </c>
      <c r="W136" s="536" t="str">
        <f t="shared" si="1067"/>
        <v/>
      </c>
      <c r="X136" s="582" t="str">
        <f t="shared" si="1068"/>
        <v/>
      </c>
      <c r="Y136" s="587" t="str">
        <f t="shared" si="1069"/>
        <v/>
      </c>
      <c r="Z136" s="581" t="str">
        <f t="shared" si="906"/>
        <v/>
      </c>
      <c r="AA136" s="582" t="str">
        <f t="shared" si="907"/>
        <v/>
      </c>
      <c r="AB136" s="582" t="str">
        <f t="shared" si="908"/>
        <v/>
      </c>
      <c r="AC136" s="586" t="str">
        <f t="shared" si="1070"/>
        <v/>
      </c>
      <c r="AD136" s="588" t="str">
        <f t="shared" si="1071"/>
        <v/>
      </c>
      <c r="AE136" s="582" t="str">
        <f t="shared" si="1072"/>
        <v/>
      </c>
      <c r="AF136" s="583" t="str">
        <f t="shared" si="1073"/>
        <v/>
      </c>
      <c r="AG136" s="547" t="str">
        <f t="shared" si="1074"/>
        <v/>
      </c>
      <c r="AH136" s="548" t="str">
        <f t="shared" si="1075"/>
        <v/>
      </c>
      <c r="AI136" s="536" t="str">
        <f t="shared" si="1076"/>
        <v/>
      </c>
      <c r="AJ136" s="537" t="str">
        <f t="shared" si="1077"/>
        <v/>
      </c>
      <c r="AK136" s="585" t="str">
        <f t="shared" si="1078"/>
        <v/>
      </c>
      <c r="AL136" s="582" t="str">
        <f t="shared" si="1079"/>
        <v/>
      </c>
      <c r="AM136" s="584" t="str">
        <f t="shared" si="1080"/>
        <v/>
      </c>
      <c r="AN136" s="534" t="str">
        <f t="shared" si="1081"/>
        <v/>
      </c>
      <c r="AO136" s="535" t="str">
        <f t="shared" si="1040"/>
        <v/>
      </c>
      <c r="AP136" s="536" t="str">
        <f t="shared" si="1082"/>
        <v/>
      </c>
      <c r="AQ136" s="537" t="str">
        <f t="shared" si="909"/>
        <v/>
      </c>
      <c r="AS136" s="901" t="str">
        <f t="shared" si="1011"/>
        <v/>
      </c>
      <c r="AT136" s="897" t="str">
        <f t="shared" si="910"/>
        <v/>
      </c>
      <c r="AU136" s="418"/>
      <c r="AV136" s="164" t="str">
        <f t="shared" si="911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083"/>
        <v/>
      </c>
      <c r="BA136" s="505" t="str">
        <f t="shared" si="1084"/>
        <v/>
      </c>
      <c r="BB136" s="506" t="str">
        <f t="shared" si="713"/>
        <v/>
      </c>
      <c r="BC136" s="496"/>
      <c r="BD136" s="494" t="str">
        <f t="shared" si="1085"/>
        <v/>
      </c>
      <c r="BE136" s="497" t="str">
        <f t="shared" si="913"/>
        <v/>
      </c>
      <c r="BF136" s="498" t="str">
        <f t="shared" si="914"/>
        <v/>
      </c>
      <c r="BG136" s="494" t="str">
        <f t="shared" si="915"/>
        <v/>
      </c>
      <c r="BH136" s="495" t="str">
        <f t="shared" si="916"/>
        <v/>
      </c>
      <c r="BI136" s="496" t="str">
        <f t="shared" si="1086"/>
        <v/>
      </c>
      <c r="BJ136" s="494" t="str">
        <f t="shared" si="917"/>
        <v/>
      </c>
      <c r="BK136" s="499" t="str">
        <f t="shared" si="918"/>
        <v/>
      </c>
      <c r="BL136" s="502" t="str">
        <f t="shared" si="919"/>
        <v/>
      </c>
      <c r="BM136" s="494" t="str">
        <f t="shared" si="920"/>
        <v/>
      </c>
      <c r="BN136" s="497" t="str">
        <f t="shared" si="921"/>
        <v/>
      </c>
      <c r="BO136" s="498" t="str">
        <f t="shared" si="1087"/>
        <v/>
      </c>
      <c r="BP136" s="494" t="str">
        <f t="shared" si="1088"/>
        <v/>
      </c>
      <c r="BQ136" s="494" t="str">
        <f t="shared" si="1089"/>
        <v/>
      </c>
      <c r="BR136" s="497" t="str">
        <f t="shared" si="1090"/>
        <v/>
      </c>
      <c r="BS136" s="498" t="str">
        <f t="shared" si="1006"/>
        <v/>
      </c>
      <c r="BT136" s="494" t="str">
        <f t="shared" si="1006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1"/>
        <v/>
      </c>
      <c r="CC136" s="494" t="str">
        <f t="shared" si="1092"/>
        <v/>
      </c>
      <c r="CD136" s="494" t="str">
        <f t="shared" si="1093"/>
        <v/>
      </c>
      <c r="CE136" s="497" t="str">
        <f t="shared" si="1094"/>
        <v/>
      </c>
      <c r="CF136" s="498" t="str">
        <f t="shared" si="1095"/>
        <v/>
      </c>
      <c r="CG136" s="494" t="str">
        <f t="shared" si="1096"/>
        <v/>
      </c>
      <c r="CH136" s="494" t="str">
        <f t="shared" si="1097"/>
        <v/>
      </c>
      <c r="CI136" s="498" t="str">
        <f t="shared" si="723"/>
        <v/>
      </c>
      <c r="CJ136" s="494" t="str">
        <f t="shared" si="1098"/>
        <v/>
      </c>
      <c r="CK136" s="499" t="str">
        <f t="shared" si="1099"/>
        <v/>
      </c>
      <c r="CL136" s="502" t="str">
        <f t="shared" si="1100"/>
        <v/>
      </c>
      <c r="CM136" s="494" t="str">
        <f t="shared" si="1101"/>
        <v/>
      </c>
      <c r="CN136" s="497" t="str">
        <f t="shared" si="1102"/>
        <v/>
      </c>
      <c r="CO136" s="507" t="str">
        <f t="shared" si="922"/>
        <v/>
      </c>
      <c r="CP136" s="498" t="str">
        <f t="shared" si="1103"/>
        <v/>
      </c>
      <c r="CQ136" s="494" t="str">
        <f t="shared" si="1104"/>
        <v/>
      </c>
      <c r="CR136" s="494" t="str">
        <f t="shared" si="1105"/>
        <v/>
      </c>
      <c r="CS136" s="499" t="str">
        <f t="shared" si="1106"/>
        <v/>
      </c>
      <c r="CT136" s="496" t="str">
        <f t="shared" si="1107"/>
        <v/>
      </c>
      <c r="CU136" s="497" t="str">
        <f t="shared" si="1108"/>
        <v/>
      </c>
      <c r="CV136" s="498" t="str">
        <f t="shared" si="1109"/>
        <v/>
      </c>
      <c r="CW136" s="494" t="str">
        <f t="shared" si="1110"/>
        <v/>
      </c>
      <c r="CX136" s="499" t="str">
        <f t="shared" si="1111"/>
        <v/>
      </c>
      <c r="CY136" s="496" t="str">
        <f t="shared" si="1112"/>
        <v/>
      </c>
      <c r="CZ136" s="494" t="str">
        <f t="shared" si="1113"/>
        <v/>
      </c>
      <c r="DA136" s="497" t="str">
        <f t="shared" si="1114"/>
        <v/>
      </c>
      <c r="DB136" s="498" t="str">
        <f t="shared" si="1012"/>
        <v/>
      </c>
      <c r="DC136" s="494" t="str">
        <f t="shared" si="1012"/>
        <v/>
      </c>
      <c r="DD136" s="495" t="str">
        <f t="shared" si="764"/>
        <v/>
      </c>
      <c r="DE136" s="496" t="str">
        <f t="shared" si="1013"/>
        <v/>
      </c>
      <c r="DF136" s="494" t="str">
        <f t="shared" si="1013"/>
        <v/>
      </c>
      <c r="DG136" s="495" t="str">
        <f t="shared" si="766"/>
        <v/>
      </c>
      <c r="DH136" s="501" t="str">
        <f t="shared" si="1115"/>
        <v/>
      </c>
      <c r="DI136" s="498" t="str">
        <f t="shared" si="1116"/>
        <v/>
      </c>
      <c r="DJ136" s="494" t="str">
        <f t="shared" si="1117"/>
        <v/>
      </c>
      <c r="DK136" s="495" t="str">
        <f t="shared" si="1118"/>
        <v/>
      </c>
      <c r="DL136" s="496" t="str">
        <f t="shared" si="1119"/>
        <v/>
      </c>
      <c r="DM136" s="502" t="str">
        <f t="shared" si="1120"/>
        <v/>
      </c>
      <c r="DN136" s="508" t="str">
        <f t="shared" si="1121"/>
        <v/>
      </c>
      <c r="DO136" s="496" t="str">
        <f t="shared" si="1122"/>
        <v/>
      </c>
      <c r="DP136" s="502" t="str">
        <f t="shared" si="1123"/>
        <v/>
      </c>
      <c r="DQ136" s="503" t="str">
        <f t="shared" si="1124"/>
        <v/>
      </c>
      <c r="DR136" s="502" t="str">
        <f t="shared" si="1125"/>
        <v/>
      </c>
      <c r="DS136" s="494" t="str">
        <f t="shared" si="1126"/>
        <v/>
      </c>
      <c r="DT136" s="494" t="str">
        <f t="shared" si="1127"/>
        <v/>
      </c>
      <c r="DU136" s="494" t="str">
        <f t="shared" si="1128"/>
        <v/>
      </c>
      <c r="DV136" s="494" t="str">
        <f t="shared" si="1129"/>
        <v/>
      </c>
      <c r="DW136" s="494" t="str">
        <f t="shared" si="1130"/>
        <v/>
      </c>
      <c r="DX136" s="507" t="str">
        <f t="shared" si="1131"/>
        <v/>
      </c>
      <c r="DY136" s="496" t="str">
        <f t="shared" si="1132"/>
        <v/>
      </c>
      <c r="DZ136" s="494" t="str">
        <f t="shared" si="1133"/>
        <v/>
      </c>
      <c r="EA136" s="495" t="str">
        <f t="shared" si="1134"/>
        <v/>
      </c>
      <c r="EB136" s="497" t="str">
        <f t="shared" si="1135"/>
        <v/>
      </c>
      <c r="EC136" s="502" t="str">
        <f t="shared" si="1136"/>
        <v/>
      </c>
      <c r="ED136" s="494" t="str">
        <f t="shared" si="1137"/>
        <v/>
      </c>
      <c r="EE136" s="498" t="str">
        <f t="shared" si="1138"/>
        <v/>
      </c>
      <c r="EF136" s="494" t="str">
        <f t="shared" si="1139"/>
        <v/>
      </c>
      <c r="EG136" s="495" t="str">
        <f t="shared" si="1140"/>
        <v/>
      </c>
      <c r="EH136" s="496" t="str">
        <f t="shared" si="1141"/>
        <v/>
      </c>
      <c r="EI136" s="494" t="str">
        <f t="shared" si="1142"/>
        <v/>
      </c>
      <c r="EJ136" s="497" t="str">
        <f t="shared" si="1143"/>
        <v/>
      </c>
      <c r="EK136" s="509" t="str">
        <f t="shared" si="796"/>
        <v/>
      </c>
      <c r="EL136" s="510" t="str">
        <f t="shared" si="797"/>
        <v/>
      </c>
      <c r="EM136" s="498" t="str">
        <f t="shared" si="1144"/>
        <v/>
      </c>
      <c r="EN136" s="494" t="str">
        <f t="shared" si="1145"/>
        <v/>
      </c>
      <c r="EO136" s="495" t="str">
        <f t="shared" si="1146"/>
        <v/>
      </c>
      <c r="EP136" s="496" t="str">
        <f t="shared" si="1147"/>
        <v/>
      </c>
      <c r="EQ136" s="494" t="str">
        <f t="shared" si="1148"/>
        <v/>
      </c>
      <c r="ER136" s="500" t="str">
        <f t="shared" si="1149"/>
        <v/>
      </c>
      <c r="ES136" s="493" t="str">
        <f t="shared" si="923"/>
        <v/>
      </c>
      <c r="ET136" s="494" t="str">
        <f t="shared" si="924"/>
        <v/>
      </c>
      <c r="EU136" s="495" t="str">
        <f t="shared" si="925"/>
        <v/>
      </c>
      <c r="EV136" s="174" t="str">
        <f t="shared" si="1150"/>
        <v/>
      </c>
      <c r="EW136" s="496" t="str">
        <f t="shared" si="1151"/>
        <v/>
      </c>
      <c r="EX136" s="494" t="str">
        <f t="shared" si="1152"/>
        <v/>
      </c>
      <c r="EY136" s="497" t="str">
        <f t="shared" si="1153"/>
        <v/>
      </c>
      <c r="EZ136" s="504" t="str">
        <f t="shared" si="805"/>
        <v/>
      </c>
      <c r="FA136" s="502" t="str">
        <f t="shared" si="929"/>
        <v/>
      </c>
      <c r="FB136" s="494" t="str">
        <f t="shared" si="930"/>
        <v/>
      </c>
      <c r="FC136" s="497" t="str">
        <f t="shared" si="931"/>
        <v/>
      </c>
      <c r="FD136" s="498" t="str">
        <f t="shared" si="1154"/>
        <v/>
      </c>
      <c r="FE136" s="494" t="str">
        <f t="shared" si="1155"/>
        <v/>
      </c>
      <c r="FF136" s="500" t="str">
        <f t="shared" si="1156"/>
        <v/>
      </c>
      <c r="FG136" s="173" t="str">
        <f t="shared" si="1157"/>
        <v/>
      </c>
      <c r="FH136" s="5" t="str">
        <f t="shared" si="1158"/>
        <v/>
      </c>
      <c r="FI136" s="10" t="str">
        <f t="shared" si="1159"/>
        <v/>
      </c>
      <c r="FJ136" s="279" t="str">
        <f t="shared" si="1160"/>
        <v/>
      </c>
      <c r="FK136" s="4" t="str">
        <f t="shared" si="1161"/>
        <v/>
      </c>
      <c r="FL136" s="5" t="str">
        <f t="shared" si="1162"/>
        <v/>
      </c>
      <c r="FM136" s="8" t="str">
        <f t="shared" si="1163"/>
        <v/>
      </c>
      <c r="FN136" s="9" t="str">
        <f t="shared" si="1164"/>
        <v/>
      </c>
      <c r="FO136" s="10" t="str">
        <f t="shared" si="1165"/>
        <v/>
      </c>
      <c r="FP136" s="277" t="str">
        <f t="shared" si="1166"/>
        <v/>
      </c>
      <c r="FQ136" s="173" t="str">
        <f t="shared" si="1167"/>
        <v/>
      </c>
      <c r="FR136" s="10" t="str">
        <f t="shared" si="1168"/>
        <v/>
      </c>
      <c r="FS136" s="9" t="str">
        <f t="shared" si="1169"/>
        <v/>
      </c>
      <c r="FT136" s="6" t="str">
        <f t="shared" si="1170"/>
        <v/>
      </c>
      <c r="FU136" s="4" t="str">
        <f t="shared" si="1171"/>
        <v/>
      </c>
      <c r="FV136" s="5" t="str">
        <f t="shared" si="1172"/>
        <v/>
      </c>
      <c r="FW136" s="8" t="str">
        <f t="shared" si="1173"/>
        <v/>
      </c>
      <c r="FX136" s="9" t="str">
        <f t="shared" si="1174"/>
        <v/>
      </c>
      <c r="FY136" s="10" t="str">
        <f t="shared" si="1175"/>
        <v/>
      </c>
      <c r="FZ136" s="277" t="str">
        <f t="shared" si="1176"/>
        <v/>
      </c>
      <c r="GA136" s="177" t="str">
        <f t="shared" si="1177"/>
        <v/>
      </c>
      <c r="GB136" s="4" t="str">
        <f t="shared" si="1178"/>
        <v/>
      </c>
      <c r="GC136" s="5" t="str">
        <f t="shared" si="1179"/>
        <v/>
      </c>
      <c r="GD136" s="10" t="str">
        <f t="shared" si="1180"/>
        <v/>
      </c>
      <c r="GE136" s="311" t="str">
        <f t="shared" si="1181"/>
        <v/>
      </c>
      <c r="GF136" s="341" t="str">
        <f t="shared" si="1182"/>
        <v/>
      </c>
      <c r="GG136" s="306" t="str">
        <f t="shared" si="1183"/>
        <v/>
      </c>
      <c r="GH136" s="307" t="str">
        <f t="shared" si="1184"/>
        <v/>
      </c>
      <c r="GI136" s="308" t="str">
        <f t="shared" si="1185"/>
        <v/>
      </c>
      <c r="GJ136" s="167" t="str">
        <f t="shared" si="1186"/>
        <v/>
      </c>
      <c r="GK136" s="174" t="str">
        <f t="shared" si="943"/>
        <v/>
      </c>
      <c r="GL136" s="174" t="str">
        <f t="shared" si="1187"/>
        <v/>
      </c>
      <c r="GM136" s="177" t="str">
        <f t="shared" si="1188"/>
        <v/>
      </c>
      <c r="GN136" s="280" t="str">
        <f t="shared" si="1189"/>
        <v/>
      </c>
      <c r="GO136" s="4" t="str">
        <f t="shared" si="1190"/>
        <v/>
      </c>
      <c r="GP136" s="8" t="str">
        <f t="shared" si="1191"/>
        <v/>
      </c>
      <c r="GQ136" s="177" t="str">
        <f t="shared" si="1192"/>
        <v/>
      </c>
      <c r="GR136" s="371" t="str">
        <f t="shared" si="1193"/>
        <v/>
      </c>
      <c r="GS136" s="342" t="str">
        <f t="shared" si="1194"/>
        <v/>
      </c>
      <c r="GT136" s="343" t="str">
        <f t="shared" si="1195"/>
        <v/>
      </c>
      <c r="GU136" s="344" t="str">
        <f t="shared" si="946"/>
        <v/>
      </c>
      <c r="GV136" s="343" t="str">
        <f t="shared" si="1196"/>
        <v/>
      </c>
      <c r="GW136" s="345" t="str">
        <f t="shared" si="947"/>
        <v/>
      </c>
      <c r="GX136" s="346" t="str">
        <f t="shared" si="948"/>
        <v/>
      </c>
      <c r="GY136" s="344" t="str">
        <f t="shared" si="1197"/>
        <v/>
      </c>
      <c r="GZ136" s="345" t="str">
        <f t="shared" si="1198"/>
        <v/>
      </c>
      <c r="HA136" s="342" t="str">
        <f t="shared" si="951"/>
        <v/>
      </c>
      <c r="HB136" s="5" t="str">
        <f t="shared" si="832"/>
        <v/>
      </c>
      <c r="HC136" s="343" t="str">
        <f t="shared" si="1199"/>
        <v/>
      </c>
      <c r="HD136" s="363" t="str">
        <f t="shared" si="1200"/>
        <v/>
      </c>
      <c r="HE136" s="344" t="str">
        <f t="shared" si="952"/>
        <v/>
      </c>
      <c r="HF136" s="5" t="str">
        <f t="shared" si="953"/>
        <v/>
      </c>
      <c r="HG136" s="343" t="str">
        <f t="shared" si="1201"/>
        <v/>
      </c>
      <c r="HH136" s="349" t="str">
        <f t="shared" si="1202"/>
        <v/>
      </c>
      <c r="HI136" s="317" t="str">
        <f t="shared" si="954"/>
        <v/>
      </c>
      <c r="HK136" s="310" t="str">
        <f t="shared" si="1007"/>
        <v/>
      </c>
      <c r="HL136" s="348" t="str">
        <f t="shared" si="955"/>
        <v/>
      </c>
      <c r="HM136" s="935" t="str">
        <f t="shared" si="956"/>
        <v/>
      </c>
      <c r="HN136" s="936" t="str">
        <f t="shared" si="957"/>
        <v/>
      </c>
      <c r="HO136" s="937"/>
      <c r="HP136" s="938"/>
      <c r="HQ136" s="936" t="str">
        <f t="shared" si="958"/>
        <v/>
      </c>
      <c r="HR136" s="939" t="str">
        <f t="shared" si="959"/>
        <v/>
      </c>
      <c r="HS136" s="940" t="str">
        <f t="shared" si="1203"/>
        <v/>
      </c>
      <c r="HT136" s="941" t="str">
        <f t="shared" si="960"/>
        <v/>
      </c>
      <c r="HU136" s="942" t="str">
        <f t="shared" si="961"/>
        <v/>
      </c>
      <c r="HV136" s="943" t="str">
        <f t="shared" si="962"/>
        <v/>
      </c>
      <c r="HW136" s="944" t="str">
        <f t="shared" si="963"/>
        <v/>
      </c>
      <c r="HX136" s="947" t="str">
        <f t="shared" si="964"/>
        <v/>
      </c>
      <c r="HY136" s="952" t="str">
        <f t="shared" si="965"/>
        <v/>
      </c>
      <c r="HZ136" s="953" t="str">
        <f t="shared" si="966"/>
        <v/>
      </c>
      <c r="IA136" s="954" t="str">
        <f t="shared" si="967"/>
        <v/>
      </c>
      <c r="IB136" s="955" t="str">
        <f t="shared" si="968"/>
        <v/>
      </c>
      <c r="IC136" s="842" t="str">
        <f t="shared" si="969"/>
        <v/>
      </c>
      <c r="ID136" s="351" t="str">
        <f t="shared" si="970"/>
        <v/>
      </c>
      <c r="IE136" s="844" t="str">
        <f t="shared" si="971"/>
        <v/>
      </c>
      <c r="IF136" s="845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37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72"/>
        <v/>
      </c>
      <c r="IM136" s="482" t="str">
        <f t="shared" si="838"/>
        <v/>
      </c>
      <c r="IN136" s="670" t="str">
        <f t="shared" si="973"/>
        <v/>
      </c>
      <c r="IO136" s="702"/>
      <c r="IP136" s="5" t="str">
        <f t="shared" si="974"/>
        <v/>
      </c>
      <c r="IQ136" s="714"/>
      <c r="IR136" s="9" t="str">
        <f t="shared" si="975"/>
        <v/>
      </c>
      <c r="IS136" s="5" t="str">
        <f t="shared" si="976"/>
        <v/>
      </c>
      <c r="IT136" s="5" t="str">
        <f t="shared" si="977"/>
        <v/>
      </c>
      <c r="IU136" s="5" t="str">
        <f t="shared" si="978"/>
        <v/>
      </c>
      <c r="IV136" s="670" t="str">
        <f t="shared" si="979"/>
        <v/>
      </c>
      <c r="IW136" s="9" t="str">
        <f t="shared" si="980"/>
        <v/>
      </c>
      <c r="IX136" s="5" t="str">
        <f t="shared" si="981"/>
        <v/>
      </c>
      <c r="IY136" s="5" t="str">
        <f t="shared" si="982"/>
        <v/>
      </c>
      <c r="IZ136" s="5" t="str">
        <f t="shared" si="983"/>
        <v/>
      </c>
      <c r="JA136" s="705" t="str">
        <f t="shared" si="984"/>
        <v/>
      </c>
    </row>
    <row r="137" spans="1:261" ht="15" customHeight="1" x14ac:dyDescent="0.25">
      <c r="A137" s="75" t="str">
        <f t="shared" ref="A137:A150" si="1216">IF($K137="","",IF(AND($A$8="Y",ISNUMBER($K137)),$A$5,0))</f>
        <v/>
      </c>
      <c r="B137" s="585" t="str">
        <f t="shared" ref="B137:D137" si="1217">IFERROR(O292+($A137*-E137),"")</f>
        <v/>
      </c>
      <c r="C137" s="582" t="str">
        <f t="shared" si="1217"/>
        <v/>
      </c>
      <c r="D137" s="583" t="str">
        <f t="shared" si="1217"/>
        <v/>
      </c>
      <c r="E137" s="588" t="str">
        <f t="shared" ref="E137:K137" si="1218">R292</f>
        <v/>
      </c>
      <c r="F137" s="582" t="str">
        <f t="shared" si="1218"/>
        <v/>
      </c>
      <c r="G137" s="586" t="str">
        <f t="shared" si="1218"/>
        <v/>
      </c>
      <c r="H137" s="588" t="str">
        <f t="shared" si="1218"/>
        <v/>
      </c>
      <c r="I137" s="582" t="str">
        <f t="shared" si="1218"/>
        <v/>
      </c>
      <c r="J137" s="491" t="str">
        <f t="shared" si="711"/>
        <v/>
      </c>
      <c r="K137" s="807" t="str">
        <f t="shared" si="1218"/>
        <v/>
      </c>
      <c r="L137" s="309"/>
      <c r="M137" s="492" t="str">
        <f t="shared" ref="M137:M150" si="1219">IF(J137="","",VALUE(J137))</f>
        <v/>
      </c>
      <c r="N137" s="581" t="str">
        <f t="shared" ref="N137:N150" si="1220">IF(M137="","",B137)</f>
        <v/>
      </c>
      <c r="O137" s="582" t="str">
        <f t="shared" ref="O137:O150" si="1221">IF(M137="","",C137)</f>
        <v/>
      </c>
      <c r="P137" s="583" t="str">
        <f t="shared" ref="P137:P150" si="1222">IF(M137="","",D137)</f>
        <v/>
      </c>
      <c r="Q137" s="536" t="str">
        <f t="shared" si="1061"/>
        <v/>
      </c>
      <c r="R137" s="582" t="str">
        <f t="shared" si="1062"/>
        <v/>
      </c>
      <c r="S137" s="584" t="str">
        <f t="shared" si="1063"/>
        <v/>
      </c>
      <c r="T137" s="585" t="str">
        <f t="shared" si="1064"/>
        <v/>
      </c>
      <c r="U137" s="582" t="str">
        <f t="shared" si="1065"/>
        <v/>
      </c>
      <c r="V137" s="586" t="str">
        <f t="shared" si="1066"/>
        <v/>
      </c>
      <c r="W137" s="536" t="str">
        <f t="shared" si="1067"/>
        <v/>
      </c>
      <c r="X137" s="582" t="str">
        <f t="shared" si="1068"/>
        <v/>
      </c>
      <c r="Y137" s="587" t="str">
        <f t="shared" si="1069"/>
        <v/>
      </c>
      <c r="Z137" s="581" t="str">
        <f t="shared" ref="Z137:Z150" si="1223">IF(M137="","",-E137)</f>
        <v/>
      </c>
      <c r="AA137" s="582" t="str">
        <f t="shared" ref="AA137:AA150" si="1224">IF(M137="","",-F137)</f>
        <v/>
      </c>
      <c r="AB137" s="582" t="str">
        <f t="shared" ref="AB137:AB150" si="1225">IF(M137="","",-G137)</f>
        <v/>
      </c>
      <c r="AC137" s="586" t="str">
        <f t="shared" si="1070"/>
        <v/>
      </c>
      <c r="AD137" s="588" t="str">
        <f t="shared" si="1071"/>
        <v/>
      </c>
      <c r="AE137" s="582" t="str">
        <f t="shared" si="1072"/>
        <v/>
      </c>
      <c r="AF137" s="583" t="str">
        <f t="shared" si="1073"/>
        <v/>
      </c>
      <c r="AG137" s="547" t="str">
        <f t="shared" si="1074"/>
        <v/>
      </c>
      <c r="AH137" s="548" t="str">
        <f t="shared" si="1075"/>
        <v/>
      </c>
      <c r="AI137" s="536" t="str">
        <f t="shared" si="1076"/>
        <v/>
      </c>
      <c r="AJ137" s="537" t="str">
        <f t="shared" si="1077"/>
        <v/>
      </c>
      <c r="AK137" s="585" t="str">
        <f t="shared" si="1078"/>
        <v/>
      </c>
      <c r="AL137" s="582" t="str">
        <f t="shared" si="1079"/>
        <v/>
      </c>
      <c r="AM137" s="584" t="str">
        <f t="shared" si="1080"/>
        <v/>
      </c>
      <c r="AN137" s="534" t="str">
        <f t="shared" si="1081"/>
        <v/>
      </c>
      <c r="AO137" s="535" t="str">
        <f t="shared" si="1040"/>
        <v/>
      </c>
      <c r="AP137" s="536" t="str">
        <f t="shared" si="1082"/>
        <v/>
      </c>
      <c r="AQ137" s="537" t="str">
        <f t="shared" ref="AQ137:AQ150" si="1226">IF(M137="","",DEGREES(ATAN(($AS$5*SIN(RADIANS(90)))/(($X137*2*PI())-($AS$5*COS(RADIANS(90)))))))</f>
        <v/>
      </c>
      <c r="AS137" s="901" t="str">
        <f t="shared" si="1011"/>
        <v/>
      </c>
      <c r="AT137" s="897" t="str">
        <f t="shared" ref="AT137:AT150" si="1227">IF(M137="","",Y137+(((AS137-$AS$9)*$AS$6)*-1))</f>
        <v/>
      </c>
      <c r="AU137" s="418"/>
      <c r="AV137" s="164" t="str">
        <f t="shared" ref="AV137:AV150" si="1228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083"/>
        <v/>
      </c>
      <c r="BA137" s="505" t="str">
        <f t="shared" si="1084"/>
        <v/>
      </c>
      <c r="BB137" s="506" t="str">
        <f t="shared" si="713"/>
        <v/>
      </c>
      <c r="BC137" s="496"/>
      <c r="BD137" s="494" t="str">
        <f t="shared" si="1085"/>
        <v/>
      </c>
      <c r="BE137" s="497" t="str">
        <f t="shared" ref="BE137:BE150" si="1229">IF(ISNUMBER(AV137),Y137+BB137,"")</f>
        <v/>
      </c>
      <c r="BF137" s="498" t="str">
        <f t="shared" ref="BF137:BF150" si="1230">IF(ISNUMBER($AV137),N137,"")</f>
        <v/>
      </c>
      <c r="BG137" s="494" t="str">
        <f t="shared" ref="BG137:BG150" si="1231">IF(ISNUMBER($AV137),O137,"")</f>
        <v/>
      </c>
      <c r="BH137" s="495" t="str">
        <f t="shared" ref="BH137:BH150" si="1232">IF(ISNUMBER($AV137),P137,"")</f>
        <v/>
      </c>
      <c r="BI137" s="496" t="str">
        <f t="shared" si="1086"/>
        <v/>
      </c>
      <c r="BJ137" s="494" t="str">
        <f t="shared" ref="BJ137:BJ150" si="1233">IF(ISNUMBER($AV137),BG137+COS(RADIANS($AG137)),"")</f>
        <v/>
      </c>
      <c r="BK137" s="499" t="str">
        <f t="shared" ref="BK137:BK150" si="1234">IF(ISNUMBER($AV137),BH137+SIN(RADIANS($AG137)),"")</f>
        <v/>
      </c>
      <c r="BL137" s="502" t="str">
        <f t="shared" ref="BL137:BL150" si="1235">IF(ISNUMBER($AV137),BF137+SIN(RADIANS($AH137)),"")</f>
        <v/>
      </c>
      <c r="BM137" s="494" t="str">
        <f t="shared" ref="BM137:BM150" si="1236">IF(ISNUMBER($AV137),BG137-SIN(RADIANS($AG137))*COS(RADIANS($AH137)),"")</f>
        <v/>
      </c>
      <c r="BN137" s="497" t="str">
        <f t="shared" ref="BN137:BN150" si="1237">IF(ISNUMBER($AV137),BH137+COS(RADIANS($AG137))*COS(RADIANS($AH137)),"")</f>
        <v/>
      </c>
      <c r="BO137" s="498" t="str">
        <f t="shared" si="1087"/>
        <v/>
      </c>
      <c r="BP137" s="494" t="str">
        <f t="shared" si="1088"/>
        <v/>
      </c>
      <c r="BQ137" s="494" t="str">
        <f t="shared" si="1089"/>
        <v/>
      </c>
      <c r="BR137" s="497" t="str">
        <f t="shared" si="1090"/>
        <v/>
      </c>
      <c r="BS137" s="498" t="str">
        <f t="shared" si="1006"/>
        <v/>
      </c>
      <c r="BT137" s="494" t="str">
        <f t="shared" si="1006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1"/>
        <v/>
      </c>
      <c r="CC137" s="494" t="str">
        <f t="shared" si="1092"/>
        <v/>
      </c>
      <c r="CD137" s="494" t="str">
        <f t="shared" si="1093"/>
        <v/>
      </c>
      <c r="CE137" s="497" t="str">
        <f t="shared" si="1094"/>
        <v/>
      </c>
      <c r="CF137" s="498" t="str">
        <f t="shared" si="1095"/>
        <v/>
      </c>
      <c r="CG137" s="494" t="str">
        <f t="shared" si="1096"/>
        <v/>
      </c>
      <c r="CH137" s="494" t="str">
        <f t="shared" si="1097"/>
        <v/>
      </c>
      <c r="CI137" s="498" t="str">
        <f t="shared" si="723"/>
        <v/>
      </c>
      <c r="CJ137" s="494" t="str">
        <f t="shared" si="1098"/>
        <v/>
      </c>
      <c r="CK137" s="499" t="str">
        <f t="shared" si="1099"/>
        <v/>
      </c>
      <c r="CL137" s="502" t="str">
        <f t="shared" si="1100"/>
        <v/>
      </c>
      <c r="CM137" s="494" t="str">
        <f t="shared" si="1101"/>
        <v/>
      </c>
      <c r="CN137" s="497" t="str">
        <f t="shared" si="1102"/>
        <v/>
      </c>
      <c r="CO137" s="507" t="str">
        <f t="shared" ref="CO137:CO150" si="1238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3"/>
        <v/>
      </c>
      <c r="CQ137" s="494" t="str">
        <f t="shared" si="1104"/>
        <v/>
      </c>
      <c r="CR137" s="494" t="str">
        <f t="shared" si="1105"/>
        <v/>
      </c>
      <c r="CS137" s="499" t="str">
        <f t="shared" si="1106"/>
        <v/>
      </c>
      <c r="CT137" s="496" t="str">
        <f t="shared" si="1107"/>
        <v/>
      </c>
      <c r="CU137" s="497" t="str">
        <f t="shared" si="1108"/>
        <v/>
      </c>
      <c r="CV137" s="498" t="str">
        <f t="shared" si="1109"/>
        <v/>
      </c>
      <c r="CW137" s="494" t="str">
        <f t="shared" si="1110"/>
        <v/>
      </c>
      <c r="CX137" s="499" t="str">
        <f t="shared" si="1111"/>
        <v/>
      </c>
      <c r="CY137" s="496" t="str">
        <f t="shared" si="1112"/>
        <v/>
      </c>
      <c r="CZ137" s="494" t="str">
        <f t="shared" si="1113"/>
        <v/>
      </c>
      <c r="DA137" s="497" t="str">
        <f t="shared" si="1114"/>
        <v/>
      </c>
      <c r="DB137" s="498" t="str">
        <f t="shared" si="1012"/>
        <v/>
      </c>
      <c r="DC137" s="494" t="str">
        <f t="shared" si="1012"/>
        <v/>
      </c>
      <c r="DD137" s="495" t="str">
        <f t="shared" si="764"/>
        <v/>
      </c>
      <c r="DE137" s="496" t="str">
        <f t="shared" si="1013"/>
        <v/>
      </c>
      <c r="DF137" s="494" t="str">
        <f t="shared" si="1013"/>
        <v/>
      </c>
      <c r="DG137" s="495" t="str">
        <f t="shared" si="766"/>
        <v/>
      </c>
      <c r="DH137" s="501" t="str">
        <f t="shared" si="1115"/>
        <v/>
      </c>
      <c r="DI137" s="498" t="str">
        <f t="shared" si="1116"/>
        <v/>
      </c>
      <c r="DJ137" s="494" t="str">
        <f t="shared" si="1117"/>
        <v/>
      </c>
      <c r="DK137" s="495" t="str">
        <f t="shared" si="1118"/>
        <v/>
      </c>
      <c r="DL137" s="496" t="str">
        <f t="shared" si="1119"/>
        <v/>
      </c>
      <c r="DM137" s="502" t="str">
        <f t="shared" si="1120"/>
        <v/>
      </c>
      <c r="DN137" s="508" t="str">
        <f t="shared" si="1121"/>
        <v/>
      </c>
      <c r="DO137" s="496" t="str">
        <f t="shared" si="1122"/>
        <v/>
      </c>
      <c r="DP137" s="502" t="str">
        <f t="shared" si="1123"/>
        <v/>
      </c>
      <c r="DQ137" s="503" t="str">
        <f t="shared" si="1124"/>
        <v/>
      </c>
      <c r="DR137" s="502" t="str">
        <f t="shared" si="1125"/>
        <v/>
      </c>
      <c r="DS137" s="494" t="str">
        <f t="shared" si="1126"/>
        <v/>
      </c>
      <c r="DT137" s="494" t="str">
        <f t="shared" si="1127"/>
        <v/>
      </c>
      <c r="DU137" s="494" t="str">
        <f t="shared" si="1128"/>
        <v/>
      </c>
      <c r="DV137" s="494" t="str">
        <f t="shared" si="1129"/>
        <v/>
      </c>
      <c r="DW137" s="494" t="str">
        <f t="shared" si="1130"/>
        <v/>
      </c>
      <c r="DX137" s="507" t="str">
        <f t="shared" si="1131"/>
        <v/>
      </c>
      <c r="DY137" s="496" t="str">
        <f t="shared" si="1132"/>
        <v/>
      </c>
      <c r="DZ137" s="494" t="str">
        <f t="shared" si="1133"/>
        <v/>
      </c>
      <c r="EA137" s="495" t="str">
        <f t="shared" si="1134"/>
        <v/>
      </c>
      <c r="EB137" s="497" t="str">
        <f t="shared" si="1135"/>
        <v/>
      </c>
      <c r="EC137" s="502" t="str">
        <f t="shared" si="1136"/>
        <v/>
      </c>
      <c r="ED137" s="494" t="str">
        <f t="shared" si="1137"/>
        <v/>
      </c>
      <c r="EE137" s="498" t="str">
        <f t="shared" si="1138"/>
        <v/>
      </c>
      <c r="EF137" s="494" t="str">
        <f t="shared" si="1139"/>
        <v/>
      </c>
      <c r="EG137" s="495" t="str">
        <f t="shared" si="1140"/>
        <v/>
      </c>
      <c r="EH137" s="496" t="str">
        <f t="shared" si="1141"/>
        <v/>
      </c>
      <c r="EI137" s="494" t="str">
        <f t="shared" si="1142"/>
        <v/>
      </c>
      <c r="EJ137" s="497" t="str">
        <f t="shared" si="1143"/>
        <v/>
      </c>
      <c r="EK137" s="509" t="str">
        <f t="shared" si="796"/>
        <v/>
      </c>
      <c r="EL137" s="510" t="str">
        <f t="shared" si="797"/>
        <v/>
      </c>
      <c r="EM137" s="498" t="str">
        <f t="shared" si="1144"/>
        <v/>
      </c>
      <c r="EN137" s="494" t="str">
        <f t="shared" si="1145"/>
        <v/>
      </c>
      <c r="EO137" s="495" t="str">
        <f t="shared" si="1146"/>
        <v/>
      </c>
      <c r="EP137" s="496" t="str">
        <f t="shared" si="1147"/>
        <v/>
      </c>
      <c r="EQ137" s="494" t="str">
        <f t="shared" si="1148"/>
        <v/>
      </c>
      <c r="ER137" s="500" t="str">
        <f t="shared" si="1149"/>
        <v/>
      </c>
      <c r="ES137" s="493" t="str">
        <f t="shared" ref="ES137:ES150" si="1239">IF(ISNUMBER($AV137),AD137,"")</f>
        <v/>
      </c>
      <c r="ET137" s="494" t="str">
        <f t="shared" ref="ET137:ET150" si="1240">IF(ISNUMBER($AV137),AE137,"")</f>
        <v/>
      </c>
      <c r="EU137" s="495" t="str">
        <f t="shared" ref="EU137:EU150" si="1241">IF(ISNUMBER($AV137),AF137,"")</f>
        <v/>
      </c>
      <c r="EV137" s="174" t="str">
        <f t="shared" si="1150"/>
        <v/>
      </c>
      <c r="EW137" s="496" t="str">
        <f t="shared" si="1151"/>
        <v/>
      </c>
      <c r="EX137" s="494" t="str">
        <f t="shared" si="1152"/>
        <v/>
      </c>
      <c r="EY137" s="497" t="str">
        <f t="shared" si="1153"/>
        <v/>
      </c>
      <c r="EZ137" s="504" t="str">
        <f t="shared" si="805"/>
        <v/>
      </c>
      <c r="FA137" s="502" t="str">
        <f t="shared" si="929"/>
        <v/>
      </c>
      <c r="FB137" s="494" t="str">
        <f t="shared" si="930"/>
        <v/>
      </c>
      <c r="FC137" s="497" t="str">
        <f t="shared" si="931"/>
        <v/>
      </c>
      <c r="FD137" s="498" t="str">
        <f t="shared" si="1154"/>
        <v/>
      </c>
      <c r="FE137" s="494" t="str">
        <f t="shared" si="1155"/>
        <v/>
      </c>
      <c r="FF137" s="500" t="str">
        <f t="shared" si="1156"/>
        <v/>
      </c>
      <c r="FG137" s="173" t="str">
        <f t="shared" si="1157"/>
        <v/>
      </c>
      <c r="FH137" s="5" t="str">
        <f t="shared" si="1158"/>
        <v/>
      </c>
      <c r="FI137" s="10" t="str">
        <f t="shared" si="1159"/>
        <v/>
      </c>
      <c r="FJ137" s="279" t="str">
        <f t="shared" si="1160"/>
        <v/>
      </c>
      <c r="FK137" s="4" t="str">
        <f t="shared" si="1161"/>
        <v/>
      </c>
      <c r="FL137" s="5" t="str">
        <f t="shared" si="1162"/>
        <v/>
      </c>
      <c r="FM137" s="8" t="str">
        <f t="shared" si="1163"/>
        <v/>
      </c>
      <c r="FN137" s="9" t="str">
        <f t="shared" si="1164"/>
        <v/>
      </c>
      <c r="FO137" s="10" t="str">
        <f t="shared" si="1165"/>
        <v/>
      </c>
      <c r="FP137" s="277" t="str">
        <f t="shared" si="1166"/>
        <v/>
      </c>
      <c r="FQ137" s="173" t="str">
        <f t="shared" si="1167"/>
        <v/>
      </c>
      <c r="FR137" s="10" t="str">
        <f t="shared" si="1168"/>
        <v/>
      </c>
      <c r="FS137" s="9" t="str">
        <f t="shared" si="1169"/>
        <v/>
      </c>
      <c r="FT137" s="6" t="str">
        <f t="shared" si="1170"/>
        <v/>
      </c>
      <c r="FU137" s="4" t="str">
        <f t="shared" si="1171"/>
        <v/>
      </c>
      <c r="FV137" s="5" t="str">
        <f t="shared" si="1172"/>
        <v/>
      </c>
      <c r="FW137" s="8" t="str">
        <f t="shared" si="1173"/>
        <v/>
      </c>
      <c r="FX137" s="9" t="str">
        <f t="shared" si="1174"/>
        <v/>
      </c>
      <c r="FY137" s="10" t="str">
        <f t="shared" si="1175"/>
        <v/>
      </c>
      <c r="FZ137" s="277" t="str">
        <f t="shared" si="1176"/>
        <v/>
      </c>
      <c r="GA137" s="177" t="str">
        <f t="shared" si="1177"/>
        <v/>
      </c>
      <c r="GB137" s="4" t="str">
        <f t="shared" si="1178"/>
        <v/>
      </c>
      <c r="GC137" s="5" t="str">
        <f t="shared" si="1179"/>
        <v/>
      </c>
      <c r="GD137" s="10" t="str">
        <f t="shared" si="1180"/>
        <v/>
      </c>
      <c r="GE137" s="311" t="str">
        <f t="shared" si="1181"/>
        <v/>
      </c>
      <c r="GF137" s="341" t="str">
        <f t="shared" si="1182"/>
        <v/>
      </c>
      <c r="GG137" s="306" t="str">
        <f t="shared" si="1183"/>
        <v/>
      </c>
      <c r="GH137" s="307" t="str">
        <f t="shared" si="1184"/>
        <v/>
      </c>
      <c r="GI137" s="308" t="str">
        <f t="shared" si="1185"/>
        <v/>
      </c>
      <c r="GJ137" s="167" t="str">
        <f t="shared" si="1186"/>
        <v/>
      </c>
      <c r="GK137" s="174" t="str">
        <f t="shared" si="943"/>
        <v/>
      </c>
      <c r="GL137" s="174" t="str">
        <f t="shared" si="1187"/>
        <v/>
      </c>
      <c r="GM137" s="177" t="str">
        <f t="shared" si="1188"/>
        <v/>
      </c>
      <c r="GN137" s="280" t="str">
        <f t="shared" si="1189"/>
        <v/>
      </c>
      <c r="GO137" s="4" t="str">
        <f t="shared" si="1190"/>
        <v/>
      </c>
      <c r="GP137" s="8" t="str">
        <f t="shared" si="1191"/>
        <v/>
      </c>
      <c r="GQ137" s="177" t="str">
        <f t="shared" si="1192"/>
        <v/>
      </c>
      <c r="GR137" s="371" t="str">
        <f t="shared" si="1193"/>
        <v/>
      </c>
      <c r="GS137" s="342" t="str">
        <f t="shared" si="1194"/>
        <v/>
      </c>
      <c r="GT137" s="343" t="str">
        <f t="shared" si="1195"/>
        <v/>
      </c>
      <c r="GU137" s="344" t="str">
        <f t="shared" si="946"/>
        <v/>
      </c>
      <c r="GV137" s="343" t="str">
        <f t="shared" si="1196"/>
        <v/>
      </c>
      <c r="GW137" s="345" t="str">
        <f t="shared" si="947"/>
        <v/>
      </c>
      <c r="GX137" s="346" t="str">
        <f t="shared" si="948"/>
        <v/>
      </c>
      <c r="GY137" s="344" t="str">
        <f t="shared" si="1197"/>
        <v/>
      </c>
      <c r="GZ137" s="345" t="str">
        <f t="shared" si="1198"/>
        <v/>
      </c>
      <c r="HA137" s="342" t="str">
        <f t="shared" si="951"/>
        <v/>
      </c>
      <c r="HB137" s="5" t="str">
        <f t="shared" si="832"/>
        <v/>
      </c>
      <c r="HC137" s="343" t="str">
        <f t="shared" si="1199"/>
        <v/>
      </c>
      <c r="HD137" s="363" t="str">
        <f t="shared" si="1200"/>
        <v/>
      </c>
      <c r="HE137" s="344" t="str">
        <f t="shared" si="952"/>
        <v/>
      </c>
      <c r="HF137" s="5" t="str">
        <f t="shared" si="953"/>
        <v/>
      </c>
      <c r="HG137" s="343" t="str">
        <f t="shared" si="1201"/>
        <v/>
      </c>
      <c r="HH137" s="349" t="str">
        <f t="shared" si="1202"/>
        <v/>
      </c>
      <c r="HI137" s="317" t="str">
        <f t="shared" ref="HI137:HI150" si="1242">IF(ISNUMBER($AV137),$M137,"")</f>
        <v/>
      </c>
      <c r="HK137" s="310" t="str">
        <f t="shared" si="1007"/>
        <v/>
      </c>
      <c r="HL137" s="348" t="str">
        <f t="shared" ref="HL137:HL150" si="1243">IF(ISNUMBER($HS137),INDEX(HI$9:HI$150,MATCH($HS137,$GJ$9:$GJ$150,0)),"")</f>
        <v/>
      </c>
      <c r="HM137" s="935" t="str">
        <f t="shared" ref="HM137:HM150" si="1244">IF(ISNUMBER($HL137),INDEX(GO$9:GO$150,MATCH($HL137,$AV$9:$AV$150,0)),"")</f>
        <v/>
      </c>
      <c r="HN137" s="936" t="str">
        <f t="shared" ref="HN137:HN150" si="1245">IF(ISNUMBER($HL137),INDEX(AO$9:AO$150,MATCH($HL137,$AV$9:$AV$150,0)),"")</f>
        <v/>
      </c>
      <c r="HO137" s="937"/>
      <c r="HP137" s="938"/>
      <c r="HQ137" s="936" t="str">
        <f t="shared" ref="HQ137:HQ150" si="1246">IF(ISNUMBER($HL137),INDEX(GQ$9:GQ$150,MATCH($HL137,$AV$9:$AV$150,0)),"")</f>
        <v/>
      </c>
      <c r="HR137" s="939" t="str">
        <f t="shared" ref="HR137:HR150" si="1247">IF(ISNUMBER($HL137),INDEX(GP$9:GP$150,MATCH($HL137,$AV$9:$AV$150,0)),"")</f>
        <v/>
      </c>
      <c r="HS137" s="940" t="str">
        <f t="shared" si="1203"/>
        <v/>
      </c>
      <c r="HT137" s="941" t="str">
        <f t="shared" ref="HT137:HT150" si="1248">IF(ISNUMBER($HL137),INDEX(GL$9:GL$150,MATCH($HL137,$AV$9:$AV$150,0)),"")</f>
        <v/>
      </c>
      <c r="HU137" s="942" t="str">
        <f t="shared" ref="HU137:HU150" si="1249">IF(ISNUMBER($HL137),INDEX(GM$9:GM$150,MATCH($HL137,$AV$9:$AV$150,0)),"")</f>
        <v/>
      </c>
      <c r="HV137" s="943" t="str">
        <f t="shared" ref="HV137:HV150" si="1250">IF(ISNUMBER($HL137),INDEX(GN$9:GN$150,MATCH($HL137,$AV$9:$AV$150,0)),"")</f>
        <v/>
      </c>
      <c r="HW137" s="944" t="str">
        <f t="shared" ref="HW137:HW150" si="1251">IF(ISNUMBER($HL137),INDEX(GW$9:GW$150,MATCH($HL137,$AV$9:$AV$150,0)),"")</f>
        <v/>
      </c>
      <c r="HX137" s="947" t="str">
        <f t="shared" ref="HX137:HX150" si="1252">IF(ISNUMBER($HL137),INDEX(GX$9:GX$150,MATCH($HL137,$AV$9:$AV$150,0)),"")</f>
        <v/>
      </c>
      <c r="HY137" s="952" t="str">
        <f t="shared" ref="HY137:HY150" si="1253">IF(ISNUMBER($HL137),INDEX(GS$9:GS$150,MATCH($HL137,$AV$9:$AV$150,0)),"")</f>
        <v/>
      </c>
      <c r="HZ137" s="953" t="str">
        <f t="shared" ref="HZ137:HZ150" si="1254">IF(ISNUMBER($HL137),INDEX(GU$9:GU$150,MATCH($HL137,$AV$9:$AV$150,0)),"")</f>
        <v/>
      </c>
      <c r="IA137" s="954" t="str">
        <f t="shared" ref="IA137:IA150" si="1255">IF(ISNUMBER($HL137),INDEX(GY$9:GY$150,MATCH($HL137,$AV$9:$AV$150,0)),"")</f>
        <v/>
      </c>
      <c r="IB137" s="955" t="str">
        <f t="shared" ref="IB137:IB150" si="1256">IF(ISNUMBER($HL137),INDEX(GR$9:GR$150,MATCH($HL137,$AV$9:$AV$150,0)),"")</f>
        <v/>
      </c>
      <c r="IC137" s="842" t="str">
        <f t="shared" ref="IC137:IC150" si="1257">IF(ISNUMBER($HL137),INDEX(GT$9:GT$150,MATCH($HL137,$AV$9:$AV$150,0)),"")</f>
        <v/>
      </c>
      <c r="ID137" s="351" t="str">
        <f t="shared" ref="ID137:ID150" si="1258">IF(ISNUMBER($HL137),INDEX(GV$9:GV$150,MATCH($HL137,$AV$9:$AV$150,0)),"")</f>
        <v/>
      </c>
      <c r="IE137" s="844" t="str">
        <f t="shared" ref="IE137:IE150" si="1259">IF(ISNUMBER($HL137),INDEX(GZ$9:GZ$150,MATCH($HL137,$AV$9:$AV$150,0)),"")</f>
        <v/>
      </c>
      <c r="IF137" s="845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37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60">IF(ISNUMBER($IK137),INDEX($K$9:$K$150,MATCH($IK137,$M$9:$M$150,0)),$K137)</f>
        <v/>
      </c>
      <c r="IM137" s="482" t="str">
        <f t="shared" si="838"/>
        <v/>
      </c>
      <c r="IN137" s="670" t="str">
        <f t="shared" ref="IN137:IN150" si="1261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62">IF(ISNUMBER($IK137),(($IQ137*12)/60)/$AS$3,"")</f>
        <v/>
      </c>
      <c r="IQ137" s="714"/>
      <c r="IR137" s="9" t="str">
        <f t="shared" ref="IR137:IR150" si="1263">IF(ISNUMBER($IK137),(INDEX($X$9:$X$150,MATCH($IK137,$M$9:$M$150,0))*-1),"")</f>
        <v/>
      </c>
      <c r="IS137" s="5" t="str">
        <f t="shared" ref="IS137:IS150" si="1264">IF(ISNUMBER($IK137),INDEX($Y$9:$Y$150,MATCH($IK137,$M$9:$M$150,0)),"")</f>
        <v/>
      </c>
      <c r="IT137" s="5" t="str">
        <f t="shared" ref="IT137:IT150" si="1265">IF(ISNUMBER($IK137),INDEX($H$9:$H$150,MATCH($IK137,$M$9:$M$150,0)),"")</f>
        <v/>
      </c>
      <c r="IU137" s="5" t="str">
        <f t="shared" ref="IU137:IU150" si="1266">IF(ISNUMBER($IK137),$IT137*COS(RADIANS(INDEX($AO$9:$AO$150,MATCH($IK137,$M$9:$M$150,0)))),"")</f>
        <v/>
      </c>
      <c r="IV137" s="670" t="str">
        <f t="shared" ref="IV137:IV150" si="1267">IF(ISNUMBER($IK137),(-1*INDEX($AN$9:$AN$150,MATCH($IK137,$M$9:$M$150,0))),"")</f>
        <v/>
      </c>
      <c r="IW137" s="9" t="str">
        <f t="shared" ref="IW137:IW150" si="1268">IF(ISNUMBER($IK137),-$X137,"")</f>
        <v/>
      </c>
      <c r="IX137" s="5" t="str">
        <f t="shared" ref="IX137:IX150" si="1269">IF(ISNUMBER($IK137),$Y137,"")</f>
        <v/>
      </c>
      <c r="IY137" s="5" t="str">
        <f t="shared" ref="IY137:IY150" si="1270">IF(ISNUMBER($IK137),$H137,"")</f>
        <v/>
      </c>
      <c r="IZ137" s="5" t="str">
        <f t="shared" ref="IZ137:IZ150" si="1271">IF(ISNUMBER($IK137),$IY137*COS(RADIANS($AO137)),"")</f>
        <v/>
      </c>
      <c r="JA137" s="705" t="str">
        <f t="shared" ref="JA137:JA150" si="1272">IF(ISNUMBER($IK137),(-1*$AN137),"")</f>
        <v/>
      </c>
    </row>
    <row r="138" spans="1:261" ht="15" customHeight="1" x14ac:dyDescent="0.25">
      <c r="A138" s="75" t="str">
        <f t="shared" si="1216"/>
        <v/>
      </c>
      <c r="B138" s="585" t="str">
        <f t="shared" ref="B138:D138" si="1273">IFERROR(O293+($A138*-E138),"")</f>
        <v/>
      </c>
      <c r="C138" s="582" t="str">
        <f t="shared" si="1273"/>
        <v/>
      </c>
      <c r="D138" s="583" t="str">
        <f t="shared" si="1273"/>
        <v/>
      </c>
      <c r="E138" s="588" t="str">
        <f t="shared" ref="E138:K138" si="1274">R293</f>
        <v/>
      </c>
      <c r="F138" s="582" t="str">
        <f t="shared" si="1274"/>
        <v/>
      </c>
      <c r="G138" s="586" t="str">
        <f t="shared" si="1274"/>
        <v/>
      </c>
      <c r="H138" s="588" t="str">
        <f t="shared" si="1274"/>
        <v/>
      </c>
      <c r="I138" s="582" t="str">
        <f t="shared" si="1274"/>
        <v/>
      </c>
      <c r="J138" s="491" t="str">
        <f t="shared" ref="J138:J150" si="1275">IF(W293=0,"",W293)</f>
        <v/>
      </c>
      <c r="K138" s="807" t="str">
        <f t="shared" si="1274"/>
        <v/>
      </c>
      <c r="L138" s="309"/>
      <c r="M138" s="492" t="str">
        <f t="shared" si="1219"/>
        <v/>
      </c>
      <c r="N138" s="581" t="str">
        <f t="shared" si="1220"/>
        <v/>
      </c>
      <c r="O138" s="582" t="str">
        <f t="shared" si="1221"/>
        <v/>
      </c>
      <c r="P138" s="583" t="str">
        <f t="shared" si="1222"/>
        <v/>
      </c>
      <c r="Q138" s="536" t="str">
        <f t="shared" si="1061"/>
        <v/>
      </c>
      <c r="R138" s="582" t="str">
        <f t="shared" si="1062"/>
        <v/>
      </c>
      <c r="S138" s="584" t="str">
        <f t="shared" si="1063"/>
        <v/>
      </c>
      <c r="T138" s="585" t="str">
        <f t="shared" si="1064"/>
        <v/>
      </c>
      <c r="U138" s="582" t="str">
        <f t="shared" si="1065"/>
        <v/>
      </c>
      <c r="V138" s="586" t="str">
        <f t="shared" si="1066"/>
        <v/>
      </c>
      <c r="W138" s="536" t="str">
        <f t="shared" si="1067"/>
        <v/>
      </c>
      <c r="X138" s="582" t="str">
        <f t="shared" si="1068"/>
        <v/>
      </c>
      <c r="Y138" s="587" t="str">
        <f t="shared" si="1069"/>
        <v/>
      </c>
      <c r="Z138" s="581" t="str">
        <f t="shared" si="1223"/>
        <v/>
      </c>
      <c r="AA138" s="582" t="str">
        <f t="shared" si="1224"/>
        <v/>
      </c>
      <c r="AB138" s="582" t="str">
        <f t="shared" si="1225"/>
        <v/>
      </c>
      <c r="AC138" s="586" t="str">
        <f t="shared" si="1070"/>
        <v/>
      </c>
      <c r="AD138" s="588" t="str">
        <f t="shared" si="1071"/>
        <v/>
      </c>
      <c r="AE138" s="582" t="str">
        <f t="shared" si="1072"/>
        <v/>
      </c>
      <c r="AF138" s="583" t="str">
        <f t="shared" si="1073"/>
        <v/>
      </c>
      <c r="AG138" s="547" t="str">
        <f t="shared" si="1074"/>
        <v/>
      </c>
      <c r="AH138" s="548" t="str">
        <f t="shared" si="1075"/>
        <v/>
      </c>
      <c r="AI138" s="536" t="str">
        <f t="shared" si="1076"/>
        <v/>
      </c>
      <c r="AJ138" s="537" t="str">
        <f t="shared" si="1077"/>
        <v/>
      </c>
      <c r="AK138" s="585" t="str">
        <f t="shared" si="1078"/>
        <v/>
      </c>
      <c r="AL138" s="582" t="str">
        <f t="shared" si="1079"/>
        <v/>
      </c>
      <c r="AM138" s="584" t="str">
        <f t="shared" si="1080"/>
        <v/>
      </c>
      <c r="AN138" s="534" t="str">
        <f t="shared" si="1081"/>
        <v/>
      </c>
      <c r="AO138" s="535" t="str">
        <f t="shared" si="1040"/>
        <v/>
      </c>
      <c r="AP138" s="536" t="str">
        <f t="shared" si="1082"/>
        <v/>
      </c>
      <c r="AQ138" s="537" t="str">
        <f t="shared" si="1226"/>
        <v/>
      </c>
      <c r="AS138" s="901" t="str">
        <f t="shared" si="1011"/>
        <v/>
      </c>
      <c r="AT138" s="897" t="str">
        <f t="shared" si="1227"/>
        <v/>
      </c>
      <c r="AU138" s="418"/>
      <c r="AV138" s="164" t="str">
        <f t="shared" si="1228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083"/>
        <v/>
      </c>
      <c r="BA138" s="505" t="str">
        <f t="shared" si="1084"/>
        <v/>
      </c>
      <c r="BB138" s="506" t="str">
        <f t="shared" si="713"/>
        <v/>
      </c>
      <c r="BC138" s="496"/>
      <c r="BD138" s="494" t="str">
        <f t="shared" si="1085"/>
        <v/>
      </c>
      <c r="BE138" s="497" t="str">
        <f t="shared" si="1229"/>
        <v/>
      </c>
      <c r="BF138" s="498" t="str">
        <f t="shared" si="1230"/>
        <v/>
      </c>
      <c r="BG138" s="494" t="str">
        <f t="shared" si="1231"/>
        <v/>
      </c>
      <c r="BH138" s="495" t="str">
        <f t="shared" si="1232"/>
        <v/>
      </c>
      <c r="BI138" s="496" t="str">
        <f t="shared" si="1086"/>
        <v/>
      </c>
      <c r="BJ138" s="494" t="str">
        <f t="shared" si="1233"/>
        <v/>
      </c>
      <c r="BK138" s="499" t="str">
        <f t="shared" si="1234"/>
        <v/>
      </c>
      <c r="BL138" s="502" t="str">
        <f t="shared" si="1235"/>
        <v/>
      </c>
      <c r="BM138" s="494" t="str">
        <f t="shared" si="1236"/>
        <v/>
      </c>
      <c r="BN138" s="497" t="str">
        <f t="shared" si="1237"/>
        <v/>
      </c>
      <c r="BO138" s="498" t="str">
        <f t="shared" si="1087"/>
        <v/>
      </c>
      <c r="BP138" s="494" t="str">
        <f t="shared" si="1088"/>
        <v/>
      </c>
      <c r="BQ138" s="494" t="str">
        <f t="shared" si="1089"/>
        <v/>
      </c>
      <c r="BR138" s="497" t="str">
        <f t="shared" si="1090"/>
        <v/>
      </c>
      <c r="BS138" s="498" t="str">
        <f t="shared" si="1006"/>
        <v/>
      </c>
      <c r="BT138" s="494" t="str">
        <f t="shared" si="1006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1"/>
        <v/>
      </c>
      <c r="CC138" s="494" t="str">
        <f t="shared" si="1092"/>
        <v/>
      </c>
      <c r="CD138" s="494" t="str">
        <f t="shared" si="1093"/>
        <v/>
      </c>
      <c r="CE138" s="497" t="str">
        <f t="shared" si="1094"/>
        <v/>
      </c>
      <c r="CF138" s="498" t="str">
        <f t="shared" si="1095"/>
        <v/>
      </c>
      <c r="CG138" s="494" t="str">
        <f t="shared" si="1096"/>
        <v/>
      </c>
      <c r="CH138" s="494" t="str">
        <f t="shared" si="1097"/>
        <v/>
      </c>
      <c r="CI138" s="498" t="str">
        <f t="shared" si="723"/>
        <v/>
      </c>
      <c r="CJ138" s="494" t="str">
        <f t="shared" si="1098"/>
        <v/>
      </c>
      <c r="CK138" s="499" t="str">
        <f t="shared" si="1099"/>
        <v/>
      </c>
      <c r="CL138" s="502" t="str">
        <f t="shared" si="1100"/>
        <v/>
      </c>
      <c r="CM138" s="494" t="str">
        <f t="shared" si="1101"/>
        <v/>
      </c>
      <c r="CN138" s="497" t="str">
        <f t="shared" si="1102"/>
        <v/>
      </c>
      <c r="CO138" s="507" t="str">
        <f t="shared" si="1238"/>
        <v/>
      </c>
      <c r="CP138" s="498" t="str">
        <f t="shared" si="1103"/>
        <v/>
      </c>
      <c r="CQ138" s="494" t="str">
        <f t="shared" si="1104"/>
        <v/>
      </c>
      <c r="CR138" s="494" t="str">
        <f t="shared" si="1105"/>
        <v/>
      </c>
      <c r="CS138" s="499" t="str">
        <f t="shared" si="1106"/>
        <v/>
      </c>
      <c r="CT138" s="496" t="str">
        <f t="shared" si="1107"/>
        <v/>
      </c>
      <c r="CU138" s="497" t="str">
        <f t="shared" si="1108"/>
        <v/>
      </c>
      <c r="CV138" s="498" t="str">
        <f t="shared" si="1109"/>
        <v/>
      </c>
      <c r="CW138" s="494" t="str">
        <f t="shared" si="1110"/>
        <v/>
      </c>
      <c r="CX138" s="499" t="str">
        <f t="shared" si="1111"/>
        <v/>
      </c>
      <c r="CY138" s="496" t="str">
        <f t="shared" si="1112"/>
        <v/>
      </c>
      <c r="CZ138" s="494" t="str">
        <f t="shared" si="1113"/>
        <v/>
      </c>
      <c r="DA138" s="497" t="str">
        <f t="shared" si="1114"/>
        <v/>
      </c>
      <c r="DB138" s="498" t="str">
        <f t="shared" si="1012"/>
        <v/>
      </c>
      <c r="DC138" s="494" t="str">
        <f t="shared" si="1012"/>
        <v/>
      </c>
      <c r="DD138" s="495" t="str">
        <f t="shared" si="764"/>
        <v/>
      </c>
      <c r="DE138" s="496" t="str">
        <f t="shared" si="1013"/>
        <v/>
      </c>
      <c r="DF138" s="494" t="str">
        <f t="shared" si="1013"/>
        <v/>
      </c>
      <c r="DG138" s="495" t="str">
        <f t="shared" si="766"/>
        <v/>
      </c>
      <c r="DH138" s="501" t="str">
        <f t="shared" si="1115"/>
        <v/>
      </c>
      <c r="DI138" s="498" t="str">
        <f t="shared" si="1116"/>
        <v/>
      </c>
      <c r="DJ138" s="494" t="str">
        <f t="shared" si="1117"/>
        <v/>
      </c>
      <c r="DK138" s="495" t="str">
        <f t="shared" si="1118"/>
        <v/>
      </c>
      <c r="DL138" s="496" t="str">
        <f t="shared" si="1119"/>
        <v/>
      </c>
      <c r="DM138" s="502" t="str">
        <f t="shared" si="1120"/>
        <v/>
      </c>
      <c r="DN138" s="508" t="str">
        <f t="shared" si="1121"/>
        <v/>
      </c>
      <c r="DO138" s="496" t="str">
        <f t="shared" si="1122"/>
        <v/>
      </c>
      <c r="DP138" s="502" t="str">
        <f t="shared" si="1123"/>
        <v/>
      </c>
      <c r="DQ138" s="503" t="str">
        <f t="shared" si="1124"/>
        <v/>
      </c>
      <c r="DR138" s="502" t="str">
        <f t="shared" si="1125"/>
        <v/>
      </c>
      <c r="DS138" s="494" t="str">
        <f t="shared" si="1126"/>
        <v/>
      </c>
      <c r="DT138" s="494" t="str">
        <f t="shared" si="1127"/>
        <v/>
      </c>
      <c r="DU138" s="494" t="str">
        <f t="shared" si="1128"/>
        <v/>
      </c>
      <c r="DV138" s="494" t="str">
        <f t="shared" si="1129"/>
        <v/>
      </c>
      <c r="DW138" s="494" t="str">
        <f t="shared" si="1130"/>
        <v/>
      </c>
      <c r="DX138" s="507" t="str">
        <f t="shared" si="1131"/>
        <v/>
      </c>
      <c r="DY138" s="496" t="str">
        <f t="shared" si="1132"/>
        <v/>
      </c>
      <c r="DZ138" s="494" t="str">
        <f t="shared" si="1133"/>
        <v/>
      </c>
      <c r="EA138" s="495" t="str">
        <f t="shared" si="1134"/>
        <v/>
      </c>
      <c r="EB138" s="497" t="str">
        <f t="shared" si="1135"/>
        <v/>
      </c>
      <c r="EC138" s="502" t="str">
        <f t="shared" si="1136"/>
        <v/>
      </c>
      <c r="ED138" s="494" t="str">
        <f t="shared" si="1137"/>
        <v/>
      </c>
      <c r="EE138" s="498" t="str">
        <f t="shared" si="1138"/>
        <v/>
      </c>
      <c r="EF138" s="494" t="str">
        <f t="shared" si="1139"/>
        <v/>
      </c>
      <c r="EG138" s="495" t="str">
        <f t="shared" si="1140"/>
        <v/>
      </c>
      <c r="EH138" s="496" t="str">
        <f t="shared" si="1141"/>
        <v/>
      </c>
      <c r="EI138" s="494" t="str">
        <f t="shared" si="1142"/>
        <v/>
      </c>
      <c r="EJ138" s="497" t="str">
        <f t="shared" si="1143"/>
        <v/>
      </c>
      <c r="EK138" s="509" t="str">
        <f t="shared" si="796"/>
        <v/>
      </c>
      <c r="EL138" s="510" t="str">
        <f t="shared" si="797"/>
        <v/>
      </c>
      <c r="EM138" s="498" t="str">
        <f t="shared" si="1144"/>
        <v/>
      </c>
      <c r="EN138" s="494" t="str">
        <f t="shared" si="1145"/>
        <v/>
      </c>
      <c r="EO138" s="495" t="str">
        <f t="shared" si="1146"/>
        <v/>
      </c>
      <c r="EP138" s="496" t="str">
        <f t="shared" si="1147"/>
        <v/>
      </c>
      <c r="EQ138" s="494" t="str">
        <f t="shared" si="1148"/>
        <v/>
      </c>
      <c r="ER138" s="500" t="str">
        <f t="shared" si="1149"/>
        <v/>
      </c>
      <c r="ES138" s="493" t="str">
        <f t="shared" si="1239"/>
        <v/>
      </c>
      <c r="ET138" s="494" t="str">
        <f t="shared" si="1240"/>
        <v/>
      </c>
      <c r="EU138" s="495" t="str">
        <f t="shared" si="1241"/>
        <v/>
      </c>
      <c r="EV138" s="174" t="str">
        <f t="shared" si="1150"/>
        <v/>
      </c>
      <c r="EW138" s="496" t="str">
        <f t="shared" si="1151"/>
        <v/>
      </c>
      <c r="EX138" s="494" t="str">
        <f t="shared" si="1152"/>
        <v/>
      </c>
      <c r="EY138" s="497" t="str">
        <f t="shared" si="1153"/>
        <v/>
      </c>
      <c r="EZ138" s="504" t="str">
        <f t="shared" si="805"/>
        <v/>
      </c>
      <c r="FA138" s="502" t="str">
        <f t="shared" si="929"/>
        <v/>
      </c>
      <c r="FB138" s="494" t="str">
        <f t="shared" si="930"/>
        <v/>
      </c>
      <c r="FC138" s="497" t="str">
        <f t="shared" si="931"/>
        <v/>
      </c>
      <c r="FD138" s="498" t="str">
        <f t="shared" si="1154"/>
        <v/>
      </c>
      <c r="FE138" s="494" t="str">
        <f t="shared" si="1155"/>
        <v/>
      </c>
      <c r="FF138" s="500" t="str">
        <f t="shared" si="1156"/>
        <v/>
      </c>
      <c r="FG138" s="173" t="str">
        <f t="shared" si="1157"/>
        <v/>
      </c>
      <c r="FH138" s="5" t="str">
        <f t="shared" si="1158"/>
        <v/>
      </c>
      <c r="FI138" s="10" t="str">
        <f t="shared" si="1159"/>
        <v/>
      </c>
      <c r="FJ138" s="279" t="str">
        <f t="shared" si="1160"/>
        <v/>
      </c>
      <c r="FK138" s="4" t="str">
        <f t="shared" si="1161"/>
        <v/>
      </c>
      <c r="FL138" s="5" t="str">
        <f t="shared" si="1162"/>
        <v/>
      </c>
      <c r="FM138" s="8" t="str">
        <f t="shared" si="1163"/>
        <v/>
      </c>
      <c r="FN138" s="9" t="str">
        <f t="shared" si="1164"/>
        <v/>
      </c>
      <c r="FO138" s="10" t="str">
        <f t="shared" si="1165"/>
        <v/>
      </c>
      <c r="FP138" s="277" t="str">
        <f t="shared" si="1166"/>
        <v/>
      </c>
      <c r="FQ138" s="173" t="str">
        <f t="shared" si="1167"/>
        <v/>
      </c>
      <c r="FR138" s="10" t="str">
        <f t="shared" si="1168"/>
        <v/>
      </c>
      <c r="FS138" s="9" t="str">
        <f t="shared" si="1169"/>
        <v/>
      </c>
      <c r="FT138" s="6" t="str">
        <f t="shared" si="1170"/>
        <v/>
      </c>
      <c r="FU138" s="4" t="str">
        <f t="shared" si="1171"/>
        <v/>
      </c>
      <c r="FV138" s="5" t="str">
        <f t="shared" si="1172"/>
        <v/>
      </c>
      <c r="FW138" s="8" t="str">
        <f t="shared" si="1173"/>
        <v/>
      </c>
      <c r="FX138" s="9" t="str">
        <f t="shared" si="1174"/>
        <v/>
      </c>
      <c r="FY138" s="10" t="str">
        <f t="shared" si="1175"/>
        <v/>
      </c>
      <c r="FZ138" s="277" t="str">
        <f t="shared" si="1176"/>
        <v/>
      </c>
      <c r="GA138" s="177" t="str">
        <f t="shared" si="1177"/>
        <v/>
      </c>
      <c r="GB138" s="4" t="str">
        <f t="shared" si="1178"/>
        <v/>
      </c>
      <c r="GC138" s="5" t="str">
        <f t="shared" si="1179"/>
        <v/>
      </c>
      <c r="GD138" s="10" t="str">
        <f t="shared" si="1180"/>
        <v/>
      </c>
      <c r="GE138" s="311" t="str">
        <f t="shared" si="1181"/>
        <v/>
      </c>
      <c r="GF138" s="341" t="str">
        <f t="shared" si="1182"/>
        <v/>
      </c>
      <c r="GG138" s="306" t="str">
        <f t="shared" si="1183"/>
        <v/>
      </c>
      <c r="GH138" s="307" t="str">
        <f t="shared" si="1184"/>
        <v/>
      </c>
      <c r="GI138" s="308" t="str">
        <f t="shared" si="1185"/>
        <v/>
      </c>
      <c r="GJ138" s="167" t="str">
        <f t="shared" si="1186"/>
        <v/>
      </c>
      <c r="GK138" s="174" t="str">
        <f t="shared" si="943"/>
        <v/>
      </c>
      <c r="GL138" s="174" t="str">
        <f t="shared" si="1187"/>
        <v/>
      </c>
      <c r="GM138" s="177" t="str">
        <f t="shared" si="1188"/>
        <v/>
      </c>
      <c r="GN138" s="280" t="str">
        <f t="shared" si="1189"/>
        <v/>
      </c>
      <c r="GO138" s="4" t="str">
        <f t="shared" si="1190"/>
        <v/>
      </c>
      <c r="GP138" s="8" t="str">
        <f t="shared" si="1191"/>
        <v/>
      </c>
      <c r="GQ138" s="177" t="str">
        <f t="shared" si="1192"/>
        <v/>
      </c>
      <c r="GR138" s="371" t="str">
        <f t="shared" si="1193"/>
        <v/>
      </c>
      <c r="GS138" s="342" t="str">
        <f t="shared" si="1194"/>
        <v/>
      </c>
      <c r="GT138" s="343" t="str">
        <f t="shared" si="1195"/>
        <v/>
      </c>
      <c r="GU138" s="344" t="str">
        <f t="shared" si="946"/>
        <v/>
      </c>
      <c r="GV138" s="343" t="str">
        <f t="shared" si="1196"/>
        <v/>
      </c>
      <c r="GW138" s="345" t="str">
        <f t="shared" si="947"/>
        <v/>
      </c>
      <c r="GX138" s="346" t="str">
        <f t="shared" si="948"/>
        <v/>
      </c>
      <c r="GY138" s="344" t="str">
        <f t="shared" si="1197"/>
        <v/>
      </c>
      <c r="GZ138" s="345" t="str">
        <f t="shared" si="1198"/>
        <v/>
      </c>
      <c r="HA138" s="342" t="str">
        <f t="shared" si="951"/>
        <v/>
      </c>
      <c r="HB138" s="5" t="str">
        <f t="shared" si="832"/>
        <v/>
      </c>
      <c r="HC138" s="343" t="str">
        <f t="shared" si="1199"/>
        <v/>
      </c>
      <c r="HD138" s="363" t="str">
        <f t="shared" si="1200"/>
        <v/>
      </c>
      <c r="HE138" s="344" t="str">
        <f t="shared" si="952"/>
        <v/>
      </c>
      <c r="HF138" s="5" t="str">
        <f t="shared" si="953"/>
        <v/>
      </c>
      <c r="HG138" s="343" t="str">
        <f t="shared" si="1201"/>
        <v/>
      </c>
      <c r="HH138" s="349" t="str">
        <f t="shared" si="1202"/>
        <v/>
      </c>
      <c r="HI138" s="317" t="str">
        <f t="shared" si="1242"/>
        <v/>
      </c>
      <c r="HK138" s="310" t="str">
        <f t="shared" ref="HK138:HK150" si="1276">IF(ISNUMBER(HS138),HK137+1,"")</f>
        <v/>
      </c>
      <c r="HL138" s="348" t="str">
        <f t="shared" si="1243"/>
        <v/>
      </c>
      <c r="HM138" s="935" t="str">
        <f t="shared" si="1244"/>
        <v/>
      </c>
      <c r="HN138" s="936" t="str">
        <f t="shared" si="1245"/>
        <v/>
      </c>
      <c r="HO138" s="937"/>
      <c r="HP138" s="938"/>
      <c r="HQ138" s="936" t="str">
        <f t="shared" si="1246"/>
        <v/>
      </c>
      <c r="HR138" s="939" t="str">
        <f t="shared" si="1247"/>
        <v/>
      </c>
      <c r="HS138" s="940" t="str">
        <f t="shared" si="1203"/>
        <v/>
      </c>
      <c r="HT138" s="941" t="str">
        <f t="shared" si="1248"/>
        <v/>
      </c>
      <c r="HU138" s="942" t="str">
        <f t="shared" si="1249"/>
        <v/>
      </c>
      <c r="HV138" s="943" t="str">
        <f t="shared" si="1250"/>
        <v/>
      </c>
      <c r="HW138" s="944" t="str">
        <f t="shared" si="1251"/>
        <v/>
      </c>
      <c r="HX138" s="947" t="str">
        <f t="shared" si="1252"/>
        <v/>
      </c>
      <c r="HY138" s="952" t="str">
        <f t="shared" si="1253"/>
        <v/>
      </c>
      <c r="HZ138" s="953" t="str">
        <f t="shared" si="1254"/>
        <v/>
      </c>
      <c r="IA138" s="954" t="str">
        <f t="shared" si="1255"/>
        <v/>
      </c>
      <c r="IB138" s="955" t="str">
        <f t="shared" si="1256"/>
        <v/>
      </c>
      <c r="IC138" s="842" t="str">
        <f t="shared" si="1257"/>
        <v/>
      </c>
      <c r="ID138" s="351" t="str">
        <f t="shared" si="1258"/>
        <v/>
      </c>
      <c r="IE138" s="844" t="str">
        <f t="shared" si="1259"/>
        <v/>
      </c>
      <c r="IF138" s="845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37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60"/>
        <v/>
      </c>
      <c r="IM138" s="482" t="str">
        <f t="shared" si="838"/>
        <v/>
      </c>
      <c r="IN138" s="670" t="str">
        <f t="shared" si="1261"/>
        <v/>
      </c>
      <c r="IO138" s="702"/>
      <c r="IP138" s="5" t="str">
        <f t="shared" si="1262"/>
        <v/>
      </c>
      <c r="IQ138" s="714"/>
      <c r="IR138" s="9" t="str">
        <f t="shared" si="1263"/>
        <v/>
      </c>
      <c r="IS138" s="5" t="str">
        <f t="shared" si="1264"/>
        <v/>
      </c>
      <c r="IT138" s="5" t="str">
        <f t="shared" si="1265"/>
        <v/>
      </c>
      <c r="IU138" s="5" t="str">
        <f t="shared" si="1266"/>
        <v/>
      </c>
      <c r="IV138" s="670" t="str">
        <f t="shared" si="1267"/>
        <v/>
      </c>
      <c r="IW138" s="9" t="str">
        <f t="shared" si="1268"/>
        <v/>
      </c>
      <c r="IX138" s="5" t="str">
        <f t="shared" si="1269"/>
        <v/>
      </c>
      <c r="IY138" s="5" t="str">
        <f t="shared" si="1270"/>
        <v/>
      </c>
      <c r="IZ138" s="5" t="str">
        <f t="shared" si="1271"/>
        <v/>
      </c>
      <c r="JA138" s="705" t="str">
        <f t="shared" si="1272"/>
        <v/>
      </c>
    </row>
    <row r="139" spans="1:261" ht="15" customHeight="1" x14ac:dyDescent="0.25">
      <c r="A139" s="75" t="str">
        <f t="shared" si="1216"/>
        <v/>
      </c>
      <c r="B139" s="585" t="str">
        <f t="shared" ref="B139:D139" si="1277">IFERROR(O294+($A139*-E139),"")</f>
        <v/>
      </c>
      <c r="C139" s="582" t="str">
        <f t="shared" si="1277"/>
        <v/>
      </c>
      <c r="D139" s="583" t="str">
        <f t="shared" si="1277"/>
        <v/>
      </c>
      <c r="E139" s="588" t="str">
        <f t="shared" ref="E139:K139" si="1278">R294</f>
        <v/>
      </c>
      <c r="F139" s="582" t="str">
        <f t="shared" si="1278"/>
        <v/>
      </c>
      <c r="G139" s="586" t="str">
        <f t="shared" si="1278"/>
        <v/>
      </c>
      <c r="H139" s="588" t="str">
        <f t="shared" si="1278"/>
        <v/>
      </c>
      <c r="I139" s="582" t="str">
        <f t="shared" si="1278"/>
        <v/>
      </c>
      <c r="J139" s="491" t="str">
        <f t="shared" si="1275"/>
        <v/>
      </c>
      <c r="K139" s="807" t="str">
        <f t="shared" si="1278"/>
        <v/>
      </c>
      <c r="L139" s="309"/>
      <c r="M139" s="492" t="str">
        <f t="shared" si="1219"/>
        <v/>
      </c>
      <c r="N139" s="581" t="str">
        <f t="shared" si="1220"/>
        <v/>
      </c>
      <c r="O139" s="582" t="str">
        <f t="shared" si="1221"/>
        <v/>
      </c>
      <c r="P139" s="583" t="str">
        <f t="shared" si="1222"/>
        <v/>
      </c>
      <c r="Q139" s="536" t="str">
        <f t="shared" si="1061"/>
        <v/>
      </c>
      <c r="R139" s="582" t="str">
        <f t="shared" si="1062"/>
        <v/>
      </c>
      <c r="S139" s="584" t="str">
        <f t="shared" si="1063"/>
        <v/>
      </c>
      <c r="T139" s="585" t="str">
        <f t="shared" si="1064"/>
        <v/>
      </c>
      <c r="U139" s="582" t="str">
        <f t="shared" si="1065"/>
        <v/>
      </c>
      <c r="V139" s="586" t="str">
        <f t="shared" si="1066"/>
        <v/>
      </c>
      <c r="W139" s="536" t="str">
        <f t="shared" si="1067"/>
        <v/>
      </c>
      <c r="X139" s="582" t="str">
        <f t="shared" si="1068"/>
        <v/>
      </c>
      <c r="Y139" s="587" t="str">
        <f t="shared" si="1069"/>
        <v/>
      </c>
      <c r="Z139" s="581" t="str">
        <f t="shared" si="1223"/>
        <v/>
      </c>
      <c r="AA139" s="582" t="str">
        <f t="shared" si="1224"/>
        <v/>
      </c>
      <c r="AB139" s="582" t="str">
        <f t="shared" si="1225"/>
        <v/>
      </c>
      <c r="AC139" s="586" t="str">
        <f t="shared" si="1070"/>
        <v/>
      </c>
      <c r="AD139" s="588" t="str">
        <f t="shared" si="1071"/>
        <v/>
      </c>
      <c r="AE139" s="582" t="str">
        <f t="shared" si="1072"/>
        <v/>
      </c>
      <c r="AF139" s="583" t="str">
        <f t="shared" si="1073"/>
        <v/>
      </c>
      <c r="AG139" s="547" t="str">
        <f t="shared" si="1074"/>
        <v/>
      </c>
      <c r="AH139" s="548" t="str">
        <f t="shared" si="1075"/>
        <v/>
      </c>
      <c r="AI139" s="536" t="str">
        <f t="shared" si="1076"/>
        <v/>
      </c>
      <c r="AJ139" s="537" t="str">
        <f t="shared" si="1077"/>
        <v/>
      </c>
      <c r="AK139" s="585" t="str">
        <f t="shared" si="1078"/>
        <v/>
      </c>
      <c r="AL139" s="582" t="str">
        <f t="shared" si="1079"/>
        <v/>
      </c>
      <c r="AM139" s="584" t="str">
        <f t="shared" si="1080"/>
        <v/>
      </c>
      <c r="AN139" s="534" t="str">
        <f t="shared" si="1081"/>
        <v/>
      </c>
      <c r="AO139" s="535" t="str">
        <f t="shared" si="1040"/>
        <v/>
      </c>
      <c r="AP139" s="536" t="str">
        <f t="shared" si="1082"/>
        <v/>
      </c>
      <c r="AQ139" s="537" t="str">
        <f t="shared" si="1226"/>
        <v/>
      </c>
      <c r="AS139" s="901" t="str">
        <f t="shared" ref="AS139:AS150" si="1279">IF(G139="","",IF(AND(W139&lt;(AS138+180),W139&gt;(AS138-180)),W139,IF(W139&gt;(AS138+180),W139-360,IF(W139&lt;(AS138-180),W139+360,"Error"))))</f>
        <v/>
      </c>
      <c r="AT139" s="897" t="str">
        <f t="shared" si="1227"/>
        <v/>
      </c>
      <c r="AU139" s="418"/>
      <c r="AV139" s="164" t="str">
        <f t="shared" si="1228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083"/>
        <v/>
      </c>
      <c r="BA139" s="505" t="str">
        <f t="shared" si="1084"/>
        <v/>
      </c>
      <c r="BB139" s="506" t="str">
        <f t="shared" si="713"/>
        <v/>
      </c>
      <c r="BC139" s="496"/>
      <c r="BD139" s="494" t="str">
        <f t="shared" si="1085"/>
        <v/>
      </c>
      <c r="BE139" s="497" t="str">
        <f t="shared" si="1229"/>
        <v/>
      </c>
      <c r="BF139" s="498" t="str">
        <f t="shared" si="1230"/>
        <v/>
      </c>
      <c r="BG139" s="494" t="str">
        <f t="shared" si="1231"/>
        <v/>
      </c>
      <c r="BH139" s="495" t="str">
        <f t="shared" si="1232"/>
        <v/>
      </c>
      <c r="BI139" s="496" t="str">
        <f t="shared" si="1086"/>
        <v/>
      </c>
      <c r="BJ139" s="494" t="str">
        <f t="shared" si="1233"/>
        <v/>
      </c>
      <c r="BK139" s="499" t="str">
        <f t="shared" si="1234"/>
        <v/>
      </c>
      <c r="BL139" s="502" t="str">
        <f t="shared" si="1235"/>
        <v/>
      </c>
      <c r="BM139" s="494" t="str">
        <f t="shared" si="1236"/>
        <v/>
      </c>
      <c r="BN139" s="497" t="str">
        <f t="shared" si="1237"/>
        <v/>
      </c>
      <c r="BO139" s="498" t="str">
        <f t="shared" si="1087"/>
        <v/>
      </c>
      <c r="BP139" s="494" t="str">
        <f t="shared" si="1088"/>
        <v/>
      </c>
      <c r="BQ139" s="494" t="str">
        <f t="shared" si="1089"/>
        <v/>
      </c>
      <c r="BR139" s="497" t="str">
        <f t="shared" si="1090"/>
        <v/>
      </c>
      <c r="BS139" s="498" t="str">
        <f t="shared" si="1006"/>
        <v/>
      </c>
      <c r="BT139" s="494" t="str">
        <f t="shared" si="1006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1"/>
        <v/>
      </c>
      <c r="CC139" s="494" t="str">
        <f t="shared" si="1092"/>
        <v/>
      </c>
      <c r="CD139" s="494" t="str">
        <f t="shared" si="1093"/>
        <v/>
      </c>
      <c r="CE139" s="497" t="str">
        <f t="shared" si="1094"/>
        <v/>
      </c>
      <c r="CF139" s="498" t="str">
        <f t="shared" si="1095"/>
        <v/>
      </c>
      <c r="CG139" s="494" t="str">
        <f t="shared" si="1096"/>
        <v/>
      </c>
      <c r="CH139" s="494" t="str">
        <f t="shared" si="1097"/>
        <v/>
      </c>
      <c r="CI139" s="498" t="str">
        <f t="shared" si="723"/>
        <v/>
      </c>
      <c r="CJ139" s="494" t="str">
        <f t="shared" si="1098"/>
        <v/>
      </c>
      <c r="CK139" s="499" t="str">
        <f t="shared" si="1099"/>
        <v/>
      </c>
      <c r="CL139" s="502" t="str">
        <f t="shared" si="1100"/>
        <v/>
      </c>
      <c r="CM139" s="494" t="str">
        <f t="shared" si="1101"/>
        <v/>
      </c>
      <c r="CN139" s="497" t="str">
        <f t="shared" si="1102"/>
        <v/>
      </c>
      <c r="CO139" s="507" t="str">
        <f t="shared" si="1238"/>
        <v/>
      </c>
      <c r="CP139" s="498" t="str">
        <f t="shared" si="1103"/>
        <v/>
      </c>
      <c r="CQ139" s="494" t="str">
        <f t="shared" si="1104"/>
        <v/>
      </c>
      <c r="CR139" s="494" t="str">
        <f t="shared" si="1105"/>
        <v/>
      </c>
      <c r="CS139" s="499" t="str">
        <f t="shared" si="1106"/>
        <v/>
      </c>
      <c r="CT139" s="496" t="str">
        <f t="shared" si="1107"/>
        <v/>
      </c>
      <c r="CU139" s="497" t="str">
        <f t="shared" si="1108"/>
        <v/>
      </c>
      <c r="CV139" s="498" t="str">
        <f t="shared" si="1109"/>
        <v/>
      </c>
      <c r="CW139" s="494" t="str">
        <f t="shared" si="1110"/>
        <v/>
      </c>
      <c r="CX139" s="499" t="str">
        <f t="shared" si="1111"/>
        <v/>
      </c>
      <c r="CY139" s="496" t="str">
        <f t="shared" si="1112"/>
        <v/>
      </c>
      <c r="CZ139" s="494" t="str">
        <f t="shared" si="1113"/>
        <v/>
      </c>
      <c r="DA139" s="497" t="str">
        <f t="shared" si="1114"/>
        <v/>
      </c>
      <c r="DB139" s="498" t="str">
        <f t="shared" si="1012"/>
        <v/>
      </c>
      <c r="DC139" s="494" t="str">
        <f t="shared" si="1012"/>
        <v/>
      </c>
      <c r="DD139" s="495" t="str">
        <f t="shared" si="764"/>
        <v/>
      </c>
      <c r="DE139" s="496" t="str">
        <f t="shared" si="1013"/>
        <v/>
      </c>
      <c r="DF139" s="494" t="str">
        <f t="shared" si="1013"/>
        <v/>
      </c>
      <c r="DG139" s="495" t="str">
        <f t="shared" si="766"/>
        <v/>
      </c>
      <c r="DH139" s="501" t="str">
        <f t="shared" si="1115"/>
        <v/>
      </c>
      <c r="DI139" s="498" t="str">
        <f t="shared" si="1116"/>
        <v/>
      </c>
      <c r="DJ139" s="494" t="str">
        <f t="shared" si="1117"/>
        <v/>
      </c>
      <c r="DK139" s="495" t="str">
        <f t="shared" si="1118"/>
        <v/>
      </c>
      <c r="DL139" s="496" t="str">
        <f t="shared" si="1119"/>
        <v/>
      </c>
      <c r="DM139" s="502" t="str">
        <f t="shared" si="1120"/>
        <v/>
      </c>
      <c r="DN139" s="508" t="str">
        <f t="shared" si="1121"/>
        <v/>
      </c>
      <c r="DO139" s="496" t="str">
        <f t="shared" si="1122"/>
        <v/>
      </c>
      <c r="DP139" s="502" t="str">
        <f t="shared" si="1123"/>
        <v/>
      </c>
      <c r="DQ139" s="503" t="str">
        <f t="shared" si="1124"/>
        <v/>
      </c>
      <c r="DR139" s="502" t="str">
        <f t="shared" si="1125"/>
        <v/>
      </c>
      <c r="DS139" s="494" t="str">
        <f t="shared" si="1126"/>
        <v/>
      </c>
      <c r="DT139" s="494" t="str">
        <f t="shared" si="1127"/>
        <v/>
      </c>
      <c r="DU139" s="494" t="str">
        <f t="shared" si="1128"/>
        <v/>
      </c>
      <c r="DV139" s="494" t="str">
        <f t="shared" si="1129"/>
        <v/>
      </c>
      <c r="DW139" s="494" t="str">
        <f t="shared" si="1130"/>
        <v/>
      </c>
      <c r="DX139" s="507" t="str">
        <f t="shared" si="1131"/>
        <v/>
      </c>
      <c r="DY139" s="496" t="str">
        <f t="shared" si="1132"/>
        <v/>
      </c>
      <c r="DZ139" s="494" t="str">
        <f t="shared" si="1133"/>
        <v/>
      </c>
      <c r="EA139" s="495" t="str">
        <f t="shared" si="1134"/>
        <v/>
      </c>
      <c r="EB139" s="497" t="str">
        <f t="shared" si="1135"/>
        <v/>
      </c>
      <c r="EC139" s="502" t="str">
        <f t="shared" si="1136"/>
        <v/>
      </c>
      <c r="ED139" s="494" t="str">
        <f t="shared" si="1137"/>
        <v/>
      </c>
      <c r="EE139" s="498" t="str">
        <f t="shared" si="1138"/>
        <v/>
      </c>
      <c r="EF139" s="494" t="str">
        <f t="shared" si="1139"/>
        <v/>
      </c>
      <c r="EG139" s="495" t="str">
        <f t="shared" si="1140"/>
        <v/>
      </c>
      <c r="EH139" s="496" t="str">
        <f t="shared" si="1141"/>
        <v/>
      </c>
      <c r="EI139" s="494" t="str">
        <f t="shared" si="1142"/>
        <v/>
      </c>
      <c r="EJ139" s="497" t="str">
        <f t="shared" si="1143"/>
        <v/>
      </c>
      <c r="EK139" s="509" t="str">
        <f t="shared" si="796"/>
        <v/>
      </c>
      <c r="EL139" s="510" t="str">
        <f t="shared" si="797"/>
        <v/>
      </c>
      <c r="EM139" s="498" t="str">
        <f t="shared" si="1144"/>
        <v/>
      </c>
      <c r="EN139" s="494" t="str">
        <f t="shared" si="1145"/>
        <v/>
      </c>
      <c r="EO139" s="495" t="str">
        <f t="shared" si="1146"/>
        <v/>
      </c>
      <c r="EP139" s="496" t="str">
        <f t="shared" si="1147"/>
        <v/>
      </c>
      <c r="EQ139" s="494" t="str">
        <f t="shared" si="1148"/>
        <v/>
      </c>
      <c r="ER139" s="500" t="str">
        <f t="shared" si="1149"/>
        <v/>
      </c>
      <c r="ES139" s="493" t="str">
        <f t="shared" si="1239"/>
        <v/>
      </c>
      <c r="ET139" s="494" t="str">
        <f t="shared" si="1240"/>
        <v/>
      </c>
      <c r="EU139" s="495" t="str">
        <f t="shared" si="1241"/>
        <v/>
      </c>
      <c r="EV139" s="174" t="str">
        <f t="shared" si="1150"/>
        <v/>
      </c>
      <c r="EW139" s="496" t="str">
        <f t="shared" si="1151"/>
        <v/>
      </c>
      <c r="EX139" s="494" t="str">
        <f t="shared" si="1152"/>
        <v/>
      </c>
      <c r="EY139" s="497" t="str">
        <f t="shared" si="1153"/>
        <v/>
      </c>
      <c r="EZ139" s="504" t="str">
        <f t="shared" si="805"/>
        <v/>
      </c>
      <c r="FA139" s="502" t="str">
        <f t="shared" si="929"/>
        <v/>
      </c>
      <c r="FB139" s="494" t="str">
        <f t="shared" si="930"/>
        <v/>
      </c>
      <c r="FC139" s="497" t="str">
        <f t="shared" si="931"/>
        <v/>
      </c>
      <c r="FD139" s="498" t="str">
        <f t="shared" si="1154"/>
        <v/>
      </c>
      <c r="FE139" s="494" t="str">
        <f t="shared" si="1155"/>
        <v/>
      </c>
      <c r="FF139" s="500" t="str">
        <f t="shared" si="1156"/>
        <v/>
      </c>
      <c r="FG139" s="173" t="str">
        <f t="shared" si="1157"/>
        <v/>
      </c>
      <c r="FH139" s="5" t="str">
        <f t="shared" si="1158"/>
        <v/>
      </c>
      <c r="FI139" s="10" t="str">
        <f t="shared" si="1159"/>
        <v/>
      </c>
      <c r="FJ139" s="279" t="str">
        <f t="shared" si="1160"/>
        <v/>
      </c>
      <c r="FK139" s="4" t="str">
        <f t="shared" si="1161"/>
        <v/>
      </c>
      <c r="FL139" s="5" t="str">
        <f t="shared" si="1162"/>
        <v/>
      </c>
      <c r="FM139" s="8" t="str">
        <f t="shared" si="1163"/>
        <v/>
      </c>
      <c r="FN139" s="9" t="str">
        <f t="shared" si="1164"/>
        <v/>
      </c>
      <c r="FO139" s="10" t="str">
        <f t="shared" si="1165"/>
        <v/>
      </c>
      <c r="FP139" s="277" t="str">
        <f t="shared" si="1166"/>
        <v/>
      </c>
      <c r="FQ139" s="173" t="str">
        <f t="shared" si="1167"/>
        <v/>
      </c>
      <c r="FR139" s="10" t="str">
        <f t="shared" si="1168"/>
        <v/>
      </c>
      <c r="FS139" s="9" t="str">
        <f t="shared" si="1169"/>
        <v/>
      </c>
      <c r="FT139" s="6" t="str">
        <f t="shared" si="1170"/>
        <v/>
      </c>
      <c r="FU139" s="4" t="str">
        <f t="shared" si="1171"/>
        <v/>
      </c>
      <c r="FV139" s="5" t="str">
        <f t="shared" si="1172"/>
        <v/>
      </c>
      <c r="FW139" s="8" t="str">
        <f t="shared" si="1173"/>
        <v/>
      </c>
      <c r="FX139" s="9" t="str">
        <f t="shared" si="1174"/>
        <v/>
      </c>
      <c r="FY139" s="10" t="str">
        <f t="shared" si="1175"/>
        <v/>
      </c>
      <c r="FZ139" s="277" t="str">
        <f t="shared" si="1176"/>
        <v/>
      </c>
      <c r="GA139" s="177" t="str">
        <f t="shared" si="1177"/>
        <v/>
      </c>
      <c r="GB139" s="4" t="str">
        <f t="shared" si="1178"/>
        <v/>
      </c>
      <c r="GC139" s="5" t="str">
        <f t="shared" si="1179"/>
        <v/>
      </c>
      <c r="GD139" s="10" t="str">
        <f t="shared" si="1180"/>
        <v/>
      </c>
      <c r="GE139" s="311" t="str">
        <f t="shared" si="1181"/>
        <v/>
      </c>
      <c r="GF139" s="341" t="str">
        <f t="shared" si="1182"/>
        <v/>
      </c>
      <c r="GG139" s="306" t="str">
        <f t="shared" si="1183"/>
        <v/>
      </c>
      <c r="GH139" s="307" t="str">
        <f t="shared" si="1184"/>
        <v/>
      </c>
      <c r="GI139" s="308" t="str">
        <f t="shared" si="1185"/>
        <v/>
      </c>
      <c r="GJ139" s="167" t="str">
        <f t="shared" si="1186"/>
        <v/>
      </c>
      <c r="GK139" s="174" t="str">
        <f t="shared" si="943"/>
        <v/>
      </c>
      <c r="GL139" s="174" t="str">
        <f t="shared" si="1187"/>
        <v/>
      </c>
      <c r="GM139" s="177" t="str">
        <f t="shared" si="1188"/>
        <v/>
      </c>
      <c r="GN139" s="280" t="str">
        <f t="shared" si="1189"/>
        <v/>
      </c>
      <c r="GO139" s="4" t="str">
        <f t="shared" si="1190"/>
        <v/>
      </c>
      <c r="GP139" s="8" t="str">
        <f t="shared" si="1191"/>
        <v/>
      </c>
      <c r="GQ139" s="177" t="str">
        <f t="shared" si="1192"/>
        <v/>
      </c>
      <c r="GR139" s="371" t="str">
        <f t="shared" si="1193"/>
        <v/>
      </c>
      <c r="GS139" s="342" t="str">
        <f t="shared" si="1194"/>
        <v/>
      </c>
      <c r="GT139" s="343" t="str">
        <f t="shared" si="1195"/>
        <v/>
      </c>
      <c r="GU139" s="344" t="str">
        <f t="shared" si="946"/>
        <v/>
      </c>
      <c r="GV139" s="343" t="str">
        <f t="shared" si="1196"/>
        <v/>
      </c>
      <c r="GW139" s="345" t="str">
        <f t="shared" si="947"/>
        <v/>
      </c>
      <c r="GX139" s="346" t="str">
        <f t="shared" si="948"/>
        <v/>
      </c>
      <c r="GY139" s="344" t="str">
        <f t="shared" si="1197"/>
        <v/>
      </c>
      <c r="GZ139" s="345" t="str">
        <f t="shared" si="1198"/>
        <v/>
      </c>
      <c r="HA139" s="342" t="str">
        <f t="shared" si="951"/>
        <v/>
      </c>
      <c r="HB139" s="5" t="str">
        <f t="shared" si="832"/>
        <v/>
      </c>
      <c r="HC139" s="343" t="str">
        <f t="shared" si="1199"/>
        <v/>
      </c>
      <c r="HD139" s="363" t="str">
        <f t="shared" si="1200"/>
        <v/>
      </c>
      <c r="HE139" s="344" t="str">
        <f t="shared" si="952"/>
        <v/>
      </c>
      <c r="HF139" s="5" t="str">
        <f t="shared" si="953"/>
        <v/>
      </c>
      <c r="HG139" s="343" t="str">
        <f t="shared" si="1201"/>
        <v/>
      </c>
      <c r="HH139" s="349" t="str">
        <f t="shared" si="1202"/>
        <v/>
      </c>
      <c r="HI139" s="317" t="str">
        <f t="shared" si="1242"/>
        <v/>
      </c>
      <c r="HK139" s="310" t="str">
        <f t="shared" si="1276"/>
        <v/>
      </c>
      <c r="HL139" s="348" t="str">
        <f t="shared" si="1243"/>
        <v/>
      </c>
      <c r="HM139" s="935" t="str">
        <f t="shared" si="1244"/>
        <v/>
      </c>
      <c r="HN139" s="936" t="str">
        <f t="shared" si="1245"/>
        <v/>
      </c>
      <c r="HO139" s="937"/>
      <c r="HP139" s="938"/>
      <c r="HQ139" s="936" t="str">
        <f t="shared" si="1246"/>
        <v/>
      </c>
      <c r="HR139" s="939" t="str">
        <f t="shared" si="1247"/>
        <v/>
      </c>
      <c r="HS139" s="940" t="str">
        <f t="shared" si="1203"/>
        <v/>
      </c>
      <c r="HT139" s="941" t="str">
        <f t="shared" si="1248"/>
        <v/>
      </c>
      <c r="HU139" s="942" t="str">
        <f t="shared" si="1249"/>
        <v/>
      </c>
      <c r="HV139" s="943" t="str">
        <f t="shared" si="1250"/>
        <v/>
      </c>
      <c r="HW139" s="944" t="str">
        <f t="shared" si="1251"/>
        <v/>
      </c>
      <c r="HX139" s="947" t="str">
        <f t="shared" si="1252"/>
        <v/>
      </c>
      <c r="HY139" s="952" t="str">
        <f t="shared" si="1253"/>
        <v/>
      </c>
      <c r="HZ139" s="953" t="str">
        <f t="shared" si="1254"/>
        <v/>
      </c>
      <c r="IA139" s="954" t="str">
        <f t="shared" si="1255"/>
        <v/>
      </c>
      <c r="IB139" s="955" t="str">
        <f t="shared" si="1256"/>
        <v/>
      </c>
      <c r="IC139" s="842" t="str">
        <f t="shared" si="1257"/>
        <v/>
      </c>
      <c r="ID139" s="351" t="str">
        <f t="shared" si="1258"/>
        <v/>
      </c>
      <c r="IE139" s="844" t="str">
        <f t="shared" si="1259"/>
        <v/>
      </c>
      <c r="IF139" s="845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80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60"/>
        <v/>
      </c>
      <c r="IM139" s="482" t="str">
        <f t="shared" ref="IM139:IM150" si="1281">IF(ISNUMBER($IK139),INDEX($K$9:$K$150,MATCH($II139,$M$9:$M$150,0)),"")</f>
        <v/>
      </c>
      <c r="IN139" s="670" t="str">
        <f t="shared" si="1261"/>
        <v/>
      </c>
      <c r="IO139" s="702"/>
      <c r="IP139" s="5" t="str">
        <f t="shared" si="1262"/>
        <v/>
      </c>
      <c r="IQ139" s="714"/>
      <c r="IR139" s="9" t="str">
        <f t="shared" si="1263"/>
        <v/>
      </c>
      <c r="IS139" s="5" t="str">
        <f t="shared" si="1264"/>
        <v/>
      </c>
      <c r="IT139" s="5" t="str">
        <f t="shared" si="1265"/>
        <v/>
      </c>
      <c r="IU139" s="5" t="str">
        <f t="shared" si="1266"/>
        <v/>
      </c>
      <c r="IV139" s="670" t="str">
        <f t="shared" si="1267"/>
        <v/>
      </c>
      <c r="IW139" s="9" t="str">
        <f t="shared" si="1268"/>
        <v/>
      </c>
      <c r="IX139" s="5" t="str">
        <f t="shared" si="1269"/>
        <v/>
      </c>
      <c r="IY139" s="5" t="str">
        <f t="shared" si="1270"/>
        <v/>
      </c>
      <c r="IZ139" s="5" t="str">
        <f t="shared" si="1271"/>
        <v/>
      </c>
      <c r="JA139" s="705" t="str">
        <f t="shared" si="1272"/>
        <v/>
      </c>
    </row>
    <row r="140" spans="1:261" ht="15" customHeight="1" x14ac:dyDescent="0.25">
      <c r="A140" s="75" t="str">
        <f t="shared" si="1216"/>
        <v/>
      </c>
      <c r="B140" s="585" t="str">
        <f t="shared" ref="B140:D140" si="1282">IFERROR(O295+($A140*-E140),"")</f>
        <v/>
      </c>
      <c r="C140" s="582" t="str">
        <f t="shared" si="1282"/>
        <v/>
      </c>
      <c r="D140" s="583" t="str">
        <f t="shared" si="1282"/>
        <v/>
      </c>
      <c r="E140" s="588" t="str">
        <f t="shared" ref="E140:K140" si="1283">R295</f>
        <v/>
      </c>
      <c r="F140" s="582" t="str">
        <f t="shared" si="1283"/>
        <v/>
      </c>
      <c r="G140" s="586" t="str">
        <f t="shared" si="1283"/>
        <v/>
      </c>
      <c r="H140" s="588" t="str">
        <f t="shared" si="1283"/>
        <v/>
      </c>
      <c r="I140" s="582" t="str">
        <f t="shared" si="1283"/>
        <v/>
      </c>
      <c r="J140" s="491" t="str">
        <f t="shared" si="1275"/>
        <v/>
      </c>
      <c r="K140" s="807" t="str">
        <f t="shared" si="1283"/>
        <v/>
      </c>
      <c r="L140" s="309"/>
      <c r="M140" s="492" t="str">
        <f t="shared" si="1219"/>
        <v/>
      </c>
      <c r="N140" s="581" t="str">
        <f t="shared" si="1220"/>
        <v/>
      </c>
      <c r="O140" s="582" t="str">
        <f t="shared" si="1221"/>
        <v/>
      </c>
      <c r="P140" s="583" t="str">
        <f t="shared" si="1222"/>
        <v/>
      </c>
      <c r="Q140" s="536" t="str">
        <f t="shared" si="1061"/>
        <v/>
      </c>
      <c r="R140" s="582" t="str">
        <f t="shared" si="1062"/>
        <v/>
      </c>
      <c r="S140" s="584" t="str">
        <f t="shared" si="1063"/>
        <v/>
      </c>
      <c r="T140" s="585" t="str">
        <f t="shared" si="1064"/>
        <v/>
      </c>
      <c r="U140" s="582" t="str">
        <f t="shared" si="1065"/>
        <v/>
      </c>
      <c r="V140" s="586" t="str">
        <f t="shared" si="1066"/>
        <v/>
      </c>
      <c r="W140" s="536" t="str">
        <f t="shared" si="1067"/>
        <v/>
      </c>
      <c r="X140" s="582" t="str">
        <f t="shared" si="1068"/>
        <v/>
      </c>
      <c r="Y140" s="587" t="str">
        <f t="shared" si="1069"/>
        <v/>
      </c>
      <c r="Z140" s="581" t="str">
        <f t="shared" si="1223"/>
        <v/>
      </c>
      <c r="AA140" s="582" t="str">
        <f t="shared" si="1224"/>
        <v/>
      </c>
      <c r="AB140" s="582" t="str">
        <f t="shared" si="1225"/>
        <v/>
      </c>
      <c r="AC140" s="586" t="str">
        <f t="shared" si="1070"/>
        <v/>
      </c>
      <c r="AD140" s="588" t="str">
        <f t="shared" si="1071"/>
        <v/>
      </c>
      <c r="AE140" s="582" t="str">
        <f t="shared" si="1072"/>
        <v/>
      </c>
      <c r="AF140" s="583" t="str">
        <f t="shared" si="1073"/>
        <v/>
      </c>
      <c r="AG140" s="547" t="str">
        <f t="shared" si="1074"/>
        <v/>
      </c>
      <c r="AH140" s="548" t="str">
        <f t="shared" si="1075"/>
        <v/>
      </c>
      <c r="AI140" s="536" t="str">
        <f t="shared" si="1076"/>
        <v/>
      </c>
      <c r="AJ140" s="537" t="str">
        <f t="shared" si="1077"/>
        <v/>
      </c>
      <c r="AK140" s="585" t="str">
        <f t="shared" si="1078"/>
        <v/>
      </c>
      <c r="AL140" s="582" t="str">
        <f t="shared" si="1079"/>
        <v/>
      </c>
      <c r="AM140" s="584" t="str">
        <f t="shared" si="1080"/>
        <v/>
      </c>
      <c r="AN140" s="534" t="str">
        <f t="shared" si="1081"/>
        <v/>
      </c>
      <c r="AO140" s="535" t="str">
        <f t="shared" si="1040"/>
        <v/>
      </c>
      <c r="AP140" s="536" t="str">
        <f t="shared" si="1082"/>
        <v/>
      </c>
      <c r="AQ140" s="537" t="str">
        <f t="shared" si="1226"/>
        <v/>
      </c>
      <c r="AS140" s="901" t="str">
        <f t="shared" si="1279"/>
        <v/>
      </c>
      <c r="AT140" s="897" t="str">
        <f t="shared" si="1227"/>
        <v/>
      </c>
      <c r="AU140" s="418"/>
      <c r="AV140" s="164" t="str">
        <f t="shared" si="1228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083"/>
        <v/>
      </c>
      <c r="BA140" s="505" t="str">
        <f t="shared" si="1084"/>
        <v/>
      </c>
      <c r="BB140" s="506" t="str">
        <f t="shared" si="713"/>
        <v/>
      </c>
      <c r="BC140" s="496"/>
      <c r="BD140" s="494" t="str">
        <f t="shared" si="1085"/>
        <v/>
      </c>
      <c r="BE140" s="497" t="str">
        <f t="shared" si="1229"/>
        <v/>
      </c>
      <c r="BF140" s="498" t="str">
        <f t="shared" si="1230"/>
        <v/>
      </c>
      <c r="BG140" s="494" t="str">
        <f t="shared" si="1231"/>
        <v/>
      </c>
      <c r="BH140" s="495" t="str">
        <f t="shared" si="1232"/>
        <v/>
      </c>
      <c r="BI140" s="496" t="str">
        <f t="shared" si="1086"/>
        <v/>
      </c>
      <c r="BJ140" s="494" t="str">
        <f t="shared" si="1233"/>
        <v/>
      </c>
      <c r="BK140" s="499" t="str">
        <f t="shared" si="1234"/>
        <v/>
      </c>
      <c r="BL140" s="502" t="str">
        <f t="shared" si="1235"/>
        <v/>
      </c>
      <c r="BM140" s="494" t="str">
        <f t="shared" si="1236"/>
        <v/>
      </c>
      <c r="BN140" s="497" t="str">
        <f t="shared" si="1237"/>
        <v/>
      </c>
      <c r="BO140" s="498" t="str">
        <f t="shared" si="1087"/>
        <v/>
      </c>
      <c r="BP140" s="494" t="str">
        <f t="shared" si="1088"/>
        <v/>
      </c>
      <c r="BQ140" s="494" t="str">
        <f t="shared" si="1089"/>
        <v/>
      </c>
      <c r="BR140" s="497" t="str">
        <f t="shared" si="1090"/>
        <v/>
      </c>
      <c r="BS140" s="498" t="str">
        <f t="shared" si="1006"/>
        <v/>
      </c>
      <c r="BT140" s="494" t="str">
        <f t="shared" si="1006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1"/>
        <v/>
      </c>
      <c r="CC140" s="494" t="str">
        <f t="shared" si="1092"/>
        <v/>
      </c>
      <c r="CD140" s="494" t="str">
        <f t="shared" si="1093"/>
        <v/>
      </c>
      <c r="CE140" s="497" t="str">
        <f t="shared" si="1094"/>
        <v/>
      </c>
      <c r="CF140" s="498" t="str">
        <f t="shared" si="1095"/>
        <v/>
      </c>
      <c r="CG140" s="494" t="str">
        <f t="shared" si="1096"/>
        <v/>
      </c>
      <c r="CH140" s="494" t="str">
        <f t="shared" si="1097"/>
        <v/>
      </c>
      <c r="CI140" s="498" t="str">
        <f t="shared" si="723"/>
        <v/>
      </c>
      <c r="CJ140" s="494" t="str">
        <f t="shared" si="1098"/>
        <v/>
      </c>
      <c r="CK140" s="499" t="str">
        <f t="shared" si="1099"/>
        <v/>
      </c>
      <c r="CL140" s="502" t="str">
        <f t="shared" si="1100"/>
        <v/>
      </c>
      <c r="CM140" s="494" t="str">
        <f t="shared" si="1101"/>
        <v/>
      </c>
      <c r="CN140" s="497" t="str">
        <f t="shared" si="1102"/>
        <v/>
      </c>
      <c r="CO140" s="507" t="str">
        <f t="shared" si="1238"/>
        <v/>
      </c>
      <c r="CP140" s="498" t="str">
        <f t="shared" si="1103"/>
        <v/>
      </c>
      <c r="CQ140" s="494" t="str">
        <f t="shared" si="1104"/>
        <v/>
      </c>
      <c r="CR140" s="494" t="str">
        <f t="shared" si="1105"/>
        <v/>
      </c>
      <c r="CS140" s="499" t="str">
        <f t="shared" si="1106"/>
        <v/>
      </c>
      <c r="CT140" s="496" t="str">
        <f t="shared" si="1107"/>
        <v/>
      </c>
      <c r="CU140" s="497" t="str">
        <f t="shared" si="1108"/>
        <v/>
      </c>
      <c r="CV140" s="498" t="str">
        <f t="shared" si="1109"/>
        <v/>
      </c>
      <c r="CW140" s="494" t="str">
        <f t="shared" si="1110"/>
        <v/>
      </c>
      <c r="CX140" s="499" t="str">
        <f t="shared" si="1111"/>
        <v/>
      </c>
      <c r="CY140" s="496" t="str">
        <f t="shared" si="1112"/>
        <v/>
      </c>
      <c r="CZ140" s="494" t="str">
        <f t="shared" si="1113"/>
        <v/>
      </c>
      <c r="DA140" s="497" t="str">
        <f t="shared" si="1114"/>
        <v/>
      </c>
      <c r="DB140" s="498" t="str">
        <f t="shared" si="1012"/>
        <v/>
      </c>
      <c r="DC140" s="494" t="str">
        <f t="shared" si="1012"/>
        <v/>
      </c>
      <c r="DD140" s="495" t="str">
        <f t="shared" si="764"/>
        <v/>
      </c>
      <c r="DE140" s="496" t="str">
        <f t="shared" si="1013"/>
        <v/>
      </c>
      <c r="DF140" s="494" t="str">
        <f t="shared" si="1013"/>
        <v/>
      </c>
      <c r="DG140" s="495" t="str">
        <f t="shared" si="766"/>
        <v/>
      </c>
      <c r="DH140" s="501" t="str">
        <f t="shared" si="1115"/>
        <v/>
      </c>
      <c r="DI140" s="498" t="str">
        <f t="shared" si="1116"/>
        <v/>
      </c>
      <c r="DJ140" s="494" t="str">
        <f t="shared" si="1117"/>
        <v/>
      </c>
      <c r="DK140" s="495" t="str">
        <f t="shared" si="1118"/>
        <v/>
      </c>
      <c r="DL140" s="496" t="str">
        <f t="shared" si="1119"/>
        <v/>
      </c>
      <c r="DM140" s="502" t="str">
        <f t="shared" si="1120"/>
        <v/>
      </c>
      <c r="DN140" s="508" t="str">
        <f t="shared" si="1121"/>
        <v/>
      </c>
      <c r="DO140" s="496" t="str">
        <f t="shared" si="1122"/>
        <v/>
      </c>
      <c r="DP140" s="502" t="str">
        <f t="shared" si="1123"/>
        <v/>
      </c>
      <c r="DQ140" s="503" t="str">
        <f t="shared" si="1124"/>
        <v/>
      </c>
      <c r="DR140" s="502" t="str">
        <f t="shared" si="1125"/>
        <v/>
      </c>
      <c r="DS140" s="494" t="str">
        <f t="shared" si="1126"/>
        <v/>
      </c>
      <c r="DT140" s="494" t="str">
        <f t="shared" si="1127"/>
        <v/>
      </c>
      <c r="DU140" s="494" t="str">
        <f t="shared" si="1128"/>
        <v/>
      </c>
      <c r="DV140" s="494" t="str">
        <f t="shared" si="1129"/>
        <v/>
      </c>
      <c r="DW140" s="494" t="str">
        <f t="shared" si="1130"/>
        <v/>
      </c>
      <c r="DX140" s="507" t="str">
        <f t="shared" si="1131"/>
        <v/>
      </c>
      <c r="DY140" s="496" t="str">
        <f t="shared" si="1132"/>
        <v/>
      </c>
      <c r="DZ140" s="494" t="str">
        <f t="shared" si="1133"/>
        <v/>
      </c>
      <c r="EA140" s="495" t="str">
        <f t="shared" si="1134"/>
        <v/>
      </c>
      <c r="EB140" s="497" t="str">
        <f t="shared" si="1135"/>
        <v/>
      </c>
      <c r="EC140" s="502" t="str">
        <f t="shared" si="1136"/>
        <v/>
      </c>
      <c r="ED140" s="494" t="str">
        <f t="shared" si="1137"/>
        <v/>
      </c>
      <c r="EE140" s="498" t="str">
        <f t="shared" si="1138"/>
        <v/>
      </c>
      <c r="EF140" s="494" t="str">
        <f t="shared" si="1139"/>
        <v/>
      </c>
      <c r="EG140" s="495" t="str">
        <f t="shared" si="1140"/>
        <v/>
      </c>
      <c r="EH140" s="496" t="str">
        <f t="shared" si="1141"/>
        <v/>
      </c>
      <c r="EI140" s="494" t="str">
        <f t="shared" si="1142"/>
        <v/>
      </c>
      <c r="EJ140" s="497" t="str">
        <f t="shared" si="1143"/>
        <v/>
      </c>
      <c r="EK140" s="509" t="str">
        <f t="shared" si="796"/>
        <v/>
      </c>
      <c r="EL140" s="510" t="str">
        <f t="shared" si="797"/>
        <v/>
      </c>
      <c r="EM140" s="498" t="str">
        <f t="shared" si="1144"/>
        <v/>
      </c>
      <c r="EN140" s="494" t="str">
        <f t="shared" si="1145"/>
        <v/>
      </c>
      <c r="EO140" s="495" t="str">
        <f t="shared" si="1146"/>
        <v/>
      </c>
      <c r="EP140" s="496" t="str">
        <f t="shared" si="1147"/>
        <v/>
      </c>
      <c r="EQ140" s="494" t="str">
        <f t="shared" si="1148"/>
        <v/>
      </c>
      <c r="ER140" s="500" t="str">
        <f t="shared" si="1149"/>
        <v/>
      </c>
      <c r="ES140" s="493" t="str">
        <f t="shared" si="1239"/>
        <v/>
      </c>
      <c r="ET140" s="494" t="str">
        <f t="shared" si="1240"/>
        <v/>
      </c>
      <c r="EU140" s="495" t="str">
        <f t="shared" si="1241"/>
        <v/>
      </c>
      <c r="EV140" s="174" t="str">
        <f t="shared" si="1150"/>
        <v/>
      </c>
      <c r="EW140" s="496" t="str">
        <f t="shared" si="1151"/>
        <v/>
      </c>
      <c r="EX140" s="494" t="str">
        <f t="shared" si="1152"/>
        <v/>
      </c>
      <c r="EY140" s="497" t="str">
        <f t="shared" si="1153"/>
        <v/>
      </c>
      <c r="EZ140" s="504" t="str">
        <f t="shared" si="805"/>
        <v/>
      </c>
      <c r="FA140" s="502" t="str">
        <f t="shared" si="929"/>
        <v/>
      </c>
      <c r="FB140" s="494" t="str">
        <f t="shared" si="930"/>
        <v/>
      </c>
      <c r="FC140" s="497" t="str">
        <f t="shared" si="931"/>
        <v/>
      </c>
      <c r="FD140" s="498" t="str">
        <f t="shared" si="1154"/>
        <v/>
      </c>
      <c r="FE140" s="494" t="str">
        <f t="shared" si="1155"/>
        <v/>
      </c>
      <c r="FF140" s="500" t="str">
        <f t="shared" si="1156"/>
        <v/>
      </c>
      <c r="FG140" s="173" t="str">
        <f t="shared" si="1157"/>
        <v/>
      </c>
      <c r="FH140" s="5" t="str">
        <f t="shared" si="1158"/>
        <v/>
      </c>
      <c r="FI140" s="10" t="str">
        <f t="shared" si="1159"/>
        <v/>
      </c>
      <c r="FJ140" s="279" t="str">
        <f t="shared" si="1160"/>
        <v/>
      </c>
      <c r="FK140" s="4" t="str">
        <f t="shared" si="1161"/>
        <v/>
      </c>
      <c r="FL140" s="5" t="str">
        <f t="shared" si="1162"/>
        <v/>
      </c>
      <c r="FM140" s="8" t="str">
        <f t="shared" si="1163"/>
        <v/>
      </c>
      <c r="FN140" s="9" t="str">
        <f t="shared" si="1164"/>
        <v/>
      </c>
      <c r="FO140" s="10" t="str">
        <f t="shared" si="1165"/>
        <v/>
      </c>
      <c r="FP140" s="277" t="str">
        <f t="shared" si="1166"/>
        <v/>
      </c>
      <c r="FQ140" s="173" t="str">
        <f t="shared" si="1167"/>
        <v/>
      </c>
      <c r="FR140" s="10" t="str">
        <f t="shared" si="1168"/>
        <v/>
      </c>
      <c r="FS140" s="9" t="str">
        <f t="shared" si="1169"/>
        <v/>
      </c>
      <c r="FT140" s="6" t="str">
        <f t="shared" si="1170"/>
        <v/>
      </c>
      <c r="FU140" s="4" t="str">
        <f t="shared" si="1171"/>
        <v/>
      </c>
      <c r="FV140" s="5" t="str">
        <f t="shared" si="1172"/>
        <v/>
      </c>
      <c r="FW140" s="8" t="str">
        <f t="shared" si="1173"/>
        <v/>
      </c>
      <c r="FX140" s="9" t="str">
        <f t="shared" si="1174"/>
        <v/>
      </c>
      <c r="FY140" s="10" t="str">
        <f t="shared" si="1175"/>
        <v/>
      </c>
      <c r="FZ140" s="277" t="str">
        <f t="shared" si="1176"/>
        <v/>
      </c>
      <c r="GA140" s="177" t="str">
        <f t="shared" si="1177"/>
        <v/>
      </c>
      <c r="GB140" s="4" t="str">
        <f t="shared" si="1178"/>
        <v/>
      </c>
      <c r="GC140" s="5" t="str">
        <f t="shared" si="1179"/>
        <v/>
      </c>
      <c r="GD140" s="10" t="str">
        <f t="shared" si="1180"/>
        <v/>
      </c>
      <c r="GE140" s="311" t="str">
        <f t="shared" si="1181"/>
        <v/>
      </c>
      <c r="GF140" s="341" t="str">
        <f t="shared" si="1182"/>
        <v/>
      </c>
      <c r="GG140" s="306" t="str">
        <f t="shared" si="1183"/>
        <v/>
      </c>
      <c r="GH140" s="307" t="str">
        <f t="shared" si="1184"/>
        <v/>
      </c>
      <c r="GI140" s="308" t="str">
        <f t="shared" si="1185"/>
        <v/>
      </c>
      <c r="GJ140" s="167" t="str">
        <f t="shared" si="1186"/>
        <v/>
      </c>
      <c r="GK140" s="174" t="str">
        <f t="shared" si="943"/>
        <v/>
      </c>
      <c r="GL140" s="174" t="str">
        <f t="shared" si="1187"/>
        <v/>
      </c>
      <c r="GM140" s="177" t="str">
        <f t="shared" si="1188"/>
        <v/>
      </c>
      <c r="GN140" s="280" t="str">
        <f t="shared" si="1189"/>
        <v/>
      </c>
      <c r="GO140" s="4" t="str">
        <f t="shared" si="1190"/>
        <v/>
      </c>
      <c r="GP140" s="8" t="str">
        <f t="shared" si="1191"/>
        <v/>
      </c>
      <c r="GQ140" s="177" t="str">
        <f t="shared" si="1192"/>
        <v/>
      </c>
      <c r="GR140" s="371" t="str">
        <f t="shared" si="1193"/>
        <v/>
      </c>
      <c r="GS140" s="342" t="str">
        <f t="shared" si="1194"/>
        <v/>
      </c>
      <c r="GT140" s="343" t="str">
        <f t="shared" si="1195"/>
        <v/>
      </c>
      <c r="GU140" s="344" t="str">
        <f t="shared" si="946"/>
        <v/>
      </c>
      <c r="GV140" s="343" t="str">
        <f t="shared" si="1196"/>
        <v/>
      </c>
      <c r="GW140" s="345" t="str">
        <f t="shared" si="947"/>
        <v/>
      </c>
      <c r="GX140" s="346" t="str">
        <f t="shared" si="948"/>
        <v/>
      </c>
      <c r="GY140" s="344" t="str">
        <f t="shared" si="1197"/>
        <v/>
      </c>
      <c r="GZ140" s="345" t="str">
        <f t="shared" si="1198"/>
        <v/>
      </c>
      <c r="HA140" s="342" t="str">
        <f t="shared" si="951"/>
        <v/>
      </c>
      <c r="HB140" s="5" t="str">
        <f t="shared" si="832"/>
        <v/>
      </c>
      <c r="HC140" s="343" t="str">
        <f t="shared" si="1199"/>
        <v/>
      </c>
      <c r="HD140" s="363" t="str">
        <f t="shared" si="1200"/>
        <v/>
      </c>
      <c r="HE140" s="344" t="str">
        <f t="shared" si="952"/>
        <v/>
      </c>
      <c r="HF140" s="5" t="str">
        <f t="shared" si="953"/>
        <v/>
      </c>
      <c r="HG140" s="343" t="str">
        <f t="shared" si="1201"/>
        <v/>
      </c>
      <c r="HH140" s="349" t="str">
        <f t="shared" si="1202"/>
        <v/>
      </c>
      <c r="HI140" s="317" t="str">
        <f t="shared" si="1242"/>
        <v/>
      </c>
      <c r="HK140" s="310" t="str">
        <f t="shared" si="1276"/>
        <v/>
      </c>
      <c r="HL140" s="348" t="str">
        <f t="shared" si="1243"/>
        <v/>
      </c>
      <c r="HM140" s="935" t="str">
        <f t="shared" si="1244"/>
        <v/>
      </c>
      <c r="HN140" s="936" t="str">
        <f t="shared" si="1245"/>
        <v/>
      </c>
      <c r="HO140" s="937"/>
      <c r="HP140" s="938"/>
      <c r="HQ140" s="936" t="str">
        <f t="shared" si="1246"/>
        <v/>
      </c>
      <c r="HR140" s="939" t="str">
        <f t="shared" si="1247"/>
        <v/>
      </c>
      <c r="HS140" s="940" t="str">
        <f t="shared" si="1203"/>
        <v/>
      </c>
      <c r="HT140" s="941" t="str">
        <f t="shared" si="1248"/>
        <v/>
      </c>
      <c r="HU140" s="942" t="str">
        <f t="shared" si="1249"/>
        <v/>
      </c>
      <c r="HV140" s="943" t="str">
        <f t="shared" si="1250"/>
        <v/>
      </c>
      <c r="HW140" s="944" t="str">
        <f t="shared" si="1251"/>
        <v/>
      </c>
      <c r="HX140" s="947" t="str">
        <f t="shared" si="1252"/>
        <v/>
      </c>
      <c r="HY140" s="952" t="str">
        <f t="shared" si="1253"/>
        <v/>
      </c>
      <c r="HZ140" s="953" t="str">
        <f t="shared" si="1254"/>
        <v/>
      </c>
      <c r="IA140" s="954" t="str">
        <f t="shared" si="1255"/>
        <v/>
      </c>
      <c r="IB140" s="955" t="str">
        <f t="shared" si="1256"/>
        <v/>
      </c>
      <c r="IC140" s="842" t="str">
        <f t="shared" si="1257"/>
        <v/>
      </c>
      <c r="ID140" s="351" t="str">
        <f t="shared" si="1258"/>
        <v/>
      </c>
      <c r="IE140" s="844" t="str">
        <f t="shared" si="1259"/>
        <v/>
      </c>
      <c r="IF140" s="845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80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60"/>
        <v/>
      </c>
      <c r="IM140" s="482" t="str">
        <f t="shared" si="1281"/>
        <v/>
      </c>
      <c r="IN140" s="670" t="str">
        <f t="shared" si="1261"/>
        <v/>
      </c>
      <c r="IO140" s="702"/>
      <c r="IP140" s="5" t="str">
        <f t="shared" si="1262"/>
        <v/>
      </c>
      <c r="IQ140" s="714"/>
      <c r="IR140" s="9" t="str">
        <f t="shared" si="1263"/>
        <v/>
      </c>
      <c r="IS140" s="5" t="str">
        <f t="shared" si="1264"/>
        <v/>
      </c>
      <c r="IT140" s="5" t="str">
        <f t="shared" si="1265"/>
        <v/>
      </c>
      <c r="IU140" s="5" t="str">
        <f t="shared" si="1266"/>
        <v/>
      </c>
      <c r="IV140" s="670" t="str">
        <f t="shared" si="1267"/>
        <v/>
      </c>
      <c r="IW140" s="9" t="str">
        <f t="shared" si="1268"/>
        <v/>
      </c>
      <c r="IX140" s="5" t="str">
        <f t="shared" si="1269"/>
        <v/>
      </c>
      <c r="IY140" s="5" t="str">
        <f t="shared" si="1270"/>
        <v/>
      </c>
      <c r="IZ140" s="5" t="str">
        <f t="shared" si="1271"/>
        <v/>
      </c>
      <c r="JA140" s="705" t="str">
        <f t="shared" si="1272"/>
        <v/>
      </c>
    </row>
    <row r="141" spans="1:261" ht="15" customHeight="1" x14ac:dyDescent="0.25">
      <c r="A141" s="75" t="str">
        <f t="shared" si="1216"/>
        <v/>
      </c>
      <c r="B141" s="585" t="str">
        <f t="shared" ref="B141:D141" si="1284">IFERROR(O296+($A141*-E141),"")</f>
        <v/>
      </c>
      <c r="C141" s="582" t="str">
        <f t="shared" si="1284"/>
        <v/>
      </c>
      <c r="D141" s="583" t="str">
        <f t="shared" si="1284"/>
        <v/>
      </c>
      <c r="E141" s="588" t="str">
        <f t="shared" ref="E141:K141" si="1285">R296</f>
        <v/>
      </c>
      <c r="F141" s="582" t="str">
        <f t="shared" si="1285"/>
        <v/>
      </c>
      <c r="G141" s="586" t="str">
        <f t="shared" si="1285"/>
        <v/>
      </c>
      <c r="H141" s="588" t="str">
        <f t="shared" si="1285"/>
        <v/>
      </c>
      <c r="I141" s="582" t="str">
        <f t="shared" si="1285"/>
        <v/>
      </c>
      <c r="J141" s="491" t="str">
        <f t="shared" si="1275"/>
        <v/>
      </c>
      <c r="K141" s="807" t="str">
        <f t="shared" si="1285"/>
        <v/>
      </c>
      <c r="L141" s="309"/>
      <c r="M141" s="492" t="str">
        <f t="shared" si="1219"/>
        <v/>
      </c>
      <c r="N141" s="581" t="str">
        <f t="shared" si="1220"/>
        <v/>
      </c>
      <c r="O141" s="582" t="str">
        <f t="shared" si="1221"/>
        <v/>
      </c>
      <c r="P141" s="583" t="str">
        <f t="shared" si="1222"/>
        <v/>
      </c>
      <c r="Q141" s="536" t="str">
        <f t="shared" si="1061"/>
        <v/>
      </c>
      <c r="R141" s="582" t="str">
        <f t="shared" si="1062"/>
        <v/>
      </c>
      <c r="S141" s="584" t="str">
        <f t="shared" si="1063"/>
        <v/>
      </c>
      <c r="T141" s="585" t="str">
        <f t="shared" si="1064"/>
        <v/>
      </c>
      <c r="U141" s="582" t="str">
        <f t="shared" si="1065"/>
        <v/>
      </c>
      <c r="V141" s="586" t="str">
        <f t="shared" si="1066"/>
        <v/>
      </c>
      <c r="W141" s="536" t="str">
        <f t="shared" si="1067"/>
        <v/>
      </c>
      <c r="X141" s="582" t="str">
        <f t="shared" si="1068"/>
        <v/>
      </c>
      <c r="Y141" s="587" t="str">
        <f t="shared" si="1069"/>
        <v/>
      </c>
      <c r="Z141" s="581" t="str">
        <f t="shared" si="1223"/>
        <v/>
      </c>
      <c r="AA141" s="582" t="str">
        <f t="shared" si="1224"/>
        <v/>
      </c>
      <c r="AB141" s="582" t="str">
        <f t="shared" si="1225"/>
        <v/>
      </c>
      <c r="AC141" s="586" t="str">
        <f t="shared" si="1070"/>
        <v/>
      </c>
      <c r="AD141" s="588" t="str">
        <f t="shared" si="1071"/>
        <v/>
      </c>
      <c r="AE141" s="582" t="str">
        <f t="shared" si="1072"/>
        <v/>
      </c>
      <c r="AF141" s="583" t="str">
        <f t="shared" si="1073"/>
        <v/>
      </c>
      <c r="AG141" s="547" t="str">
        <f t="shared" si="1074"/>
        <v/>
      </c>
      <c r="AH141" s="548" t="str">
        <f t="shared" si="1075"/>
        <v/>
      </c>
      <c r="AI141" s="536" t="str">
        <f t="shared" si="1076"/>
        <v/>
      </c>
      <c r="AJ141" s="537" t="str">
        <f t="shared" si="1077"/>
        <v/>
      </c>
      <c r="AK141" s="585" t="str">
        <f t="shared" si="1078"/>
        <v/>
      </c>
      <c r="AL141" s="582" t="str">
        <f t="shared" si="1079"/>
        <v/>
      </c>
      <c r="AM141" s="584" t="str">
        <f t="shared" si="1080"/>
        <v/>
      </c>
      <c r="AN141" s="534" t="str">
        <f t="shared" si="1081"/>
        <v/>
      </c>
      <c r="AO141" s="535" t="str">
        <f t="shared" si="1040"/>
        <v/>
      </c>
      <c r="AP141" s="536" t="str">
        <f t="shared" si="1082"/>
        <v/>
      </c>
      <c r="AQ141" s="537" t="str">
        <f t="shared" si="1226"/>
        <v/>
      </c>
      <c r="AS141" s="901" t="str">
        <f t="shared" si="1279"/>
        <v/>
      </c>
      <c r="AT141" s="897" t="str">
        <f t="shared" si="1227"/>
        <v/>
      </c>
      <c r="AU141" s="418"/>
      <c r="AV141" s="164" t="str">
        <f t="shared" si="1228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083"/>
        <v/>
      </c>
      <c r="BA141" s="505" t="str">
        <f t="shared" si="1084"/>
        <v/>
      </c>
      <c r="BB141" s="506" t="str">
        <f t="shared" si="713"/>
        <v/>
      </c>
      <c r="BC141" s="496"/>
      <c r="BD141" s="494" t="str">
        <f t="shared" si="1085"/>
        <v/>
      </c>
      <c r="BE141" s="497" t="str">
        <f t="shared" si="1229"/>
        <v/>
      </c>
      <c r="BF141" s="498" t="str">
        <f t="shared" si="1230"/>
        <v/>
      </c>
      <c r="BG141" s="494" t="str">
        <f t="shared" si="1231"/>
        <v/>
      </c>
      <c r="BH141" s="495" t="str">
        <f t="shared" si="1232"/>
        <v/>
      </c>
      <c r="BI141" s="496" t="str">
        <f t="shared" si="1086"/>
        <v/>
      </c>
      <c r="BJ141" s="494" t="str">
        <f t="shared" si="1233"/>
        <v/>
      </c>
      <c r="BK141" s="499" t="str">
        <f t="shared" si="1234"/>
        <v/>
      </c>
      <c r="BL141" s="502" t="str">
        <f t="shared" si="1235"/>
        <v/>
      </c>
      <c r="BM141" s="494" t="str">
        <f t="shared" si="1236"/>
        <v/>
      </c>
      <c r="BN141" s="497" t="str">
        <f t="shared" si="1237"/>
        <v/>
      </c>
      <c r="BO141" s="498" t="str">
        <f t="shared" si="1087"/>
        <v/>
      </c>
      <c r="BP141" s="494" t="str">
        <f t="shared" si="1088"/>
        <v/>
      </c>
      <c r="BQ141" s="494" t="str">
        <f t="shared" si="1089"/>
        <v/>
      </c>
      <c r="BR141" s="497" t="str">
        <f t="shared" si="1090"/>
        <v/>
      </c>
      <c r="BS141" s="498" t="str">
        <f t="shared" si="1006"/>
        <v/>
      </c>
      <c r="BT141" s="494" t="str">
        <f t="shared" si="1006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1"/>
        <v/>
      </c>
      <c r="CC141" s="494" t="str">
        <f t="shared" si="1092"/>
        <v/>
      </c>
      <c r="CD141" s="494" t="str">
        <f t="shared" si="1093"/>
        <v/>
      </c>
      <c r="CE141" s="497" t="str">
        <f t="shared" si="1094"/>
        <v/>
      </c>
      <c r="CF141" s="498" t="str">
        <f t="shared" si="1095"/>
        <v/>
      </c>
      <c r="CG141" s="494" t="str">
        <f t="shared" si="1096"/>
        <v/>
      </c>
      <c r="CH141" s="494" t="str">
        <f t="shared" si="1097"/>
        <v/>
      </c>
      <c r="CI141" s="498" t="str">
        <f t="shared" si="723"/>
        <v/>
      </c>
      <c r="CJ141" s="494" t="str">
        <f t="shared" si="1098"/>
        <v/>
      </c>
      <c r="CK141" s="499" t="str">
        <f t="shared" si="1099"/>
        <v/>
      </c>
      <c r="CL141" s="502" t="str">
        <f t="shared" si="1100"/>
        <v/>
      </c>
      <c r="CM141" s="494" t="str">
        <f t="shared" si="1101"/>
        <v/>
      </c>
      <c r="CN141" s="497" t="str">
        <f t="shared" si="1102"/>
        <v/>
      </c>
      <c r="CO141" s="507" t="str">
        <f t="shared" si="1238"/>
        <v/>
      </c>
      <c r="CP141" s="498" t="str">
        <f t="shared" si="1103"/>
        <v/>
      </c>
      <c r="CQ141" s="494" t="str">
        <f t="shared" si="1104"/>
        <v/>
      </c>
      <c r="CR141" s="494" t="str">
        <f t="shared" si="1105"/>
        <v/>
      </c>
      <c r="CS141" s="499" t="str">
        <f t="shared" si="1106"/>
        <v/>
      </c>
      <c r="CT141" s="496" t="str">
        <f t="shared" si="1107"/>
        <v/>
      </c>
      <c r="CU141" s="497" t="str">
        <f t="shared" si="1108"/>
        <v/>
      </c>
      <c r="CV141" s="498" t="str">
        <f t="shared" si="1109"/>
        <v/>
      </c>
      <c r="CW141" s="494" t="str">
        <f t="shared" si="1110"/>
        <v/>
      </c>
      <c r="CX141" s="499" t="str">
        <f t="shared" si="1111"/>
        <v/>
      </c>
      <c r="CY141" s="496" t="str">
        <f t="shared" si="1112"/>
        <v/>
      </c>
      <c r="CZ141" s="494" t="str">
        <f t="shared" si="1113"/>
        <v/>
      </c>
      <c r="DA141" s="497" t="str">
        <f t="shared" si="1114"/>
        <v/>
      </c>
      <c r="DB141" s="498" t="str">
        <f t="shared" si="1012"/>
        <v/>
      </c>
      <c r="DC141" s="494" t="str">
        <f t="shared" si="1012"/>
        <v/>
      </c>
      <c r="DD141" s="495" t="str">
        <f t="shared" si="764"/>
        <v/>
      </c>
      <c r="DE141" s="496" t="str">
        <f t="shared" si="1013"/>
        <v/>
      </c>
      <c r="DF141" s="494" t="str">
        <f t="shared" si="1013"/>
        <v/>
      </c>
      <c r="DG141" s="495" t="str">
        <f t="shared" si="766"/>
        <v/>
      </c>
      <c r="DH141" s="501" t="str">
        <f t="shared" si="1115"/>
        <v/>
      </c>
      <c r="DI141" s="498" t="str">
        <f t="shared" si="1116"/>
        <v/>
      </c>
      <c r="DJ141" s="494" t="str">
        <f t="shared" si="1117"/>
        <v/>
      </c>
      <c r="DK141" s="495" t="str">
        <f t="shared" si="1118"/>
        <v/>
      </c>
      <c r="DL141" s="496" t="str">
        <f t="shared" si="1119"/>
        <v/>
      </c>
      <c r="DM141" s="502" t="str">
        <f t="shared" si="1120"/>
        <v/>
      </c>
      <c r="DN141" s="508" t="str">
        <f t="shared" si="1121"/>
        <v/>
      </c>
      <c r="DO141" s="496" t="str">
        <f t="shared" si="1122"/>
        <v/>
      </c>
      <c r="DP141" s="502" t="str">
        <f t="shared" si="1123"/>
        <v/>
      </c>
      <c r="DQ141" s="503" t="str">
        <f t="shared" si="1124"/>
        <v/>
      </c>
      <c r="DR141" s="502" t="str">
        <f t="shared" si="1125"/>
        <v/>
      </c>
      <c r="DS141" s="494" t="str">
        <f t="shared" si="1126"/>
        <v/>
      </c>
      <c r="DT141" s="494" t="str">
        <f t="shared" si="1127"/>
        <v/>
      </c>
      <c r="DU141" s="494" t="str">
        <f t="shared" si="1128"/>
        <v/>
      </c>
      <c r="DV141" s="494" t="str">
        <f t="shared" si="1129"/>
        <v/>
      </c>
      <c r="DW141" s="494" t="str">
        <f t="shared" si="1130"/>
        <v/>
      </c>
      <c r="DX141" s="507" t="str">
        <f t="shared" si="1131"/>
        <v/>
      </c>
      <c r="DY141" s="496" t="str">
        <f t="shared" si="1132"/>
        <v/>
      </c>
      <c r="DZ141" s="494" t="str">
        <f t="shared" si="1133"/>
        <v/>
      </c>
      <c r="EA141" s="495" t="str">
        <f t="shared" si="1134"/>
        <v/>
      </c>
      <c r="EB141" s="497" t="str">
        <f t="shared" si="1135"/>
        <v/>
      </c>
      <c r="EC141" s="502" t="str">
        <f t="shared" si="1136"/>
        <v/>
      </c>
      <c r="ED141" s="494" t="str">
        <f t="shared" si="1137"/>
        <v/>
      </c>
      <c r="EE141" s="498" t="str">
        <f t="shared" si="1138"/>
        <v/>
      </c>
      <c r="EF141" s="494" t="str">
        <f t="shared" si="1139"/>
        <v/>
      </c>
      <c r="EG141" s="495" t="str">
        <f t="shared" si="1140"/>
        <v/>
      </c>
      <c r="EH141" s="496" t="str">
        <f t="shared" si="1141"/>
        <v/>
      </c>
      <c r="EI141" s="494" t="str">
        <f t="shared" si="1142"/>
        <v/>
      </c>
      <c r="EJ141" s="497" t="str">
        <f t="shared" si="1143"/>
        <v/>
      </c>
      <c r="EK141" s="509" t="str">
        <f t="shared" si="796"/>
        <v/>
      </c>
      <c r="EL141" s="510" t="str">
        <f t="shared" si="797"/>
        <v/>
      </c>
      <c r="EM141" s="498" t="str">
        <f t="shared" si="1144"/>
        <v/>
      </c>
      <c r="EN141" s="494" t="str">
        <f t="shared" si="1145"/>
        <v/>
      </c>
      <c r="EO141" s="495" t="str">
        <f t="shared" si="1146"/>
        <v/>
      </c>
      <c r="EP141" s="496" t="str">
        <f t="shared" si="1147"/>
        <v/>
      </c>
      <c r="EQ141" s="494" t="str">
        <f t="shared" si="1148"/>
        <v/>
      </c>
      <c r="ER141" s="500" t="str">
        <f t="shared" si="1149"/>
        <v/>
      </c>
      <c r="ES141" s="493" t="str">
        <f t="shared" si="1239"/>
        <v/>
      </c>
      <c r="ET141" s="494" t="str">
        <f t="shared" si="1240"/>
        <v/>
      </c>
      <c r="EU141" s="495" t="str">
        <f t="shared" si="1241"/>
        <v/>
      </c>
      <c r="EV141" s="174" t="str">
        <f t="shared" si="1150"/>
        <v/>
      </c>
      <c r="EW141" s="496" t="str">
        <f t="shared" si="1151"/>
        <v/>
      </c>
      <c r="EX141" s="494" t="str">
        <f t="shared" si="1152"/>
        <v/>
      </c>
      <c r="EY141" s="497" t="str">
        <f t="shared" si="1153"/>
        <v/>
      </c>
      <c r="EZ141" s="504" t="str">
        <f t="shared" si="805"/>
        <v/>
      </c>
      <c r="FA141" s="502" t="str">
        <f t="shared" si="929"/>
        <v/>
      </c>
      <c r="FB141" s="494" t="str">
        <f t="shared" si="930"/>
        <v/>
      </c>
      <c r="FC141" s="497" t="str">
        <f t="shared" si="931"/>
        <v/>
      </c>
      <c r="FD141" s="498" t="str">
        <f t="shared" si="1154"/>
        <v/>
      </c>
      <c r="FE141" s="494" t="str">
        <f t="shared" si="1155"/>
        <v/>
      </c>
      <c r="FF141" s="500" t="str">
        <f t="shared" si="1156"/>
        <v/>
      </c>
      <c r="FG141" s="173" t="str">
        <f t="shared" si="1157"/>
        <v/>
      </c>
      <c r="FH141" s="5" t="str">
        <f t="shared" si="1158"/>
        <v/>
      </c>
      <c r="FI141" s="10" t="str">
        <f t="shared" si="1159"/>
        <v/>
      </c>
      <c r="FJ141" s="279" t="str">
        <f t="shared" si="1160"/>
        <v/>
      </c>
      <c r="FK141" s="4" t="str">
        <f t="shared" si="1161"/>
        <v/>
      </c>
      <c r="FL141" s="5" t="str">
        <f t="shared" si="1162"/>
        <v/>
      </c>
      <c r="FM141" s="8" t="str">
        <f t="shared" si="1163"/>
        <v/>
      </c>
      <c r="FN141" s="9" t="str">
        <f t="shared" si="1164"/>
        <v/>
      </c>
      <c r="FO141" s="10" t="str">
        <f t="shared" si="1165"/>
        <v/>
      </c>
      <c r="FP141" s="277" t="str">
        <f t="shared" si="1166"/>
        <v/>
      </c>
      <c r="FQ141" s="173" t="str">
        <f t="shared" si="1167"/>
        <v/>
      </c>
      <c r="FR141" s="10" t="str">
        <f t="shared" si="1168"/>
        <v/>
      </c>
      <c r="FS141" s="9" t="str">
        <f t="shared" si="1169"/>
        <v/>
      </c>
      <c r="FT141" s="6" t="str">
        <f t="shared" si="1170"/>
        <v/>
      </c>
      <c r="FU141" s="4" t="str">
        <f t="shared" si="1171"/>
        <v/>
      </c>
      <c r="FV141" s="5" t="str">
        <f t="shared" si="1172"/>
        <v/>
      </c>
      <c r="FW141" s="8" t="str">
        <f t="shared" si="1173"/>
        <v/>
      </c>
      <c r="FX141" s="9" t="str">
        <f t="shared" si="1174"/>
        <v/>
      </c>
      <c r="FY141" s="10" t="str">
        <f t="shared" si="1175"/>
        <v/>
      </c>
      <c r="FZ141" s="277" t="str">
        <f t="shared" si="1176"/>
        <v/>
      </c>
      <c r="GA141" s="177" t="str">
        <f t="shared" si="1177"/>
        <v/>
      </c>
      <c r="GB141" s="4" t="str">
        <f t="shared" si="1178"/>
        <v/>
      </c>
      <c r="GC141" s="5" t="str">
        <f t="shared" si="1179"/>
        <v/>
      </c>
      <c r="GD141" s="10" t="str">
        <f t="shared" si="1180"/>
        <v/>
      </c>
      <c r="GE141" s="311" t="str">
        <f t="shared" si="1181"/>
        <v/>
      </c>
      <c r="GF141" s="341" t="str">
        <f t="shared" si="1182"/>
        <v/>
      </c>
      <c r="GG141" s="306" t="str">
        <f t="shared" si="1183"/>
        <v/>
      </c>
      <c r="GH141" s="307" t="str">
        <f t="shared" si="1184"/>
        <v/>
      </c>
      <c r="GI141" s="308" t="str">
        <f t="shared" si="1185"/>
        <v/>
      </c>
      <c r="GJ141" s="167" t="str">
        <f t="shared" si="1186"/>
        <v/>
      </c>
      <c r="GK141" s="174" t="str">
        <f t="shared" si="943"/>
        <v/>
      </c>
      <c r="GL141" s="174" t="str">
        <f t="shared" si="1187"/>
        <v/>
      </c>
      <c r="GM141" s="177" t="str">
        <f t="shared" si="1188"/>
        <v/>
      </c>
      <c r="GN141" s="280" t="str">
        <f t="shared" si="1189"/>
        <v/>
      </c>
      <c r="GO141" s="4" t="str">
        <f t="shared" si="1190"/>
        <v/>
      </c>
      <c r="GP141" s="8" t="str">
        <f t="shared" si="1191"/>
        <v/>
      </c>
      <c r="GQ141" s="177" t="str">
        <f t="shared" si="1192"/>
        <v/>
      </c>
      <c r="GR141" s="371" t="str">
        <f t="shared" si="1193"/>
        <v/>
      </c>
      <c r="GS141" s="342" t="str">
        <f t="shared" si="1194"/>
        <v/>
      </c>
      <c r="GT141" s="343" t="str">
        <f t="shared" si="1195"/>
        <v/>
      </c>
      <c r="GU141" s="344" t="str">
        <f t="shared" si="946"/>
        <v/>
      </c>
      <c r="GV141" s="343" t="str">
        <f t="shared" si="1196"/>
        <v/>
      </c>
      <c r="GW141" s="345" t="str">
        <f t="shared" si="947"/>
        <v/>
      </c>
      <c r="GX141" s="346" t="str">
        <f t="shared" si="948"/>
        <v/>
      </c>
      <c r="GY141" s="344" t="str">
        <f t="shared" si="1197"/>
        <v/>
      </c>
      <c r="GZ141" s="345" t="str">
        <f t="shared" si="1198"/>
        <v/>
      </c>
      <c r="HA141" s="342" t="str">
        <f t="shared" si="951"/>
        <v/>
      </c>
      <c r="HB141" s="5" t="str">
        <f t="shared" si="832"/>
        <v/>
      </c>
      <c r="HC141" s="343" t="str">
        <f t="shared" si="1199"/>
        <v/>
      </c>
      <c r="HD141" s="363" t="str">
        <f t="shared" si="1200"/>
        <v/>
      </c>
      <c r="HE141" s="344" t="str">
        <f t="shared" si="952"/>
        <v/>
      </c>
      <c r="HF141" s="5" t="str">
        <f t="shared" si="953"/>
        <v/>
      </c>
      <c r="HG141" s="343" t="str">
        <f t="shared" si="1201"/>
        <v/>
      </c>
      <c r="HH141" s="349" t="str">
        <f t="shared" si="1202"/>
        <v/>
      </c>
      <c r="HI141" s="317" t="str">
        <f t="shared" si="1242"/>
        <v/>
      </c>
      <c r="HK141" s="310" t="str">
        <f t="shared" si="1276"/>
        <v/>
      </c>
      <c r="HL141" s="348" t="str">
        <f t="shared" si="1243"/>
        <v/>
      </c>
      <c r="HM141" s="935" t="str">
        <f t="shared" si="1244"/>
        <v/>
      </c>
      <c r="HN141" s="936" t="str">
        <f t="shared" si="1245"/>
        <v/>
      </c>
      <c r="HO141" s="937"/>
      <c r="HP141" s="938"/>
      <c r="HQ141" s="936" t="str">
        <f t="shared" si="1246"/>
        <v/>
      </c>
      <c r="HR141" s="939" t="str">
        <f t="shared" si="1247"/>
        <v/>
      </c>
      <c r="HS141" s="940" t="str">
        <f t="shared" si="1203"/>
        <v/>
      </c>
      <c r="HT141" s="941" t="str">
        <f t="shared" si="1248"/>
        <v/>
      </c>
      <c r="HU141" s="942" t="str">
        <f t="shared" si="1249"/>
        <v/>
      </c>
      <c r="HV141" s="943" t="str">
        <f t="shared" si="1250"/>
        <v/>
      </c>
      <c r="HW141" s="944" t="str">
        <f t="shared" si="1251"/>
        <v/>
      </c>
      <c r="HX141" s="947" t="str">
        <f t="shared" si="1252"/>
        <v/>
      </c>
      <c r="HY141" s="952" t="str">
        <f t="shared" si="1253"/>
        <v/>
      </c>
      <c r="HZ141" s="953" t="str">
        <f t="shared" si="1254"/>
        <v/>
      </c>
      <c r="IA141" s="954" t="str">
        <f t="shared" si="1255"/>
        <v/>
      </c>
      <c r="IB141" s="955" t="str">
        <f t="shared" si="1256"/>
        <v/>
      </c>
      <c r="IC141" s="842" t="str">
        <f t="shared" si="1257"/>
        <v/>
      </c>
      <c r="ID141" s="351" t="str">
        <f t="shared" si="1258"/>
        <v/>
      </c>
      <c r="IE141" s="844" t="str">
        <f t="shared" si="1259"/>
        <v/>
      </c>
      <c r="IF141" s="845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80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60"/>
        <v/>
      </c>
      <c r="IM141" s="482" t="str">
        <f t="shared" si="1281"/>
        <v/>
      </c>
      <c r="IN141" s="670" t="str">
        <f t="shared" si="1261"/>
        <v/>
      </c>
      <c r="IO141" s="702"/>
      <c r="IP141" s="5" t="str">
        <f t="shared" si="1262"/>
        <v/>
      </c>
      <c r="IQ141" s="714"/>
      <c r="IR141" s="9" t="str">
        <f t="shared" si="1263"/>
        <v/>
      </c>
      <c r="IS141" s="5" t="str">
        <f t="shared" si="1264"/>
        <v/>
      </c>
      <c r="IT141" s="5" t="str">
        <f t="shared" si="1265"/>
        <v/>
      </c>
      <c r="IU141" s="5" t="str">
        <f t="shared" si="1266"/>
        <v/>
      </c>
      <c r="IV141" s="670" t="str">
        <f t="shared" si="1267"/>
        <v/>
      </c>
      <c r="IW141" s="9" t="str">
        <f t="shared" si="1268"/>
        <v/>
      </c>
      <c r="IX141" s="5" t="str">
        <f t="shared" si="1269"/>
        <v/>
      </c>
      <c r="IY141" s="5" t="str">
        <f t="shared" si="1270"/>
        <v/>
      </c>
      <c r="IZ141" s="5" t="str">
        <f t="shared" si="1271"/>
        <v/>
      </c>
      <c r="JA141" s="705" t="str">
        <f t="shared" si="1272"/>
        <v/>
      </c>
    </row>
    <row r="142" spans="1:261" ht="15" customHeight="1" x14ac:dyDescent="0.25">
      <c r="A142" s="75" t="str">
        <f t="shared" si="1216"/>
        <v/>
      </c>
      <c r="B142" s="585" t="str">
        <f t="shared" ref="B142:D142" si="1286">IFERROR(O297+($A142*-E142),"")</f>
        <v/>
      </c>
      <c r="C142" s="582" t="str">
        <f t="shared" si="1286"/>
        <v/>
      </c>
      <c r="D142" s="583" t="str">
        <f t="shared" si="1286"/>
        <v/>
      </c>
      <c r="E142" s="588" t="str">
        <f t="shared" ref="E142:K142" si="1287">R297</f>
        <v/>
      </c>
      <c r="F142" s="582" t="str">
        <f t="shared" si="1287"/>
        <v/>
      </c>
      <c r="G142" s="586" t="str">
        <f t="shared" si="1287"/>
        <v/>
      </c>
      <c r="H142" s="588" t="str">
        <f t="shared" si="1287"/>
        <v/>
      </c>
      <c r="I142" s="582" t="str">
        <f t="shared" si="1287"/>
        <v/>
      </c>
      <c r="J142" s="491" t="str">
        <f t="shared" si="1275"/>
        <v/>
      </c>
      <c r="K142" s="807" t="str">
        <f t="shared" si="1287"/>
        <v/>
      </c>
      <c r="L142" s="309"/>
      <c r="M142" s="492" t="str">
        <f t="shared" si="1219"/>
        <v/>
      </c>
      <c r="N142" s="581" t="str">
        <f t="shared" si="1220"/>
        <v/>
      </c>
      <c r="O142" s="582" t="str">
        <f t="shared" si="1221"/>
        <v/>
      </c>
      <c r="P142" s="583" t="str">
        <f t="shared" si="1222"/>
        <v/>
      </c>
      <c r="Q142" s="536" t="str">
        <f t="shared" si="1061"/>
        <v/>
      </c>
      <c r="R142" s="582" t="str">
        <f t="shared" si="1062"/>
        <v/>
      </c>
      <c r="S142" s="584" t="str">
        <f t="shared" si="1063"/>
        <v/>
      </c>
      <c r="T142" s="585" t="str">
        <f t="shared" si="1064"/>
        <v/>
      </c>
      <c r="U142" s="582" t="str">
        <f t="shared" si="1065"/>
        <v/>
      </c>
      <c r="V142" s="586" t="str">
        <f t="shared" si="1066"/>
        <v/>
      </c>
      <c r="W142" s="536" t="str">
        <f t="shared" si="1067"/>
        <v/>
      </c>
      <c r="X142" s="582" t="str">
        <f t="shared" si="1068"/>
        <v/>
      </c>
      <c r="Y142" s="587" t="str">
        <f t="shared" si="1069"/>
        <v/>
      </c>
      <c r="Z142" s="581" t="str">
        <f t="shared" si="1223"/>
        <v/>
      </c>
      <c r="AA142" s="582" t="str">
        <f t="shared" si="1224"/>
        <v/>
      </c>
      <c r="AB142" s="582" t="str">
        <f t="shared" si="1225"/>
        <v/>
      </c>
      <c r="AC142" s="586" t="str">
        <f t="shared" si="1070"/>
        <v/>
      </c>
      <c r="AD142" s="588" t="str">
        <f t="shared" si="1071"/>
        <v/>
      </c>
      <c r="AE142" s="582" t="str">
        <f t="shared" si="1072"/>
        <v/>
      </c>
      <c r="AF142" s="583" t="str">
        <f t="shared" si="1073"/>
        <v/>
      </c>
      <c r="AG142" s="547" t="str">
        <f t="shared" si="1074"/>
        <v/>
      </c>
      <c r="AH142" s="548" t="str">
        <f t="shared" si="1075"/>
        <v/>
      </c>
      <c r="AI142" s="536" t="str">
        <f t="shared" si="1076"/>
        <v/>
      </c>
      <c r="AJ142" s="537" t="str">
        <f t="shared" si="1077"/>
        <v/>
      </c>
      <c r="AK142" s="585" t="str">
        <f t="shared" si="1078"/>
        <v/>
      </c>
      <c r="AL142" s="582" t="str">
        <f t="shared" si="1079"/>
        <v/>
      </c>
      <c r="AM142" s="584" t="str">
        <f t="shared" si="1080"/>
        <v/>
      </c>
      <c r="AN142" s="534" t="str">
        <f t="shared" si="1081"/>
        <v/>
      </c>
      <c r="AO142" s="535" t="str">
        <f t="shared" si="1040"/>
        <v/>
      </c>
      <c r="AP142" s="536" t="str">
        <f t="shared" si="1082"/>
        <v/>
      </c>
      <c r="AQ142" s="537" t="str">
        <f t="shared" si="1226"/>
        <v/>
      </c>
      <c r="AS142" s="901" t="str">
        <f t="shared" si="1279"/>
        <v/>
      </c>
      <c r="AT142" s="897" t="str">
        <f t="shared" si="1227"/>
        <v/>
      </c>
      <c r="AU142" s="418"/>
      <c r="AV142" s="164" t="str">
        <f t="shared" si="1228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083"/>
        <v/>
      </c>
      <c r="BA142" s="505" t="str">
        <f t="shared" si="1084"/>
        <v/>
      </c>
      <c r="BB142" s="506" t="str">
        <f t="shared" si="713"/>
        <v/>
      </c>
      <c r="BC142" s="496"/>
      <c r="BD142" s="494" t="str">
        <f t="shared" si="1085"/>
        <v/>
      </c>
      <c r="BE142" s="497" t="str">
        <f t="shared" si="1229"/>
        <v/>
      </c>
      <c r="BF142" s="498" t="str">
        <f t="shared" si="1230"/>
        <v/>
      </c>
      <c r="BG142" s="494" t="str">
        <f t="shared" si="1231"/>
        <v/>
      </c>
      <c r="BH142" s="495" t="str">
        <f t="shared" si="1232"/>
        <v/>
      </c>
      <c r="BI142" s="496" t="str">
        <f t="shared" si="1086"/>
        <v/>
      </c>
      <c r="BJ142" s="494" t="str">
        <f t="shared" si="1233"/>
        <v/>
      </c>
      <c r="BK142" s="499" t="str">
        <f t="shared" si="1234"/>
        <v/>
      </c>
      <c r="BL142" s="502" t="str">
        <f t="shared" si="1235"/>
        <v/>
      </c>
      <c r="BM142" s="494" t="str">
        <f t="shared" si="1236"/>
        <v/>
      </c>
      <c r="BN142" s="497" t="str">
        <f t="shared" si="1237"/>
        <v/>
      </c>
      <c r="BO142" s="498" t="str">
        <f t="shared" si="1087"/>
        <v/>
      </c>
      <c r="BP142" s="494" t="str">
        <f t="shared" si="1088"/>
        <v/>
      </c>
      <c r="BQ142" s="494" t="str">
        <f t="shared" si="1089"/>
        <v/>
      </c>
      <c r="BR142" s="497" t="str">
        <f t="shared" si="1090"/>
        <v/>
      </c>
      <c r="BS142" s="498" t="str">
        <f t="shared" si="1006"/>
        <v/>
      </c>
      <c r="BT142" s="494" t="str">
        <f t="shared" si="1006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1"/>
        <v/>
      </c>
      <c r="CC142" s="494" t="str">
        <f t="shared" si="1092"/>
        <v/>
      </c>
      <c r="CD142" s="494" t="str">
        <f t="shared" si="1093"/>
        <v/>
      </c>
      <c r="CE142" s="497" t="str">
        <f t="shared" si="1094"/>
        <v/>
      </c>
      <c r="CF142" s="498" t="str">
        <f t="shared" si="1095"/>
        <v/>
      </c>
      <c r="CG142" s="494" t="str">
        <f t="shared" si="1096"/>
        <v/>
      </c>
      <c r="CH142" s="494" t="str">
        <f t="shared" si="1097"/>
        <v/>
      </c>
      <c r="CI142" s="498" t="str">
        <f t="shared" si="723"/>
        <v/>
      </c>
      <c r="CJ142" s="494" t="str">
        <f t="shared" si="1098"/>
        <v/>
      </c>
      <c r="CK142" s="499" t="str">
        <f t="shared" si="1099"/>
        <v/>
      </c>
      <c r="CL142" s="502" t="str">
        <f t="shared" si="1100"/>
        <v/>
      </c>
      <c r="CM142" s="494" t="str">
        <f t="shared" si="1101"/>
        <v/>
      </c>
      <c r="CN142" s="497" t="str">
        <f t="shared" si="1102"/>
        <v/>
      </c>
      <c r="CO142" s="507" t="str">
        <f t="shared" si="1238"/>
        <v/>
      </c>
      <c r="CP142" s="498" t="str">
        <f t="shared" si="1103"/>
        <v/>
      </c>
      <c r="CQ142" s="494" t="str">
        <f t="shared" si="1104"/>
        <v/>
      </c>
      <c r="CR142" s="494" t="str">
        <f t="shared" si="1105"/>
        <v/>
      </c>
      <c r="CS142" s="499" t="str">
        <f t="shared" si="1106"/>
        <v/>
      </c>
      <c r="CT142" s="496" t="str">
        <f t="shared" si="1107"/>
        <v/>
      </c>
      <c r="CU142" s="497" t="str">
        <f t="shared" si="1108"/>
        <v/>
      </c>
      <c r="CV142" s="498" t="str">
        <f t="shared" si="1109"/>
        <v/>
      </c>
      <c r="CW142" s="494" t="str">
        <f t="shared" si="1110"/>
        <v/>
      </c>
      <c r="CX142" s="499" t="str">
        <f t="shared" si="1111"/>
        <v/>
      </c>
      <c r="CY142" s="496" t="str">
        <f t="shared" si="1112"/>
        <v/>
      </c>
      <c r="CZ142" s="494" t="str">
        <f t="shared" si="1113"/>
        <v/>
      </c>
      <c r="DA142" s="497" t="str">
        <f t="shared" si="1114"/>
        <v/>
      </c>
      <c r="DB142" s="498" t="str">
        <f t="shared" si="1012"/>
        <v/>
      </c>
      <c r="DC142" s="494" t="str">
        <f t="shared" si="1012"/>
        <v/>
      </c>
      <c r="DD142" s="495" t="str">
        <f t="shared" si="764"/>
        <v/>
      </c>
      <c r="DE142" s="496" t="str">
        <f t="shared" si="1013"/>
        <v/>
      </c>
      <c r="DF142" s="494" t="str">
        <f t="shared" si="1013"/>
        <v/>
      </c>
      <c r="DG142" s="495" t="str">
        <f t="shared" si="766"/>
        <v/>
      </c>
      <c r="DH142" s="501" t="str">
        <f t="shared" si="1115"/>
        <v/>
      </c>
      <c r="DI142" s="498" t="str">
        <f t="shared" si="1116"/>
        <v/>
      </c>
      <c r="DJ142" s="494" t="str">
        <f t="shared" si="1117"/>
        <v/>
      </c>
      <c r="DK142" s="495" t="str">
        <f t="shared" si="1118"/>
        <v/>
      </c>
      <c r="DL142" s="496" t="str">
        <f t="shared" si="1119"/>
        <v/>
      </c>
      <c r="DM142" s="502" t="str">
        <f t="shared" si="1120"/>
        <v/>
      </c>
      <c r="DN142" s="508" t="str">
        <f t="shared" si="1121"/>
        <v/>
      </c>
      <c r="DO142" s="496" t="str">
        <f t="shared" si="1122"/>
        <v/>
      </c>
      <c r="DP142" s="502" t="str">
        <f t="shared" si="1123"/>
        <v/>
      </c>
      <c r="DQ142" s="503" t="str">
        <f t="shared" si="1124"/>
        <v/>
      </c>
      <c r="DR142" s="502" t="str">
        <f t="shared" si="1125"/>
        <v/>
      </c>
      <c r="DS142" s="494" t="str">
        <f t="shared" si="1126"/>
        <v/>
      </c>
      <c r="DT142" s="494" t="str">
        <f t="shared" si="1127"/>
        <v/>
      </c>
      <c r="DU142" s="494" t="str">
        <f t="shared" si="1128"/>
        <v/>
      </c>
      <c r="DV142" s="494" t="str">
        <f t="shared" si="1129"/>
        <v/>
      </c>
      <c r="DW142" s="494" t="str">
        <f t="shared" si="1130"/>
        <v/>
      </c>
      <c r="DX142" s="507" t="str">
        <f t="shared" si="1131"/>
        <v/>
      </c>
      <c r="DY142" s="496" t="str">
        <f t="shared" si="1132"/>
        <v/>
      </c>
      <c r="DZ142" s="494" t="str">
        <f t="shared" si="1133"/>
        <v/>
      </c>
      <c r="EA142" s="495" t="str">
        <f t="shared" si="1134"/>
        <v/>
      </c>
      <c r="EB142" s="497" t="str">
        <f t="shared" si="1135"/>
        <v/>
      </c>
      <c r="EC142" s="502" t="str">
        <f t="shared" si="1136"/>
        <v/>
      </c>
      <c r="ED142" s="494" t="str">
        <f t="shared" si="1137"/>
        <v/>
      </c>
      <c r="EE142" s="498" t="str">
        <f t="shared" si="1138"/>
        <v/>
      </c>
      <c r="EF142" s="494" t="str">
        <f t="shared" si="1139"/>
        <v/>
      </c>
      <c r="EG142" s="495" t="str">
        <f t="shared" si="1140"/>
        <v/>
      </c>
      <c r="EH142" s="496" t="str">
        <f t="shared" si="1141"/>
        <v/>
      </c>
      <c r="EI142" s="494" t="str">
        <f t="shared" si="1142"/>
        <v/>
      </c>
      <c r="EJ142" s="497" t="str">
        <f t="shared" si="1143"/>
        <v/>
      </c>
      <c r="EK142" s="509" t="str">
        <f t="shared" si="796"/>
        <v/>
      </c>
      <c r="EL142" s="510" t="str">
        <f t="shared" si="797"/>
        <v/>
      </c>
      <c r="EM142" s="498" t="str">
        <f t="shared" si="1144"/>
        <v/>
      </c>
      <c r="EN142" s="494" t="str">
        <f t="shared" si="1145"/>
        <v/>
      </c>
      <c r="EO142" s="495" t="str">
        <f t="shared" si="1146"/>
        <v/>
      </c>
      <c r="EP142" s="496" t="str">
        <f t="shared" si="1147"/>
        <v/>
      </c>
      <c r="EQ142" s="494" t="str">
        <f t="shared" si="1148"/>
        <v/>
      </c>
      <c r="ER142" s="500" t="str">
        <f t="shared" si="1149"/>
        <v/>
      </c>
      <c r="ES142" s="493" t="str">
        <f t="shared" si="1239"/>
        <v/>
      </c>
      <c r="ET142" s="494" t="str">
        <f t="shared" si="1240"/>
        <v/>
      </c>
      <c r="EU142" s="495" t="str">
        <f t="shared" si="1241"/>
        <v/>
      </c>
      <c r="EV142" s="174" t="str">
        <f t="shared" si="1150"/>
        <v/>
      </c>
      <c r="EW142" s="496" t="str">
        <f t="shared" si="1151"/>
        <v/>
      </c>
      <c r="EX142" s="494" t="str">
        <f t="shared" si="1152"/>
        <v/>
      </c>
      <c r="EY142" s="497" t="str">
        <f t="shared" si="1153"/>
        <v/>
      </c>
      <c r="EZ142" s="504" t="str">
        <f t="shared" si="805"/>
        <v/>
      </c>
      <c r="FA142" s="502" t="str">
        <f t="shared" si="929"/>
        <v/>
      </c>
      <c r="FB142" s="494" t="str">
        <f t="shared" si="930"/>
        <v/>
      </c>
      <c r="FC142" s="497" t="str">
        <f t="shared" si="931"/>
        <v/>
      </c>
      <c r="FD142" s="498" t="str">
        <f t="shared" si="1154"/>
        <v/>
      </c>
      <c r="FE142" s="494" t="str">
        <f t="shared" si="1155"/>
        <v/>
      </c>
      <c r="FF142" s="500" t="str">
        <f t="shared" si="1156"/>
        <v/>
      </c>
      <c r="FG142" s="173" t="str">
        <f t="shared" si="1157"/>
        <v/>
      </c>
      <c r="FH142" s="5" t="str">
        <f t="shared" si="1158"/>
        <v/>
      </c>
      <c r="FI142" s="10" t="str">
        <f t="shared" si="1159"/>
        <v/>
      </c>
      <c r="FJ142" s="279" t="str">
        <f t="shared" si="1160"/>
        <v/>
      </c>
      <c r="FK142" s="4" t="str">
        <f t="shared" si="1161"/>
        <v/>
      </c>
      <c r="FL142" s="5" t="str">
        <f t="shared" si="1162"/>
        <v/>
      </c>
      <c r="FM142" s="8" t="str">
        <f t="shared" si="1163"/>
        <v/>
      </c>
      <c r="FN142" s="9" t="str">
        <f t="shared" si="1164"/>
        <v/>
      </c>
      <c r="FO142" s="10" t="str">
        <f t="shared" si="1165"/>
        <v/>
      </c>
      <c r="FP142" s="277" t="str">
        <f t="shared" si="1166"/>
        <v/>
      </c>
      <c r="FQ142" s="173" t="str">
        <f t="shared" si="1167"/>
        <v/>
      </c>
      <c r="FR142" s="10" t="str">
        <f t="shared" si="1168"/>
        <v/>
      </c>
      <c r="FS142" s="9" t="str">
        <f t="shared" si="1169"/>
        <v/>
      </c>
      <c r="FT142" s="6" t="str">
        <f t="shared" si="1170"/>
        <v/>
      </c>
      <c r="FU142" s="4" t="str">
        <f t="shared" si="1171"/>
        <v/>
      </c>
      <c r="FV142" s="5" t="str">
        <f t="shared" si="1172"/>
        <v/>
      </c>
      <c r="FW142" s="8" t="str">
        <f t="shared" si="1173"/>
        <v/>
      </c>
      <c r="FX142" s="9" t="str">
        <f t="shared" si="1174"/>
        <v/>
      </c>
      <c r="FY142" s="10" t="str">
        <f t="shared" si="1175"/>
        <v/>
      </c>
      <c r="FZ142" s="277" t="str">
        <f t="shared" si="1176"/>
        <v/>
      </c>
      <c r="GA142" s="177" t="str">
        <f t="shared" si="1177"/>
        <v/>
      </c>
      <c r="GB142" s="4" t="str">
        <f t="shared" si="1178"/>
        <v/>
      </c>
      <c r="GC142" s="5" t="str">
        <f t="shared" si="1179"/>
        <v/>
      </c>
      <c r="GD142" s="10" t="str">
        <f t="shared" si="1180"/>
        <v/>
      </c>
      <c r="GE142" s="311" t="str">
        <f t="shared" si="1181"/>
        <v/>
      </c>
      <c r="GF142" s="341" t="str">
        <f t="shared" si="1182"/>
        <v/>
      </c>
      <c r="GG142" s="306" t="str">
        <f t="shared" si="1183"/>
        <v/>
      </c>
      <c r="GH142" s="307" t="str">
        <f t="shared" si="1184"/>
        <v/>
      </c>
      <c r="GI142" s="308" t="str">
        <f t="shared" si="1185"/>
        <v/>
      </c>
      <c r="GJ142" s="167" t="str">
        <f t="shared" si="1186"/>
        <v/>
      </c>
      <c r="GK142" s="174" t="str">
        <f t="shared" si="943"/>
        <v/>
      </c>
      <c r="GL142" s="174" t="str">
        <f t="shared" si="1187"/>
        <v/>
      </c>
      <c r="GM142" s="177" t="str">
        <f t="shared" si="1188"/>
        <v/>
      </c>
      <c r="GN142" s="280" t="str">
        <f t="shared" si="1189"/>
        <v/>
      </c>
      <c r="GO142" s="4" t="str">
        <f t="shared" si="1190"/>
        <v/>
      </c>
      <c r="GP142" s="8" t="str">
        <f t="shared" si="1191"/>
        <v/>
      </c>
      <c r="GQ142" s="177" t="str">
        <f t="shared" si="1192"/>
        <v/>
      </c>
      <c r="GR142" s="371" t="str">
        <f t="shared" si="1193"/>
        <v/>
      </c>
      <c r="GS142" s="342" t="str">
        <f t="shared" si="1194"/>
        <v/>
      </c>
      <c r="GT142" s="343" t="str">
        <f t="shared" si="1195"/>
        <v/>
      </c>
      <c r="GU142" s="344" t="str">
        <f t="shared" si="946"/>
        <v/>
      </c>
      <c r="GV142" s="343" t="str">
        <f t="shared" si="1196"/>
        <v/>
      </c>
      <c r="GW142" s="345" t="str">
        <f t="shared" si="947"/>
        <v/>
      </c>
      <c r="GX142" s="346" t="str">
        <f t="shared" si="948"/>
        <v/>
      </c>
      <c r="GY142" s="344" t="str">
        <f t="shared" si="1197"/>
        <v/>
      </c>
      <c r="GZ142" s="345" t="str">
        <f t="shared" si="1198"/>
        <v/>
      </c>
      <c r="HA142" s="342" t="str">
        <f t="shared" si="951"/>
        <v/>
      </c>
      <c r="HB142" s="5" t="str">
        <f t="shared" si="832"/>
        <v/>
      </c>
      <c r="HC142" s="343" t="str">
        <f t="shared" si="1199"/>
        <v/>
      </c>
      <c r="HD142" s="363" t="str">
        <f t="shared" si="1200"/>
        <v/>
      </c>
      <c r="HE142" s="344" t="str">
        <f t="shared" si="952"/>
        <v/>
      </c>
      <c r="HF142" s="5" t="str">
        <f t="shared" si="953"/>
        <v/>
      </c>
      <c r="HG142" s="343" t="str">
        <f t="shared" si="1201"/>
        <v/>
      </c>
      <c r="HH142" s="349" t="str">
        <f t="shared" si="1202"/>
        <v/>
      </c>
      <c r="HI142" s="317" t="str">
        <f t="shared" si="1242"/>
        <v/>
      </c>
      <c r="HK142" s="310" t="str">
        <f t="shared" si="1276"/>
        <v/>
      </c>
      <c r="HL142" s="348" t="str">
        <f t="shared" si="1243"/>
        <v/>
      </c>
      <c r="HM142" s="935" t="str">
        <f t="shared" si="1244"/>
        <v/>
      </c>
      <c r="HN142" s="936" t="str">
        <f t="shared" si="1245"/>
        <v/>
      </c>
      <c r="HO142" s="937"/>
      <c r="HP142" s="938"/>
      <c r="HQ142" s="936" t="str">
        <f t="shared" si="1246"/>
        <v/>
      </c>
      <c r="HR142" s="939" t="str">
        <f t="shared" si="1247"/>
        <v/>
      </c>
      <c r="HS142" s="940" t="str">
        <f t="shared" si="1203"/>
        <v/>
      </c>
      <c r="HT142" s="941" t="str">
        <f t="shared" si="1248"/>
        <v/>
      </c>
      <c r="HU142" s="942" t="str">
        <f t="shared" si="1249"/>
        <v/>
      </c>
      <c r="HV142" s="943" t="str">
        <f t="shared" si="1250"/>
        <v/>
      </c>
      <c r="HW142" s="944" t="str">
        <f t="shared" si="1251"/>
        <v/>
      </c>
      <c r="HX142" s="947" t="str">
        <f t="shared" si="1252"/>
        <v/>
      </c>
      <c r="HY142" s="952" t="str">
        <f t="shared" si="1253"/>
        <v/>
      </c>
      <c r="HZ142" s="953" t="str">
        <f t="shared" si="1254"/>
        <v/>
      </c>
      <c r="IA142" s="954" t="str">
        <f t="shared" si="1255"/>
        <v/>
      </c>
      <c r="IB142" s="955" t="str">
        <f t="shared" si="1256"/>
        <v/>
      </c>
      <c r="IC142" s="842" t="str">
        <f t="shared" si="1257"/>
        <v/>
      </c>
      <c r="ID142" s="351" t="str">
        <f t="shared" si="1258"/>
        <v/>
      </c>
      <c r="IE142" s="844" t="str">
        <f t="shared" si="1259"/>
        <v/>
      </c>
      <c r="IF142" s="845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80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60"/>
        <v/>
      </c>
      <c r="IM142" s="482" t="str">
        <f t="shared" si="1281"/>
        <v/>
      </c>
      <c r="IN142" s="670" t="str">
        <f t="shared" si="1261"/>
        <v/>
      </c>
      <c r="IO142" s="702"/>
      <c r="IP142" s="5" t="str">
        <f t="shared" si="1262"/>
        <v/>
      </c>
      <c r="IQ142" s="714"/>
      <c r="IR142" s="9" t="str">
        <f t="shared" si="1263"/>
        <v/>
      </c>
      <c r="IS142" s="5" t="str">
        <f t="shared" si="1264"/>
        <v/>
      </c>
      <c r="IT142" s="5" t="str">
        <f t="shared" si="1265"/>
        <v/>
      </c>
      <c r="IU142" s="5" t="str">
        <f t="shared" si="1266"/>
        <v/>
      </c>
      <c r="IV142" s="670" t="str">
        <f t="shared" si="1267"/>
        <v/>
      </c>
      <c r="IW142" s="9" t="str">
        <f t="shared" si="1268"/>
        <v/>
      </c>
      <c r="IX142" s="5" t="str">
        <f t="shared" si="1269"/>
        <v/>
      </c>
      <c r="IY142" s="5" t="str">
        <f t="shared" si="1270"/>
        <v/>
      </c>
      <c r="IZ142" s="5" t="str">
        <f t="shared" si="1271"/>
        <v/>
      </c>
      <c r="JA142" s="705" t="str">
        <f t="shared" si="1272"/>
        <v/>
      </c>
    </row>
    <row r="143" spans="1:261" ht="15" customHeight="1" x14ac:dyDescent="0.25">
      <c r="A143" s="75" t="str">
        <f t="shared" si="1216"/>
        <v/>
      </c>
      <c r="B143" s="585" t="str">
        <f t="shared" ref="B143:D143" si="1288">IFERROR(O298+($A143*-E143),"")</f>
        <v/>
      </c>
      <c r="C143" s="582" t="str">
        <f t="shared" si="1288"/>
        <v/>
      </c>
      <c r="D143" s="583" t="str">
        <f t="shared" si="1288"/>
        <v/>
      </c>
      <c r="E143" s="588" t="str">
        <f t="shared" ref="E143:K143" si="1289">R298</f>
        <v/>
      </c>
      <c r="F143" s="582" t="str">
        <f t="shared" si="1289"/>
        <v/>
      </c>
      <c r="G143" s="586" t="str">
        <f t="shared" si="1289"/>
        <v/>
      </c>
      <c r="H143" s="588" t="str">
        <f t="shared" si="1289"/>
        <v/>
      </c>
      <c r="I143" s="582" t="str">
        <f t="shared" si="1289"/>
        <v/>
      </c>
      <c r="J143" s="491" t="str">
        <f t="shared" si="1275"/>
        <v/>
      </c>
      <c r="K143" s="807" t="str">
        <f t="shared" si="1289"/>
        <v/>
      </c>
      <c r="L143" s="309"/>
      <c r="M143" s="492" t="str">
        <f t="shared" si="1219"/>
        <v/>
      </c>
      <c r="N143" s="581" t="str">
        <f t="shared" si="1220"/>
        <v/>
      </c>
      <c r="O143" s="582" t="str">
        <f t="shared" si="1221"/>
        <v/>
      </c>
      <c r="P143" s="583" t="str">
        <f t="shared" si="1222"/>
        <v/>
      </c>
      <c r="Q143" s="536" t="str">
        <f t="shared" si="1061"/>
        <v/>
      </c>
      <c r="R143" s="582" t="str">
        <f t="shared" si="1062"/>
        <v/>
      </c>
      <c r="S143" s="584" t="str">
        <f t="shared" si="1063"/>
        <v/>
      </c>
      <c r="T143" s="585" t="str">
        <f t="shared" si="1064"/>
        <v/>
      </c>
      <c r="U143" s="582" t="str">
        <f t="shared" si="1065"/>
        <v/>
      </c>
      <c r="V143" s="586" t="str">
        <f t="shared" si="1066"/>
        <v/>
      </c>
      <c r="W143" s="536" t="str">
        <f t="shared" si="1067"/>
        <v/>
      </c>
      <c r="X143" s="582" t="str">
        <f t="shared" si="1068"/>
        <v/>
      </c>
      <c r="Y143" s="587" t="str">
        <f t="shared" si="1069"/>
        <v/>
      </c>
      <c r="Z143" s="581" t="str">
        <f t="shared" si="1223"/>
        <v/>
      </c>
      <c r="AA143" s="582" t="str">
        <f t="shared" si="1224"/>
        <v/>
      </c>
      <c r="AB143" s="582" t="str">
        <f t="shared" si="1225"/>
        <v/>
      </c>
      <c r="AC143" s="586" t="str">
        <f t="shared" si="1070"/>
        <v/>
      </c>
      <c r="AD143" s="588" t="str">
        <f t="shared" si="1071"/>
        <v/>
      </c>
      <c r="AE143" s="582" t="str">
        <f t="shared" si="1072"/>
        <v/>
      </c>
      <c r="AF143" s="583" t="str">
        <f t="shared" si="1073"/>
        <v/>
      </c>
      <c r="AG143" s="547" t="str">
        <f t="shared" si="1074"/>
        <v/>
      </c>
      <c r="AH143" s="548" t="str">
        <f t="shared" si="1075"/>
        <v/>
      </c>
      <c r="AI143" s="536" t="str">
        <f t="shared" si="1076"/>
        <v/>
      </c>
      <c r="AJ143" s="537" t="str">
        <f t="shared" si="1077"/>
        <v/>
      </c>
      <c r="AK143" s="585" t="str">
        <f t="shared" si="1078"/>
        <v/>
      </c>
      <c r="AL143" s="582" t="str">
        <f t="shared" si="1079"/>
        <v/>
      </c>
      <c r="AM143" s="584" t="str">
        <f t="shared" si="1080"/>
        <v/>
      </c>
      <c r="AN143" s="534" t="str">
        <f t="shared" si="1081"/>
        <v/>
      </c>
      <c r="AO143" s="535" t="str">
        <f t="shared" si="1040"/>
        <v/>
      </c>
      <c r="AP143" s="536" t="str">
        <f t="shared" si="1082"/>
        <v/>
      </c>
      <c r="AQ143" s="537" t="str">
        <f t="shared" si="1226"/>
        <v/>
      </c>
      <c r="AS143" s="901" t="str">
        <f t="shared" si="1279"/>
        <v/>
      </c>
      <c r="AT143" s="897" t="str">
        <f t="shared" si="1227"/>
        <v/>
      </c>
      <c r="AU143" s="418"/>
      <c r="AV143" s="164" t="str">
        <f t="shared" si="1228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083"/>
        <v/>
      </c>
      <c r="BA143" s="505" t="str">
        <f t="shared" si="1084"/>
        <v/>
      </c>
      <c r="BB143" s="506" t="str">
        <f t="shared" si="713"/>
        <v/>
      </c>
      <c r="BC143" s="496"/>
      <c r="BD143" s="494" t="str">
        <f t="shared" si="1085"/>
        <v/>
      </c>
      <c r="BE143" s="497" t="str">
        <f t="shared" si="1229"/>
        <v/>
      </c>
      <c r="BF143" s="498" t="str">
        <f t="shared" si="1230"/>
        <v/>
      </c>
      <c r="BG143" s="494" t="str">
        <f t="shared" si="1231"/>
        <v/>
      </c>
      <c r="BH143" s="495" t="str">
        <f t="shared" si="1232"/>
        <v/>
      </c>
      <c r="BI143" s="496" t="str">
        <f t="shared" si="1086"/>
        <v/>
      </c>
      <c r="BJ143" s="494" t="str">
        <f t="shared" si="1233"/>
        <v/>
      </c>
      <c r="BK143" s="499" t="str">
        <f t="shared" si="1234"/>
        <v/>
      </c>
      <c r="BL143" s="502" t="str">
        <f t="shared" si="1235"/>
        <v/>
      </c>
      <c r="BM143" s="494" t="str">
        <f t="shared" si="1236"/>
        <v/>
      </c>
      <c r="BN143" s="497" t="str">
        <f t="shared" si="1237"/>
        <v/>
      </c>
      <c r="BO143" s="498" t="str">
        <f t="shared" si="1087"/>
        <v/>
      </c>
      <c r="BP143" s="494" t="str">
        <f t="shared" si="1088"/>
        <v/>
      </c>
      <c r="BQ143" s="494" t="str">
        <f t="shared" si="1089"/>
        <v/>
      </c>
      <c r="BR143" s="497" t="str">
        <f t="shared" si="1090"/>
        <v/>
      </c>
      <c r="BS143" s="498" t="str">
        <f t="shared" si="1006"/>
        <v/>
      </c>
      <c r="BT143" s="494" t="str">
        <f t="shared" si="1006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1"/>
        <v/>
      </c>
      <c r="CC143" s="494" t="str">
        <f t="shared" si="1092"/>
        <v/>
      </c>
      <c r="CD143" s="494" t="str">
        <f t="shared" si="1093"/>
        <v/>
      </c>
      <c r="CE143" s="497" t="str">
        <f t="shared" si="1094"/>
        <v/>
      </c>
      <c r="CF143" s="498" t="str">
        <f t="shared" si="1095"/>
        <v/>
      </c>
      <c r="CG143" s="494" t="str">
        <f t="shared" si="1096"/>
        <v/>
      </c>
      <c r="CH143" s="494" t="str">
        <f t="shared" si="1097"/>
        <v/>
      </c>
      <c r="CI143" s="498" t="str">
        <f t="shared" si="723"/>
        <v/>
      </c>
      <c r="CJ143" s="494" t="str">
        <f t="shared" si="1098"/>
        <v/>
      </c>
      <c r="CK143" s="499" t="str">
        <f t="shared" si="1099"/>
        <v/>
      </c>
      <c r="CL143" s="502" t="str">
        <f t="shared" si="1100"/>
        <v/>
      </c>
      <c r="CM143" s="494" t="str">
        <f t="shared" si="1101"/>
        <v/>
      </c>
      <c r="CN143" s="497" t="str">
        <f t="shared" si="1102"/>
        <v/>
      </c>
      <c r="CO143" s="507" t="str">
        <f t="shared" si="1238"/>
        <v/>
      </c>
      <c r="CP143" s="498" t="str">
        <f t="shared" si="1103"/>
        <v/>
      </c>
      <c r="CQ143" s="494" t="str">
        <f t="shared" si="1104"/>
        <v/>
      </c>
      <c r="CR143" s="494" t="str">
        <f t="shared" si="1105"/>
        <v/>
      </c>
      <c r="CS143" s="499" t="str">
        <f t="shared" si="1106"/>
        <v/>
      </c>
      <c r="CT143" s="496" t="str">
        <f t="shared" si="1107"/>
        <v/>
      </c>
      <c r="CU143" s="497" t="str">
        <f t="shared" si="1108"/>
        <v/>
      </c>
      <c r="CV143" s="498" t="str">
        <f t="shared" si="1109"/>
        <v/>
      </c>
      <c r="CW143" s="494" t="str">
        <f t="shared" si="1110"/>
        <v/>
      </c>
      <c r="CX143" s="499" t="str">
        <f t="shared" si="1111"/>
        <v/>
      </c>
      <c r="CY143" s="496" t="str">
        <f t="shared" si="1112"/>
        <v/>
      </c>
      <c r="CZ143" s="494" t="str">
        <f t="shared" si="1113"/>
        <v/>
      </c>
      <c r="DA143" s="497" t="str">
        <f t="shared" si="1114"/>
        <v/>
      </c>
      <c r="DB143" s="498" t="str">
        <f t="shared" si="1012"/>
        <v/>
      </c>
      <c r="DC143" s="494" t="str">
        <f t="shared" si="1012"/>
        <v/>
      </c>
      <c r="DD143" s="495" t="str">
        <f t="shared" si="764"/>
        <v/>
      </c>
      <c r="DE143" s="496" t="str">
        <f t="shared" si="1013"/>
        <v/>
      </c>
      <c r="DF143" s="494" t="str">
        <f t="shared" si="1013"/>
        <v/>
      </c>
      <c r="DG143" s="495" t="str">
        <f t="shared" si="766"/>
        <v/>
      </c>
      <c r="DH143" s="501" t="str">
        <f t="shared" si="1115"/>
        <v/>
      </c>
      <c r="DI143" s="498" t="str">
        <f t="shared" si="1116"/>
        <v/>
      </c>
      <c r="DJ143" s="494" t="str">
        <f t="shared" si="1117"/>
        <v/>
      </c>
      <c r="DK143" s="495" t="str">
        <f t="shared" si="1118"/>
        <v/>
      </c>
      <c r="DL143" s="496" t="str">
        <f t="shared" si="1119"/>
        <v/>
      </c>
      <c r="DM143" s="502" t="str">
        <f t="shared" si="1120"/>
        <v/>
      </c>
      <c r="DN143" s="508" t="str">
        <f t="shared" si="1121"/>
        <v/>
      </c>
      <c r="DO143" s="496" t="str">
        <f t="shared" si="1122"/>
        <v/>
      </c>
      <c r="DP143" s="502" t="str">
        <f t="shared" si="1123"/>
        <v/>
      </c>
      <c r="DQ143" s="503" t="str">
        <f t="shared" si="1124"/>
        <v/>
      </c>
      <c r="DR143" s="502" t="str">
        <f t="shared" si="1125"/>
        <v/>
      </c>
      <c r="DS143" s="494" t="str">
        <f t="shared" si="1126"/>
        <v/>
      </c>
      <c r="DT143" s="494" t="str">
        <f t="shared" si="1127"/>
        <v/>
      </c>
      <c r="DU143" s="494" t="str">
        <f t="shared" si="1128"/>
        <v/>
      </c>
      <c r="DV143" s="494" t="str">
        <f t="shared" si="1129"/>
        <v/>
      </c>
      <c r="DW143" s="494" t="str">
        <f t="shared" si="1130"/>
        <v/>
      </c>
      <c r="DX143" s="507" t="str">
        <f t="shared" si="1131"/>
        <v/>
      </c>
      <c r="DY143" s="496" t="str">
        <f t="shared" si="1132"/>
        <v/>
      </c>
      <c r="DZ143" s="494" t="str">
        <f t="shared" si="1133"/>
        <v/>
      </c>
      <c r="EA143" s="495" t="str">
        <f t="shared" si="1134"/>
        <v/>
      </c>
      <c r="EB143" s="497" t="str">
        <f t="shared" si="1135"/>
        <v/>
      </c>
      <c r="EC143" s="502" t="str">
        <f t="shared" si="1136"/>
        <v/>
      </c>
      <c r="ED143" s="494" t="str">
        <f t="shared" si="1137"/>
        <v/>
      </c>
      <c r="EE143" s="498" t="str">
        <f t="shared" si="1138"/>
        <v/>
      </c>
      <c r="EF143" s="494" t="str">
        <f t="shared" si="1139"/>
        <v/>
      </c>
      <c r="EG143" s="495" t="str">
        <f t="shared" si="1140"/>
        <v/>
      </c>
      <c r="EH143" s="496" t="str">
        <f t="shared" si="1141"/>
        <v/>
      </c>
      <c r="EI143" s="494" t="str">
        <f t="shared" si="1142"/>
        <v/>
      </c>
      <c r="EJ143" s="497" t="str">
        <f t="shared" si="1143"/>
        <v/>
      </c>
      <c r="EK143" s="509" t="str">
        <f t="shared" si="796"/>
        <v/>
      </c>
      <c r="EL143" s="510" t="str">
        <f t="shared" si="797"/>
        <v/>
      </c>
      <c r="EM143" s="498" t="str">
        <f t="shared" si="1144"/>
        <v/>
      </c>
      <c r="EN143" s="494" t="str">
        <f t="shared" si="1145"/>
        <v/>
      </c>
      <c r="EO143" s="495" t="str">
        <f t="shared" si="1146"/>
        <v/>
      </c>
      <c r="EP143" s="496" t="str">
        <f t="shared" si="1147"/>
        <v/>
      </c>
      <c r="EQ143" s="494" t="str">
        <f t="shared" si="1148"/>
        <v/>
      </c>
      <c r="ER143" s="500" t="str">
        <f t="shared" si="1149"/>
        <v/>
      </c>
      <c r="ES143" s="493" t="str">
        <f t="shared" si="1239"/>
        <v/>
      </c>
      <c r="ET143" s="494" t="str">
        <f t="shared" si="1240"/>
        <v/>
      </c>
      <c r="EU143" s="495" t="str">
        <f t="shared" si="1241"/>
        <v/>
      </c>
      <c r="EV143" s="174" t="str">
        <f t="shared" si="1150"/>
        <v/>
      </c>
      <c r="EW143" s="496" t="str">
        <f t="shared" si="1151"/>
        <v/>
      </c>
      <c r="EX143" s="494" t="str">
        <f t="shared" si="1152"/>
        <v/>
      </c>
      <c r="EY143" s="497" t="str">
        <f t="shared" si="1153"/>
        <v/>
      </c>
      <c r="EZ143" s="504" t="str">
        <f t="shared" si="805"/>
        <v/>
      </c>
      <c r="FA143" s="502" t="str">
        <f t="shared" si="929"/>
        <v/>
      </c>
      <c r="FB143" s="494" t="str">
        <f t="shared" si="930"/>
        <v/>
      </c>
      <c r="FC143" s="497" t="str">
        <f t="shared" si="931"/>
        <v/>
      </c>
      <c r="FD143" s="498" t="str">
        <f t="shared" si="1154"/>
        <v/>
      </c>
      <c r="FE143" s="494" t="str">
        <f t="shared" si="1155"/>
        <v/>
      </c>
      <c r="FF143" s="500" t="str">
        <f t="shared" si="1156"/>
        <v/>
      </c>
      <c r="FG143" s="173" t="str">
        <f t="shared" si="1157"/>
        <v/>
      </c>
      <c r="FH143" s="5" t="str">
        <f t="shared" si="1158"/>
        <v/>
      </c>
      <c r="FI143" s="10" t="str">
        <f t="shared" si="1159"/>
        <v/>
      </c>
      <c r="FJ143" s="279" t="str">
        <f t="shared" si="1160"/>
        <v/>
      </c>
      <c r="FK143" s="4" t="str">
        <f t="shared" si="1161"/>
        <v/>
      </c>
      <c r="FL143" s="5" t="str">
        <f t="shared" si="1162"/>
        <v/>
      </c>
      <c r="FM143" s="8" t="str">
        <f t="shared" si="1163"/>
        <v/>
      </c>
      <c r="FN143" s="9" t="str">
        <f t="shared" si="1164"/>
        <v/>
      </c>
      <c r="FO143" s="10" t="str">
        <f t="shared" si="1165"/>
        <v/>
      </c>
      <c r="FP143" s="277" t="str">
        <f t="shared" si="1166"/>
        <v/>
      </c>
      <c r="FQ143" s="173" t="str">
        <f t="shared" si="1167"/>
        <v/>
      </c>
      <c r="FR143" s="10" t="str">
        <f t="shared" si="1168"/>
        <v/>
      </c>
      <c r="FS143" s="9" t="str">
        <f t="shared" si="1169"/>
        <v/>
      </c>
      <c r="FT143" s="6" t="str">
        <f t="shared" si="1170"/>
        <v/>
      </c>
      <c r="FU143" s="4" t="str">
        <f t="shared" si="1171"/>
        <v/>
      </c>
      <c r="FV143" s="5" t="str">
        <f t="shared" si="1172"/>
        <v/>
      </c>
      <c r="FW143" s="8" t="str">
        <f t="shared" si="1173"/>
        <v/>
      </c>
      <c r="FX143" s="9" t="str">
        <f t="shared" si="1174"/>
        <v/>
      </c>
      <c r="FY143" s="10" t="str">
        <f t="shared" si="1175"/>
        <v/>
      </c>
      <c r="FZ143" s="277" t="str">
        <f t="shared" si="1176"/>
        <v/>
      </c>
      <c r="GA143" s="177" t="str">
        <f t="shared" si="1177"/>
        <v/>
      </c>
      <c r="GB143" s="4" t="str">
        <f t="shared" si="1178"/>
        <v/>
      </c>
      <c r="GC143" s="5" t="str">
        <f t="shared" si="1179"/>
        <v/>
      </c>
      <c r="GD143" s="10" t="str">
        <f t="shared" si="1180"/>
        <v/>
      </c>
      <c r="GE143" s="311" t="str">
        <f t="shared" si="1181"/>
        <v/>
      </c>
      <c r="GF143" s="341" t="str">
        <f t="shared" si="1182"/>
        <v/>
      </c>
      <c r="GG143" s="306" t="str">
        <f t="shared" si="1183"/>
        <v/>
      </c>
      <c r="GH143" s="307" t="str">
        <f t="shared" si="1184"/>
        <v/>
      </c>
      <c r="GI143" s="308" t="str">
        <f t="shared" si="1185"/>
        <v/>
      </c>
      <c r="GJ143" s="167" t="str">
        <f t="shared" si="1186"/>
        <v/>
      </c>
      <c r="GK143" s="174" t="str">
        <f t="shared" si="943"/>
        <v/>
      </c>
      <c r="GL143" s="174" t="str">
        <f t="shared" si="1187"/>
        <v/>
      </c>
      <c r="GM143" s="177" t="str">
        <f t="shared" si="1188"/>
        <v/>
      </c>
      <c r="GN143" s="280" t="str">
        <f t="shared" si="1189"/>
        <v/>
      </c>
      <c r="GO143" s="4" t="str">
        <f t="shared" si="1190"/>
        <v/>
      </c>
      <c r="GP143" s="8" t="str">
        <f t="shared" si="1191"/>
        <v/>
      </c>
      <c r="GQ143" s="177" t="str">
        <f t="shared" si="1192"/>
        <v/>
      </c>
      <c r="GR143" s="371" t="str">
        <f t="shared" si="1193"/>
        <v/>
      </c>
      <c r="GS143" s="342" t="str">
        <f t="shared" si="1194"/>
        <v/>
      </c>
      <c r="GT143" s="343" t="str">
        <f t="shared" si="1195"/>
        <v/>
      </c>
      <c r="GU143" s="344" t="str">
        <f t="shared" si="946"/>
        <v/>
      </c>
      <c r="GV143" s="343" t="str">
        <f t="shared" si="1196"/>
        <v/>
      </c>
      <c r="GW143" s="345" t="str">
        <f t="shared" si="947"/>
        <v/>
      </c>
      <c r="GX143" s="346" t="str">
        <f t="shared" si="948"/>
        <v/>
      </c>
      <c r="GY143" s="344" t="str">
        <f t="shared" si="1197"/>
        <v/>
      </c>
      <c r="GZ143" s="345" t="str">
        <f t="shared" si="1198"/>
        <v/>
      </c>
      <c r="HA143" s="342" t="str">
        <f t="shared" si="951"/>
        <v/>
      </c>
      <c r="HB143" s="5" t="str">
        <f t="shared" si="832"/>
        <v/>
      </c>
      <c r="HC143" s="343" t="str">
        <f t="shared" si="1199"/>
        <v/>
      </c>
      <c r="HD143" s="363" t="str">
        <f t="shared" si="1200"/>
        <v/>
      </c>
      <c r="HE143" s="344" t="str">
        <f t="shared" si="952"/>
        <v/>
      </c>
      <c r="HF143" s="5" t="str">
        <f t="shared" si="953"/>
        <v/>
      </c>
      <c r="HG143" s="343" t="str">
        <f t="shared" si="1201"/>
        <v/>
      </c>
      <c r="HH143" s="349" t="str">
        <f t="shared" si="1202"/>
        <v/>
      </c>
      <c r="HI143" s="317" t="str">
        <f t="shared" si="1242"/>
        <v/>
      </c>
      <c r="HK143" s="310" t="str">
        <f t="shared" si="1276"/>
        <v/>
      </c>
      <c r="HL143" s="348" t="str">
        <f t="shared" si="1243"/>
        <v/>
      </c>
      <c r="HM143" s="935" t="str">
        <f t="shared" si="1244"/>
        <v/>
      </c>
      <c r="HN143" s="936" t="str">
        <f t="shared" si="1245"/>
        <v/>
      </c>
      <c r="HO143" s="937"/>
      <c r="HP143" s="938"/>
      <c r="HQ143" s="936" t="str">
        <f t="shared" si="1246"/>
        <v/>
      </c>
      <c r="HR143" s="939" t="str">
        <f t="shared" si="1247"/>
        <v/>
      </c>
      <c r="HS143" s="940" t="str">
        <f t="shared" si="1203"/>
        <v/>
      </c>
      <c r="HT143" s="941" t="str">
        <f t="shared" si="1248"/>
        <v/>
      </c>
      <c r="HU143" s="942" t="str">
        <f t="shared" si="1249"/>
        <v/>
      </c>
      <c r="HV143" s="943" t="str">
        <f t="shared" si="1250"/>
        <v/>
      </c>
      <c r="HW143" s="944" t="str">
        <f t="shared" si="1251"/>
        <v/>
      </c>
      <c r="HX143" s="947" t="str">
        <f t="shared" si="1252"/>
        <v/>
      </c>
      <c r="HY143" s="952" t="str">
        <f t="shared" si="1253"/>
        <v/>
      </c>
      <c r="HZ143" s="953" t="str">
        <f t="shared" si="1254"/>
        <v/>
      </c>
      <c r="IA143" s="954" t="str">
        <f t="shared" si="1255"/>
        <v/>
      </c>
      <c r="IB143" s="955" t="str">
        <f t="shared" si="1256"/>
        <v/>
      </c>
      <c r="IC143" s="842" t="str">
        <f t="shared" si="1257"/>
        <v/>
      </c>
      <c r="ID143" s="351" t="str">
        <f t="shared" si="1258"/>
        <v/>
      </c>
      <c r="IE143" s="844" t="str">
        <f t="shared" si="1259"/>
        <v/>
      </c>
      <c r="IF143" s="845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80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60"/>
        <v/>
      </c>
      <c r="IM143" s="482" t="str">
        <f t="shared" si="1281"/>
        <v/>
      </c>
      <c r="IN143" s="670" t="str">
        <f t="shared" si="1261"/>
        <v/>
      </c>
      <c r="IO143" s="702"/>
      <c r="IP143" s="5" t="str">
        <f t="shared" si="1262"/>
        <v/>
      </c>
      <c r="IQ143" s="714"/>
      <c r="IR143" s="9" t="str">
        <f t="shared" si="1263"/>
        <v/>
      </c>
      <c r="IS143" s="5" t="str">
        <f t="shared" si="1264"/>
        <v/>
      </c>
      <c r="IT143" s="5" t="str">
        <f t="shared" si="1265"/>
        <v/>
      </c>
      <c r="IU143" s="5" t="str">
        <f t="shared" si="1266"/>
        <v/>
      </c>
      <c r="IV143" s="670" t="str">
        <f t="shared" si="1267"/>
        <v/>
      </c>
      <c r="IW143" s="9" t="str">
        <f t="shared" si="1268"/>
        <v/>
      </c>
      <c r="IX143" s="5" t="str">
        <f t="shared" si="1269"/>
        <v/>
      </c>
      <c r="IY143" s="5" t="str">
        <f t="shared" si="1270"/>
        <v/>
      </c>
      <c r="IZ143" s="5" t="str">
        <f t="shared" si="1271"/>
        <v/>
      </c>
      <c r="JA143" s="705" t="str">
        <f t="shared" si="1272"/>
        <v/>
      </c>
    </row>
    <row r="144" spans="1:261" ht="15" customHeight="1" x14ac:dyDescent="0.25">
      <c r="A144" s="75" t="str">
        <f t="shared" si="1216"/>
        <v/>
      </c>
      <c r="B144" s="585" t="str">
        <f t="shared" ref="B144:D144" si="1290">IFERROR(O299+($A144*-E144),"")</f>
        <v/>
      </c>
      <c r="C144" s="582" t="str">
        <f t="shared" si="1290"/>
        <v/>
      </c>
      <c r="D144" s="583" t="str">
        <f t="shared" si="1290"/>
        <v/>
      </c>
      <c r="E144" s="588" t="str">
        <f t="shared" ref="E144:K144" si="1291">R299</f>
        <v/>
      </c>
      <c r="F144" s="582" t="str">
        <f t="shared" si="1291"/>
        <v/>
      </c>
      <c r="G144" s="586" t="str">
        <f t="shared" si="1291"/>
        <v/>
      </c>
      <c r="H144" s="588" t="str">
        <f t="shared" si="1291"/>
        <v/>
      </c>
      <c r="I144" s="582" t="str">
        <f t="shared" si="1291"/>
        <v/>
      </c>
      <c r="J144" s="491" t="str">
        <f t="shared" si="1275"/>
        <v/>
      </c>
      <c r="K144" s="807" t="str">
        <f t="shared" si="1291"/>
        <v/>
      </c>
      <c r="L144" s="309"/>
      <c r="M144" s="492" t="str">
        <f t="shared" si="1219"/>
        <v/>
      </c>
      <c r="N144" s="581" t="str">
        <f t="shared" si="1220"/>
        <v/>
      </c>
      <c r="O144" s="582" t="str">
        <f t="shared" si="1221"/>
        <v/>
      </c>
      <c r="P144" s="583" t="str">
        <f t="shared" si="1222"/>
        <v/>
      </c>
      <c r="Q144" s="536" t="str">
        <f t="shared" si="1061"/>
        <v/>
      </c>
      <c r="R144" s="582" t="str">
        <f t="shared" si="1062"/>
        <v/>
      </c>
      <c r="S144" s="584" t="str">
        <f t="shared" si="1063"/>
        <v/>
      </c>
      <c r="T144" s="585" t="str">
        <f t="shared" si="1064"/>
        <v/>
      </c>
      <c r="U144" s="582" t="str">
        <f t="shared" si="1065"/>
        <v/>
      </c>
      <c r="V144" s="586" t="str">
        <f t="shared" si="1066"/>
        <v/>
      </c>
      <c r="W144" s="536" t="str">
        <f t="shared" si="1067"/>
        <v/>
      </c>
      <c r="X144" s="582" t="str">
        <f t="shared" si="1068"/>
        <v/>
      </c>
      <c r="Y144" s="587" t="str">
        <f t="shared" si="1069"/>
        <v/>
      </c>
      <c r="Z144" s="581" t="str">
        <f t="shared" si="1223"/>
        <v/>
      </c>
      <c r="AA144" s="582" t="str">
        <f t="shared" si="1224"/>
        <v/>
      </c>
      <c r="AB144" s="582" t="str">
        <f t="shared" si="1225"/>
        <v/>
      </c>
      <c r="AC144" s="586" t="str">
        <f t="shared" si="1070"/>
        <v/>
      </c>
      <c r="AD144" s="588" t="str">
        <f t="shared" si="1071"/>
        <v/>
      </c>
      <c r="AE144" s="582" t="str">
        <f t="shared" si="1072"/>
        <v/>
      </c>
      <c r="AF144" s="583" t="str">
        <f t="shared" si="1073"/>
        <v/>
      </c>
      <c r="AG144" s="547" t="str">
        <f t="shared" si="1074"/>
        <v/>
      </c>
      <c r="AH144" s="548" t="str">
        <f t="shared" si="1075"/>
        <v/>
      </c>
      <c r="AI144" s="536" t="str">
        <f t="shared" si="1076"/>
        <v/>
      </c>
      <c r="AJ144" s="537" t="str">
        <f t="shared" si="1077"/>
        <v/>
      </c>
      <c r="AK144" s="585" t="str">
        <f t="shared" si="1078"/>
        <v/>
      </c>
      <c r="AL144" s="582" t="str">
        <f t="shared" si="1079"/>
        <v/>
      </c>
      <c r="AM144" s="584" t="str">
        <f t="shared" si="1080"/>
        <v/>
      </c>
      <c r="AN144" s="534" t="str">
        <f t="shared" si="1081"/>
        <v/>
      </c>
      <c r="AO144" s="535" t="str">
        <f t="shared" si="1040"/>
        <v/>
      </c>
      <c r="AP144" s="536" t="str">
        <f t="shared" si="1082"/>
        <v/>
      </c>
      <c r="AQ144" s="537" t="str">
        <f t="shared" si="1226"/>
        <v/>
      </c>
      <c r="AS144" s="901" t="str">
        <f t="shared" si="1279"/>
        <v/>
      </c>
      <c r="AT144" s="897" t="str">
        <f t="shared" si="1227"/>
        <v/>
      </c>
      <c r="AU144" s="418"/>
      <c r="AV144" s="164" t="str">
        <f t="shared" si="1228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083"/>
        <v/>
      </c>
      <c r="BA144" s="505" t="str">
        <f t="shared" si="1084"/>
        <v/>
      </c>
      <c r="BB144" s="506" t="str">
        <f t="shared" si="713"/>
        <v/>
      </c>
      <c r="BC144" s="496"/>
      <c r="BD144" s="494" t="str">
        <f t="shared" si="1085"/>
        <v/>
      </c>
      <c r="BE144" s="497" t="str">
        <f t="shared" si="1229"/>
        <v/>
      </c>
      <c r="BF144" s="498" t="str">
        <f t="shared" si="1230"/>
        <v/>
      </c>
      <c r="BG144" s="494" t="str">
        <f t="shared" si="1231"/>
        <v/>
      </c>
      <c r="BH144" s="495" t="str">
        <f t="shared" si="1232"/>
        <v/>
      </c>
      <c r="BI144" s="496" t="str">
        <f t="shared" si="1086"/>
        <v/>
      </c>
      <c r="BJ144" s="494" t="str">
        <f t="shared" si="1233"/>
        <v/>
      </c>
      <c r="BK144" s="499" t="str">
        <f t="shared" si="1234"/>
        <v/>
      </c>
      <c r="BL144" s="502" t="str">
        <f t="shared" si="1235"/>
        <v/>
      </c>
      <c r="BM144" s="494" t="str">
        <f t="shared" si="1236"/>
        <v/>
      </c>
      <c r="BN144" s="497" t="str">
        <f t="shared" si="1237"/>
        <v/>
      </c>
      <c r="BO144" s="498" t="str">
        <f t="shared" si="1087"/>
        <v/>
      </c>
      <c r="BP144" s="494" t="str">
        <f t="shared" si="1088"/>
        <v/>
      </c>
      <c r="BQ144" s="494" t="str">
        <f t="shared" si="1089"/>
        <v/>
      </c>
      <c r="BR144" s="497" t="str">
        <f t="shared" si="1090"/>
        <v/>
      </c>
      <c r="BS144" s="498" t="str">
        <f t="shared" si="1006"/>
        <v/>
      </c>
      <c r="BT144" s="494" t="str">
        <f t="shared" si="1006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1"/>
        <v/>
      </c>
      <c r="CC144" s="494" t="str">
        <f t="shared" si="1092"/>
        <v/>
      </c>
      <c r="CD144" s="494" t="str">
        <f t="shared" si="1093"/>
        <v/>
      </c>
      <c r="CE144" s="497" t="str">
        <f t="shared" si="1094"/>
        <v/>
      </c>
      <c r="CF144" s="498" t="str">
        <f t="shared" si="1095"/>
        <v/>
      </c>
      <c r="CG144" s="494" t="str">
        <f t="shared" si="1096"/>
        <v/>
      </c>
      <c r="CH144" s="494" t="str">
        <f t="shared" si="1097"/>
        <v/>
      </c>
      <c r="CI144" s="498" t="str">
        <f t="shared" si="723"/>
        <v/>
      </c>
      <c r="CJ144" s="494" t="str">
        <f t="shared" si="1098"/>
        <v/>
      </c>
      <c r="CK144" s="499" t="str">
        <f t="shared" si="1099"/>
        <v/>
      </c>
      <c r="CL144" s="502" t="str">
        <f t="shared" si="1100"/>
        <v/>
      </c>
      <c r="CM144" s="494" t="str">
        <f t="shared" si="1101"/>
        <v/>
      </c>
      <c r="CN144" s="497" t="str">
        <f t="shared" si="1102"/>
        <v/>
      </c>
      <c r="CO144" s="507" t="str">
        <f t="shared" si="1238"/>
        <v/>
      </c>
      <c r="CP144" s="498" t="str">
        <f t="shared" si="1103"/>
        <v/>
      </c>
      <c r="CQ144" s="494" t="str">
        <f t="shared" si="1104"/>
        <v/>
      </c>
      <c r="CR144" s="494" t="str">
        <f t="shared" si="1105"/>
        <v/>
      </c>
      <c r="CS144" s="499" t="str">
        <f t="shared" si="1106"/>
        <v/>
      </c>
      <c r="CT144" s="496" t="str">
        <f t="shared" si="1107"/>
        <v/>
      </c>
      <c r="CU144" s="497" t="str">
        <f t="shared" si="1108"/>
        <v/>
      </c>
      <c r="CV144" s="498" t="str">
        <f t="shared" si="1109"/>
        <v/>
      </c>
      <c r="CW144" s="494" t="str">
        <f t="shared" si="1110"/>
        <v/>
      </c>
      <c r="CX144" s="499" t="str">
        <f t="shared" si="1111"/>
        <v/>
      </c>
      <c r="CY144" s="496" t="str">
        <f t="shared" si="1112"/>
        <v/>
      </c>
      <c r="CZ144" s="494" t="str">
        <f t="shared" si="1113"/>
        <v/>
      </c>
      <c r="DA144" s="497" t="str">
        <f t="shared" si="1114"/>
        <v/>
      </c>
      <c r="DB144" s="498" t="str">
        <f t="shared" si="1012"/>
        <v/>
      </c>
      <c r="DC144" s="494" t="str">
        <f t="shared" si="1012"/>
        <v/>
      </c>
      <c r="DD144" s="495" t="str">
        <f t="shared" si="764"/>
        <v/>
      </c>
      <c r="DE144" s="496" t="str">
        <f t="shared" si="1013"/>
        <v/>
      </c>
      <c r="DF144" s="494" t="str">
        <f t="shared" si="1013"/>
        <v/>
      </c>
      <c r="DG144" s="495" t="str">
        <f t="shared" si="766"/>
        <v/>
      </c>
      <c r="DH144" s="501" t="str">
        <f t="shared" si="1115"/>
        <v/>
      </c>
      <c r="DI144" s="498" t="str">
        <f t="shared" si="1116"/>
        <v/>
      </c>
      <c r="DJ144" s="494" t="str">
        <f t="shared" si="1117"/>
        <v/>
      </c>
      <c r="DK144" s="495" t="str">
        <f t="shared" si="1118"/>
        <v/>
      </c>
      <c r="DL144" s="496" t="str">
        <f t="shared" si="1119"/>
        <v/>
      </c>
      <c r="DM144" s="502" t="str">
        <f t="shared" si="1120"/>
        <v/>
      </c>
      <c r="DN144" s="508" t="str">
        <f t="shared" si="1121"/>
        <v/>
      </c>
      <c r="DO144" s="496" t="str">
        <f t="shared" si="1122"/>
        <v/>
      </c>
      <c r="DP144" s="502" t="str">
        <f t="shared" si="1123"/>
        <v/>
      </c>
      <c r="DQ144" s="503" t="str">
        <f t="shared" si="1124"/>
        <v/>
      </c>
      <c r="DR144" s="502" t="str">
        <f t="shared" si="1125"/>
        <v/>
      </c>
      <c r="DS144" s="494" t="str">
        <f t="shared" si="1126"/>
        <v/>
      </c>
      <c r="DT144" s="494" t="str">
        <f t="shared" si="1127"/>
        <v/>
      </c>
      <c r="DU144" s="494" t="str">
        <f t="shared" si="1128"/>
        <v/>
      </c>
      <c r="DV144" s="494" t="str">
        <f t="shared" si="1129"/>
        <v/>
      </c>
      <c r="DW144" s="494" t="str">
        <f t="shared" si="1130"/>
        <v/>
      </c>
      <c r="DX144" s="507" t="str">
        <f t="shared" si="1131"/>
        <v/>
      </c>
      <c r="DY144" s="496" t="str">
        <f t="shared" si="1132"/>
        <v/>
      </c>
      <c r="DZ144" s="494" t="str">
        <f t="shared" si="1133"/>
        <v/>
      </c>
      <c r="EA144" s="495" t="str">
        <f t="shared" si="1134"/>
        <v/>
      </c>
      <c r="EB144" s="497" t="str">
        <f t="shared" si="1135"/>
        <v/>
      </c>
      <c r="EC144" s="502" t="str">
        <f t="shared" si="1136"/>
        <v/>
      </c>
      <c r="ED144" s="494" t="str">
        <f t="shared" si="1137"/>
        <v/>
      </c>
      <c r="EE144" s="498" t="str">
        <f t="shared" si="1138"/>
        <v/>
      </c>
      <c r="EF144" s="494" t="str">
        <f t="shared" si="1139"/>
        <v/>
      </c>
      <c r="EG144" s="495" t="str">
        <f t="shared" si="1140"/>
        <v/>
      </c>
      <c r="EH144" s="496" t="str">
        <f t="shared" si="1141"/>
        <v/>
      </c>
      <c r="EI144" s="494" t="str">
        <f t="shared" si="1142"/>
        <v/>
      </c>
      <c r="EJ144" s="497" t="str">
        <f t="shared" si="1143"/>
        <v/>
      </c>
      <c r="EK144" s="509" t="str">
        <f t="shared" si="796"/>
        <v/>
      </c>
      <c r="EL144" s="510" t="str">
        <f t="shared" si="797"/>
        <v/>
      </c>
      <c r="EM144" s="498" t="str">
        <f t="shared" si="1144"/>
        <v/>
      </c>
      <c r="EN144" s="494" t="str">
        <f t="shared" si="1145"/>
        <v/>
      </c>
      <c r="EO144" s="495" t="str">
        <f t="shared" si="1146"/>
        <v/>
      </c>
      <c r="EP144" s="496" t="str">
        <f t="shared" si="1147"/>
        <v/>
      </c>
      <c r="EQ144" s="494" t="str">
        <f t="shared" si="1148"/>
        <v/>
      </c>
      <c r="ER144" s="500" t="str">
        <f t="shared" si="1149"/>
        <v/>
      </c>
      <c r="ES144" s="493" t="str">
        <f t="shared" si="1239"/>
        <v/>
      </c>
      <c r="ET144" s="494" t="str">
        <f t="shared" si="1240"/>
        <v/>
      </c>
      <c r="EU144" s="495" t="str">
        <f t="shared" si="1241"/>
        <v/>
      </c>
      <c r="EV144" s="174" t="str">
        <f t="shared" si="1150"/>
        <v/>
      </c>
      <c r="EW144" s="496" t="str">
        <f t="shared" si="1151"/>
        <v/>
      </c>
      <c r="EX144" s="494" t="str">
        <f t="shared" si="1152"/>
        <v/>
      </c>
      <c r="EY144" s="497" t="str">
        <f t="shared" si="1153"/>
        <v/>
      </c>
      <c r="EZ144" s="504" t="str">
        <f t="shared" si="805"/>
        <v/>
      </c>
      <c r="FA144" s="502" t="str">
        <f t="shared" si="929"/>
        <v/>
      </c>
      <c r="FB144" s="494" t="str">
        <f t="shared" si="930"/>
        <v/>
      </c>
      <c r="FC144" s="497" t="str">
        <f t="shared" si="931"/>
        <v/>
      </c>
      <c r="FD144" s="498" t="str">
        <f t="shared" si="1154"/>
        <v/>
      </c>
      <c r="FE144" s="494" t="str">
        <f t="shared" si="1155"/>
        <v/>
      </c>
      <c r="FF144" s="500" t="str">
        <f t="shared" si="1156"/>
        <v/>
      </c>
      <c r="FG144" s="173" t="str">
        <f t="shared" si="1157"/>
        <v/>
      </c>
      <c r="FH144" s="5" t="str">
        <f t="shared" si="1158"/>
        <v/>
      </c>
      <c r="FI144" s="10" t="str">
        <f t="shared" si="1159"/>
        <v/>
      </c>
      <c r="FJ144" s="279" t="str">
        <f t="shared" si="1160"/>
        <v/>
      </c>
      <c r="FK144" s="4" t="str">
        <f t="shared" si="1161"/>
        <v/>
      </c>
      <c r="FL144" s="5" t="str">
        <f t="shared" si="1162"/>
        <v/>
      </c>
      <c r="FM144" s="8" t="str">
        <f t="shared" si="1163"/>
        <v/>
      </c>
      <c r="FN144" s="9" t="str">
        <f t="shared" si="1164"/>
        <v/>
      </c>
      <c r="FO144" s="10" t="str">
        <f t="shared" si="1165"/>
        <v/>
      </c>
      <c r="FP144" s="277" t="str">
        <f t="shared" si="1166"/>
        <v/>
      </c>
      <c r="FQ144" s="173" t="str">
        <f t="shared" si="1167"/>
        <v/>
      </c>
      <c r="FR144" s="10" t="str">
        <f t="shared" si="1168"/>
        <v/>
      </c>
      <c r="FS144" s="9" t="str">
        <f t="shared" si="1169"/>
        <v/>
      </c>
      <c r="FT144" s="6" t="str">
        <f t="shared" si="1170"/>
        <v/>
      </c>
      <c r="FU144" s="4" t="str">
        <f t="shared" si="1171"/>
        <v/>
      </c>
      <c r="FV144" s="5" t="str">
        <f t="shared" si="1172"/>
        <v/>
      </c>
      <c r="FW144" s="8" t="str">
        <f t="shared" si="1173"/>
        <v/>
      </c>
      <c r="FX144" s="9" t="str">
        <f t="shared" si="1174"/>
        <v/>
      </c>
      <c r="FY144" s="10" t="str">
        <f t="shared" si="1175"/>
        <v/>
      </c>
      <c r="FZ144" s="277" t="str">
        <f t="shared" si="1176"/>
        <v/>
      </c>
      <c r="GA144" s="177" t="str">
        <f t="shared" si="1177"/>
        <v/>
      </c>
      <c r="GB144" s="4" t="str">
        <f t="shared" si="1178"/>
        <v/>
      </c>
      <c r="GC144" s="5" t="str">
        <f t="shared" si="1179"/>
        <v/>
      </c>
      <c r="GD144" s="10" t="str">
        <f t="shared" si="1180"/>
        <v/>
      </c>
      <c r="GE144" s="311" t="str">
        <f t="shared" si="1181"/>
        <v/>
      </c>
      <c r="GF144" s="341" t="str">
        <f t="shared" si="1182"/>
        <v/>
      </c>
      <c r="GG144" s="306" t="str">
        <f t="shared" si="1183"/>
        <v/>
      </c>
      <c r="GH144" s="307" t="str">
        <f t="shared" si="1184"/>
        <v/>
      </c>
      <c r="GI144" s="308" t="str">
        <f t="shared" si="1185"/>
        <v/>
      </c>
      <c r="GJ144" s="167" t="str">
        <f t="shared" si="1186"/>
        <v/>
      </c>
      <c r="GK144" s="174" t="str">
        <f t="shared" si="943"/>
        <v/>
      </c>
      <c r="GL144" s="174" t="str">
        <f t="shared" si="1187"/>
        <v/>
      </c>
      <c r="GM144" s="177" t="str">
        <f t="shared" si="1188"/>
        <v/>
      </c>
      <c r="GN144" s="280" t="str">
        <f t="shared" si="1189"/>
        <v/>
      </c>
      <c r="GO144" s="4" t="str">
        <f t="shared" si="1190"/>
        <v/>
      </c>
      <c r="GP144" s="8" t="str">
        <f t="shared" si="1191"/>
        <v/>
      </c>
      <c r="GQ144" s="177" t="str">
        <f t="shared" si="1192"/>
        <v/>
      </c>
      <c r="GR144" s="371" t="str">
        <f t="shared" si="1193"/>
        <v/>
      </c>
      <c r="GS144" s="342" t="str">
        <f t="shared" si="1194"/>
        <v/>
      </c>
      <c r="GT144" s="343" t="str">
        <f t="shared" si="1195"/>
        <v/>
      </c>
      <c r="GU144" s="344" t="str">
        <f t="shared" si="946"/>
        <v/>
      </c>
      <c r="GV144" s="343" t="str">
        <f t="shared" si="1196"/>
        <v/>
      </c>
      <c r="GW144" s="345" t="str">
        <f t="shared" si="947"/>
        <v/>
      </c>
      <c r="GX144" s="346" t="str">
        <f t="shared" si="948"/>
        <v/>
      </c>
      <c r="GY144" s="344" t="str">
        <f t="shared" si="1197"/>
        <v/>
      </c>
      <c r="GZ144" s="345" t="str">
        <f t="shared" si="1198"/>
        <v/>
      </c>
      <c r="HA144" s="342" t="str">
        <f t="shared" si="951"/>
        <v/>
      </c>
      <c r="HB144" s="5" t="str">
        <f t="shared" si="832"/>
        <v/>
      </c>
      <c r="HC144" s="343" t="str">
        <f t="shared" si="1199"/>
        <v/>
      </c>
      <c r="HD144" s="363" t="str">
        <f t="shared" si="1200"/>
        <v/>
      </c>
      <c r="HE144" s="344" t="str">
        <f t="shared" si="952"/>
        <v/>
      </c>
      <c r="HF144" s="5" t="str">
        <f t="shared" si="953"/>
        <v/>
      </c>
      <c r="HG144" s="343" t="str">
        <f t="shared" si="1201"/>
        <v/>
      </c>
      <c r="HH144" s="349" t="str">
        <f t="shared" si="1202"/>
        <v/>
      </c>
      <c r="HI144" s="317" t="str">
        <f t="shared" si="1242"/>
        <v/>
      </c>
      <c r="HK144" s="310" t="str">
        <f t="shared" si="1276"/>
        <v/>
      </c>
      <c r="HL144" s="348" t="str">
        <f t="shared" si="1243"/>
        <v/>
      </c>
      <c r="HM144" s="935" t="str">
        <f t="shared" si="1244"/>
        <v/>
      </c>
      <c r="HN144" s="936" t="str">
        <f t="shared" si="1245"/>
        <v/>
      </c>
      <c r="HO144" s="937"/>
      <c r="HP144" s="938"/>
      <c r="HQ144" s="936" t="str">
        <f t="shared" si="1246"/>
        <v/>
      </c>
      <c r="HR144" s="939" t="str">
        <f t="shared" si="1247"/>
        <v/>
      </c>
      <c r="HS144" s="940" t="str">
        <f t="shared" si="1203"/>
        <v/>
      </c>
      <c r="HT144" s="941" t="str">
        <f t="shared" si="1248"/>
        <v/>
      </c>
      <c r="HU144" s="942" t="str">
        <f t="shared" si="1249"/>
        <v/>
      </c>
      <c r="HV144" s="943" t="str">
        <f t="shared" si="1250"/>
        <v/>
      </c>
      <c r="HW144" s="944" t="str">
        <f t="shared" si="1251"/>
        <v/>
      </c>
      <c r="HX144" s="947" t="str">
        <f t="shared" si="1252"/>
        <v/>
      </c>
      <c r="HY144" s="952" t="str">
        <f t="shared" si="1253"/>
        <v/>
      </c>
      <c r="HZ144" s="953" t="str">
        <f t="shared" si="1254"/>
        <v/>
      </c>
      <c r="IA144" s="954" t="str">
        <f t="shared" si="1255"/>
        <v/>
      </c>
      <c r="IB144" s="955" t="str">
        <f t="shared" si="1256"/>
        <v/>
      </c>
      <c r="IC144" s="842" t="str">
        <f t="shared" si="1257"/>
        <v/>
      </c>
      <c r="ID144" s="351" t="str">
        <f t="shared" si="1258"/>
        <v/>
      </c>
      <c r="IE144" s="844" t="str">
        <f t="shared" si="1259"/>
        <v/>
      </c>
      <c r="IF144" s="845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80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60"/>
        <v/>
      </c>
      <c r="IM144" s="482" t="str">
        <f t="shared" si="1281"/>
        <v/>
      </c>
      <c r="IN144" s="670" t="str">
        <f t="shared" si="1261"/>
        <v/>
      </c>
      <c r="IO144" s="702"/>
      <c r="IP144" s="5" t="str">
        <f t="shared" si="1262"/>
        <v/>
      </c>
      <c r="IQ144" s="714"/>
      <c r="IR144" s="9" t="str">
        <f t="shared" si="1263"/>
        <v/>
      </c>
      <c r="IS144" s="5" t="str">
        <f t="shared" si="1264"/>
        <v/>
      </c>
      <c r="IT144" s="5" t="str">
        <f t="shared" si="1265"/>
        <v/>
      </c>
      <c r="IU144" s="5" t="str">
        <f t="shared" si="1266"/>
        <v/>
      </c>
      <c r="IV144" s="670" t="str">
        <f t="shared" si="1267"/>
        <v/>
      </c>
      <c r="IW144" s="9" t="str">
        <f t="shared" si="1268"/>
        <v/>
      </c>
      <c r="IX144" s="5" t="str">
        <f t="shared" si="1269"/>
        <v/>
      </c>
      <c r="IY144" s="5" t="str">
        <f t="shared" si="1270"/>
        <v/>
      </c>
      <c r="IZ144" s="5" t="str">
        <f t="shared" si="1271"/>
        <v/>
      </c>
      <c r="JA144" s="705" t="str">
        <f t="shared" si="1272"/>
        <v/>
      </c>
    </row>
    <row r="145" spans="1:261" ht="15" customHeight="1" x14ac:dyDescent="0.25">
      <c r="A145" s="75" t="str">
        <f t="shared" si="1216"/>
        <v/>
      </c>
      <c r="B145" s="585" t="str">
        <f t="shared" ref="B145:D145" si="1292">IFERROR(O300+($A145*-E145),"")</f>
        <v/>
      </c>
      <c r="C145" s="582" t="str">
        <f t="shared" si="1292"/>
        <v/>
      </c>
      <c r="D145" s="583" t="str">
        <f t="shared" si="1292"/>
        <v/>
      </c>
      <c r="E145" s="588" t="str">
        <f t="shared" ref="E145:K145" si="1293">R300</f>
        <v/>
      </c>
      <c r="F145" s="582" t="str">
        <f t="shared" si="1293"/>
        <v/>
      </c>
      <c r="G145" s="586" t="str">
        <f t="shared" si="1293"/>
        <v/>
      </c>
      <c r="H145" s="588" t="str">
        <f t="shared" si="1293"/>
        <v/>
      </c>
      <c r="I145" s="582" t="str">
        <f t="shared" si="1293"/>
        <v/>
      </c>
      <c r="J145" s="491" t="str">
        <f t="shared" si="1275"/>
        <v/>
      </c>
      <c r="K145" s="807" t="str">
        <f t="shared" si="1293"/>
        <v/>
      </c>
      <c r="L145" s="309"/>
      <c r="M145" s="492" t="str">
        <f t="shared" si="1219"/>
        <v/>
      </c>
      <c r="N145" s="581" t="str">
        <f t="shared" si="1220"/>
        <v/>
      </c>
      <c r="O145" s="582" t="str">
        <f t="shared" si="1221"/>
        <v/>
      </c>
      <c r="P145" s="583" t="str">
        <f t="shared" si="1222"/>
        <v/>
      </c>
      <c r="Q145" s="536" t="str">
        <f t="shared" si="1061"/>
        <v/>
      </c>
      <c r="R145" s="582" t="str">
        <f t="shared" si="1062"/>
        <v/>
      </c>
      <c r="S145" s="584" t="str">
        <f t="shared" si="1063"/>
        <v/>
      </c>
      <c r="T145" s="585" t="str">
        <f t="shared" si="1064"/>
        <v/>
      </c>
      <c r="U145" s="582" t="str">
        <f t="shared" si="1065"/>
        <v/>
      </c>
      <c r="V145" s="586" t="str">
        <f t="shared" si="1066"/>
        <v/>
      </c>
      <c r="W145" s="536" t="str">
        <f t="shared" si="1067"/>
        <v/>
      </c>
      <c r="X145" s="582" t="str">
        <f t="shared" si="1068"/>
        <v/>
      </c>
      <c r="Y145" s="587" t="str">
        <f t="shared" si="1069"/>
        <v/>
      </c>
      <c r="Z145" s="581" t="str">
        <f t="shared" si="1223"/>
        <v/>
      </c>
      <c r="AA145" s="582" t="str">
        <f t="shared" si="1224"/>
        <v/>
      </c>
      <c r="AB145" s="582" t="str">
        <f t="shared" si="1225"/>
        <v/>
      </c>
      <c r="AC145" s="586" t="str">
        <f t="shared" si="1070"/>
        <v/>
      </c>
      <c r="AD145" s="588" t="str">
        <f t="shared" si="1071"/>
        <v/>
      </c>
      <c r="AE145" s="582" t="str">
        <f t="shared" si="1072"/>
        <v/>
      </c>
      <c r="AF145" s="583" t="str">
        <f t="shared" si="1073"/>
        <v/>
      </c>
      <c r="AG145" s="547" t="str">
        <f t="shared" si="1074"/>
        <v/>
      </c>
      <c r="AH145" s="548" t="str">
        <f t="shared" si="1075"/>
        <v/>
      </c>
      <c r="AI145" s="536" t="str">
        <f t="shared" si="1076"/>
        <v/>
      </c>
      <c r="AJ145" s="537" t="str">
        <f t="shared" si="1077"/>
        <v/>
      </c>
      <c r="AK145" s="585" t="str">
        <f t="shared" si="1078"/>
        <v/>
      </c>
      <c r="AL145" s="582" t="str">
        <f t="shared" si="1079"/>
        <v/>
      </c>
      <c r="AM145" s="584" t="str">
        <f t="shared" si="1080"/>
        <v/>
      </c>
      <c r="AN145" s="534" t="str">
        <f t="shared" si="1081"/>
        <v/>
      </c>
      <c r="AO145" s="535" t="str">
        <f t="shared" si="1040"/>
        <v/>
      </c>
      <c r="AP145" s="536" t="str">
        <f t="shared" si="1082"/>
        <v/>
      </c>
      <c r="AQ145" s="537" t="str">
        <f t="shared" si="1226"/>
        <v/>
      </c>
      <c r="AS145" s="901" t="str">
        <f t="shared" si="1279"/>
        <v/>
      </c>
      <c r="AT145" s="897" t="str">
        <f t="shared" si="1227"/>
        <v/>
      </c>
      <c r="AU145" s="418"/>
      <c r="AV145" s="164" t="str">
        <f t="shared" si="1228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083"/>
        <v/>
      </c>
      <c r="BA145" s="505" t="str">
        <f t="shared" si="1084"/>
        <v/>
      </c>
      <c r="BB145" s="506" t="str">
        <f t="shared" si="713"/>
        <v/>
      </c>
      <c r="BC145" s="496"/>
      <c r="BD145" s="494" t="str">
        <f t="shared" si="1085"/>
        <v/>
      </c>
      <c r="BE145" s="497" t="str">
        <f t="shared" si="1229"/>
        <v/>
      </c>
      <c r="BF145" s="498" t="str">
        <f t="shared" si="1230"/>
        <v/>
      </c>
      <c r="BG145" s="494" t="str">
        <f t="shared" si="1231"/>
        <v/>
      </c>
      <c r="BH145" s="495" t="str">
        <f t="shared" si="1232"/>
        <v/>
      </c>
      <c r="BI145" s="496" t="str">
        <f t="shared" si="1086"/>
        <v/>
      </c>
      <c r="BJ145" s="494" t="str">
        <f t="shared" si="1233"/>
        <v/>
      </c>
      <c r="BK145" s="499" t="str">
        <f t="shared" si="1234"/>
        <v/>
      </c>
      <c r="BL145" s="502" t="str">
        <f t="shared" si="1235"/>
        <v/>
      </c>
      <c r="BM145" s="494" t="str">
        <f t="shared" si="1236"/>
        <v/>
      </c>
      <c r="BN145" s="497" t="str">
        <f t="shared" si="1237"/>
        <v/>
      </c>
      <c r="BO145" s="498" t="str">
        <f t="shared" si="1087"/>
        <v/>
      </c>
      <c r="BP145" s="494" t="str">
        <f t="shared" si="1088"/>
        <v/>
      </c>
      <c r="BQ145" s="494" t="str">
        <f t="shared" si="1089"/>
        <v/>
      </c>
      <c r="BR145" s="497" t="str">
        <f t="shared" si="1090"/>
        <v/>
      </c>
      <c r="BS145" s="498" t="str">
        <f t="shared" si="1006"/>
        <v/>
      </c>
      <c r="BT145" s="494" t="str">
        <f t="shared" si="1006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1"/>
        <v/>
      </c>
      <c r="CC145" s="494" t="str">
        <f t="shared" si="1092"/>
        <v/>
      </c>
      <c r="CD145" s="494" t="str">
        <f t="shared" si="1093"/>
        <v/>
      </c>
      <c r="CE145" s="497" t="str">
        <f t="shared" si="1094"/>
        <v/>
      </c>
      <c r="CF145" s="498" t="str">
        <f t="shared" si="1095"/>
        <v/>
      </c>
      <c r="CG145" s="494" t="str">
        <f t="shared" si="1096"/>
        <v/>
      </c>
      <c r="CH145" s="494" t="str">
        <f t="shared" si="1097"/>
        <v/>
      </c>
      <c r="CI145" s="498" t="str">
        <f t="shared" si="723"/>
        <v/>
      </c>
      <c r="CJ145" s="494" t="str">
        <f t="shared" si="1098"/>
        <v/>
      </c>
      <c r="CK145" s="499" t="str">
        <f t="shared" si="1099"/>
        <v/>
      </c>
      <c r="CL145" s="502" t="str">
        <f t="shared" si="1100"/>
        <v/>
      </c>
      <c r="CM145" s="494" t="str">
        <f t="shared" si="1101"/>
        <v/>
      </c>
      <c r="CN145" s="497" t="str">
        <f t="shared" si="1102"/>
        <v/>
      </c>
      <c r="CO145" s="507" t="str">
        <f t="shared" si="1238"/>
        <v/>
      </c>
      <c r="CP145" s="498" t="str">
        <f t="shared" si="1103"/>
        <v/>
      </c>
      <c r="CQ145" s="494" t="str">
        <f t="shared" si="1104"/>
        <v/>
      </c>
      <c r="CR145" s="494" t="str">
        <f t="shared" si="1105"/>
        <v/>
      </c>
      <c r="CS145" s="499" t="str">
        <f t="shared" si="1106"/>
        <v/>
      </c>
      <c r="CT145" s="496" t="str">
        <f t="shared" si="1107"/>
        <v/>
      </c>
      <c r="CU145" s="497" t="str">
        <f t="shared" si="1108"/>
        <v/>
      </c>
      <c r="CV145" s="498" t="str">
        <f t="shared" si="1109"/>
        <v/>
      </c>
      <c r="CW145" s="494" t="str">
        <f t="shared" si="1110"/>
        <v/>
      </c>
      <c r="CX145" s="499" t="str">
        <f t="shared" si="1111"/>
        <v/>
      </c>
      <c r="CY145" s="496" t="str">
        <f t="shared" si="1112"/>
        <v/>
      </c>
      <c r="CZ145" s="494" t="str">
        <f t="shared" si="1113"/>
        <v/>
      </c>
      <c r="DA145" s="497" t="str">
        <f t="shared" si="1114"/>
        <v/>
      </c>
      <c r="DB145" s="498" t="str">
        <f t="shared" si="1012"/>
        <v/>
      </c>
      <c r="DC145" s="494" t="str">
        <f t="shared" si="1012"/>
        <v/>
      </c>
      <c r="DD145" s="495" t="str">
        <f t="shared" si="764"/>
        <v/>
      </c>
      <c r="DE145" s="496" t="str">
        <f t="shared" si="1013"/>
        <v/>
      </c>
      <c r="DF145" s="494" t="str">
        <f t="shared" si="1013"/>
        <v/>
      </c>
      <c r="DG145" s="495" t="str">
        <f t="shared" si="766"/>
        <v/>
      </c>
      <c r="DH145" s="501" t="str">
        <f t="shared" si="1115"/>
        <v/>
      </c>
      <c r="DI145" s="498" t="str">
        <f t="shared" si="1116"/>
        <v/>
      </c>
      <c r="DJ145" s="494" t="str">
        <f t="shared" si="1117"/>
        <v/>
      </c>
      <c r="DK145" s="495" t="str">
        <f t="shared" si="1118"/>
        <v/>
      </c>
      <c r="DL145" s="496" t="str">
        <f t="shared" si="1119"/>
        <v/>
      </c>
      <c r="DM145" s="502" t="str">
        <f t="shared" si="1120"/>
        <v/>
      </c>
      <c r="DN145" s="508" t="str">
        <f t="shared" si="1121"/>
        <v/>
      </c>
      <c r="DO145" s="496" t="str">
        <f t="shared" si="1122"/>
        <v/>
      </c>
      <c r="DP145" s="502" t="str">
        <f t="shared" si="1123"/>
        <v/>
      </c>
      <c r="DQ145" s="503" t="str">
        <f t="shared" si="1124"/>
        <v/>
      </c>
      <c r="DR145" s="502" t="str">
        <f t="shared" si="1125"/>
        <v/>
      </c>
      <c r="DS145" s="494" t="str">
        <f t="shared" si="1126"/>
        <v/>
      </c>
      <c r="DT145" s="494" t="str">
        <f t="shared" si="1127"/>
        <v/>
      </c>
      <c r="DU145" s="494" t="str">
        <f t="shared" si="1128"/>
        <v/>
      </c>
      <c r="DV145" s="494" t="str">
        <f t="shared" si="1129"/>
        <v/>
      </c>
      <c r="DW145" s="494" t="str">
        <f t="shared" si="1130"/>
        <v/>
      </c>
      <c r="DX145" s="507" t="str">
        <f t="shared" si="1131"/>
        <v/>
      </c>
      <c r="DY145" s="496" t="str">
        <f t="shared" si="1132"/>
        <v/>
      </c>
      <c r="DZ145" s="494" t="str">
        <f t="shared" si="1133"/>
        <v/>
      </c>
      <c r="EA145" s="495" t="str">
        <f t="shared" si="1134"/>
        <v/>
      </c>
      <c r="EB145" s="497" t="str">
        <f t="shared" si="1135"/>
        <v/>
      </c>
      <c r="EC145" s="502" t="str">
        <f t="shared" si="1136"/>
        <v/>
      </c>
      <c r="ED145" s="494" t="str">
        <f t="shared" si="1137"/>
        <v/>
      </c>
      <c r="EE145" s="498" t="str">
        <f t="shared" si="1138"/>
        <v/>
      </c>
      <c r="EF145" s="494" t="str">
        <f t="shared" si="1139"/>
        <v/>
      </c>
      <c r="EG145" s="495" t="str">
        <f t="shared" si="1140"/>
        <v/>
      </c>
      <c r="EH145" s="496" t="str">
        <f t="shared" si="1141"/>
        <v/>
      </c>
      <c r="EI145" s="494" t="str">
        <f t="shared" si="1142"/>
        <v/>
      </c>
      <c r="EJ145" s="497" t="str">
        <f t="shared" si="1143"/>
        <v/>
      </c>
      <c r="EK145" s="509" t="str">
        <f t="shared" si="796"/>
        <v/>
      </c>
      <c r="EL145" s="510" t="str">
        <f t="shared" si="797"/>
        <v/>
      </c>
      <c r="EM145" s="498" t="str">
        <f t="shared" si="1144"/>
        <v/>
      </c>
      <c r="EN145" s="494" t="str">
        <f t="shared" si="1145"/>
        <v/>
      </c>
      <c r="EO145" s="495" t="str">
        <f t="shared" si="1146"/>
        <v/>
      </c>
      <c r="EP145" s="496" t="str">
        <f t="shared" si="1147"/>
        <v/>
      </c>
      <c r="EQ145" s="494" t="str">
        <f t="shared" si="1148"/>
        <v/>
      </c>
      <c r="ER145" s="500" t="str">
        <f t="shared" si="1149"/>
        <v/>
      </c>
      <c r="ES145" s="493" t="str">
        <f t="shared" si="1239"/>
        <v/>
      </c>
      <c r="ET145" s="494" t="str">
        <f t="shared" si="1240"/>
        <v/>
      </c>
      <c r="EU145" s="495" t="str">
        <f t="shared" si="1241"/>
        <v/>
      </c>
      <c r="EV145" s="174" t="str">
        <f t="shared" si="1150"/>
        <v/>
      </c>
      <c r="EW145" s="496" t="str">
        <f t="shared" si="1151"/>
        <v/>
      </c>
      <c r="EX145" s="494" t="str">
        <f t="shared" si="1152"/>
        <v/>
      </c>
      <c r="EY145" s="497" t="str">
        <f t="shared" si="1153"/>
        <v/>
      </c>
      <c r="EZ145" s="504" t="str">
        <f t="shared" si="805"/>
        <v/>
      </c>
      <c r="FA145" s="502" t="str">
        <f t="shared" si="929"/>
        <v/>
      </c>
      <c r="FB145" s="494" t="str">
        <f t="shared" si="930"/>
        <v/>
      </c>
      <c r="FC145" s="497" t="str">
        <f t="shared" si="931"/>
        <v/>
      </c>
      <c r="FD145" s="498" t="str">
        <f t="shared" si="1154"/>
        <v/>
      </c>
      <c r="FE145" s="494" t="str">
        <f t="shared" si="1155"/>
        <v/>
      </c>
      <c r="FF145" s="500" t="str">
        <f t="shared" si="1156"/>
        <v/>
      </c>
      <c r="FG145" s="173" t="str">
        <f t="shared" si="1157"/>
        <v/>
      </c>
      <c r="FH145" s="5" t="str">
        <f t="shared" si="1158"/>
        <v/>
      </c>
      <c r="FI145" s="10" t="str">
        <f t="shared" si="1159"/>
        <v/>
      </c>
      <c r="FJ145" s="279" t="str">
        <f t="shared" si="1160"/>
        <v/>
      </c>
      <c r="FK145" s="4" t="str">
        <f t="shared" si="1161"/>
        <v/>
      </c>
      <c r="FL145" s="5" t="str">
        <f t="shared" si="1162"/>
        <v/>
      </c>
      <c r="FM145" s="8" t="str">
        <f t="shared" si="1163"/>
        <v/>
      </c>
      <c r="FN145" s="9" t="str">
        <f t="shared" si="1164"/>
        <v/>
      </c>
      <c r="FO145" s="10" t="str">
        <f t="shared" si="1165"/>
        <v/>
      </c>
      <c r="FP145" s="277" t="str">
        <f t="shared" si="1166"/>
        <v/>
      </c>
      <c r="FQ145" s="173" t="str">
        <f t="shared" si="1167"/>
        <v/>
      </c>
      <c r="FR145" s="10" t="str">
        <f t="shared" si="1168"/>
        <v/>
      </c>
      <c r="FS145" s="9" t="str">
        <f t="shared" si="1169"/>
        <v/>
      </c>
      <c r="FT145" s="6" t="str">
        <f t="shared" si="1170"/>
        <v/>
      </c>
      <c r="FU145" s="4" t="str">
        <f t="shared" si="1171"/>
        <v/>
      </c>
      <c r="FV145" s="5" t="str">
        <f t="shared" si="1172"/>
        <v/>
      </c>
      <c r="FW145" s="8" t="str">
        <f t="shared" si="1173"/>
        <v/>
      </c>
      <c r="FX145" s="9" t="str">
        <f t="shared" si="1174"/>
        <v/>
      </c>
      <c r="FY145" s="10" t="str">
        <f t="shared" si="1175"/>
        <v/>
      </c>
      <c r="FZ145" s="277" t="str">
        <f t="shared" si="1176"/>
        <v/>
      </c>
      <c r="GA145" s="177" t="str">
        <f t="shared" si="1177"/>
        <v/>
      </c>
      <c r="GB145" s="4" t="str">
        <f t="shared" si="1178"/>
        <v/>
      </c>
      <c r="GC145" s="5" t="str">
        <f t="shared" si="1179"/>
        <v/>
      </c>
      <c r="GD145" s="10" t="str">
        <f t="shared" si="1180"/>
        <v/>
      </c>
      <c r="GE145" s="311" t="str">
        <f t="shared" si="1181"/>
        <v/>
      </c>
      <c r="GF145" s="341" t="str">
        <f t="shared" si="1182"/>
        <v/>
      </c>
      <c r="GG145" s="306" t="str">
        <f t="shared" si="1183"/>
        <v/>
      </c>
      <c r="GH145" s="307" t="str">
        <f t="shared" si="1184"/>
        <v/>
      </c>
      <c r="GI145" s="308" t="str">
        <f t="shared" si="1185"/>
        <v/>
      </c>
      <c r="GJ145" s="167" t="str">
        <f t="shared" si="1186"/>
        <v/>
      </c>
      <c r="GK145" s="174" t="str">
        <f t="shared" si="943"/>
        <v/>
      </c>
      <c r="GL145" s="174" t="str">
        <f t="shared" si="1187"/>
        <v/>
      </c>
      <c r="GM145" s="177" t="str">
        <f t="shared" si="1188"/>
        <v/>
      </c>
      <c r="GN145" s="280" t="str">
        <f t="shared" si="1189"/>
        <v/>
      </c>
      <c r="GO145" s="4" t="str">
        <f t="shared" si="1190"/>
        <v/>
      </c>
      <c r="GP145" s="8" t="str">
        <f t="shared" si="1191"/>
        <v/>
      </c>
      <c r="GQ145" s="177" t="str">
        <f t="shared" si="1192"/>
        <v/>
      </c>
      <c r="GR145" s="371" t="str">
        <f t="shared" si="1193"/>
        <v/>
      </c>
      <c r="GS145" s="342" t="str">
        <f t="shared" si="1194"/>
        <v/>
      </c>
      <c r="GT145" s="343" t="str">
        <f t="shared" si="1195"/>
        <v/>
      </c>
      <c r="GU145" s="344" t="str">
        <f t="shared" si="946"/>
        <v/>
      </c>
      <c r="GV145" s="343" t="str">
        <f t="shared" si="1196"/>
        <v/>
      </c>
      <c r="GW145" s="345" t="str">
        <f t="shared" si="947"/>
        <v/>
      </c>
      <c r="GX145" s="346" t="str">
        <f t="shared" si="948"/>
        <v/>
      </c>
      <c r="GY145" s="344" t="str">
        <f t="shared" si="1197"/>
        <v/>
      </c>
      <c r="GZ145" s="345" t="str">
        <f t="shared" si="1198"/>
        <v/>
      </c>
      <c r="HA145" s="342" t="str">
        <f t="shared" si="951"/>
        <v/>
      </c>
      <c r="HB145" s="5" t="str">
        <f t="shared" si="832"/>
        <v/>
      </c>
      <c r="HC145" s="343" t="str">
        <f t="shared" si="1199"/>
        <v/>
      </c>
      <c r="HD145" s="363" t="str">
        <f t="shared" si="1200"/>
        <v/>
      </c>
      <c r="HE145" s="344" t="str">
        <f t="shared" si="952"/>
        <v/>
      </c>
      <c r="HF145" s="5" t="str">
        <f t="shared" si="953"/>
        <v/>
      </c>
      <c r="HG145" s="343" t="str">
        <f t="shared" si="1201"/>
        <v/>
      </c>
      <c r="HH145" s="349" t="str">
        <f t="shared" si="1202"/>
        <v/>
      </c>
      <c r="HI145" s="317" t="str">
        <f t="shared" si="1242"/>
        <v/>
      </c>
      <c r="HK145" s="310" t="str">
        <f t="shared" si="1276"/>
        <v/>
      </c>
      <c r="HL145" s="348" t="str">
        <f t="shared" si="1243"/>
        <v/>
      </c>
      <c r="HM145" s="935" t="str">
        <f t="shared" si="1244"/>
        <v/>
      </c>
      <c r="HN145" s="936" t="str">
        <f t="shared" si="1245"/>
        <v/>
      </c>
      <c r="HO145" s="937"/>
      <c r="HP145" s="938"/>
      <c r="HQ145" s="936" t="str">
        <f t="shared" si="1246"/>
        <v/>
      </c>
      <c r="HR145" s="939" t="str">
        <f t="shared" si="1247"/>
        <v/>
      </c>
      <c r="HS145" s="940" t="str">
        <f t="shared" si="1203"/>
        <v/>
      </c>
      <c r="HT145" s="941" t="str">
        <f t="shared" si="1248"/>
        <v/>
      </c>
      <c r="HU145" s="942" t="str">
        <f t="shared" si="1249"/>
        <v/>
      </c>
      <c r="HV145" s="943" t="str">
        <f t="shared" si="1250"/>
        <v/>
      </c>
      <c r="HW145" s="944" t="str">
        <f t="shared" si="1251"/>
        <v/>
      </c>
      <c r="HX145" s="947" t="str">
        <f t="shared" si="1252"/>
        <v/>
      </c>
      <c r="HY145" s="952" t="str">
        <f t="shared" si="1253"/>
        <v/>
      </c>
      <c r="HZ145" s="953" t="str">
        <f t="shared" si="1254"/>
        <v/>
      </c>
      <c r="IA145" s="954" t="str">
        <f t="shared" si="1255"/>
        <v/>
      </c>
      <c r="IB145" s="955" t="str">
        <f t="shared" si="1256"/>
        <v/>
      </c>
      <c r="IC145" s="842" t="str">
        <f t="shared" si="1257"/>
        <v/>
      </c>
      <c r="ID145" s="351" t="str">
        <f t="shared" si="1258"/>
        <v/>
      </c>
      <c r="IE145" s="844" t="str">
        <f t="shared" si="1259"/>
        <v/>
      </c>
      <c r="IF145" s="845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80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60"/>
        <v/>
      </c>
      <c r="IM145" s="482" t="str">
        <f t="shared" si="1281"/>
        <v/>
      </c>
      <c r="IN145" s="670" t="str">
        <f t="shared" si="1261"/>
        <v/>
      </c>
      <c r="IO145" s="702"/>
      <c r="IP145" s="5" t="str">
        <f t="shared" si="1262"/>
        <v/>
      </c>
      <c r="IQ145" s="714"/>
      <c r="IR145" s="9" t="str">
        <f t="shared" si="1263"/>
        <v/>
      </c>
      <c r="IS145" s="5" t="str">
        <f t="shared" si="1264"/>
        <v/>
      </c>
      <c r="IT145" s="5" t="str">
        <f t="shared" si="1265"/>
        <v/>
      </c>
      <c r="IU145" s="5" t="str">
        <f t="shared" si="1266"/>
        <v/>
      </c>
      <c r="IV145" s="670" t="str">
        <f t="shared" si="1267"/>
        <v/>
      </c>
      <c r="IW145" s="9" t="str">
        <f t="shared" si="1268"/>
        <v/>
      </c>
      <c r="IX145" s="5" t="str">
        <f t="shared" si="1269"/>
        <v/>
      </c>
      <c r="IY145" s="5" t="str">
        <f t="shared" si="1270"/>
        <v/>
      </c>
      <c r="IZ145" s="5" t="str">
        <f t="shared" si="1271"/>
        <v/>
      </c>
      <c r="JA145" s="705" t="str">
        <f t="shared" si="1272"/>
        <v/>
      </c>
    </row>
    <row r="146" spans="1:261" ht="15" customHeight="1" x14ac:dyDescent="0.25">
      <c r="A146" s="75" t="str">
        <f t="shared" si="1216"/>
        <v/>
      </c>
      <c r="B146" s="585" t="str">
        <f t="shared" ref="B146:D146" si="1294">IFERROR(O301+($A146*-E146),"")</f>
        <v/>
      </c>
      <c r="C146" s="582" t="str">
        <f t="shared" si="1294"/>
        <v/>
      </c>
      <c r="D146" s="583" t="str">
        <f t="shared" si="1294"/>
        <v/>
      </c>
      <c r="E146" s="588" t="str">
        <f t="shared" ref="E146:K146" si="1295">R301</f>
        <v/>
      </c>
      <c r="F146" s="582" t="str">
        <f t="shared" si="1295"/>
        <v/>
      </c>
      <c r="G146" s="586" t="str">
        <f t="shared" si="1295"/>
        <v/>
      </c>
      <c r="H146" s="588" t="str">
        <f t="shared" si="1295"/>
        <v/>
      </c>
      <c r="I146" s="582" t="str">
        <f t="shared" si="1295"/>
        <v/>
      </c>
      <c r="J146" s="491" t="str">
        <f t="shared" si="1275"/>
        <v/>
      </c>
      <c r="K146" s="807" t="str">
        <f t="shared" si="1295"/>
        <v/>
      </c>
      <c r="L146" s="309"/>
      <c r="M146" s="492" t="str">
        <f t="shared" si="1219"/>
        <v/>
      </c>
      <c r="N146" s="581" t="str">
        <f t="shared" si="1220"/>
        <v/>
      </c>
      <c r="O146" s="582" t="str">
        <f t="shared" si="1221"/>
        <v/>
      </c>
      <c r="P146" s="583" t="str">
        <f t="shared" si="1222"/>
        <v/>
      </c>
      <c r="Q146" s="536" t="str">
        <f t="shared" si="1061"/>
        <v/>
      </c>
      <c r="R146" s="582" t="str">
        <f t="shared" si="1062"/>
        <v/>
      </c>
      <c r="S146" s="584" t="str">
        <f t="shared" si="1063"/>
        <v/>
      </c>
      <c r="T146" s="585" t="str">
        <f t="shared" si="1064"/>
        <v/>
      </c>
      <c r="U146" s="582" t="str">
        <f t="shared" si="1065"/>
        <v/>
      </c>
      <c r="V146" s="586" t="str">
        <f t="shared" si="1066"/>
        <v/>
      </c>
      <c r="W146" s="536" t="str">
        <f t="shared" si="1067"/>
        <v/>
      </c>
      <c r="X146" s="582" t="str">
        <f t="shared" si="1068"/>
        <v/>
      </c>
      <c r="Y146" s="587" t="str">
        <f t="shared" si="1069"/>
        <v/>
      </c>
      <c r="Z146" s="581" t="str">
        <f t="shared" si="1223"/>
        <v/>
      </c>
      <c r="AA146" s="582" t="str">
        <f t="shared" si="1224"/>
        <v/>
      </c>
      <c r="AB146" s="582" t="str">
        <f t="shared" si="1225"/>
        <v/>
      </c>
      <c r="AC146" s="586" t="str">
        <f t="shared" si="1070"/>
        <v/>
      </c>
      <c r="AD146" s="588" t="str">
        <f t="shared" si="1071"/>
        <v/>
      </c>
      <c r="AE146" s="582" t="str">
        <f t="shared" si="1072"/>
        <v/>
      </c>
      <c r="AF146" s="583" t="str">
        <f t="shared" si="1073"/>
        <v/>
      </c>
      <c r="AG146" s="547" t="str">
        <f t="shared" si="1074"/>
        <v/>
      </c>
      <c r="AH146" s="548" t="str">
        <f t="shared" si="1075"/>
        <v/>
      </c>
      <c r="AI146" s="536" t="str">
        <f t="shared" si="1076"/>
        <v/>
      </c>
      <c r="AJ146" s="537" t="str">
        <f t="shared" si="1077"/>
        <v/>
      </c>
      <c r="AK146" s="585" t="str">
        <f t="shared" si="1078"/>
        <v/>
      </c>
      <c r="AL146" s="582" t="str">
        <f t="shared" si="1079"/>
        <v/>
      </c>
      <c r="AM146" s="584" t="str">
        <f t="shared" si="1080"/>
        <v/>
      </c>
      <c r="AN146" s="534" t="str">
        <f t="shared" si="1081"/>
        <v/>
      </c>
      <c r="AO146" s="535" t="str">
        <f t="shared" si="1040"/>
        <v/>
      </c>
      <c r="AP146" s="536" t="str">
        <f t="shared" si="1082"/>
        <v/>
      </c>
      <c r="AQ146" s="537" t="str">
        <f t="shared" si="1226"/>
        <v/>
      </c>
      <c r="AS146" s="901" t="str">
        <f t="shared" si="1279"/>
        <v/>
      </c>
      <c r="AT146" s="897" t="str">
        <f t="shared" si="1227"/>
        <v/>
      </c>
      <c r="AU146" s="418"/>
      <c r="AV146" s="164" t="str">
        <f t="shared" si="1228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083"/>
        <v/>
      </c>
      <c r="BA146" s="505" t="str">
        <f t="shared" si="1084"/>
        <v/>
      </c>
      <c r="BB146" s="506" t="str">
        <f t="shared" si="713"/>
        <v/>
      </c>
      <c r="BC146" s="496"/>
      <c r="BD146" s="494" t="str">
        <f t="shared" si="1085"/>
        <v/>
      </c>
      <c r="BE146" s="497" t="str">
        <f t="shared" si="1229"/>
        <v/>
      </c>
      <c r="BF146" s="498" t="str">
        <f t="shared" si="1230"/>
        <v/>
      </c>
      <c r="BG146" s="494" t="str">
        <f t="shared" si="1231"/>
        <v/>
      </c>
      <c r="BH146" s="495" t="str">
        <f t="shared" si="1232"/>
        <v/>
      </c>
      <c r="BI146" s="496" t="str">
        <f t="shared" si="1086"/>
        <v/>
      </c>
      <c r="BJ146" s="494" t="str">
        <f t="shared" si="1233"/>
        <v/>
      </c>
      <c r="BK146" s="499" t="str">
        <f t="shared" si="1234"/>
        <v/>
      </c>
      <c r="BL146" s="502" t="str">
        <f t="shared" si="1235"/>
        <v/>
      </c>
      <c r="BM146" s="494" t="str">
        <f t="shared" si="1236"/>
        <v/>
      </c>
      <c r="BN146" s="497" t="str">
        <f t="shared" si="1237"/>
        <v/>
      </c>
      <c r="BO146" s="498" t="str">
        <f t="shared" si="1087"/>
        <v/>
      </c>
      <c r="BP146" s="494" t="str">
        <f t="shared" si="1088"/>
        <v/>
      </c>
      <c r="BQ146" s="494" t="str">
        <f t="shared" si="1089"/>
        <v/>
      </c>
      <c r="BR146" s="497" t="str">
        <f t="shared" si="1090"/>
        <v/>
      </c>
      <c r="BS146" s="498" t="str">
        <f t="shared" si="1006"/>
        <v/>
      </c>
      <c r="BT146" s="494" t="str">
        <f t="shared" si="1006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1"/>
        <v/>
      </c>
      <c r="CC146" s="494" t="str">
        <f t="shared" si="1092"/>
        <v/>
      </c>
      <c r="CD146" s="494" t="str">
        <f t="shared" si="1093"/>
        <v/>
      </c>
      <c r="CE146" s="497" t="str">
        <f t="shared" si="1094"/>
        <v/>
      </c>
      <c r="CF146" s="498" t="str">
        <f t="shared" si="1095"/>
        <v/>
      </c>
      <c r="CG146" s="494" t="str">
        <f t="shared" si="1096"/>
        <v/>
      </c>
      <c r="CH146" s="494" t="str">
        <f t="shared" si="1097"/>
        <v/>
      </c>
      <c r="CI146" s="498" t="str">
        <f t="shared" si="723"/>
        <v/>
      </c>
      <c r="CJ146" s="494" t="str">
        <f t="shared" si="1098"/>
        <v/>
      </c>
      <c r="CK146" s="499" t="str">
        <f t="shared" si="1099"/>
        <v/>
      </c>
      <c r="CL146" s="502" t="str">
        <f t="shared" si="1100"/>
        <v/>
      </c>
      <c r="CM146" s="494" t="str">
        <f t="shared" si="1101"/>
        <v/>
      </c>
      <c r="CN146" s="497" t="str">
        <f t="shared" si="1102"/>
        <v/>
      </c>
      <c r="CO146" s="507" t="str">
        <f t="shared" si="1238"/>
        <v/>
      </c>
      <c r="CP146" s="498" t="str">
        <f t="shared" si="1103"/>
        <v/>
      </c>
      <c r="CQ146" s="494" t="str">
        <f t="shared" si="1104"/>
        <v/>
      </c>
      <c r="CR146" s="494" t="str">
        <f t="shared" si="1105"/>
        <v/>
      </c>
      <c r="CS146" s="499" t="str">
        <f t="shared" si="1106"/>
        <v/>
      </c>
      <c r="CT146" s="496" t="str">
        <f t="shared" si="1107"/>
        <v/>
      </c>
      <c r="CU146" s="497" t="str">
        <f t="shared" si="1108"/>
        <v/>
      </c>
      <c r="CV146" s="498" t="str">
        <f t="shared" si="1109"/>
        <v/>
      </c>
      <c r="CW146" s="494" t="str">
        <f t="shared" si="1110"/>
        <v/>
      </c>
      <c r="CX146" s="499" t="str">
        <f t="shared" si="1111"/>
        <v/>
      </c>
      <c r="CY146" s="496" t="str">
        <f t="shared" si="1112"/>
        <v/>
      </c>
      <c r="CZ146" s="494" t="str">
        <f t="shared" si="1113"/>
        <v/>
      </c>
      <c r="DA146" s="497" t="str">
        <f t="shared" si="1114"/>
        <v/>
      </c>
      <c r="DB146" s="498" t="str">
        <f t="shared" si="1012"/>
        <v/>
      </c>
      <c r="DC146" s="494" t="str">
        <f t="shared" si="1012"/>
        <v/>
      </c>
      <c r="DD146" s="495" t="str">
        <f t="shared" si="764"/>
        <v/>
      </c>
      <c r="DE146" s="496" t="str">
        <f t="shared" si="1013"/>
        <v/>
      </c>
      <c r="DF146" s="494" t="str">
        <f t="shared" si="1013"/>
        <v/>
      </c>
      <c r="DG146" s="495" t="str">
        <f t="shared" si="766"/>
        <v/>
      </c>
      <c r="DH146" s="501" t="str">
        <f t="shared" si="1115"/>
        <v/>
      </c>
      <c r="DI146" s="498" t="str">
        <f t="shared" si="1116"/>
        <v/>
      </c>
      <c r="DJ146" s="494" t="str">
        <f t="shared" si="1117"/>
        <v/>
      </c>
      <c r="DK146" s="495" t="str">
        <f t="shared" si="1118"/>
        <v/>
      </c>
      <c r="DL146" s="496" t="str">
        <f t="shared" si="1119"/>
        <v/>
      </c>
      <c r="DM146" s="502" t="str">
        <f t="shared" si="1120"/>
        <v/>
      </c>
      <c r="DN146" s="508" t="str">
        <f t="shared" si="1121"/>
        <v/>
      </c>
      <c r="DO146" s="496" t="str">
        <f t="shared" si="1122"/>
        <v/>
      </c>
      <c r="DP146" s="502" t="str">
        <f t="shared" si="1123"/>
        <v/>
      </c>
      <c r="DQ146" s="503" t="str">
        <f t="shared" si="1124"/>
        <v/>
      </c>
      <c r="DR146" s="502" t="str">
        <f t="shared" si="1125"/>
        <v/>
      </c>
      <c r="DS146" s="494" t="str">
        <f t="shared" si="1126"/>
        <v/>
      </c>
      <c r="DT146" s="494" t="str">
        <f t="shared" si="1127"/>
        <v/>
      </c>
      <c r="DU146" s="494" t="str">
        <f t="shared" si="1128"/>
        <v/>
      </c>
      <c r="DV146" s="494" t="str">
        <f t="shared" si="1129"/>
        <v/>
      </c>
      <c r="DW146" s="494" t="str">
        <f t="shared" si="1130"/>
        <v/>
      </c>
      <c r="DX146" s="507" t="str">
        <f t="shared" si="1131"/>
        <v/>
      </c>
      <c r="DY146" s="496" t="str">
        <f t="shared" si="1132"/>
        <v/>
      </c>
      <c r="DZ146" s="494" t="str">
        <f t="shared" si="1133"/>
        <v/>
      </c>
      <c r="EA146" s="495" t="str">
        <f t="shared" si="1134"/>
        <v/>
      </c>
      <c r="EB146" s="497" t="str">
        <f t="shared" si="1135"/>
        <v/>
      </c>
      <c r="EC146" s="502" t="str">
        <f t="shared" si="1136"/>
        <v/>
      </c>
      <c r="ED146" s="494" t="str">
        <f t="shared" si="1137"/>
        <v/>
      </c>
      <c r="EE146" s="498" t="str">
        <f t="shared" si="1138"/>
        <v/>
      </c>
      <c r="EF146" s="494" t="str">
        <f t="shared" si="1139"/>
        <v/>
      </c>
      <c r="EG146" s="495" t="str">
        <f t="shared" si="1140"/>
        <v/>
      </c>
      <c r="EH146" s="496" t="str">
        <f t="shared" si="1141"/>
        <v/>
      </c>
      <c r="EI146" s="494" t="str">
        <f t="shared" si="1142"/>
        <v/>
      </c>
      <c r="EJ146" s="497" t="str">
        <f t="shared" si="1143"/>
        <v/>
      </c>
      <c r="EK146" s="509" t="str">
        <f t="shared" si="796"/>
        <v/>
      </c>
      <c r="EL146" s="510" t="str">
        <f t="shared" si="797"/>
        <v/>
      </c>
      <c r="EM146" s="498" t="str">
        <f t="shared" si="1144"/>
        <v/>
      </c>
      <c r="EN146" s="494" t="str">
        <f t="shared" si="1145"/>
        <v/>
      </c>
      <c r="EO146" s="495" t="str">
        <f t="shared" si="1146"/>
        <v/>
      </c>
      <c r="EP146" s="496" t="str">
        <f t="shared" si="1147"/>
        <v/>
      </c>
      <c r="EQ146" s="494" t="str">
        <f t="shared" si="1148"/>
        <v/>
      </c>
      <c r="ER146" s="500" t="str">
        <f t="shared" si="1149"/>
        <v/>
      </c>
      <c r="ES146" s="493" t="str">
        <f t="shared" si="1239"/>
        <v/>
      </c>
      <c r="ET146" s="494" t="str">
        <f t="shared" si="1240"/>
        <v/>
      </c>
      <c r="EU146" s="495" t="str">
        <f t="shared" si="1241"/>
        <v/>
      </c>
      <c r="EV146" s="174" t="str">
        <f t="shared" si="1150"/>
        <v/>
      </c>
      <c r="EW146" s="496" t="str">
        <f t="shared" si="1151"/>
        <v/>
      </c>
      <c r="EX146" s="494" t="str">
        <f t="shared" si="1152"/>
        <v/>
      </c>
      <c r="EY146" s="497" t="str">
        <f t="shared" si="1153"/>
        <v/>
      </c>
      <c r="EZ146" s="504" t="str">
        <f t="shared" si="805"/>
        <v/>
      </c>
      <c r="FA146" s="502" t="str">
        <f t="shared" si="929"/>
        <v/>
      </c>
      <c r="FB146" s="494" t="str">
        <f t="shared" si="930"/>
        <v/>
      </c>
      <c r="FC146" s="497" t="str">
        <f t="shared" si="931"/>
        <v/>
      </c>
      <c r="FD146" s="498" t="str">
        <f t="shared" si="1154"/>
        <v/>
      </c>
      <c r="FE146" s="494" t="str">
        <f t="shared" si="1155"/>
        <v/>
      </c>
      <c r="FF146" s="500" t="str">
        <f t="shared" si="1156"/>
        <v/>
      </c>
      <c r="FG146" s="173" t="str">
        <f t="shared" si="1157"/>
        <v/>
      </c>
      <c r="FH146" s="5" t="str">
        <f t="shared" si="1158"/>
        <v/>
      </c>
      <c r="FI146" s="10" t="str">
        <f t="shared" si="1159"/>
        <v/>
      </c>
      <c r="FJ146" s="279" t="str">
        <f t="shared" si="1160"/>
        <v/>
      </c>
      <c r="FK146" s="4" t="str">
        <f t="shared" si="1161"/>
        <v/>
      </c>
      <c r="FL146" s="5" t="str">
        <f t="shared" si="1162"/>
        <v/>
      </c>
      <c r="FM146" s="8" t="str">
        <f t="shared" si="1163"/>
        <v/>
      </c>
      <c r="FN146" s="9" t="str">
        <f t="shared" si="1164"/>
        <v/>
      </c>
      <c r="FO146" s="10" t="str">
        <f t="shared" si="1165"/>
        <v/>
      </c>
      <c r="FP146" s="277" t="str">
        <f t="shared" si="1166"/>
        <v/>
      </c>
      <c r="FQ146" s="173" t="str">
        <f t="shared" si="1167"/>
        <v/>
      </c>
      <c r="FR146" s="10" t="str">
        <f t="shared" si="1168"/>
        <v/>
      </c>
      <c r="FS146" s="9" t="str">
        <f t="shared" si="1169"/>
        <v/>
      </c>
      <c r="FT146" s="6" t="str">
        <f t="shared" si="1170"/>
        <v/>
      </c>
      <c r="FU146" s="4" t="str">
        <f t="shared" si="1171"/>
        <v/>
      </c>
      <c r="FV146" s="5" t="str">
        <f t="shared" si="1172"/>
        <v/>
      </c>
      <c r="FW146" s="8" t="str">
        <f t="shared" si="1173"/>
        <v/>
      </c>
      <c r="FX146" s="9" t="str">
        <f t="shared" si="1174"/>
        <v/>
      </c>
      <c r="FY146" s="10" t="str">
        <f t="shared" si="1175"/>
        <v/>
      </c>
      <c r="FZ146" s="277" t="str">
        <f t="shared" si="1176"/>
        <v/>
      </c>
      <c r="GA146" s="177" t="str">
        <f t="shared" si="1177"/>
        <v/>
      </c>
      <c r="GB146" s="4" t="str">
        <f t="shared" si="1178"/>
        <v/>
      </c>
      <c r="GC146" s="5" t="str">
        <f t="shared" si="1179"/>
        <v/>
      </c>
      <c r="GD146" s="10" t="str">
        <f t="shared" si="1180"/>
        <v/>
      </c>
      <c r="GE146" s="311" t="str">
        <f t="shared" si="1181"/>
        <v/>
      </c>
      <c r="GF146" s="341" t="str">
        <f t="shared" si="1182"/>
        <v/>
      </c>
      <c r="GG146" s="306" t="str">
        <f t="shared" si="1183"/>
        <v/>
      </c>
      <c r="GH146" s="307" t="str">
        <f t="shared" si="1184"/>
        <v/>
      </c>
      <c r="GI146" s="308" t="str">
        <f t="shared" si="1185"/>
        <v/>
      </c>
      <c r="GJ146" s="167" t="str">
        <f t="shared" si="1186"/>
        <v/>
      </c>
      <c r="GK146" s="174" t="str">
        <f t="shared" si="943"/>
        <v/>
      </c>
      <c r="GL146" s="174" t="str">
        <f t="shared" si="1187"/>
        <v/>
      </c>
      <c r="GM146" s="177" t="str">
        <f t="shared" si="1188"/>
        <v/>
      </c>
      <c r="GN146" s="280" t="str">
        <f t="shared" si="1189"/>
        <v/>
      </c>
      <c r="GO146" s="4" t="str">
        <f t="shared" si="1190"/>
        <v/>
      </c>
      <c r="GP146" s="8" t="str">
        <f t="shared" si="1191"/>
        <v/>
      </c>
      <c r="GQ146" s="177" t="str">
        <f t="shared" si="1192"/>
        <v/>
      </c>
      <c r="GR146" s="371" t="str">
        <f t="shared" si="1193"/>
        <v/>
      </c>
      <c r="GS146" s="342" t="str">
        <f t="shared" si="1194"/>
        <v/>
      </c>
      <c r="GT146" s="343" t="str">
        <f t="shared" si="1195"/>
        <v/>
      </c>
      <c r="GU146" s="344" t="str">
        <f t="shared" si="946"/>
        <v/>
      </c>
      <c r="GV146" s="343" t="str">
        <f t="shared" si="1196"/>
        <v/>
      </c>
      <c r="GW146" s="345" t="str">
        <f t="shared" si="947"/>
        <v/>
      </c>
      <c r="GX146" s="346" t="str">
        <f t="shared" si="948"/>
        <v/>
      </c>
      <c r="GY146" s="344" t="str">
        <f t="shared" si="1197"/>
        <v/>
      </c>
      <c r="GZ146" s="345" t="str">
        <f t="shared" si="1198"/>
        <v/>
      </c>
      <c r="HA146" s="342" t="str">
        <f t="shared" si="951"/>
        <v/>
      </c>
      <c r="HB146" s="5" t="str">
        <f t="shared" si="832"/>
        <v/>
      </c>
      <c r="HC146" s="343" t="str">
        <f t="shared" si="1199"/>
        <v/>
      </c>
      <c r="HD146" s="363" t="str">
        <f t="shared" si="1200"/>
        <v/>
      </c>
      <c r="HE146" s="344" t="str">
        <f t="shared" si="952"/>
        <v/>
      </c>
      <c r="HF146" s="5" t="str">
        <f t="shared" si="953"/>
        <v/>
      </c>
      <c r="HG146" s="343" t="str">
        <f t="shared" si="1201"/>
        <v/>
      </c>
      <c r="HH146" s="349" t="str">
        <f t="shared" si="1202"/>
        <v/>
      </c>
      <c r="HI146" s="317" t="str">
        <f t="shared" si="1242"/>
        <v/>
      </c>
      <c r="HK146" s="310" t="str">
        <f t="shared" si="1276"/>
        <v/>
      </c>
      <c r="HL146" s="348" t="str">
        <f t="shared" si="1243"/>
        <v/>
      </c>
      <c r="HM146" s="935" t="str">
        <f t="shared" si="1244"/>
        <v/>
      </c>
      <c r="HN146" s="936" t="str">
        <f t="shared" si="1245"/>
        <v/>
      </c>
      <c r="HO146" s="937"/>
      <c r="HP146" s="938"/>
      <c r="HQ146" s="936" t="str">
        <f t="shared" si="1246"/>
        <v/>
      </c>
      <c r="HR146" s="939" t="str">
        <f t="shared" si="1247"/>
        <v/>
      </c>
      <c r="HS146" s="940" t="str">
        <f t="shared" si="1203"/>
        <v/>
      </c>
      <c r="HT146" s="941" t="str">
        <f t="shared" si="1248"/>
        <v/>
      </c>
      <c r="HU146" s="942" t="str">
        <f t="shared" si="1249"/>
        <v/>
      </c>
      <c r="HV146" s="943" t="str">
        <f t="shared" si="1250"/>
        <v/>
      </c>
      <c r="HW146" s="944" t="str">
        <f t="shared" si="1251"/>
        <v/>
      </c>
      <c r="HX146" s="947" t="str">
        <f t="shared" si="1252"/>
        <v/>
      </c>
      <c r="HY146" s="952" t="str">
        <f t="shared" si="1253"/>
        <v/>
      </c>
      <c r="HZ146" s="953" t="str">
        <f t="shared" si="1254"/>
        <v/>
      </c>
      <c r="IA146" s="954" t="str">
        <f t="shared" si="1255"/>
        <v/>
      </c>
      <c r="IB146" s="955" t="str">
        <f t="shared" si="1256"/>
        <v/>
      </c>
      <c r="IC146" s="842" t="str">
        <f t="shared" si="1257"/>
        <v/>
      </c>
      <c r="ID146" s="351" t="str">
        <f t="shared" si="1258"/>
        <v/>
      </c>
      <c r="IE146" s="844" t="str">
        <f t="shared" si="1259"/>
        <v/>
      </c>
      <c r="IF146" s="845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80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60"/>
        <v/>
      </c>
      <c r="IM146" s="482" t="str">
        <f t="shared" si="1281"/>
        <v/>
      </c>
      <c r="IN146" s="670" t="str">
        <f t="shared" si="1261"/>
        <v/>
      </c>
      <c r="IO146" s="702"/>
      <c r="IP146" s="5" t="str">
        <f t="shared" si="1262"/>
        <v/>
      </c>
      <c r="IQ146" s="714"/>
      <c r="IR146" s="9" t="str">
        <f t="shared" si="1263"/>
        <v/>
      </c>
      <c r="IS146" s="5" t="str">
        <f t="shared" si="1264"/>
        <v/>
      </c>
      <c r="IT146" s="5" t="str">
        <f t="shared" si="1265"/>
        <v/>
      </c>
      <c r="IU146" s="5" t="str">
        <f t="shared" si="1266"/>
        <v/>
      </c>
      <c r="IV146" s="670" t="str">
        <f t="shared" si="1267"/>
        <v/>
      </c>
      <c r="IW146" s="9" t="str">
        <f t="shared" si="1268"/>
        <v/>
      </c>
      <c r="IX146" s="5" t="str">
        <f t="shared" si="1269"/>
        <v/>
      </c>
      <c r="IY146" s="5" t="str">
        <f t="shared" si="1270"/>
        <v/>
      </c>
      <c r="IZ146" s="5" t="str">
        <f t="shared" si="1271"/>
        <v/>
      </c>
      <c r="JA146" s="705" t="str">
        <f t="shared" si="1272"/>
        <v/>
      </c>
    </row>
    <row r="147" spans="1:261" ht="15" customHeight="1" x14ac:dyDescent="0.25">
      <c r="A147" s="75" t="str">
        <f t="shared" si="1216"/>
        <v/>
      </c>
      <c r="B147" s="585" t="str">
        <f t="shared" ref="B147:D147" si="1296">IFERROR(O302+($A147*-E147),"")</f>
        <v/>
      </c>
      <c r="C147" s="582" t="str">
        <f t="shared" si="1296"/>
        <v/>
      </c>
      <c r="D147" s="583" t="str">
        <f t="shared" si="1296"/>
        <v/>
      </c>
      <c r="E147" s="588" t="str">
        <f t="shared" ref="E147:K147" si="1297">R302</f>
        <v/>
      </c>
      <c r="F147" s="582" t="str">
        <f t="shared" si="1297"/>
        <v/>
      </c>
      <c r="G147" s="586" t="str">
        <f t="shared" si="1297"/>
        <v/>
      </c>
      <c r="H147" s="588" t="str">
        <f t="shared" si="1297"/>
        <v/>
      </c>
      <c r="I147" s="582" t="str">
        <f t="shared" si="1297"/>
        <v/>
      </c>
      <c r="J147" s="491" t="str">
        <f t="shared" si="1275"/>
        <v/>
      </c>
      <c r="K147" s="807" t="str">
        <f t="shared" si="1297"/>
        <v/>
      </c>
      <c r="L147" s="309"/>
      <c r="M147" s="492" t="str">
        <f t="shared" si="1219"/>
        <v/>
      </c>
      <c r="N147" s="581" t="str">
        <f t="shared" si="1220"/>
        <v/>
      </c>
      <c r="O147" s="582" t="str">
        <f t="shared" si="1221"/>
        <v/>
      </c>
      <c r="P147" s="583" t="str">
        <f t="shared" si="1222"/>
        <v/>
      </c>
      <c r="Q147" s="536" t="str">
        <f t="shared" si="1061"/>
        <v/>
      </c>
      <c r="R147" s="582" t="str">
        <f t="shared" si="1062"/>
        <v/>
      </c>
      <c r="S147" s="584" t="str">
        <f t="shared" si="1063"/>
        <v/>
      </c>
      <c r="T147" s="585" t="str">
        <f t="shared" si="1064"/>
        <v/>
      </c>
      <c r="U147" s="582" t="str">
        <f t="shared" si="1065"/>
        <v/>
      </c>
      <c r="V147" s="586" t="str">
        <f t="shared" si="1066"/>
        <v/>
      </c>
      <c r="W147" s="536" t="str">
        <f t="shared" si="1067"/>
        <v/>
      </c>
      <c r="X147" s="582" t="str">
        <f t="shared" si="1068"/>
        <v/>
      </c>
      <c r="Y147" s="587" t="str">
        <f t="shared" si="1069"/>
        <v/>
      </c>
      <c r="Z147" s="581" t="str">
        <f t="shared" si="1223"/>
        <v/>
      </c>
      <c r="AA147" s="582" t="str">
        <f t="shared" si="1224"/>
        <v/>
      </c>
      <c r="AB147" s="582" t="str">
        <f t="shared" si="1225"/>
        <v/>
      </c>
      <c r="AC147" s="586" t="str">
        <f t="shared" si="1070"/>
        <v/>
      </c>
      <c r="AD147" s="588" t="str">
        <f t="shared" si="1071"/>
        <v/>
      </c>
      <c r="AE147" s="582" t="str">
        <f t="shared" si="1072"/>
        <v/>
      </c>
      <c r="AF147" s="583" t="str">
        <f t="shared" si="1073"/>
        <v/>
      </c>
      <c r="AG147" s="547" t="str">
        <f t="shared" si="1074"/>
        <v/>
      </c>
      <c r="AH147" s="548" t="str">
        <f t="shared" si="1075"/>
        <v/>
      </c>
      <c r="AI147" s="536" t="str">
        <f t="shared" si="1076"/>
        <v/>
      </c>
      <c r="AJ147" s="537" t="str">
        <f t="shared" si="1077"/>
        <v/>
      </c>
      <c r="AK147" s="585" t="str">
        <f t="shared" si="1078"/>
        <v/>
      </c>
      <c r="AL147" s="582" t="str">
        <f t="shared" si="1079"/>
        <v/>
      </c>
      <c r="AM147" s="584" t="str">
        <f t="shared" si="1080"/>
        <v/>
      </c>
      <c r="AN147" s="534" t="str">
        <f t="shared" si="1081"/>
        <v/>
      </c>
      <c r="AO147" s="535" t="str">
        <f t="shared" si="1040"/>
        <v/>
      </c>
      <c r="AP147" s="536" t="str">
        <f t="shared" si="1082"/>
        <v/>
      </c>
      <c r="AQ147" s="537" t="str">
        <f t="shared" si="1226"/>
        <v/>
      </c>
      <c r="AS147" s="901" t="str">
        <f t="shared" si="1279"/>
        <v/>
      </c>
      <c r="AT147" s="897" t="str">
        <f t="shared" si="1227"/>
        <v/>
      </c>
      <c r="AU147" s="418"/>
      <c r="AV147" s="164" t="str">
        <f t="shared" si="1228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083"/>
        <v/>
      </c>
      <c r="BA147" s="505" t="str">
        <f t="shared" si="1084"/>
        <v/>
      </c>
      <c r="BB147" s="506" t="str">
        <f t="shared" si="713"/>
        <v/>
      </c>
      <c r="BC147" s="496"/>
      <c r="BD147" s="494" t="str">
        <f t="shared" si="1085"/>
        <v/>
      </c>
      <c r="BE147" s="497" t="str">
        <f t="shared" si="1229"/>
        <v/>
      </c>
      <c r="BF147" s="498" t="str">
        <f t="shared" si="1230"/>
        <v/>
      </c>
      <c r="BG147" s="494" t="str">
        <f t="shared" si="1231"/>
        <v/>
      </c>
      <c r="BH147" s="495" t="str">
        <f t="shared" si="1232"/>
        <v/>
      </c>
      <c r="BI147" s="496" t="str">
        <f t="shared" si="1086"/>
        <v/>
      </c>
      <c r="BJ147" s="494" t="str">
        <f t="shared" si="1233"/>
        <v/>
      </c>
      <c r="BK147" s="499" t="str">
        <f t="shared" si="1234"/>
        <v/>
      </c>
      <c r="BL147" s="502" t="str">
        <f t="shared" si="1235"/>
        <v/>
      </c>
      <c r="BM147" s="494" t="str">
        <f t="shared" si="1236"/>
        <v/>
      </c>
      <c r="BN147" s="497" t="str">
        <f t="shared" si="1237"/>
        <v/>
      </c>
      <c r="BO147" s="498" t="str">
        <f t="shared" si="1087"/>
        <v/>
      </c>
      <c r="BP147" s="494" t="str">
        <f t="shared" si="1088"/>
        <v/>
      </c>
      <c r="BQ147" s="494" t="str">
        <f t="shared" si="1089"/>
        <v/>
      </c>
      <c r="BR147" s="497" t="str">
        <f t="shared" si="1090"/>
        <v/>
      </c>
      <c r="BS147" s="498" t="str">
        <f t="shared" si="1006"/>
        <v/>
      </c>
      <c r="BT147" s="494" t="str">
        <f t="shared" si="1006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1"/>
        <v/>
      </c>
      <c r="CC147" s="494" t="str">
        <f t="shared" si="1092"/>
        <v/>
      </c>
      <c r="CD147" s="494" t="str">
        <f t="shared" si="1093"/>
        <v/>
      </c>
      <c r="CE147" s="497" t="str">
        <f t="shared" si="1094"/>
        <v/>
      </c>
      <c r="CF147" s="498" t="str">
        <f t="shared" si="1095"/>
        <v/>
      </c>
      <c r="CG147" s="494" t="str">
        <f t="shared" si="1096"/>
        <v/>
      </c>
      <c r="CH147" s="494" t="str">
        <f t="shared" si="1097"/>
        <v/>
      </c>
      <c r="CI147" s="498" t="str">
        <f t="shared" si="723"/>
        <v/>
      </c>
      <c r="CJ147" s="494" t="str">
        <f t="shared" si="1098"/>
        <v/>
      </c>
      <c r="CK147" s="499" t="str">
        <f t="shared" si="1099"/>
        <v/>
      </c>
      <c r="CL147" s="502" t="str">
        <f t="shared" si="1100"/>
        <v/>
      </c>
      <c r="CM147" s="494" t="str">
        <f t="shared" si="1101"/>
        <v/>
      </c>
      <c r="CN147" s="497" t="str">
        <f t="shared" si="1102"/>
        <v/>
      </c>
      <c r="CO147" s="507" t="str">
        <f t="shared" si="1238"/>
        <v/>
      </c>
      <c r="CP147" s="498" t="str">
        <f t="shared" si="1103"/>
        <v/>
      </c>
      <c r="CQ147" s="494" t="str">
        <f t="shared" si="1104"/>
        <v/>
      </c>
      <c r="CR147" s="494" t="str">
        <f t="shared" si="1105"/>
        <v/>
      </c>
      <c r="CS147" s="499" t="str">
        <f t="shared" si="1106"/>
        <v/>
      </c>
      <c r="CT147" s="496" t="str">
        <f t="shared" si="1107"/>
        <v/>
      </c>
      <c r="CU147" s="497" t="str">
        <f t="shared" si="1108"/>
        <v/>
      </c>
      <c r="CV147" s="498" t="str">
        <f t="shared" si="1109"/>
        <v/>
      </c>
      <c r="CW147" s="494" t="str">
        <f t="shared" si="1110"/>
        <v/>
      </c>
      <c r="CX147" s="499" t="str">
        <f t="shared" si="1111"/>
        <v/>
      </c>
      <c r="CY147" s="496" t="str">
        <f t="shared" si="1112"/>
        <v/>
      </c>
      <c r="CZ147" s="494" t="str">
        <f t="shared" si="1113"/>
        <v/>
      </c>
      <c r="DA147" s="497" t="str">
        <f t="shared" si="1114"/>
        <v/>
      </c>
      <c r="DB147" s="498" t="str">
        <f t="shared" si="1012"/>
        <v/>
      </c>
      <c r="DC147" s="494" t="str">
        <f t="shared" si="1012"/>
        <v/>
      </c>
      <c r="DD147" s="495" t="str">
        <f t="shared" si="764"/>
        <v/>
      </c>
      <c r="DE147" s="496" t="str">
        <f t="shared" si="1013"/>
        <v/>
      </c>
      <c r="DF147" s="494" t="str">
        <f t="shared" si="1013"/>
        <v/>
      </c>
      <c r="DG147" s="495" t="str">
        <f t="shared" si="766"/>
        <v/>
      </c>
      <c r="DH147" s="501" t="str">
        <f t="shared" si="1115"/>
        <v/>
      </c>
      <c r="DI147" s="498" t="str">
        <f t="shared" si="1116"/>
        <v/>
      </c>
      <c r="DJ147" s="494" t="str">
        <f t="shared" si="1117"/>
        <v/>
      </c>
      <c r="DK147" s="495" t="str">
        <f t="shared" si="1118"/>
        <v/>
      </c>
      <c r="DL147" s="496" t="str">
        <f t="shared" si="1119"/>
        <v/>
      </c>
      <c r="DM147" s="502" t="str">
        <f t="shared" si="1120"/>
        <v/>
      </c>
      <c r="DN147" s="508" t="str">
        <f t="shared" si="1121"/>
        <v/>
      </c>
      <c r="DO147" s="496" t="str">
        <f t="shared" si="1122"/>
        <v/>
      </c>
      <c r="DP147" s="502" t="str">
        <f t="shared" si="1123"/>
        <v/>
      </c>
      <c r="DQ147" s="503" t="str">
        <f t="shared" si="1124"/>
        <v/>
      </c>
      <c r="DR147" s="502" t="str">
        <f t="shared" si="1125"/>
        <v/>
      </c>
      <c r="DS147" s="494" t="str">
        <f t="shared" si="1126"/>
        <v/>
      </c>
      <c r="DT147" s="494" t="str">
        <f t="shared" si="1127"/>
        <v/>
      </c>
      <c r="DU147" s="494" t="str">
        <f t="shared" si="1128"/>
        <v/>
      </c>
      <c r="DV147" s="494" t="str">
        <f t="shared" si="1129"/>
        <v/>
      </c>
      <c r="DW147" s="494" t="str">
        <f t="shared" si="1130"/>
        <v/>
      </c>
      <c r="DX147" s="507" t="str">
        <f t="shared" si="1131"/>
        <v/>
      </c>
      <c r="DY147" s="496" t="str">
        <f t="shared" si="1132"/>
        <v/>
      </c>
      <c r="DZ147" s="494" t="str">
        <f t="shared" si="1133"/>
        <v/>
      </c>
      <c r="EA147" s="495" t="str">
        <f t="shared" si="1134"/>
        <v/>
      </c>
      <c r="EB147" s="497" t="str">
        <f t="shared" si="1135"/>
        <v/>
      </c>
      <c r="EC147" s="502" t="str">
        <f t="shared" si="1136"/>
        <v/>
      </c>
      <c r="ED147" s="494" t="str">
        <f t="shared" si="1137"/>
        <v/>
      </c>
      <c r="EE147" s="498" t="str">
        <f t="shared" si="1138"/>
        <v/>
      </c>
      <c r="EF147" s="494" t="str">
        <f t="shared" si="1139"/>
        <v/>
      </c>
      <c r="EG147" s="495" t="str">
        <f t="shared" si="1140"/>
        <v/>
      </c>
      <c r="EH147" s="496" t="str">
        <f t="shared" si="1141"/>
        <v/>
      </c>
      <c r="EI147" s="494" t="str">
        <f t="shared" si="1142"/>
        <v/>
      </c>
      <c r="EJ147" s="497" t="str">
        <f t="shared" si="1143"/>
        <v/>
      </c>
      <c r="EK147" s="509" t="str">
        <f t="shared" si="796"/>
        <v/>
      </c>
      <c r="EL147" s="510" t="str">
        <f t="shared" si="797"/>
        <v/>
      </c>
      <c r="EM147" s="498" t="str">
        <f t="shared" si="1144"/>
        <v/>
      </c>
      <c r="EN147" s="494" t="str">
        <f t="shared" si="1145"/>
        <v/>
      </c>
      <c r="EO147" s="495" t="str">
        <f t="shared" si="1146"/>
        <v/>
      </c>
      <c r="EP147" s="496" t="str">
        <f t="shared" si="1147"/>
        <v/>
      </c>
      <c r="EQ147" s="494" t="str">
        <f t="shared" si="1148"/>
        <v/>
      </c>
      <c r="ER147" s="500" t="str">
        <f t="shared" si="1149"/>
        <v/>
      </c>
      <c r="ES147" s="493" t="str">
        <f t="shared" si="1239"/>
        <v/>
      </c>
      <c r="ET147" s="494" t="str">
        <f t="shared" si="1240"/>
        <v/>
      </c>
      <c r="EU147" s="495" t="str">
        <f t="shared" si="1241"/>
        <v/>
      </c>
      <c r="EV147" s="174" t="str">
        <f t="shared" si="1150"/>
        <v/>
      </c>
      <c r="EW147" s="496" t="str">
        <f t="shared" si="1151"/>
        <v/>
      </c>
      <c r="EX147" s="494" t="str">
        <f t="shared" si="1152"/>
        <v/>
      </c>
      <c r="EY147" s="497" t="str">
        <f t="shared" si="1153"/>
        <v/>
      </c>
      <c r="EZ147" s="504" t="str">
        <f t="shared" si="805"/>
        <v/>
      </c>
      <c r="FA147" s="502" t="str">
        <f t="shared" si="929"/>
        <v/>
      </c>
      <c r="FB147" s="494" t="str">
        <f t="shared" si="930"/>
        <v/>
      </c>
      <c r="FC147" s="497" t="str">
        <f t="shared" si="931"/>
        <v/>
      </c>
      <c r="FD147" s="498" t="str">
        <f t="shared" si="1154"/>
        <v/>
      </c>
      <c r="FE147" s="494" t="str">
        <f t="shared" si="1155"/>
        <v/>
      </c>
      <c r="FF147" s="500" t="str">
        <f t="shared" si="1156"/>
        <v/>
      </c>
      <c r="FG147" s="173" t="str">
        <f t="shared" si="1157"/>
        <v/>
      </c>
      <c r="FH147" s="5" t="str">
        <f t="shared" si="1158"/>
        <v/>
      </c>
      <c r="FI147" s="10" t="str">
        <f t="shared" si="1159"/>
        <v/>
      </c>
      <c r="FJ147" s="279" t="str">
        <f t="shared" si="1160"/>
        <v/>
      </c>
      <c r="FK147" s="4" t="str">
        <f t="shared" si="1161"/>
        <v/>
      </c>
      <c r="FL147" s="5" t="str">
        <f t="shared" si="1162"/>
        <v/>
      </c>
      <c r="FM147" s="8" t="str">
        <f t="shared" si="1163"/>
        <v/>
      </c>
      <c r="FN147" s="9" t="str">
        <f t="shared" si="1164"/>
        <v/>
      </c>
      <c r="FO147" s="10" t="str">
        <f t="shared" si="1165"/>
        <v/>
      </c>
      <c r="FP147" s="277" t="str">
        <f t="shared" si="1166"/>
        <v/>
      </c>
      <c r="FQ147" s="173" t="str">
        <f t="shared" si="1167"/>
        <v/>
      </c>
      <c r="FR147" s="10" t="str">
        <f t="shared" si="1168"/>
        <v/>
      </c>
      <c r="FS147" s="9" t="str">
        <f t="shared" si="1169"/>
        <v/>
      </c>
      <c r="FT147" s="6" t="str">
        <f t="shared" si="1170"/>
        <v/>
      </c>
      <c r="FU147" s="4" t="str">
        <f t="shared" si="1171"/>
        <v/>
      </c>
      <c r="FV147" s="5" t="str">
        <f t="shared" si="1172"/>
        <v/>
      </c>
      <c r="FW147" s="8" t="str">
        <f t="shared" si="1173"/>
        <v/>
      </c>
      <c r="FX147" s="9" t="str">
        <f t="shared" si="1174"/>
        <v/>
      </c>
      <c r="FY147" s="10" t="str">
        <f t="shared" si="1175"/>
        <v/>
      </c>
      <c r="FZ147" s="277" t="str">
        <f t="shared" si="1176"/>
        <v/>
      </c>
      <c r="GA147" s="177" t="str">
        <f t="shared" si="1177"/>
        <v/>
      </c>
      <c r="GB147" s="4" t="str">
        <f t="shared" si="1178"/>
        <v/>
      </c>
      <c r="GC147" s="5" t="str">
        <f t="shared" si="1179"/>
        <v/>
      </c>
      <c r="GD147" s="10" t="str">
        <f t="shared" si="1180"/>
        <v/>
      </c>
      <c r="GE147" s="311" t="str">
        <f t="shared" si="1181"/>
        <v/>
      </c>
      <c r="GF147" s="341" t="str">
        <f t="shared" si="1182"/>
        <v/>
      </c>
      <c r="GG147" s="306" t="str">
        <f t="shared" si="1183"/>
        <v/>
      </c>
      <c r="GH147" s="307" t="str">
        <f t="shared" si="1184"/>
        <v/>
      </c>
      <c r="GI147" s="308" t="str">
        <f t="shared" si="1185"/>
        <v/>
      </c>
      <c r="GJ147" s="167" t="str">
        <f t="shared" si="1186"/>
        <v/>
      </c>
      <c r="GK147" s="174" t="str">
        <f t="shared" si="943"/>
        <v/>
      </c>
      <c r="GL147" s="174" t="str">
        <f t="shared" si="1187"/>
        <v/>
      </c>
      <c r="GM147" s="177" t="str">
        <f t="shared" si="1188"/>
        <v/>
      </c>
      <c r="GN147" s="280" t="str">
        <f t="shared" si="1189"/>
        <v/>
      </c>
      <c r="GO147" s="4" t="str">
        <f t="shared" si="1190"/>
        <v/>
      </c>
      <c r="GP147" s="8" t="str">
        <f t="shared" si="1191"/>
        <v/>
      </c>
      <c r="GQ147" s="177" t="str">
        <f t="shared" si="1192"/>
        <v/>
      </c>
      <c r="GR147" s="371" t="str">
        <f t="shared" si="1193"/>
        <v/>
      </c>
      <c r="GS147" s="342" t="str">
        <f t="shared" si="1194"/>
        <v/>
      </c>
      <c r="GT147" s="343" t="str">
        <f t="shared" si="1195"/>
        <v/>
      </c>
      <c r="GU147" s="344" t="str">
        <f t="shared" si="946"/>
        <v/>
      </c>
      <c r="GV147" s="343" t="str">
        <f t="shared" si="1196"/>
        <v/>
      </c>
      <c r="GW147" s="345" t="str">
        <f t="shared" si="947"/>
        <v/>
      </c>
      <c r="GX147" s="346" t="str">
        <f t="shared" si="948"/>
        <v/>
      </c>
      <c r="GY147" s="344" t="str">
        <f t="shared" si="1197"/>
        <v/>
      </c>
      <c r="GZ147" s="345" t="str">
        <f t="shared" si="1198"/>
        <v/>
      </c>
      <c r="HA147" s="342" t="str">
        <f t="shared" si="951"/>
        <v/>
      </c>
      <c r="HB147" s="5" t="str">
        <f t="shared" si="832"/>
        <v/>
      </c>
      <c r="HC147" s="343" t="str">
        <f t="shared" si="1199"/>
        <v/>
      </c>
      <c r="HD147" s="363" t="str">
        <f t="shared" si="1200"/>
        <v/>
      </c>
      <c r="HE147" s="344" t="str">
        <f t="shared" si="952"/>
        <v/>
      </c>
      <c r="HF147" s="5" t="str">
        <f t="shared" si="953"/>
        <v/>
      </c>
      <c r="HG147" s="343" t="str">
        <f t="shared" si="1201"/>
        <v/>
      </c>
      <c r="HH147" s="349" t="str">
        <f t="shared" si="1202"/>
        <v/>
      </c>
      <c r="HI147" s="317" t="str">
        <f t="shared" si="1242"/>
        <v/>
      </c>
      <c r="HK147" s="310" t="str">
        <f t="shared" si="1276"/>
        <v/>
      </c>
      <c r="HL147" s="348" t="str">
        <f t="shared" si="1243"/>
        <v/>
      </c>
      <c r="HM147" s="935" t="str">
        <f t="shared" si="1244"/>
        <v/>
      </c>
      <c r="HN147" s="936" t="str">
        <f t="shared" si="1245"/>
        <v/>
      </c>
      <c r="HO147" s="937"/>
      <c r="HP147" s="938"/>
      <c r="HQ147" s="936" t="str">
        <f t="shared" si="1246"/>
        <v/>
      </c>
      <c r="HR147" s="939" t="str">
        <f t="shared" si="1247"/>
        <v/>
      </c>
      <c r="HS147" s="940" t="str">
        <f t="shared" si="1203"/>
        <v/>
      </c>
      <c r="HT147" s="941" t="str">
        <f t="shared" si="1248"/>
        <v/>
      </c>
      <c r="HU147" s="942" t="str">
        <f t="shared" si="1249"/>
        <v/>
      </c>
      <c r="HV147" s="943" t="str">
        <f t="shared" si="1250"/>
        <v/>
      </c>
      <c r="HW147" s="944" t="str">
        <f t="shared" si="1251"/>
        <v/>
      </c>
      <c r="HX147" s="947" t="str">
        <f t="shared" si="1252"/>
        <v/>
      </c>
      <c r="HY147" s="952" t="str">
        <f t="shared" si="1253"/>
        <v/>
      </c>
      <c r="HZ147" s="953" t="str">
        <f t="shared" si="1254"/>
        <v/>
      </c>
      <c r="IA147" s="954" t="str">
        <f t="shared" si="1255"/>
        <v/>
      </c>
      <c r="IB147" s="955" t="str">
        <f t="shared" si="1256"/>
        <v/>
      </c>
      <c r="IC147" s="842" t="str">
        <f t="shared" si="1257"/>
        <v/>
      </c>
      <c r="ID147" s="351" t="str">
        <f t="shared" si="1258"/>
        <v/>
      </c>
      <c r="IE147" s="844" t="str">
        <f t="shared" si="1259"/>
        <v/>
      </c>
      <c r="IF147" s="845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80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60"/>
        <v/>
      </c>
      <c r="IM147" s="482" t="str">
        <f t="shared" si="1281"/>
        <v/>
      </c>
      <c r="IN147" s="670" t="str">
        <f t="shared" si="1261"/>
        <v/>
      </c>
      <c r="IO147" s="702"/>
      <c r="IP147" s="5" t="str">
        <f t="shared" si="1262"/>
        <v/>
      </c>
      <c r="IQ147" s="714"/>
      <c r="IR147" s="9" t="str">
        <f t="shared" si="1263"/>
        <v/>
      </c>
      <c r="IS147" s="5" t="str">
        <f t="shared" si="1264"/>
        <v/>
      </c>
      <c r="IT147" s="5" t="str">
        <f t="shared" si="1265"/>
        <v/>
      </c>
      <c r="IU147" s="5" t="str">
        <f t="shared" si="1266"/>
        <v/>
      </c>
      <c r="IV147" s="670" t="str">
        <f t="shared" si="1267"/>
        <v/>
      </c>
      <c r="IW147" s="9" t="str">
        <f t="shared" si="1268"/>
        <v/>
      </c>
      <c r="IX147" s="5" t="str">
        <f t="shared" si="1269"/>
        <v/>
      </c>
      <c r="IY147" s="5" t="str">
        <f t="shared" si="1270"/>
        <v/>
      </c>
      <c r="IZ147" s="5" t="str">
        <f t="shared" si="1271"/>
        <v/>
      </c>
      <c r="JA147" s="705" t="str">
        <f t="shared" si="1272"/>
        <v/>
      </c>
    </row>
    <row r="148" spans="1:261" ht="15" customHeight="1" x14ac:dyDescent="0.25">
      <c r="A148" s="75" t="str">
        <f t="shared" si="1216"/>
        <v/>
      </c>
      <c r="B148" s="585" t="str">
        <f t="shared" ref="B148:D148" si="1298">IFERROR(O303+($A148*-E148),"")</f>
        <v/>
      </c>
      <c r="C148" s="582" t="str">
        <f t="shared" si="1298"/>
        <v/>
      </c>
      <c r="D148" s="583" t="str">
        <f t="shared" si="1298"/>
        <v/>
      </c>
      <c r="E148" s="588" t="str">
        <f t="shared" ref="E148:K148" si="1299">R303</f>
        <v/>
      </c>
      <c r="F148" s="582" t="str">
        <f t="shared" si="1299"/>
        <v/>
      </c>
      <c r="G148" s="586" t="str">
        <f t="shared" si="1299"/>
        <v/>
      </c>
      <c r="H148" s="588" t="str">
        <f t="shared" si="1299"/>
        <v/>
      </c>
      <c r="I148" s="582" t="str">
        <f t="shared" si="1299"/>
        <v/>
      </c>
      <c r="J148" s="491" t="str">
        <f t="shared" si="1275"/>
        <v/>
      </c>
      <c r="K148" s="807" t="str">
        <f t="shared" si="1299"/>
        <v/>
      </c>
      <c r="L148" s="309"/>
      <c r="M148" s="492" t="str">
        <f t="shared" si="1219"/>
        <v/>
      </c>
      <c r="N148" s="581" t="str">
        <f t="shared" si="1220"/>
        <v/>
      </c>
      <c r="O148" s="582" t="str">
        <f t="shared" si="1221"/>
        <v/>
      </c>
      <c r="P148" s="583" t="str">
        <f t="shared" si="1222"/>
        <v/>
      </c>
      <c r="Q148" s="536" t="str">
        <f t="shared" si="1061"/>
        <v/>
      </c>
      <c r="R148" s="582" t="str">
        <f t="shared" si="1062"/>
        <v/>
      </c>
      <c r="S148" s="584" t="str">
        <f t="shared" si="1063"/>
        <v/>
      </c>
      <c r="T148" s="585" t="str">
        <f t="shared" si="1064"/>
        <v/>
      </c>
      <c r="U148" s="582" t="str">
        <f t="shared" si="1065"/>
        <v/>
      </c>
      <c r="V148" s="586" t="str">
        <f t="shared" si="1066"/>
        <v/>
      </c>
      <c r="W148" s="536" t="str">
        <f t="shared" si="1067"/>
        <v/>
      </c>
      <c r="X148" s="582" t="str">
        <f t="shared" si="1068"/>
        <v/>
      </c>
      <c r="Y148" s="587" t="str">
        <f t="shared" si="1069"/>
        <v/>
      </c>
      <c r="Z148" s="581" t="str">
        <f t="shared" si="1223"/>
        <v/>
      </c>
      <c r="AA148" s="582" t="str">
        <f t="shared" si="1224"/>
        <v/>
      </c>
      <c r="AB148" s="582" t="str">
        <f t="shared" si="1225"/>
        <v/>
      </c>
      <c r="AC148" s="586" t="str">
        <f t="shared" si="1070"/>
        <v/>
      </c>
      <c r="AD148" s="588" t="str">
        <f t="shared" si="1071"/>
        <v/>
      </c>
      <c r="AE148" s="582" t="str">
        <f t="shared" si="1072"/>
        <v/>
      </c>
      <c r="AF148" s="583" t="str">
        <f t="shared" si="1073"/>
        <v/>
      </c>
      <c r="AG148" s="547" t="str">
        <f t="shared" si="1074"/>
        <v/>
      </c>
      <c r="AH148" s="548" t="str">
        <f t="shared" si="1075"/>
        <v/>
      </c>
      <c r="AI148" s="536" t="str">
        <f t="shared" si="1076"/>
        <v/>
      </c>
      <c r="AJ148" s="537" t="str">
        <f t="shared" si="1077"/>
        <v/>
      </c>
      <c r="AK148" s="585" t="str">
        <f t="shared" si="1078"/>
        <v/>
      </c>
      <c r="AL148" s="582" t="str">
        <f t="shared" si="1079"/>
        <v/>
      </c>
      <c r="AM148" s="584" t="str">
        <f t="shared" si="1080"/>
        <v/>
      </c>
      <c r="AN148" s="534" t="str">
        <f t="shared" si="1081"/>
        <v/>
      </c>
      <c r="AO148" s="535" t="str">
        <f t="shared" si="1040"/>
        <v/>
      </c>
      <c r="AP148" s="536" t="str">
        <f t="shared" si="1082"/>
        <v/>
      </c>
      <c r="AQ148" s="537" t="str">
        <f t="shared" si="1226"/>
        <v/>
      </c>
      <c r="AS148" s="901" t="str">
        <f t="shared" si="1279"/>
        <v/>
      </c>
      <c r="AT148" s="897" t="str">
        <f t="shared" si="1227"/>
        <v/>
      </c>
      <c r="AU148" s="418"/>
      <c r="AV148" s="164" t="str">
        <f t="shared" si="1228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083"/>
        <v/>
      </c>
      <c r="BA148" s="505" t="str">
        <f t="shared" si="1084"/>
        <v/>
      </c>
      <c r="BB148" s="506" t="str">
        <f t="shared" si="713"/>
        <v/>
      </c>
      <c r="BC148" s="496"/>
      <c r="BD148" s="494" t="str">
        <f t="shared" si="1085"/>
        <v/>
      </c>
      <c r="BE148" s="497" t="str">
        <f t="shared" si="1229"/>
        <v/>
      </c>
      <c r="BF148" s="498" t="str">
        <f t="shared" si="1230"/>
        <v/>
      </c>
      <c r="BG148" s="494" t="str">
        <f t="shared" si="1231"/>
        <v/>
      </c>
      <c r="BH148" s="495" t="str">
        <f t="shared" si="1232"/>
        <v/>
      </c>
      <c r="BI148" s="496" t="str">
        <f t="shared" si="1086"/>
        <v/>
      </c>
      <c r="BJ148" s="494" t="str">
        <f t="shared" si="1233"/>
        <v/>
      </c>
      <c r="BK148" s="499" t="str">
        <f t="shared" si="1234"/>
        <v/>
      </c>
      <c r="BL148" s="502" t="str">
        <f t="shared" si="1235"/>
        <v/>
      </c>
      <c r="BM148" s="494" t="str">
        <f t="shared" si="1236"/>
        <v/>
      </c>
      <c r="BN148" s="497" t="str">
        <f t="shared" si="1237"/>
        <v/>
      </c>
      <c r="BO148" s="498" t="str">
        <f t="shared" si="1087"/>
        <v/>
      </c>
      <c r="BP148" s="494" t="str">
        <f t="shared" si="1088"/>
        <v/>
      </c>
      <c r="BQ148" s="494" t="str">
        <f t="shared" si="1089"/>
        <v/>
      </c>
      <c r="BR148" s="497" t="str">
        <f t="shared" si="1090"/>
        <v/>
      </c>
      <c r="BS148" s="498" t="str">
        <f t="shared" si="1006"/>
        <v/>
      </c>
      <c r="BT148" s="494" t="str">
        <f t="shared" si="1006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1"/>
        <v/>
      </c>
      <c r="CC148" s="494" t="str">
        <f t="shared" si="1092"/>
        <v/>
      </c>
      <c r="CD148" s="494" t="str">
        <f t="shared" si="1093"/>
        <v/>
      </c>
      <c r="CE148" s="497" t="str">
        <f t="shared" si="1094"/>
        <v/>
      </c>
      <c r="CF148" s="498" t="str">
        <f t="shared" si="1095"/>
        <v/>
      </c>
      <c r="CG148" s="494" t="str">
        <f t="shared" si="1096"/>
        <v/>
      </c>
      <c r="CH148" s="494" t="str">
        <f t="shared" si="1097"/>
        <v/>
      </c>
      <c r="CI148" s="498" t="str">
        <f t="shared" si="723"/>
        <v/>
      </c>
      <c r="CJ148" s="494" t="str">
        <f t="shared" si="1098"/>
        <v/>
      </c>
      <c r="CK148" s="499" t="str">
        <f t="shared" si="1099"/>
        <v/>
      </c>
      <c r="CL148" s="502" t="str">
        <f t="shared" si="1100"/>
        <v/>
      </c>
      <c r="CM148" s="494" t="str">
        <f t="shared" si="1101"/>
        <v/>
      </c>
      <c r="CN148" s="497" t="str">
        <f t="shared" si="1102"/>
        <v/>
      </c>
      <c r="CO148" s="507" t="str">
        <f t="shared" si="1238"/>
        <v/>
      </c>
      <c r="CP148" s="498" t="str">
        <f t="shared" si="1103"/>
        <v/>
      </c>
      <c r="CQ148" s="494" t="str">
        <f t="shared" si="1104"/>
        <v/>
      </c>
      <c r="CR148" s="494" t="str">
        <f t="shared" si="1105"/>
        <v/>
      </c>
      <c r="CS148" s="499" t="str">
        <f t="shared" si="1106"/>
        <v/>
      </c>
      <c r="CT148" s="496" t="str">
        <f t="shared" si="1107"/>
        <v/>
      </c>
      <c r="CU148" s="497" t="str">
        <f t="shared" si="1108"/>
        <v/>
      </c>
      <c r="CV148" s="498" t="str">
        <f t="shared" si="1109"/>
        <v/>
      </c>
      <c r="CW148" s="494" t="str">
        <f t="shared" si="1110"/>
        <v/>
      </c>
      <c r="CX148" s="499" t="str">
        <f t="shared" si="1111"/>
        <v/>
      </c>
      <c r="CY148" s="496" t="str">
        <f t="shared" si="1112"/>
        <v/>
      </c>
      <c r="CZ148" s="494" t="str">
        <f t="shared" si="1113"/>
        <v/>
      </c>
      <c r="DA148" s="497" t="str">
        <f t="shared" si="1114"/>
        <v/>
      </c>
      <c r="DB148" s="498" t="str">
        <f t="shared" si="1012"/>
        <v/>
      </c>
      <c r="DC148" s="494" t="str">
        <f t="shared" si="1012"/>
        <v/>
      </c>
      <c r="DD148" s="495" t="str">
        <f t="shared" si="764"/>
        <v/>
      </c>
      <c r="DE148" s="496" t="str">
        <f t="shared" si="1013"/>
        <v/>
      </c>
      <c r="DF148" s="494" t="str">
        <f t="shared" si="1013"/>
        <v/>
      </c>
      <c r="DG148" s="495" t="str">
        <f t="shared" si="766"/>
        <v/>
      </c>
      <c r="DH148" s="501" t="str">
        <f t="shared" si="1115"/>
        <v/>
      </c>
      <c r="DI148" s="498" t="str">
        <f t="shared" si="1116"/>
        <v/>
      </c>
      <c r="DJ148" s="494" t="str">
        <f t="shared" si="1117"/>
        <v/>
      </c>
      <c r="DK148" s="495" t="str">
        <f t="shared" si="1118"/>
        <v/>
      </c>
      <c r="DL148" s="496" t="str">
        <f t="shared" si="1119"/>
        <v/>
      </c>
      <c r="DM148" s="502" t="str">
        <f t="shared" si="1120"/>
        <v/>
      </c>
      <c r="DN148" s="508" t="str">
        <f t="shared" si="1121"/>
        <v/>
      </c>
      <c r="DO148" s="496" t="str">
        <f t="shared" si="1122"/>
        <v/>
      </c>
      <c r="DP148" s="502" t="str">
        <f t="shared" si="1123"/>
        <v/>
      </c>
      <c r="DQ148" s="503" t="str">
        <f t="shared" si="1124"/>
        <v/>
      </c>
      <c r="DR148" s="502" t="str">
        <f t="shared" si="1125"/>
        <v/>
      </c>
      <c r="DS148" s="494" t="str">
        <f t="shared" si="1126"/>
        <v/>
      </c>
      <c r="DT148" s="494" t="str">
        <f t="shared" si="1127"/>
        <v/>
      </c>
      <c r="DU148" s="494" t="str">
        <f t="shared" si="1128"/>
        <v/>
      </c>
      <c r="DV148" s="494" t="str">
        <f t="shared" si="1129"/>
        <v/>
      </c>
      <c r="DW148" s="494" t="str">
        <f t="shared" si="1130"/>
        <v/>
      </c>
      <c r="DX148" s="507" t="str">
        <f t="shared" si="1131"/>
        <v/>
      </c>
      <c r="DY148" s="496" t="str">
        <f t="shared" si="1132"/>
        <v/>
      </c>
      <c r="DZ148" s="494" t="str">
        <f t="shared" si="1133"/>
        <v/>
      </c>
      <c r="EA148" s="495" t="str">
        <f t="shared" si="1134"/>
        <v/>
      </c>
      <c r="EB148" s="497" t="str">
        <f t="shared" si="1135"/>
        <v/>
      </c>
      <c r="EC148" s="502" t="str">
        <f t="shared" si="1136"/>
        <v/>
      </c>
      <c r="ED148" s="494" t="str">
        <f t="shared" si="1137"/>
        <v/>
      </c>
      <c r="EE148" s="498" t="str">
        <f t="shared" si="1138"/>
        <v/>
      </c>
      <c r="EF148" s="494" t="str">
        <f t="shared" si="1139"/>
        <v/>
      </c>
      <c r="EG148" s="495" t="str">
        <f t="shared" si="1140"/>
        <v/>
      </c>
      <c r="EH148" s="496" t="str">
        <f t="shared" si="1141"/>
        <v/>
      </c>
      <c r="EI148" s="494" t="str">
        <f t="shared" si="1142"/>
        <v/>
      </c>
      <c r="EJ148" s="497" t="str">
        <f t="shared" si="1143"/>
        <v/>
      </c>
      <c r="EK148" s="509" t="str">
        <f t="shared" si="796"/>
        <v/>
      </c>
      <c r="EL148" s="510" t="str">
        <f t="shared" si="797"/>
        <v/>
      </c>
      <c r="EM148" s="498" t="str">
        <f t="shared" si="1144"/>
        <v/>
      </c>
      <c r="EN148" s="494" t="str">
        <f t="shared" si="1145"/>
        <v/>
      </c>
      <c r="EO148" s="495" t="str">
        <f t="shared" si="1146"/>
        <v/>
      </c>
      <c r="EP148" s="496" t="str">
        <f t="shared" si="1147"/>
        <v/>
      </c>
      <c r="EQ148" s="494" t="str">
        <f t="shared" si="1148"/>
        <v/>
      </c>
      <c r="ER148" s="500" t="str">
        <f t="shared" si="1149"/>
        <v/>
      </c>
      <c r="ES148" s="493" t="str">
        <f t="shared" si="1239"/>
        <v/>
      </c>
      <c r="ET148" s="494" t="str">
        <f t="shared" si="1240"/>
        <v/>
      </c>
      <c r="EU148" s="495" t="str">
        <f t="shared" si="1241"/>
        <v/>
      </c>
      <c r="EV148" s="174" t="str">
        <f t="shared" si="1150"/>
        <v/>
      </c>
      <c r="EW148" s="496" t="str">
        <f t="shared" si="1151"/>
        <v/>
      </c>
      <c r="EX148" s="494" t="str">
        <f t="shared" si="1152"/>
        <v/>
      </c>
      <c r="EY148" s="497" t="str">
        <f t="shared" si="1153"/>
        <v/>
      </c>
      <c r="EZ148" s="504" t="str">
        <f t="shared" si="805"/>
        <v/>
      </c>
      <c r="FA148" s="502" t="str">
        <f t="shared" si="929"/>
        <v/>
      </c>
      <c r="FB148" s="494" t="str">
        <f t="shared" si="930"/>
        <v/>
      </c>
      <c r="FC148" s="497" t="str">
        <f t="shared" si="931"/>
        <v/>
      </c>
      <c r="FD148" s="498" t="str">
        <f t="shared" si="1154"/>
        <v/>
      </c>
      <c r="FE148" s="494" t="str">
        <f t="shared" si="1155"/>
        <v/>
      </c>
      <c r="FF148" s="500" t="str">
        <f t="shared" si="1156"/>
        <v/>
      </c>
      <c r="FG148" s="173" t="str">
        <f t="shared" si="1157"/>
        <v/>
      </c>
      <c r="FH148" s="5" t="str">
        <f t="shared" si="1158"/>
        <v/>
      </c>
      <c r="FI148" s="10" t="str">
        <f t="shared" si="1159"/>
        <v/>
      </c>
      <c r="FJ148" s="279" t="str">
        <f t="shared" si="1160"/>
        <v/>
      </c>
      <c r="FK148" s="4" t="str">
        <f t="shared" si="1161"/>
        <v/>
      </c>
      <c r="FL148" s="5" t="str">
        <f t="shared" si="1162"/>
        <v/>
      </c>
      <c r="FM148" s="8" t="str">
        <f t="shared" si="1163"/>
        <v/>
      </c>
      <c r="FN148" s="9" t="str">
        <f t="shared" si="1164"/>
        <v/>
      </c>
      <c r="FO148" s="10" t="str">
        <f t="shared" si="1165"/>
        <v/>
      </c>
      <c r="FP148" s="277" t="str">
        <f t="shared" si="1166"/>
        <v/>
      </c>
      <c r="FQ148" s="173" t="str">
        <f t="shared" si="1167"/>
        <v/>
      </c>
      <c r="FR148" s="10" t="str">
        <f t="shared" si="1168"/>
        <v/>
      </c>
      <c r="FS148" s="9" t="str">
        <f t="shared" si="1169"/>
        <v/>
      </c>
      <c r="FT148" s="6" t="str">
        <f t="shared" si="1170"/>
        <v/>
      </c>
      <c r="FU148" s="4" t="str">
        <f t="shared" si="1171"/>
        <v/>
      </c>
      <c r="FV148" s="5" t="str">
        <f t="shared" si="1172"/>
        <v/>
      </c>
      <c r="FW148" s="8" t="str">
        <f t="shared" si="1173"/>
        <v/>
      </c>
      <c r="FX148" s="9" t="str">
        <f t="shared" si="1174"/>
        <v/>
      </c>
      <c r="FY148" s="10" t="str">
        <f t="shared" si="1175"/>
        <v/>
      </c>
      <c r="FZ148" s="277" t="str">
        <f t="shared" si="1176"/>
        <v/>
      </c>
      <c r="GA148" s="177" t="str">
        <f t="shared" si="1177"/>
        <v/>
      </c>
      <c r="GB148" s="4" t="str">
        <f t="shared" si="1178"/>
        <v/>
      </c>
      <c r="GC148" s="5" t="str">
        <f t="shared" si="1179"/>
        <v/>
      </c>
      <c r="GD148" s="10" t="str">
        <f t="shared" si="1180"/>
        <v/>
      </c>
      <c r="GE148" s="311" t="str">
        <f t="shared" si="1181"/>
        <v/>
      </c>
      <c r="GF148" s="341" t="str">
        <f t="shared" si="1182"/>
        <v/>
      </c>
      <c r="GG148" s="306" t="str">
        <f t="shared" si="1183"/>
        <v/>
      </c>
      <c r="GH148" s="307" t="str">
        <f t="shared" si="1184"/>
        <v/>
      </c>
      <c r="GI148" s="308" t="str">
        <f t="shared" si="1185"/>
        <v/>
      </c>
      <c r="GJ148" s="167" t="str">
        <f t="shared" si="1186"/>
        <v/>
      </c>
      <c r="GK148" s="174" t="str">
        <f t="shared" si="943"/>
        <v/>
      </c>
      <c r="GL148" s="174" t="str">
        <f t="shared" si="1187"/>
        <v/>
      </c>
      <c r="GM148" s="177" t="str">
        <f t="shared" si="1188"/>
        <v/>
      </c>
      <c r="GN148" s="280" t="str">
        <f t="shared" si="1189"/>
        <v/>
      </c>
      <c r="GO148" s="4" t="str">
        <f t="shared" si="1190"/>
        <v/>
      </c>
      <c r="GP148" s="8" t="str">
        <f t="shared" si="1191"/>
        <v/>
      </c>
      <c r="GQ148" s="177" t="str">
        <f t="shared" si="1192"/>
        <v/>
      </c>
      <c r="GR148" s="371" t="str">
        <f t="shared" si="1193"/>
        <v/>
      </c>
      <c r="GS148" s="342" t="str">
        <f t="shared" si="1194"/>
        <v/>
      </c>
      <c r="GT148" s="343" t="str">
        <f t="shared" si="1195"/>
        <v/>
      </c>
      <c r="GU148" s="344" t="str">
        <f t="shared" si="946"/>
        <v/>
      </c>
      <c r="GV148" s="343" t="str">
        <f t="shared" si="1196"/>
        <v/>
      </c>
      <c r="GW148" s="345" t="str">
        <f t="shared" si="947"/>
        <v/>
      </c>
      <c r="GX148" s="346" t="str">
        <f t="shared" si="948"/>
        <v/>
      </c>
      <c r="GY148" s="344" t="str">
        <f t="shared" si="1197"/>
        <v/>
      </c>
      <c r="GZ148" s="345" t="str">
        <f t="shared" si="1198"/>
        <v/>
      </c>
      <c r="HA148" s="342" t="str">
        <f t="shared" si="951"/>
        <v/>
      </c>
      <c r="HB148" s="5" t="str">
        <f t="shared" si="832"/>
        <v/>
      </c>
      <c r="HC148" s="343" t="str">
        <f t="shared" si="1199"/>
        <v/>
      </c>
      <c r="HD148" s="363" t="str">
        <f t="shared" si="1200"/>
        <v/>
      </c>
      <c r="HE148" s="344" t="str">
        <f t="shared" si="952"/>
        <v/>
      </c>
      <c r="HF148" s="5" t="str">
        <f t="shared" si="953"/>
        <v/>
      </c>
      <c r="HG148" s="343" t="str">
        <f t="shared" si="1201"/>
        <v/>
      </c>
      <c r="HH148" s="349" t="str">
        <f t="shared" si="1202"/>
        <v/>
      </c>
      <c r="HI148" s="317" t="str">
        <f t="shared" si="1242"/>
        <v/>
      </c>
      <c r="HK148" s="310" t="str">
        <f t="shared" si="1276"/>
        <v/>
      </c>
      <c r="HL148" s="348" t="str">
        <f t="shared" si="1243"/>
        <v/>
      </c>
      <c r="HM148" s="935" t="str">
        <f t="shared" si="1244"/>
        <v/>
      </c>
      <c r="HN148" s="936" t="str">
        <f t="shared" si="1245"/>
        <v/>
      </c>
      <c r="HO148" s="937"/>
      <c r="HP148" s="938"/>
      <c r="HQ148" s="936" t="str">
        <f t="shared" si="1246"/>
        <v/>
      </c>
      <c r="HR148" s="939" t="str">
        <f t="shared" si="1247"/>
        <v/>
      </c>
      <c r="HS148" s="940" t="str">
        <f t="shared" si="1203"/>
        <v/>
      </c>
      <c r="HT148" s="941" t="str">
        <f t="shared" si="1248"/>
        <v/>
      </c>
      <c r="HU148" s="942" t="str">
        <f t="shared" si="1249"/>
        <v/>
      </c>
      <c r="HV148" s="943" t="str">
        <f t="shared" si="1250"/>
        <v/>
      </c>
      <c r="HW148" s="944" t="str">
        <f t="shared" si="1251"/>
        <v/>
      </c>
      <c r="HX148" s="947" t="str">
        <f t="shared" si="1252"/>
        <v/>
      </c>
      <c r="HY148" s="952" t="str">
        <f t="shared" si="1253"/>
        <v/>
      </c>
      <c r="HZ148" s="953" t="str">
        <f t="shared" si="1254"/>
        <v/>
      </c>
      <c r="IA148" s="954" t="str">
        <f t="shared" si="1255"/>
        <v/>
      </c>
      <c r="IB148" s="955" t="str">
        <f t="shared" si="1256"/>
        <v/>
      </c>
      <c r="IC148" s="842" t="str">
        <f t="shared" si="1257"/>
        <v/>
      </c>
      <c r="ID148" s="351" t="str">
        <f t="shared" si="1258"/>
        <v/>
      </c>
      <c r="IE148" s="844" t="str">
        <f t="shared" si="1259"/>
        <v/>
      </c>
      <c r="IF148" s="845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80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60"/>
        <v/>
      </c>
      <c r="IM148" s="482" t="str">
        <f t="shared" si="1281"/>
        <v/>
      </c>
      <c r="IN148" s="670" t="str">
        <f t="shared" si="1261"/>
        <v/>
      </c>
      <c r="IO148" s="702"/>
      <c r="IP148" s="5" t="str">
        <f t="shared" si="1262"/>
        <v/>
      </c>
      <c r="IQ148" s="714"/>
      <c r="IR148" s="9" t="str">
        <f t="shared" si="1263"/>
        <v/>
      </c>
      <c r="IS148" s="5" t="str">
        <f t="shared" si="1264"/>
        <v/>
      </c>
      <c r="IT148" s="5" t="str">
        <f t="shared" si="1265"/>
        <v/>
      </c>
      <c r="IU148" s="5" t="str">
        <f t="shared" si="1266"/>
        <v/>
      </c>
      <c r="IV148" s="670" t="str">
        <f t="shared" si="1267"/>
        <v/>
      </c>
      <c r="IW148" s="9" t="str">
        <f t="shared" si="1268"/>
        <v/>
      </c>
      <c r="IX148" s="5" t="str">
        <f t="shared" si="1269"/>
        <v/>
      </c>
      <c r="IY148" s="5" t="str">
        <f t="shared" si="1270"/>
        <v/>
      </c>
      <c r="IZ148" s="5" t="str">
        <f t="shared" si="1271"/>
        <v/>
      </c>
      <c r="JA148" s="705" t="str">
        <f t="shared" si="1272"/>
        <v/>
      </c>
    </row>
    <row r="149" spans="1:261" ht="15" customHeight="1" x14ac:dyDescent="0.25">
      <c r="A149" s="75" t="str">
        <f t="shared" si="1216"/>
        <v/>
      </c>
      <c r="B149" s="585" t="str">
        <f t="shared" ref="B149:D149" si="1300">IFERROR(O304+($A149*-E149),"")</f>
        <v/>
      </c>
      <c r="C149" s="582" t="str">
        <f t="shared" si="1300"/>
        <v/>
      </c>
      <c r="D149" s="583" t="str">
        <f t="shared" si="1300"/>
        <v/>
      </c>
      <c r="E149" s="588" t="str">
        <f t="shared" ref="E149:K149" si="1301">R304</f>
        <v/>
      </c>
      <c r="F149" s="582" t="str">
        <f t="shared" si="1301"/>
        <v/>
      </c>
      <c r="G149" s="586" t="str">
        <f t="shared" si="1301"/>
        <v/>
      </c>
      <c r="H149" s="588" t="str">
        <f t="shared" si="1301"/>
        <v/>
      </c>
      <c r="I149" s="582" t="str">
        <f t="shared" si="1301"/>
        <v/>
      </c>
      <c r="J149" s="491" t="str">
        <f t="shared" si="1275"/>
        <v/>
      </c>
      <c r="K149" s="807" t="str">
        <f t="shared" si="1301"/>
        <v/>
      </c>
      <c r="L149" s="309"/>
      <c r="M149" s="492" t="str">
        <f t="shared" si="1219"/>
        <v/>
      </c>
      <c r="N149" s="581" t="str">
        <f t="shared" si="1220"/>
        <v/>
      </c>
      <c r="O149" s="582" t="str">
        <f t="shared" si="1221"/>
        <v/>
      </c>
      <c r="P149" s="583" t="str">
        <f t="shared" si="1222"/>
        <v/>
      </c>
      <c r="Q149" s="536" t="str">
        <f t="shared" si="1061"/>
        <v/>
      </c>
      <c r="R149" s="582" t="str">
        <f t="shared" si="1062"/>
        <v/>
      </c>
      <c r="S149" s="584" t="str">
        <f t="shared" si="1063"/>
        <v/>
      </c>
      <c r="T149" s="585" t="str">
        <f t="shared" si="1064"/>
        <v/>
      </c>
      <c r="U149" s="582" t="str">
        <f t="shared" si="1065"/>
        <v/>
      </c>
      <c r="V149" s="586" t="str">
        <f t="shared" si="1066"/>
        <v/>
      </c>
      <c r="W149" s="536" t="str">
        <f t="shared" si="1067"/>
        <v/>
      </c>
      <c r="X149" s="582" t="str">
        <f t="shared" si="1068"/>
        <v/>
      </c>
      <c r="Y149" s="587" t="str">
        <f t="shared" si="1069"/>
        <v/>
      </c>
      <c r="Z149" s="581" t="str">
        <f t="shared" si="1223"/>
        <v/>
      </c>
      <c r="AA149" s="582" t="str">
        <f t="shared" si="1224"/>
        <v/>
      </c>
      <c r="AB149" s="582" t="str">
        <f t="shared" si="1225"/>
        <v/>
      </c>
      <c r="AC149" s="586" t="str">
        <f t="shared" si="1070"/>
        <v/>
      </c>
      <c r="AD149" s="588" t="str">
        <f t="shared" si="1071"/>
        <v/>
      </c>
      <c r="AE149" s="582" t="str">
        <f t="shared" si="1072"/>
        <v/>
      </c>
      <c r="AF149" s="583" t="str">
        <f t="shared" si="1073"/>
        <v/>
      </c>
      <c r="AG149" s="547" t="str">
        <f t="shared" si="1074"/>
        <v/>
      </c>
      <c r="AH149" s="548" t="str">
        <f t="shared" si="1075"/>
        <v/>
      </c>
      <c r="AI149" s="536" t="str">
        <f t="shared" si="1076"/>
        <v/>
      </c>
      <c r="AJ149" s="537" t="str">
        <f t="shared" si="1077"/>
        <v/>
      </c>
      <c r="AK149" s="585" t="str">
        <f t="shared" si="1078"/>
        <v/>
      </c>
      <c r="AL149" s="582" t="str">
        <f t="shared" si="1079"/>
        <v/>
      </c>
      <c r="AM149" s="584" t="str">
        <f t="shared" si="1080"/>
        <v/>
      </c>
      <c r="AN149" s="534" t="str">
        <f t="shared" si="1081"/>
        <v/>
      </c>
      <c r="AO149" s="535" t="str">
        <f t="shared" si="1040"/>
        <v/>
      </c>
      <c r="AP149" s="536" t="str">
        <f t="shared" si="1082"/>
        <v/>
      </c>
      <c r="AQ149" s="537" t="str">
        <f t="shared" si="1226"/>
        <v/>
      </c>
      <c r="AS149" s="901" t="str">
        <f t="shared" si="1279"/>
        <v/>
      </c>
      <c r="AT149" s="897" t="str">
        <f t="shared" si="1227"/>
        <v/>
      </c>
      <c r="AU149" s="418"/>
      <c r="AV149" s="164" t="str">
        <f t="shared" si="1228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083"/>
        <v/>
      </c>
      <c r="BA149" s="505" t="str">
        <f t="shared" si="1084"/>
        <v/>
      </c>
      <c r="BB149" s="506" t="str">
        <f t="shared" si="713"/>
        <v/>
      </c>
      <c r="BC149" s="496"/>
      <c r="BD149" s="494" t="str">
        <f t="shared" si="1085"/>
        <v/>
      </c>
      <c r="BE149" s="497" t="str">
        <f t="shared" si="1229"/>
        <v/>
      </c>
      <c r="BF149" s="498" t="str">
        <f t="shared" si="1230"/>
        <v/>
      </c>
      <c r="BG149" s="494" t="str">
        <f t="shared" si="1231"/>
        <v/>
      </c>
      <c r="BH149" s="495" t="str">
        <f t="shared" si="1232"/>
        <v/>
      </c>
      <c r="BI149" s="496" t="str">
        <f t="shared" si="1086"/>
        <v/>
      </c>
      <c r="BJ149" s="494" t="str">
        <f t="shared" si="1233"/>
        <v/>
      </c>
      <c r="BK149" s="499" t="str">
        <f t="shared" si="1234"/>
        <v/>
      </c>
      <c r="BL149" s="502" t="str">
        <f t="shared" si="1235"/>
        <v/>
      </c>
      <c r="BM149" s="494" t="str">
        <f t="shared" si="1236"/>
        <v/>
      </c>
      <c r="BN149" s="497" t="str">
        <f t="shared" si="1237"/>
        <v/>
      </c>
      <c r="BO149" s="498" t="str">
        <f t="shared" si="1087"/>
        <v/>
      </c>
      <c r="BP149" s="494" t="str">
        <f t="shared" si="1088"/>
        <v/>
      </c>
      <c r="BQ149" s="494" t="str">
        <f t="shared" si="1089"/>
        <v/>
      </c>
      <c r="BR149" s="497" t="str">
        <f t="shared" si="1090"/>
        <v/>
      </c>
      <c r="BS149" s="498" t="str">
        <f t="shared" si="1006"/>
        <v/>
      </c>
      <c r="BT149" s="494" t="str">
        <f t="shared" si="1006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1"/>
        <v/>
      </c>
      <c r="CC149" s="494" t="str">
        <f t="shared" si="1092"/>
        <v/>
      </c>
      <c r="CD149" s="494" t="str">
        <f t="shared" si="1093"/>
        <v/>
      </c>
      <c r="CE149" s="497" t="str">
        <f t="shared" si="1094"/>
        <v/>
      </c>
      <c r="CF149" s="498" t="str">
        <f t="shared" si="1095"/>
        <v/>
      </c>
      <c r="CG149" s="494" t="str">
        <f t="shared" si="1096"/>
        <v/>
      </c>
      <c r="CH149" s="494" t="str">
        <f t="shared" si="1097"/>
        <v/>
      </c>
      <c r="CI149" s="498" t="str">
        <f t="shared" si="723"/>
        <v/>
      </c>
      <c r="CJ149" s="494" t="str">
        <f t="shared" si="1098"/>
        <v/>
      </c>
      <c r="CK149" s="499" t="str">
        <f t="shared" si="1099"/>
        <v/>
      </c>
      <c r="CL149" s="502" t="str">
        <f t="shared" si="1100"/>
        <v/>
      </c>
      <c r="CM149" s="494" t="str">
        <f t="shared" si="1101"/>
        <v/>
      </c>
      <c r="CN149" s="497" t="str">
        <f t="shared" si="1102"/>
        <v/>
      </c>
      <c r="CO149" s="507" t="str">
        <f t="shared" si="1238"/>
        <v/>
      </c>
      <c r="CP149" s="498" t="str">
        <f t="shared" si="1103"/>
        <v/>
      </c>
      <c r="CQ149" s="494" t="str">
        <f t="shared" si="1104"/>
        <v/>
      </c>
      <c r="CR149" s="494" t="str">
        <f t="shared" si="1105"/>
        <v/>
      </c>
      <c r="CS149" s="499" t="str">
        <f t="shared" si="1106"/>
        <v/>
      </c>
      <c r="CT149" s="496" t="str">
        <f t="shared" si="1107"/>
        <v/>
      </c>
      <c r="CU149" s="497" t="str">
        <f t="shared" si="1108"/>
        <v/>
      </c>
      <c r="CV149" s="498" t="str">
        <f t="shared" si="1109"/>
        <v/>
      </c>
      <c r="CW149" s="494" t="str">
        <f t="shared" si="1110"/>
        <v/>
      </c>
      <c r="CX149" s="499" t="str">
        <f t="shared" si="1111"/>
        <v/>
      </c>
      <c r="CY149" s="496" t="str">
        <f t="shared" si="1112"/>
        <v/>
      </c>
      <c r="CZ149" s="494" t="str">
        <f t="shared" si="1113"/>
        <v/>
      </c>
      <c r="DA149" s="497" t="str">
        <f t="shared" si="1114"/>
        <v/>
      </c>
      <c r="DB149" s="498" t="str">
        <f t="shared" si="1012"/>
        <v/>
      </c>
      <c r="DC149" s="494" t="str">
        <f t="shared" si="1012"/>
        <v/>
      </c>
      <c r="DD149" s="495" t="str">
        <f t="shared" si="764"/>
        <v/>
      </c>
      <c r="DE149" s="496" t="str">
        <f t="shared" si="1013"/>
        <v/>
      </c>
      <c r="DF149" s="494" t="str">
        <f t="shared" si="1013"/>
        <v/>
      </c>
      <c r="DG149" s="495" t="str">
        <f t="shared" si="766"/>
        <v/>
      </c>
      <c r="DH149" s="501" t="str">
        <f t="shared" si="1115"/>
        <v/>
      </c>
      <c r="DI149" s="498" t="str">
        <f t="shared" si="1116"/>
        <v/>
      </c>
      <c r="DJ149" s="494" t="str">
        <f t="shared" si="1117"/>
        <v/>
      </c>
      <c r="DK149" s="495" t="str">
        <f t="shared" si="1118"/>
        <v/>
      </c>
      <c r="DL149" s="496" t="str">
        <f t="shared" si="1119"/>
        <v/>
      </c>
      <c r="DM149" s="502" t="str">
        <f t="shared" si="1120"/>
        <v/>
      </c>
      <c r="DN149" s="508" t="str">
        <f t="shared" si="1121"/>
        <v/>
      </c>
      <c r="DO149" s="496" t="str">
        <f t="shared" si="1122"/>
        <v/>
      </c>
      <c r="DP149" s="502" t="str">
        <f t="shared" si="1123"/>
        <v/>
      </c>
      <c r="DQ149" s="503" t="str">
        <f t="shared" si="1124"/>
        <v/>
      </c>
      <c r="DR149" s="502" t="str">
        <f t="shared" si="1125"/>
        <v/>
      </c>
      <c r="DS149" s="494" t="str">
        <f t="shared" si="1126"/>
        <v/>
      </c>
      <c r="DT149" s="494" t="str">
        <f t="shared" si="1127"/>
        <v/>
      </c>
      <c r="DU149" s="494" t="str">
        <f t="shared" si="1128"/>
        <v/>
      </c>
      <c r="DV149" s="494" t="str">
        <f t="shared" si="1129"/>
        <v/>
      </c>
      <c r="DW149" s="494" t="str">
        <f t="shared" si="1130"/>
        <v/>
      </c>
      <c r="DX149" s="507" t="str">
        <f t="shared" si="1131"/>
        <v/>
      </c>
      <c r="DY149" s="496" t="str">
        <f t="shared" si="1132"/>
        <v/>
      </c>
      <c r="DZ149" s="494" t="str">
        <f t="shared" si="1133"/>
        <v/>
      </c>
      <c r="EA149" s="495" t="str">
        <f t="shared" si="1134"/>
        <v/>
      </c>
      <c r="EB149" s="497" t="str">
        <f t="shared" si="1135"/>
        <v/>
      </c>
      <c r="EC149" s="502" t="str">
        <f t="shared" si="1136"/>
        <v/>
      </c>
      <c r="ED149" s="494" t="str">
        <f t="shared" si="1137"/>
        <v/>
      </c>
      <c r="EE149" s="498" t="str">
        <f t="shared" si="1138"/>
        <v/>
      </c>
      <c r="EF149" s="494" t="str">
        <f t="shared" si="1139"/>
        <v/>
      </c>
      <c r="EG149" s="495" t="str">
        <f t="shared" si="1140"/>
        <v/>
      </c>
      <c r="EH149" s="496" t="str">
        <f t="shared" si="1141"/>
        <v/>
      </c>
      <c r="EI149" s="494" t="str">
        <f t="shared" si="1142"/>
        <v/>
      </c>
      <c r="EJ149" s="497" t="str">
        <f t="shared" si="1143"/>
        <v/>
      </c>
      <c r="EK149" s="509" t="str">
        <f t="shared" si="796"/>
        <v/>
      </c>
      <c r="EL149" s="510" t="str">
        <f t="shared" si="797"/>
        <v/>
      </c>
      <c r="EM149" s="498" t="str">
        <f t="shared" si="1144"/>
        <v/>
      </c>
      <c r="EN149" s="494" t="str">
        <f t="shared" si="1145"/>
        <v/>
      </c>
      <c r="EO149" s="495" t="str">
        <f t="shared" si="1146"/>
        <v/>
      </c>
      <c r="EP149" s="496" t="str">
        <f t="shared" si="1147"/>
        <v/>
      </c>
      <c r="EQ149" s="494" t="str">
        <f t="shared" si="1148"/>
        <v/>
      </c>
      <c r="ER149" s="500" t="str">
        <f t="shared" si="1149"/>
        <v/>
      </c>
      <c r="ES149" s="493" t="str">
        <f t="shared" si="1239"/>
        <v/>
      </c>
      <c r="ET149" s="494" t="str">
        <f t="shared" si="1240"/>
        <v/>
      </c>
      <c r="EU149" s="495" t="str">
        <f t="shared" si="1241"/>
        <v/>
      </c>
      <c r="EV149" s="174" t="str">
        <f t="shared" si="1150"/>
        <v/>
      </c>
      <c r="EW149" s="496" t="str">
        <f t="shared" si="1151"/>
        <v/>
      </c>
      <c r="EX149" s="494" t="str">
        <f t="shared" si="1152"/>
        <v/>
      </c>
      <c r="EY149" s="497" t="str">
        <f t="shared" si="1153"/>
        <v/>
      </c>
      <c r="EZ149" s="504" t="str">
        <f t="shared" si="805"/>
        <v/>
      </c>
      <c r="FA149" s="502" t="str">
        <f t="shared" si="929"/>
        <v/>
      </c>
      <c r="FB149" s="494" t="str">
        <f t="shared" si="930"/>
        <v/>
      </c>
      <c r="FC149" s="497" t="str">
        <f t="shared" si="931"/>
        <v/>
      </c>
      <c r="FD149" s="498" t="str">
        <f t="shared" si="1154"/>
        <v/>
      </c>
      <c r="FE149" s="494" t="str">
        <f t="shared" si="1155"/>
        <v/>
      </c>
      <c r="FF149" s="500" t="str">
        <f t="shared" si="1156"/>
        <v/>
      </c>
      <c r="FG149" s="173" t="str">
        <f t="shared" si="1157"/>
        <v/>
      </c>
      <c r="FH149" s="5" t="str">
        <f t="shared" si="1158"/>
        <v/>
      </c>
      <c r="FI149" s="10" t="str">
        <f t="shared" si="1159"/>
        <v/>
      </c>
      <c r="FJ149" s="279" t="str">
        <f t="shared" si="1160"/>
        <v/>
      </c>
      <c r="FK149" s="4" t="str">
        <f t="shared" si="1161"/>
        <v/>
      </c>
      <c r="FL149" s="5" t="str">
        <f t="shared" si="1162"/>
        <v/>
      </c>
      <c r="FM149" s="8" t="str">
        <f t="shared" si="1163"/>
        <v/>
      </c>
      <c r="FN149" s="9" t="str">
        <f t="shared" si="1164"/>
        <v/>
      </c>
      <c r="FO149" s="10" t="str">
        <f t="shared" si="1165"/>
        <v/>
      </c>
      <c r="FP149" s="277" t="str">
        <f t="shared" si="1166"/>
        <v/>
      </c>
      <c r="FQ149" s="173" t="str">
        <f t="shared" si="1167"/>
        <v/>
      </c>
      <c r="FR149" s="10" t="str">
        <f t="shared" si="1168"/>
        <v/>
      </c>
      <c r="FS149" s="9" t="str">
        <f t="shared" si="1169"/>
        <v/>
      </c>
      <c r="FT149" s="6" t="str">
        <f t="shared" si="1170"/>
        <v/>
      </c>
      <c r="FU149" s="4" t="str">
        <f t="shared" si="1171"/>
        <v/>
      </c>
      <c r="FV149" s="5" t="str">
        <f t="shared" si="1172"/>
        <v/>
      </c>
      <c r="FW149" s="8" t="str">
        <f t="shared" si="1173"/>
        <v/>
      </c>
      <c r="FX149" s="9" t="str">
        <f t="shared" si="1174"/>
        <v/>
      </c>
      <c r="FY149" s="10" t="str">
        <f t="shared" si="1175"/>
        <v/>
      </c>
      <c r="FZ149" s="277" t="str">
        <f t="shared" si="1176"/>
        <v/>
      </c>
      <c r="GA149" s="177" t="str">
        <f t="shared" si="1177"/>
        <v/>
      </c>
      <c r="GB149" s="4" t="str">
        <f t="shared" si="1178"/>
        <v/>
      </c>
      <c r="GC149" s="5" t="str">
        <f t="shared" si="1179"/>
        <v/>
      </c>
      <c r="GD149" s="10" t="str">
        <f t="shared" si="1180"/>
        <v/>
      </c>
      <c r="GE149" s="311" t="str">
        <f t="shared" si="1181"/>
        <v/>
      </c>
      <c r="GF149" s="341" t="str">
        <f t="shared" si="1182"/>
        <v/>
      </c>
      <c r="GG149" s="306" t="str">
        <f t="shared" si="1183"/>
        <v/>
      </c>
      <c r="GH149" s="307" t="str">
        <f t="shared" si="1184"/>
        <v/>
      </c>
      <c r="GI149" s="308" t="str">
        <f t="shared" si="1185"/>
        <v/>
      </c>
      <c r="GJ149" s="167" t="str">
        <f t="shared" si="1186"/>
        <v/>
      </c>
      <c r="GK149" s="174" t="str">
        <f t="shared" si="943"/>
        <v/>
      </c>
      <c r="GL149" s="174" t="str">
        <f t="shared" si="1187"/>
        <v/>
      </c>
      <c r="GM149" s="177" t="str">
        <f t="shared" si="1188"/>
        <v/>
      </c>
      <c r="GN149" s="280" t="str">
        <f t="shared" si="1189"/>
        <v/>
      </c>
      <c r="GO149" s="4" t="str">
        <f t="shared" si="1190"/>
        <v/>
      </c>
      <c r="GP149" s="8" t="str">
        <f t="shared" si="1191"/>
        <v/>
      </c>
      <c r="GQ149" s="177" t="str">
        <f t="shared" si="1192"/>
        <v/>
      </c>
      <c r="GR149" s="371" t="str">
        <f t="shared" si="1193"/>
        <v/>
      </c>
      <c r="GS149" s="342" t="str">
        <f t="shared" si="1194"/>
        <v/>
      </c>
      <c r="GT149" s="343" t="str">
        <f t="shared" si="1195"/>
        <v/>
      </c>
      <c r="GU149" s="344" t="str">
        <f t="shared" si="946"/>
        <v/>
      </c>
      <c r="GV149" s="343" t="str">
        <f t="shared" si="1196"/>
        <v/>
      </c>
      <c r="GW149" s="345" t="str">
        <f t="shared" si="947"/>
        <v/>
      </c>
      <c r="GX149" s="346" t="str">
        <f t="shared" si="948"/>
        <v/>
      </c>
      <c r="GY149" s="344" t="str">
        <f t="shared" si="1197"/>
        <v/>
      </c>
      <c r="GZ149" s="345" t="str">
        <f t="shared" si="1198"/>
        <v/>
      </c>
      <c r="HA149" s="342" t="str">
        <f t="shared" si="951"/>
        <v/>
      </c>
      <c r="HB149" s="5" t="str">
        <f t="shared" si="832"/>
        <v/>
      </c>
      <c r="HC149" s="343" t="str">
        <f t="shared" si="1199"/>
        <v/>
      </c>
      <c r="HD149" s="363" t="str">
        <f t="shared" si="1200"/>
        <v/>
      </c>
      <c r="HE149" s="344" t="str">
        <f t="shared" si="952"/>
        <v/>
      </c>
      <c r="HF149" s="5" t="str">
        <f t="shared" si="953"/>
        <v/>
      </c>
      <c r="HG149" s="343" t="str">
        <f t="shared" si="1201"/>
        <v/>
      </c>
      <c r="HH149" s="349" t="str">
        <f t="shared" si="1202"/>
        <v/>
      </c>
      <c r="HI149" s="317" t="str">
        <f t="shared" si="1242"/>
        <v/>
      </c>
      <c r="HK149" s="310" t="str">
        <f t="shared" si="1276"/>
        <v/>
      </c>
      <c r="HL149" s="348" t="str">
        <f t="shared" si="1243"/>
        <v/>
      </c>
      <c r="HM149" s="935" t="str">
        <f t="shared" si="1244"/>
        <v/>
      </c>
      <c r="HN149" s="936" t="str">
        <f t="shared" si="1245"/>
        <v/>
      </c>
      <c r="HO149" s="937"/>
      <c r="HP149" s="938"/>
      <c r="HQ149" s="936" t="str">
        <f t="shared" si="1246"/>
        <v/>
      </c>
      <c r="HR149" s="939" t="str">
        <f t="shared" si="1247"/>
        <v/>
      </c>
      <c r="HS149" s="940" t="str">
        <f t="shared" si="1203"/>
        <v/>
      </c>
      <c r="HT149" s="941" t="str">
        <f t="shared" si="1248"/>
        <v/>
      </c>
      <c r="HU149" s="942" t="str">
        <f t="shared" si="1249"/>
        <v/>
      </c>
      <c r="HV149" s="943" t="str">
        <f t="shared" si="1250"/>
        <v/>
      </c>
      <c r="HW149" s="944" t="str">
        <f t="shared" si="1251"/>
        <v/>
      </c>
      <c r="HX149" s="947" t="str">
        <f t="shared" si="1252"/>
        <v/>
      </c>
      <c r="HY149" s="952" t="str">
        <f t="shared" si="1253"/>
        <v/>
      </c>
      <c r="HZ149" s="953" t="str">
        <f t="shared" si="1254"/>
        <v/>
      </c>
      <c r="IA149" s="954" t="str">
        <f t="shared" si="1255"/>
        <v/>
      </c>
      <c r="IB149" s="955" t="str">
        <f t="shared" si="1256"/>
        <v/>
      </c>
      <c r="IC149" s="842" t="str">
        <f t="shared" si="1257"/>
        <v/>
      </c>
      <c r="ID149" s="351" t="str">
        <f t="shared" si="1258"/>
        <v/>
      </c>
      <c r="IE149" s="844" t="str">
        <f t="shared" si="1259"/>
        <v/>
      </c>
      <c r="IF149" s="845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80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60"/>
        <v/>
      </c>
      <c r="IM149" s="482" t="str">
        <f t="shared" si="1281"/>
        <v/>
      </c>
      <c r="IN149" s="670" t="str">
        <f t="shared" si="1261"/>
        <v/>
      </c>
      <c r="IO149" s="702"/>
      <c r="IP149" s="5" t="str">
        <f t="shared" si="1262"/>
        <v/>
      </c>
      <c r="IQ149" s="714"/>
      <c r="IR149" s="9" t="str">
        <f t="shared" si="1263"/>
        <v/>
      </c>
      <c r="IS149" s="5" t="str">
        <f t="shared" si="1264"/>
        <v/>
      </c>
      <c r="IT149" s="5" t="str">
        <f t="shared" si="1265"/>
        <v/>
      </c>
      <c r="IU149" s="5" t="str">
        <f t="shared" si="1266"/>
        <v/>
      </c>
      <c r="IV149" s="670" t="str">
        <f t="shared" si="1267"/>
        <v/>
      </c>
      <c r="IW149" s="9" t="str">
        <f t="shared" si="1268"/>
        <v/>
      </c>
      <c r="IX149" s="5" t="str">
        <f t="shared" si="1269"/>
        <v/>
      </c>
      <c r="IY149" s="5" t="str">
        <f t="shared" si="1270"/>
        <v/>
      </c>
      <c r="IZ149" s="5" t="str">
        <f t="shared" si="1271"/>
        <v/>
      </c>
      <c r="JA149" s="705" t="str">
        <f t="shared" si="1272"/>
        <v/>
      </c>
    </row>
    <row r="150" spans="1:261" ht="15" customHeight="1" thickBot="1" x14ac:dyDescent="0.3">
      <c r="A150" s="75" t="str">
        <f t="shared" si="1216"/>
        <v/>
      </c>
      <c r="B150" s="593" t="str">
        <f t="shared" ref="B150:D150" si="1302">IFERROR(O305+($A150*-E150),"")</f>
        <v/>
      </c>
      <c r="C150" s="590" t="str">
        <f t="shared" si="1302"/>
        <v/>
      </c>
      <c r="D150" s="591" t="str">
        <f t="shared" si="1302"/>
        <v/>
      </c>
      <c r="E150" s="596" t="str">
        <f t="shared" ref="E150:K150" si="1303">R305</f>
        <v/>
      </c>
      <c r="F150" s="590" t="str">
        <f t="shared" si="1303"/>
        <v/>
      </c>
      <c r="G150" s="594" t="str">
        <f t="shared" si="1303"/>
        <v/>
      </c>
      <c r="H150" s="596" t="str">
        <f t="shared" si="1303"/>
        <v/>
      </c>
      <c r="I150" s="590" t="str">
        <f t="shared" si="1303"/>
        <v/>
      </c>
      <c r="J150" s="485" t="str">
        <f t="shared" si="1275"/>
        <v/>
      </c>
      <c r="K150" s="808" t="str">
        <f t="shared" si="1303"/>
        <v/>
      </c>
      <c r="L150" s="309"/>
      <c r="M150" s="165" t="str">
        <f t="shared" si="1219"/>
        <v/>
      </c>
      <c r="N150" s="589" t="str">
        <f t="shared" si="1220"/>
        <v/>
      </c>
      <c r="O150" s="590" t="str">
        <f t="shared" si="1221"/>
        <v/>
      </c>
      <c r="P150" s="591" t="str">
        <f t="shared" si="1222"/>
        <v/>
      </c>
      <c r="Q150" s="540" t="str">
        <f t="shared" si="1061"/>
        <v/>
      </c>
      <c r="R150" s="590" t="str">
        <f t="shared" si="1062"/>
        <v/>
      </c>
      <c r="S150" s="592" t="str">
        <f t="shared" si="1063"/>
        <v/>
      </c>
      <c r="T150" s="593" t="str">
        <f t="shared" si="1064"/>
        <v/>
      </c>
      <c r="U150" s="590" t="str">
        <f t="shared" si="1065"/>
        <v/>
      </c>
      <c r="V150" s="594" t="str">
        <f t="shared" si="1066"/>
        <v/>
      </c>
      <c r="W150" s="540" t="str">
        <f t="shared" si="1067"/>
        <v/>
      </c>
      <c r="X150" s="590" t="str">
        <f t="shared" si="1068"/>
        <v/>
      </c>
      <c r="Y150" s="595" t="str">
        <f t="shared" si="1069"/>
        <v/>
      </c>
      <c r="Z150" s="589" t="str">
        <f t="shared" si="1223"/>
        <v/>
      </c>
      <c r="AA150" s="590" t="str">
        <f t="shared" si="1224"/>
        <v/>
      </c>
      <c r="AB150" s="590" t="str">
        <f t="shared" si="1225"/>
        <v/>
      </c>
      <c r="AC150" s="594" t="str">
        <f t="shared" si="1070"/>
        <v/>
      </c>
      <c r="AD150" s="596" t="str">
        <f t="shared" si="1071"/>
        <v/>
      </c>
      <c r="AE150" s="590" t="str">
        <f t="shared" si="1072"/>
        <v/>
      </c>
      <c r="AF150" s="591" t="str">
        <f t="shared" si="1073"/>
        <v/>
      </c>
      <c r="AG150" s="549" t="str">
        <f t="shared" si="1074"/>
        <v/>
      </c>
      <c r="AH150" s="550" t="str">
        <f t="shared" si="1075"/>
        <v/>
      </c>
      <c r="AI150" s="540" t="str">
        <f t="shared" si="1076"/>
        <v/>
      </c>
      <c r="AJ150" s="541" t="str">
        <f t="shared" si="1077"/>
        <v/>
      </c>
      <c r="AK150" s="593" t="str">
        <f t="shared" si="1078"/>
        <v/>
      </c>
      <c r="AL150" s="590" t="str">
        <f t="shared" si="1079"/>
        <v/>
      </c>
      <c r="AM150" s="592" t="str">
        <f t="shared" si="1080"/>
        <v/>
      </c>
      <c r="AN150" s="538" t="str">
        <f t="shared" si="1081"/>
        <v/>
      </c>
      <c r="AO150" s="539" t="str">
        <f t="shared" si="1040"/>
        <v/>
      </c>
      <c r="AP150" s="540" t="str">
        <f t="shared" si="1082"/>
        <v/>
      </c>
      <c r="AQ150" s="541" t="str">
        <f t="shared" si="1226"/>
        <v/>
      </c>
      <c r="AS150" s="902" t="str">
        <f t="shared" si="1279"/>
        <v/>
      </c>
      <c r="AT150" s="898" t="str">
        <f t="shared" si="1227"/>
        <v/>
      </c>
      <c r="AU150" s="418"/>
      <c r="AV150" s="164" t="str">
        <f t="shared" si="1228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083"/>
        <v/>
      </c>
      <c r="BA150" s="298" t="str">
        <f t="shared" si="1084"/>
        <v/>
      </c>
      <c r="BB150" s="372" t="str">
        <f t="shared" si="713"/>
        <v/>
      </c>
      <c r="BC150" s="17"/>
      <c r="BD150" s="13" t="str">
        <f t="shared" si="1085"/>
        <v/>
      </c>
      <c r="BE150" s="14" t="str">
        <f t="shared" si="1229"/>
        <v/>
      </c>
      <c r="BF150" s="12" t="str">
        <f t="shared" si="1230"/>
        <v/>
      </c>
      <c r="BG150" s="13" t="str">
        <f t="shared" si="1231"/>
        <v/>
      </c>
      <c r="BH150" s="18" t="str">
        <f t="shared" si="1232"/>
        <v/>
      </c>
      <c r="BI150" s="17" t="str">
        <f t="shared" si="1086"/>
        <v/>
      </c>
      <c r="BJ150" s="13" t="str">
        <f t="shared" si="1233"/>
        <v/>
      </c>
      <c r="BK150" s="16" t="str">
        <f t="shared" si="1234"/>
        <v/>
      </c>
      <c r="BL150" s="214" t="str">
        <f t="shared" si="1235"/>
        <v/>
      </c>
      <c r="BM150" s="13" t="str">
        <f t="shared" si="1236"/>
        <v/>
      </c>
      <c r="BN150" s="14" t="str">
        <f t="shared" si="1237"/>
        <v/>
      </c>
      <c r="BO150" s="12" t="str">
        <f t="shared" si="1087"/>
        <v/>
      </c>
      <c r="BP150" s="13" t="str">
        <f t="shared" si="1088"/>
        <v/>
      </c>
      <c r="BQ150" s="13" t="str">
        <f t="shared" si="1089"/>
        <v/>
      </c>
      <c r="BR150" s="14" t="str">
        <f t="shared" si="1090"/>
        <v/>
      </c>
      <c r="BS150" s="12" t="str">
        <f t="shared" si="1006"/>
        <v/>
      </c>
      <c r="BT150" s="13" t="str">
        <f t="shared" si="1006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1"/>
        <v/>
      </c>
      <c r="CC150" s="13" t="str">
        <f t="shared" si="1092"/>
        <v/>
      </c>
      <c r="CD150" s="13" t="str">
        <f t="shared" si="1093"/>
        <v/>
      </c>
      <c r="CE150" s="14" t="str">
        <f t="shared" si="1094"/>
        <v/>
      </c>
      <c r="CF150" s="12" t="str">
        <f t="shared" si="1095"/>
        <v/>
      </c>
      <c r="CG150" s="13" t="str">
        <f t="shared" si="1096"/>
        <v/>
      </c>
      <c r="CH150" s="13" t="str">
        <f t="shared" si="1097"/>
        <v/>
      </c>
      <c r="CI150" s="12" t="str">
        <f t="shared" si="723"/>
        <v/>
      </c>
      <c r="CJ150" s="13" t="str">
        <f t="shared" si="1098"/>
        <v/>
      </c>
      <c r="CK150" s="16" t="str">
        <f t="shared" si="1099"/>
        <v/>
      </c>
      <c r="CL150" s="214" t="str">
        <f t="shared" si="1100"/>
        <v/>
      </c>
      <c r="CM150" s="13" t="str">
        <f t="shared" si="1101"/>
        <v/>
      </c>
      <c r="CN150" s="14" t="str">
        <f t="shared" si="1102"/>
        <v/>
      </c>
      <c r="CO150" s="227" t="str">
        <f t="shared" si="1238"/>
        <v/>
      </c>
      <c r="CP150" s="12" t="str">
        <f t="shared" si="1103"/>
        <v/>
      </c>
      <c r="CQ150" s="13" t="str">
        <f t="shared" si="1104"/>
        <v/>
      </c>
      <c r="CR150" s="13" t="str">
        <f t="shared" si="1105"/>
        <v/>
      </c>
      <c r="CS150" s="16" t="str">
        <f t="shared" si="1106"/>
        <v/>
      </c>
      <c r="CT150" s="17" t="str">
        <f t="shared" si="1107"/>
        <v/>
      </c>
      <c r="CU150" s="14" t="str">
        <f t="shared" si="1108"/>
        <v/>
      </c>
      <c r="CV150" s="12" t="str">
        <f t="shared" si="1109"/>
        <v/>
      </c>
      <c r="CW150" s="13" t="str">
        <f t="shared" si="1110"/>
        <v/>
      </c>
      <c r="CX150" s="16" t="str">
        <f t="shared" si="1111"/>
        <v/>
      </c>
      <c r="CY150" s="17" t="str">
        <f t="shared" si="1112"/>
        <v/>
      </c>
      <c r="CZ150" s="13" t="str">
        <f t="shared" si="1113"/>
        <v/>
      </c>
      <c r="DA150" s="14" t="str">
        <f t="shared" si="1114"/>
        <v/>
      </c>
      <c r="DB150" s="12" t="str">
        <f t="shared" si="1012"/>
        <v/>
      </c>
      <c r="DC150" s="13" t="str">
        <f t="shared" si="1012"/>
        <v/>
      </c>
      <c r="DD150" s="18" t="str">
        <f t="shared" si="764"/>
        <v/>
      </c>
      <c r="DE150" s="17" t="str">
        <f t="shared" si="1013"/>
        <v/>
      </c>
      <c r="DF150" s="13" t="str">
        <f t="shared" si="1013"/>
        <v/>
      </c>
      <c r="DG150" s="18" t="str">
        <f t="shared" si="766"/>
        <v/>
      </c>
      <c r="DH150" s="218" t="str">
        <f t="shared" si="1115"/>
        <v/>
      </c>
      <c r="DI150" s="12" t="str">
        <f t="shared" si="1116"/>
        <v/>
      </c>
      <c r="DJ150" s="13" t="str">
        <f t="shared" si="1117"/>
        <v/>
      </c>
      <c r="DK150" s="18" t="str">
        <f t="shared" si="1118"/>
        <v/>
      </c>
      <c r="DL150" s="17" t="str">
        <f t="shared" si="1119"/>
        <v/>
      </c>
      <c r="DM150" s="214" t="str">
        <f t="shared" si="1120"/>
        <v/>
      </c>
      <c r="DN150" s="245" t="str">
        <f t="shared" si="1121"/>
        <v/>
      </c>
      <c r="DO150" s="17" t="str">
        <f t="shared" si="1122"/>
        <v/>
      </c>
      <c r="DP150" s="214" t="str">
        <f t="shared" si="1123"/>
        <v/>
      </c>
      <c r="DQ150" s="19" t="str">
        <f t="shared" si="1124"/>
        <v/>
      </c>
      <c r="DR150" s="214" t="str">
        <f t="shared" si="1125"/>
        <v/>
      </c>
      <c r="DS150" s="13" t="str">
        <f t="shared" si="1126"/>
        <v/>
      </c>
      <c r="DT150" s="13" t="str">
        <f t="shared" si="1127"/>
        <v/>
      </c>
      <c r="DU150" s="13" t="str">
        <f t="shared" si="1128"/>
        <v/>
      </c>
      <c r="DV150" s="13" t="str">
        <f t="shared" si="1129"/>
        <v/>
      </c>
      <c r="DW150" s="13" t="str">
        <f t="shared" si="1130"/>
        <v/>
      </c>
      <c r="DX150" s="227" t="str">
        <f t="shared" si="1131"/>
        <v/>
      </c>
      <c r="DY150" s="17" t="str">
        <f t="shared" si="1132"/>
        <v/>
      </c>
      <c r="DZ150" s="13" t="str">
        <f t="shared" si="1133"/>
        <v/>
      </c>
      <c r="EA150" s="18" t="str">
        <f t="shared" si="1134"/>
        <v/>
      </c>
      <c r="EB150" s="14" t="str">
        <f t="shared" si="1135"/>
        <v/>
      </c>
      <c r="EC150" s="214" t="str">
        <f t="shared" si="1136"/>
        <v/>
      </c>
      <c r="ED150" s="13" t="str">
        <f t="shared" si="1137"/>
        <v/>
      </c>
      <c r="EE150" s="12" t="str">
        <f t="shared" si="1138"/>
        <v/>
      </c>
      <c r="EF150" s="13" t="str">
        <f t="shared" si="1139"/>
        <v/>
      </c>
      <c r="EG150" s="18" t="str">
        <f t="shared" si="1140"/>
        <v/>
      </c>
      <c r="EH150" s="17" t="str">
        <f t="shared" si="1141"/>
        <v/>
      </c>
      <c r="EI150" s="13" t="str">
        <f t="shared" si="1142"/>
        <v/>
      </c>
      <c r="EJ150" s="14" t="str">
        <f t="shared" si="1143"/>
        <v/>
      </c>
      <c r="EK150" s="246" t="str">
        <f t="shared" si="796"/>
        <v/>
      </c>
      <c r="EL150" s="247" t="str">
        <f t="shared" si="797"/>
        <v/>
      </c>
      <c r="EM150" s="12" t="str">
        <f t="shared" si="1144"/>
        <v/>
      </c>
      <c r="EN150" s="13" t="str">
        <f t="shared" si="1145"/>
        <v/>
      </c>
      <c r="EO150" s="18" t="str">
        <f t="shared" si="1146"/>
        <v/>
      </c>
      <c r="EP150" s="17" t="str">
        <f t="shared" si="1147"/>
        <v/>
      </c>
      <c r="EQ150" s="13" t="str">
        <f t="shared" si="1148"/>
        <v/>
      </c>
      <c r="ER150" s="15" t="str">
        <f t="shared" si="1149"/>
        <v/>
      </c>
      <c r="ES150" s="255" t="str">
        <f t="shared" si="1239"/>
        <v/>
      </c>
      <c r="ET150" s="256" t="str">
        <f t="shared" si="1240"/>
        <v/>
      </c>
      <c r="EU150" s="257" t="str">
        <f t="shared" si="1241"/>
        <v/>
      </c>
      <c r="EV150" s="174" t="str">
        <f t="shared" si="1150"/>
        <v/>
      </c>
      <c r="EW150" s="258" t="str">
        <f t="shared" si="1151"/>
        <v/>
      </c>
      <c r="EX150" s="256" t="str">
        <f t="shared" si="1152"/>
        <v/>
      </c>
      <c r="EY150" s="259" t="str">
        <f t="shared" si="1153"/>
        <v/>
      </c>
      <c r="EZ150" s="260" t="str">
        <f t="shared" si="805"/>
        <v/>
      </c>
      <c r="FA150" s="261" t="str">
        <f t="shared" si="929"/>
        <v/>
      </c>
      <c r="FB150" s="256" t="str">
        <f t="shared" si="930"/>
        <v/>
      </c>
      <c r="FC150" s="259" t="str">
        <f t="shared" si="931"/>
        <v/>
      </c>
      <c r="FD150" s="270" t="str">
        <f t="shared" si="1154"/>
        <v/>
      </c>
      <c r="FE150" s="256" t="str">
        <f t="shared" si="1155"/>
        <v/>
      </c>
      <c r="FF150" s="262" t="str">
        <f t="shared" si="1156"/>
        <v/>
      </c>
      <c r="FG150" s="173" t="str">
        <f t="shared" si="1157"/>
        <v/>
      </c>
      <c r="FH150" s="5" t="str">
        <f t="shared" si="1158"/>
        <v/>
      </c>
      <c r="FI150" s="10" t="str">
        <f t="shared" si="1159"/>
        <v/>
      </c>
      <c r="FJ150" s="279" t="str">
        <f t="shared" si="1160"/>
        <v/>
      </c>
      <c r="FK150" s="4" t="str">
        <f t="shared" si="1161"/>
        <v/>
      </c>
      <c r="FL150" s="5" t="str">
        <f t="shared" si="1162"/>
        <v/>
      </c>
      <c r="FM150" s="8" t="str">
        <f t="shared" si="1163"/>
        <v/>
      </c>
      <c r="FN150" s="9" t="str">
        <f t="shared" si="1164"/>
        <v/>
      </c>
      <c r="FO150" s="10" t="str">
        <f t="shared" si="1165"/>
        <v/>
      </c>
      <c r="FP150" s="277" t="str">
        <f t="shared" si="1166"/>
        <v/>
      </c>
      <c r="FQ150" s="173" t="str">
        <f t="shared" si="1167"/>
        <v/>
      </c>
      <c r="FR150" s="10" t="str">
        <f t="shared" si="1168"/>
        <v/>
      </c>
      <c r="FS150" s="9" t="str">
        <f t="shared" si="1169"/>
        <v/>
      </c>
      <c r="FT150" s="6" t="str">
        <f t="shared" si="1170"/>
        <v/>
      </c>
      <c r="FU150" s="4" t="str">
        <f t="shared" si="1171"/>
        <v/>
      </c>
      <c r="FV150" s="5" t="str">
        <f t="shared" si="1172"/>
        <v/>
      </c>
      <c r="FW150" s="8" t="str">
        <f t="shared" si="1173"/>
        <v/>
      </c>
      <c r="FX150" s="9" t="str">
        <f t="shared" si="1174"/>
        <v/>
      </c>
      <c r="FY150" s="10" t="str">
        <f t="shared" si="1175"/>
        <v/>
      </c>
      <c r="FZ150" s="277" t="str">
        <f t="shared" si="1176"/>
        <v/>
      </c>
      <c r="GA150" s="177" t="str">
        <f t="shared" si="1177"/>
        <v/>
      </c>
      <c r="GB150" s="4" t="str">
        <f t="shared" si="1178"/>
        <v/>
      </c>
      <c r="GC150" s="5" t="str">
        <f t="shared" si="1179"/>
        <v/>
      </c>
      <c r="GD150" s="10" t="str">
        <f t="shared" si="1180"/>
        <v/>
      </c>
      <c r="GE150" s="311" t="str">
        <f t="shared" si="1181"/>
        <v/>
      </c>
      <c r="GF150" s="341" t="str">
        <f t="shared" si="1182"/>
        <v/>
      </c>
      <c r="GG150" s="306" t="str">
        <f t="shared" si="1183"/>
        <v/>
      </c>
      <c r="GH150" s="307" t="str">
        <f t="shared" si="1184"/>
        <v/>
      </c>
      <c r="GI150" s="308" t="str">
        <f t="shared" si="1185"/>
        <v/>
      </c>
      <c r="GJ150" s="167" t="str">
        <f t="shared" si="1186"/>
        <v/>
      </c>
      <c r="GK150" s="174" t="str">
        <f t="shared" si="943"/>
        <v/>
      </c>
      <c r="GL150" s="174" t="str">
        <f t="shared" si="1187"/>
        <v/>
      </c>
      <c r="GM150" s="177" t="str">
        <f t="shared" si="1188"/>
        <v/>
      </c>
      <c r="GN150" s="280" t="str">
        <f t="shared" si="1189"/>
        <v/>
      </c>
      <c r="GO150" s="4" t="str">
        <f t="shared" si="1190"/>
        <v/>
      </c>
      <c r="GP150" s="8" t="str">
        <f t="shared" si="1191"/>
        <v/>
      </c>
      <c r="GQ150" s="177" t="str">
        <f t="shared" si="1192"/>
        <v/>
      </c>
      <c r="GR150" s="371" t="str">
        <f t="shared" si="1193"/>
        <v/>
      </c>
      <c r="GS150" s="342" t="str">
        <f t="shared" si="1194"/>
        <v/>
      </c>
      <c r="GT150" s="343" t="str">
        <f t="shared" si="1195"/>
        <v/>
      </c>
      <c r="GU150" s="344" t="str">
        <f t="shared" si="946"/>
        <v/>
      </c>
      <c r="GV150" s="343" t="str">
        <f t="shared" si="1196"/>
        <v/>
      </c>
      <c r="GW150" s="345" t="str">
        <f t="shared" si="947"/>
        <v/>
      </c>
      <c r="GX150" s="346" t="str">
        <f t="shared" si="948"/>
        <v/>
      </c>
      <c r="GY150" s="344" t="str">
        <f t="shared" si="1197"/>
        <v/>
      </c>
      <c r="GZ150" s="345" t="str">
        <f t="shared" si="1198"/>
        <v/>
      </c>
      <c r="HA150" s="342" t="str">
        <f t="shared" si="951"/>
        <v/>
      </c>
      <c r="HB150" s="5" t="str">
        <f t="shared" si="832"/>
        <v/>
      </c>
      <c r="HC150" s="343" t="str">
        <f t="shared" si="1199"/>
        <v/>
      </c>
      <c r="HD150" s="363" t="str">
        <f t="shared" si="1200"/>
        <v/>
      </c>
      <c r="HE150" s="344" t="str">
        <f t="shared" si="952"/>
        <v/>
      </c>
      <c r="HF150" s="5" t="str">
        <f t="shared" si="953"/>
        <v/>
      </c>
      <c r="HG150" s="343" t="str">
        <f t="shared" si="1201"/>
        <v/>
      </c>
      <c r="HH150" s="349" t="str">
        <f t="shared" si="1202"/>
        <v/>
      </c>
      <c r="HI150" s="317" t="str">
        <f t="shared" si="1242"/>
        <v/>
      </c>
      <c r="HK150" s="310" t="str">
        <f t="shared" si="1276"/>
        <v/>
      </c>
      <c r="HL150" s="348" t="str">
        <f t="shared" si="1243"/>
        <v/>
      </c>
      <c r="HM150" s="935" t="str">
        <f t="shared" si="1244"/>
        <v/>
      </c>
      <c r="HN150" s="936" t="str">
        <f t="shared" si="1245"/>
        <v/>
      </c>
      <c r="HO150" s="937"/>
      <c r="HP150" s="938"/>
      <c r="HQ150" s="936" t="str">
        <f t="shared" si="1246"/>
        <v/>
      </c>
      <c r="HR150" s="939" t="str">
        <f t="shared" si="1247"/>
        <v/>
      </c>
      <c r="HS150" s="940" t="str">
        <f t="shared" si="1203"/>
        <v/>
      </c>
      <c r="HT150" s="941" t="str">
        <f t="shared" si="1248"/>
        <v/>
      </c>
      <c r="HU150" s="942" t="str">
        <f t="shared" si="1249"/>
        <v/>
      </c>
      <c r="HV150" s="943" t="str">
        <f t="shared" si="1250"/>
        <v/>
      </c>
      <c r="HW150" s="944" t="str">
        <f t="shared" si="1251"/>
        <v/>
      </c>
      <c r="HX150" s="947" t="str">
        <f t="shared" si="1252"/>
        <v/>
      </c>
      <c r="HY150" s="952" t="str">
        <f t="shared" si="1253"/>
        <v/>
      </c>
      <c r="HZ150" s="953" t="str">
        <f t="shared" si="1254"/>
        <v/>
      </c>
      <c r="IA150" s="954" t="str">
        <f t="shared" si="1255"/>
        <v/>
      </c>
      <c r="IB150" s="955" t="str">
        <f t="shared" si="1256"/>
        <v/>
      </c>
      <c r="IC150" s="842" t="str">
        <f t="shared" si="1257"/>
        <v/>
      </c>
      <c r="ID150" s="351" t="str">
        <f t="shared" si="1258"/>
        <v/>
      </c>
      <c r="IE150" s="844" t="str">
        <f t="shared" si="1259"/>
        <v/>
      </c>
      <c r="IF150" s="845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80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60"/>
        <v/>
      </c>
      <c r="IM150" s="782" t="str">
        <f t="shared" si="1281"/>
        <v/>
      </c>
      <c r="IN150" s="671" t="str">
        <f t="shared" si="1261"/>
        <v/>
      </c>
      <c r="IO150" s="703"/>
      <c r="IP150" s="175" t="str">
        <f t="shared" si="1262"/>
        <v/>
      </c>
      <c r="IQ150" s="715"/>
      <c r="IR150" s="711" t="str">
        <f t="shared" si="1263"/>
        <v/>
      </c>
      <c r="IS150" s="175" t="str">
        <f t="shared" si="1264"/>
        <v/>
      </c>
      <c r="IT150" s="175" t="str">
        <f t="shared" si="1265"/>
        <v/>
      </c>
      <c r="IU150" s="175" t="str">
        <f t="shared" si="1266"/>
        <v/>
      </c>
      <c r="IV150" s="671" t="str">
        <f t="shared" si="1267"/>
        <v/>
      </c>
      <c r="IW150" s="711" t="str">
        <f t="shared" si="1268"/>
        <v/>
      </c>
      <c r="IX150" s="175" t="str">
        <f t="shared" si="1269"/>
        <v/>
      </c>
      <c r="IY150" s="175" t="str">
        <f t="shared" si="1270"/>
        <v/>
      </c>
      <c r="IZ150" s="175" t="str">
        <f t="shared" si="1271"/>
        <v/>
      </c>
      <c r="JA150" s="706" t="str">
        <f t="shared" si="1272"/>
        <v/>
      </c>
    </row>
    <row r="151" spans="1:261" x14ac:dyDescent="0.25">
      <c r="L151" s="309"/>
      <c r="AZ151" s="187">
        <f>SUM(AZ9:AZ150)</f>
        <v>18.050392181373319</v>
      </c>
      <c r="BA151" s="288">
        <f>SUM(BA9:BA150)</f>
        <v>0.99999999999999967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78" t="s">
        <v>42</v>
      </c>
      <c r="C157" s="1079"/>
      <c r="D157" s="1079"/>
      <c r="E157" s="1079"/>
      <c r="F157" s="1079"/>
      <c r="G157" s="1079"/>
      <c r="H157" s="1079"/>
      <c r="I157" s="1079"/>
      <c r="J157" s="1079"/>
      <c r="K157" s="1079"/>
      <c r="L157" s="1079"/>
      <c r="M157" s="1080"/>
      <c r="Z157" t="s">
        <v>101</v>
      </c>
      <c r="AA157" s="219">
        <v>0</v>
      </c>
    </row>
    <row r="158" spans="1:261" x14ac:dyDescent="0.25">
      <c r="B158" s="1081"/>
      <c r="C158" s="1082"/>
      <c r="D158" s="1082"/>
      <c r="E158" s="1082"/>
      <c r="F158" s="1082"/>
      <c r="G158" s="1082"/>
      <c r="H158" s="1082"/>
      <c r="I158" s="1082"/>
      <c r="J158" s="1082"/>
      <c r="K158" s="1082"/>
      <c r="L158" s="1082"/>
      <c r="M158" s="1083"/>
      <c r="Z158" t="s">
        <v>102</v>
      </c>
      <c r="AA158" s="219">
        <v>0.01</v>
      </c>
    </row>
    <row r="159" spans="1:261" x14ac:dyDescent="0.25">
      <c r="B159" s="1084"/>
      <c r="C159" s="1085"/>
      <c r="D159" s="1085"/>
      <c r="E159" s="1085"/>
      <c r="F159" s="1085"/>
      <c r="G159" s="1085"/>
      <c r="H159" s="1085"/>
      <c r="I159" s="1085"/>
      <c r="J159" s="1085"/>
      <c r="K159" s="1085"/>
      <c r="L159" s="1085"/>
      <c r="M159" s="1086"/>
    </row>
    <row r="160" spans="1:261" ht="15" customHeight="1" x14ac:dyDescent="0.25">
      <c r="B160" s="1087" t="str">
        <f>CONCATENATE(B162," ; ",E162," ; ",H163)</f>
        <v>Absolute-Point ; Incremental-Vector Point ; Radius</v>
      </c>
      <c r="C160" s="1088"/>
      <c r="D160" s="1088"/>
      <c r="E160" s="1088"/>
      <c r="F160" s="1088"/>
      <c r="G160" s="1088"/>
      <c r="H160" s="1088"/>
      <c r="I160" s="1088"/>
      <c r="J160" s="1088"/>
      <c r="K160" s="1088"/>
      <c r="L160" s="1088"/>
      <c r="M160" s="1089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90"/>
      <c r="C161" s="1091"/>
      <c r="D161" s="1091"/>
      <c r="E161" s="1091"/>
      <c r="F161" s="1091"/>
      <c r="G161" s="1091"/>
      <c r="H161" s="1091"/>
      <c r="I161" s="1091"/>
      <c r="J161" s="1091"/>
      <c r="K161" s="1091"/>
      <c r="L161" s="1091"/>
      <c r="M161" s="1092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04">AA161+$AA$157</f>
        <v>0.433</v>
      </c>
      <c r="AC161" s="162">
        <f t="shared" ref="AC161:AC168" si="1305">AA161+$AA$158</f>
        <v>0.443</v>
      </c>
    </row>
    <row r="162" spans="2:38" x14ac:dyDescent="0.25">
      <c r="B162" s="1073" t="s">
        <v>40</v>
      </c>
      <c r="C162" s="1074"/>
      <c r="D162" s="1075"/>
      <c r="E162" s="1076" t="s">
        <v>41</v>
      </c>
      <c r="F162" s="1074"/>
      <c r="G162" s="1077"/>
      <c r="H162" s="971" t="s">
        <v>305</v>
      </c>
      <c r="I162" s="969"/>
      <c r="J162" s="970"/>
      <c r="K162" s="155"/>
      <c r="L162" s="1093" t="s">
        <v>399</v>
      </c>
      <c r="M162" s="1094"/>
      <c r="Z162" t="s">
        <v>152</v>
      </c>
      <c r="AA162" s="199">
        <v>0.48099999999999998</v>
      </c>
      <c r="AB162" s="162">
        <f t="shared" si="1304"/>
        <v>0.48099999999999998</v>
      </c>
      <c r="AC162" s="162">
        <f t="shared" si="1305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875" t="s">
        <v>386</v>
      </c>
      <c r="L163" s="881" t="s">
        <v>398</v>
      </c>
      <c r="M163" s="882" t="s">
        <v>397</v>
      </c>
      <c r="Z163" t="s">
        <v>153</v>
      </c>
      <c r="AA163" s="199">
        <v>0.52900000000000003</v>
      </c>
      <c r="AB163" s="162">
        <f t="shared" si="1304"/>
        <v>0.52900000000000003</v>
      </c>
      <c r="AC163" s="162">
        <f t="shared" si="1305"/>
        <v>0.53900000000000003</v>
      </c>
    </row>
    <row r="164" spans="2:38" ht="15.75" thickTop="1" x14ac:dyDescent="0.25">
      <c r="B164" s="645">
        <v>0</v>
      </c>
      <c r="C164" s="646">
        <v>0.34220103207831276</v>
      </c>
      <c r="D164" s="647">
        <v>-0.82580249062031164</v>
      </c>
      <c r="E164" s="648">
        <v>-0.92387955420894774</v>
      </c>
      <c r="F164" s="646">
        <v>-0.10548183497343269</v>
      </c>
      <c r="G164" s="649">
        <v>0.36785887484919227</v>
      </c>
      <c r="H164" s="648">
        <v>0.314</v>
      </c>
      <c r="I164" s="887">
        <v>0.52</v>
      </c>
      <c r="J164" s="891">
        <v>1.101</v>
      </c>
      <c r="K164" s="876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693"/>
      <c r="M164" s="884"/>
      <c r="N164" s="31" t="str">
        <f>IF(M164="Y","N","Y")</f>
        <v>Y</v>
      </c>
      <c r="O164" s="162">
        <f t="shared" ref="O164:O195" si="1306">IFERROR(INDEX(B$164:B$305,MATCH($W164,$J$164:$J$305,0)),"")</f>
        <v>0</v>
      </c>
      <c r="P164" s="162">
        <f t="shared" ref="P164:P195" si="1307">IFERROR(INDEX(C$164:C$305,MATCH($W164,$J$164:$J$305,0)),"")</f>
        <v>0.34220103207831276</v>
      </c>
      <c r="Q164" s="162">
        <f t="shared" ref="Q164:Q195" si="1308">IFERROR(INDEX(D$164:D$305,MATCH($W164,$J$164:$J$305,0)),"")</f>
        <v>-0.82580249062031164</v>
      </c>
      <c r="R164" s="162">
        <f>IFERROR(IF($L164="Y",-1*INDEX(E$164:E$305,MATCH($W164,$J$164:$J$305,0)),INDEX(E$164:E$305,MATCH($W164,$J$164:$J$305,0))),"")</f>
        <v>-0.92387955420894774</v>
      </c>
      <c r="S164" s="162">
        <f t="shared" ref="S164:S227" si="1309">IFERROR(IF($L164="Y",-1*INDEX(F$164:F$305,MATCH($W164,$J$164:$J$305,0)),INDEX(F$164:F$305,MATCH($W164,$J$164:$J$305,0))),"")</f>
        <v>-0.10548183497343269</v>
      </c>
      <c r="T164" s="162">
        <f t="shared" ref="T164:T227" si="1310">IFERROR(IF($L164="Y",-1*INDEX(G$164:G$305,MATCH($W164,$J$164:$J$305,0)),INDEX(G$164:G$305,MATCH($W164,$J$164:$J$305,0))),"")</f>
        <v>0.36785887484919227</v>
      </c>
      <c r="U164" s="162">
        <f>IFERROR(IF(ISNUMBER(MATCH($X164,Settings!$AK$28:$AK$36,0)),INDEX(Settings!$AO$14:$AO$36,MATCH($X164,Settings!$AK$14:$AK$36,0))/2,INDEX(Settings!$AM$14:$AM$36,MATCH($X164,Settings!$AK$14:$AK$36,0))/2),"")</f>
        <v>0.3125</v>
      </c>
      <c r="V164" s="162">
        <f t="shared" ref="V164:V195" si="1311">IFERROR(INDEX(I$164:I$305,MATCH($W164,$J$164:$J$305,0)),"")</f>
        <v>0.52</v>
      </c>
      <c r="W164" s="75" cm="1">
        <f t="array" ref="W164:W220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883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04"/>
        <v>0.57699999999999996</v>
      </c>
      <c r="AC164" s="162">
        <f t="shared" si="1305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0</v>
      </c>
      <c r="C165" s="651">
        <v>1.054703180984794</v>
      </c>
      <c r="D165" s="652">
        <v>-0.59110178276297676</v>
      </c>
      <c r="E165" s="653">
        <v>-0.96592583607220739</v>
      </c>
      <c r="F165" s="651">
        <v>-5.8221608866857143E-2</v>
      </c>
      <c r="G165" s="654">
        <v>0.2521854941688001</v>
      </c>
      <c r="H165" s="653">
        <v>0.314</v>
      </c>
      <c r="I165" s="888">
        <v>0.52</v>
      </c>
      <c r="J165" s="892">
        <v>1.1040000000000001</v>
      </c>
      <c r="K165" s="877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683"/>
      <c r="M165" s="880"/>
      <c r="N165" s="31" t="str">
        <f t="shared" ref="N165:N228" si="1312">IF(M165="Y","N","Y")</f>
        <v>Y</v>
      </c>
      <c r="O165" s="162">
        <f t="shared" si="1306"/>
        <v>0</v>
      </c>
      <c r="P165" s="162">
        <f t="shared" si="1307"/>
        <v>1.054703180984794</v>
      </c>
      <c r="Q165" s="162">
        <f t="shared" si="1308"/>
        <v>-0.59110178276297676</v>
      </c>
      <c r="R165" s="162">
        <f t="shared" ref="R165:R228" si="1313">IFERROR(IF($L165="Y",-1*INDEX(E$164:E$305,MATCH($W165,$J$164:$J$305,0)),INDEX(E$164:E$305,MATCH($W165,$J$164:$J$305,0))),"")</f>
        <v>-0.96592583607220739</v>
      </c>
      <c r="S165" s="162">
        <f t="shared" si="1309"/>
        <v>-5.8221608866857143E-2</v>
      </c>
      <c r="T165" s="162">
        <f t="shared" si="1310"/>
        <v>0.2521854941688001</v>
      </c>
      <c r="U165" s="162">
        <f>IFERROR(IF(ISNUMBER(MATCH($X165,Settings!$AK$28:$AK$36,0)),INDEX(Settings!$AO$14:$AO$36,MATCH($X165,Settings!$AK$14:$AK$36,0))/2,INDEX(Settings!$AM$14:$AM$36,MATCH($X165,Settings!$AK$14:$AK$36,0))/2),"")</f>
        <v>0.3125</v>
      </c>
      <c r="V165" s="162">
        <f t="shared" si="1311"/>
        <v>0.52</v>
      </c>
      <c r="W165" s="75">
        <v>1.1040000000000001</v>
      </c>
      <c r="X165" s="883">
        <f t="shared" ref="X165:X228" si="1314">IFERROR(INDEX(K$164:K$305,MATCH($W165,$J$164:$J$305,0)),"")</f>
        <v>1613</v>
      </c>
      <c r="Z165" t="s">
        <v>155</v>
      </c>
      <c r="AA165" s="199">
        <v>0.625</v>
      </c>
      <c r="AB165" s="162">
        <f t="shared" si="1304"/>
        <v>0.625</v>
      </c>
      <c r="AC165" s="162">
        <f t="shared" si="1305"/>
        <v>0.63500000000000001</v>
      </c>
      <c r="AK165" s="82" t="str">
        <f t="shared" ref="AK165:AK228" si="1315">IF(M165="","Y","")</f>
        <v>Y</v>
      </c>
      <c r="AL165" s="419" t="s">
        <v>400</v>
      </c>
    </row>
    <row r="166" spans="2:38" x14ac:dyDescent="0.25">
      <c r="B166" s="650">
        <v>0</v>
      </c>
      <c r="C166" s="651">
        <v>1.762905316922436</v>
      </c>
      <c r="D166" s="652">
        <v>-0.34440103871353278</v>
      </c>
      <c r="E166" s="653">
        <v>-0.96592583607220739</v>
      </c>
      <c r="F166" s="651">
        <v>-4.4943449187448817E-2</v>
      </c>
      <c r="G166" s="654">
        <v>0.25488696628769081</v>
      </c>
      <c r="H166" s="653">
        <v>0.314</v>
      </c>
      <c r="I166" s="888">
        <v>0.52</v>
      </c>
      <c r="J166" s="892">
        <v>1.107</v>
      </c>
      <c r="K166" s="877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683"/>
      <c r="M166" s="880"/>
      <c r="N166" s="31" t="str">
        <f t="shared" si="1312"/>
        <v>Y</v>
      </c>
      <c r="O166" s="162">
        <f t="shared" si="1306"/>
        <v>0</v>
      </c>
      <c r="P166" s="162">
        <f t="shared" si="1307"/>
        <v>1.762905316922436</v>
      </c>
      <c r="Q166" s="162">
        <f t="shared" si="1308"/>
        <v>-0.34440103871353278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09"/>
        <v>-4.4943449187448817E-2</v>
      </c>
      <c r="T166" s="162">
        <f t="shared" si="1310"/>
        <v>0.25488696628769081</v>
      </c>
      <c r="U166" s="162">
        <f>IFERROR(IF(ISNUMBER(MATCH($X166,Settings!$AK$28:$AK$36,0)),INDEX(Settings!$AO$14:$AO$36,MATCH($X166,Settings!$AK$14:$AK$36,0))/2,INDEX(Settings!$AM$14:$AM$36,MATCH($X166,Settings!$AK$14:$AK$36,0))/2),"")</f>
        <v>0.3125</v>
      </c>
      <c r="V166" s="162">
        <f t="shared" si="1311"/>
        <v>0.52</v>
      </c>
      <c r="W166" s="75">
        <v>1.107</v>
      </c>
      <c r="X166" s="883">
        <f t="shared" si="1314"/>
        <v>1613</v>
      </c>
      <c r="Z166" t="s">
        <v>156</v>
      </c>
      <c r="AA166" s="199">
        <v>0.66500000000000004</v>
      </c>
      <c r="AB166" s="162">
        <f t="shared" si="1304"/>
        <v>0.66500000000000004</v>
      </c>
      <c r="AC166" s="162">
        <f t="shared" si="1305"/>
        <v>0.67500000000000004</v>
      </c>
      <c r="AK166" s="82" t="str">
        <f t="shared" si="1315"/>
        <v>Y</v>
      </c>
      <c r="AL166" s="419" t="s">
        <v>400</v>
      </c>
    </row>
    <row r="167" spans="2:38" x14ac:dyDescent="0.25">
      <c r="B167" s="650">
        <v>0</v>
      </c>
      <c r="C167" s="651">
        <v>2.472807457987293</v>
      </c>
      <c r="D167" s="652">
        <v>-0.10230030853773055</v>
      </c>
      <c r="E167" s="653">
        <v>-0.96592583607220739</v>
      </c>
      <c r="F167" s="651">
        <v>-2.7053953232511002E-2</v>
      </c>
      <c r="G167" s="654">
        <v>0.25740117098160287</v>
      </c>
      <c r="H167" s="653">
        <v>0.314</v>
      </c>
      <c r="I167" s="888">
        <v>0.52</v>
      </c>
      <c r="J167" s="892">
        <v>1.111</v>
      </c>
      <c r="K167" s="877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683"/>
      <c r="M167" s="880"/>
      <c r="N167" s="31" t="str">
        <f t="shared" si="1312"/>
        <v>Y</v>
      </c>
      <c r="O167" s="162">
        <f t="shared" si="1306"/>
        <v>0</v>
      </c>
      <c r="P167" s="162">
        <f t="shared" si="1307"/>
        <v>2.472807457987293</v>
      </c>
      <c r="Q167" s="162">
        <f t="shared" si="1308"/>
        <v>-0.10230030853773055</v>
      </c>
      <c r="R167" s="162">
        <f>IFERROR(IF($L167="Y",-1*INDEX(E$164:E$305,MATCH($W167,$J$164:$J$305,0)),INDEX(E$164:E$305,MATCH($W167,$J$164:$J$305,0))),"")</f>
        <v>-0.96592583607220739</v>
      </c>
      <c r="S167" s="162">
        <f t="shared" si="1309"/>
        <v>-2.7053953232511002E-2</v>
      </c>
      <c r="T167" s="162">
        <f t="shared" si="1310"/>
        <v>0.25740117098160287</v>
      </c>
      <c r="U167" s="162">
        <f>IFERROR(IF(ISNUMBER(MATCH($X167,Settings!$AK$28:$AK$36,0)),INDEX(Settings!$AO$14:$AO$36,MATCH($X167,Settings!$AK$14:$AK$36,0))/2,INDEX(Settings!$AM$14:$AM$36,MATCH($X167,Settings!$AK$14:$AK$36,0))/2),"")</f>
        <v>0.3125</v>
      </c>
      <c r="V167" s="162">
        <f t="shared" si="1311"/>
        <v>0.52</v>
      </c>
      <c r="W167" s="75">
        <v>1.111</v>
      </c>
      <c r="X167" s="883">
        <f t="shared" si="1314"/>
        <v>1613</v>
      </c>
      <c r="Z167" t="s">
        <v>157</v>
      </c>
      <c r="AA167" s="199">
        <v>0.70799999999999996</v>
      </c>
      <c r="AB167" s="162">
        <f t="shared" si="1304"/>
        <v>0.70799999999999996</v>
      </c>
      <c r="AC167" s="162">
        <f t="shared" si="1305"/>
        <v>0.71799999999999997</v>
      </c>
      <c r="AK167" s="82" t="str">
        <f t="shared" si="1315"/>
        <v>Y</v>
      </c>
      <c r="AL167" s="419" t="s">
        <v>400</v>
      </c>
    </row>
    <row r="168" spans="2:38" x14ac:dyDescent="0.25">
      <c r="B168" s="650">
        <v>5.6088061620838123E-4</v>
      </c>
      <c r="C168" s="651">
        <v>3.2136096433007713</v>
      </c>
      <c r="D168" s="652">
        <v>0</v>
      </c>
      <c r="E168" s="653">
        <v>-0.96592582136031979</v>
      </c>
      <c r="F168" s="651">
        <v>1.6858583649867671E-4</v>
      </c>
      <c r="G168" s="654">
        <v>0.25881900859134593</v>
      </c>
      <c r="H168" s="653">
        <v>0.314</v>
      </c>
      <c r="I168" s="888">
        <v>0.52</v>
      </c>
      <c r="J168" s="892">
        <v>1.117</v>
      </c>
      <c r="K168" s="877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683"/>
      <c r="M168" s="880"/>
      <c r="N168" s="31" t="str">
        <f t="shared" si="1312"/>
        <v>Y</v>
      </c>
      <c r="O168" s="162">
        <f t="shared" si="1306"/>
        <v>5.6088061620838123E-4</v>
      </c>
      <c r="P168" s="162">
        <f t="shared" si="1307"/>
        <v>3.2136096433007713</v>
      </c>
      <c r="Q168" s="162">
        <f t="shared" si="1308"/>
        <v>0</v>
      </c>
      <c r="R168" s="162">
        <f t="shared" si="1313"/>
        <v>-0.96592582136031979</v>
      </c>
      <c r="S168" s="162">
        <f t="shared" si="1309"/>
        <v>1.6858583649867671E-4</v>
      </c>
      <c r="T168" s="162">
        <f t="shared" si="1310"/>
        <v>0.25881900859134593</v>
      </c>
      <c r="U168" s="162">
        <f>IFERROR(IF(ISNUMBER(MATCH($X168,Settings!$AK$28:$AK$36,0)),INDEX(Settings!$AO$14:$AO$36,MATCH($X168,Settings!$AK$14:$AK$36,0))/2,INDEX(Settings!$AM$14:$AM$36,MATCH($X168,Settings!$AK$14:$AK$36,0))/2),"")</f>
        <v>0.3125</v>
      </c>
      <c r="V168" s="162">
        <f t="shared" si="1311"/>
        <v>0.52</v>
      </c>
      <c r="W168" s="75">
        <v>1.117</v>
      </c>
      <c r="X168" s="883">
        <f t="shared" si="1314"/>
        <v>1613</v>
      </c>
      <c r="Z168" t="s">
        <v>158</v>
      </c>
      <c r="AA168" s="199">
        <v>0.75</v>
      </c>
      <c r="AB168" s="162">
        <f t="shared" si="1304"/>
        <v>0.75</v>
      </c>
      <c r="AC168" s="162">
        <f t="shared" si="1305"/>
        <v>0.76</v>
      </c>
      <c r="AK168" s="82" t="str">
        <f t="shared" si="1315"/>
        <v>Y</v>
      </c>
      <c r="AL168" s="419" t="s">
        <v>400</v>
      </c>
    </row>
    <row r="169" spans="2:38" x14ac:dyDescent="0.25">
      <c r="B169" s="650">
        <v>2.8285483441661975E-2</v>
      </c>
      <c r="C169" s="651">
        <v>3.9527107179261147</v>
      </c>
      <c r="D169" s="652">
        <v>-0.10980033115779876</v>
      </c>
      <c r="E169" s="653">
        <v>-0.96216594281294121</v>
      </c>
      <c r="F169" s="651">
        <v>7.6923554109801076E-2</v>
      </c>
      <c r="G169" s="654">
        <v>0.26137992523145426</v>
      </c>
      <c r="H169" s="653">
        <v>0.314</v>
      </c>
      <c r="I169" s="888">
        <v>0.52</v>
      </c>
      <c r="J169" s="892">
        <v>1.123</v>
      </c>
      <c r="K169" s="877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683"/>
      <c r="M169" s="880"/>
      <c r="N169" s="31" t="str">
        <f t="shared" si="1312"/>
        <v>Y</v>
      </c>
      <c r="O169" s="162">
        <f t="shared" si="1306"/>
        <v>2.8285483441661975E-2</v>
      </c>
      <c r="P169" s="162">
        <f t="shared" si="1307"/>
        <v>3.9527107179261147</v>
      </c>
      <c r="Q169" s="162">
        <f t="shared" si="1308"/>
        <v>-0.10980033115779876</v>
      </c>
      <c r="R169" s="162">
        <f t="shared" si="1313"/>
        <v>-0.96216594281294121</v>
      </c>
      <c r="S169" s="162">
        <f t="shared" si="1309"/>
        <v>7.6923554109801076E-2</v>
      </c>
      <c r="T169" s="162">
        <f t="shared" si="1310"/>
        <v>0.26137992523145426</v>
      </c>
      <c r="U169" s="162">
        <f>IFERROR(IF(ISNUMBER(MATCH($X169,Settings!$AK$28:$AK$36,0)),INDEX(Settings!$AO$14:$AO$36,MATCH($X169,Settings!$AK$14:$AK$36,0))/2,INDEX(Settings!$AM$14:$AM$36,MATCH($X169,Settings!$AK$14:$AK$36,0))/2),"")</f>
        <v>0.3125</v>
      </c>
      <c r="V169" s="162">
        <f t="shared" si="1311"/>
        <v>0.52</v>
      </c>
      <c r="W169" s="75">
        <v>1.123</v>
      </c>
      <c r="X169" s="883">
        <f t="shared" si="1314"/>
        <v>1613</v>
      </c>
      <c r="AK169" s="82" t="str">
        <f t="shared" si="1315"/>
        <v>Y</v>
      </c>
      <c r="AL169" s="419" t="s">
        <v>400</v>
      </c>
    </row>
    <row r="170" spans="2:38" x14ac:dyDescent="0.25">
      <c r="B170" s="650">
        <v>8.8057448365495644E-2</v>
      </c>
      <c r="C170" s="651">
        <v>4.6281763296035514</v>
      </c>
      <c r="D170" s="652">
        <v>-0.42820129145509511</v>
      </c>
      <c r="E170" s="653">
        <v>-0.95335083903952467</v>
      </c>
      <c r="F170" s="651">
        <v>0.16435108694736519</v>
      </c>
      <c r="G170" s="654">
        <v>0.25320129921043866</v>
      </c>
      <c r="H170" s="653">
        <v>0.314</v>
      </c>
      <c r="I170" s="888">
        <v>0.52</v>
      </c>
      <c r="J170" s="892">
        <v>1.129</v>
      </c>
      <c r="K170" s="877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683"/>
      <c r="M170" s="880"/>
      <c r="N170" s="31" t="str">
        <f t="shared" si="1312"/>
        <v>Y</v>
      </c>
      <c r="O170" s="162">
        <f t="shared" si="1306"/>
        <v>8.8057448365495644E-2</v>
      </c>
      <c r="P170" s="162">
        <f t="shared" si="1307"/>
        <v>4.6281763296035514</v>
      </c>
      <c r="Q170" s="162">
        <f t="shared" si="1308"/>
        <v>-0.42820129145509511</v>
      </c>
      <c r="R170" s="162">
        <f t="shared" si="1313"/>
        <v>-0.95335083903952467</v>
      </c>
      <c r="S170" s="162">
        <f t="shared" si="1309"/>
        <v>0.16435108694736519</v>
      </c>
      <c r="T170" s="162">
        <f t="shared" si="1310"/>
        <v>0.25320129921043866</v>
      </c>
      <c r="U170" s="162">
        <f>IFERROR(IF(ISNUMBER(MATCH($X170,Settings!$AK$28:$AK$36,0)),INDEX(Settings!$AO$14:$AO$36,MATCH($X170,Settings!$AK$14:$AK$36,0))/2,INDEX(Settings!$AM$14:$AM$36,MATCH($X170,Settings!$AK$14:$AK$36,0))/2),"")</f>
        <v>0.3125</v>
      </c>
      <c r="V170" s="162">
        <f t="shared" si="1311"/>
        <v>0.52</v>
      </c>
      <c r="W170" s="75">
        <v>1.129</v>
      </c>
      <c r="X170" s="883">
        <f t="shared" si="1314"/>
        <v>1613</v>
      </c>
      <c r="AK170" s="82" t="str">
        <f t="shared" si="1315"/>
        <v>Y</v>
      </c>
      <c r="AL170" s="419" t="s">
        <v>400</v>
      </c>
    </row>
    <row r="171" spans="2:38" x14ac:dyDescent="0.25">
      <c r="B171" s="650">
        <v>0.16206694552886936</v>
      </c>
      <c r="C171" s="651">
        <v>5.1858838440802666</v>
      </c>
      <c r="D171" s="652">
        <v>-0.92430278769720775</v>
      </c>
      <c r="E171" s="653">
        <v>-0.94026095845880242</v>
      </c>
      <c r="F171" s="651">
        <v>0.25503296284354637</v>
      </c>
      <c r="G171" s="654">
        <v>0.22553828469104004</v>
      </c>
      <c r="H171" s="653">
        <v>0.314</v>
      </c>
      <c r="I171" s="888">
        <v>0.52</v>
      </c>
      <c r="J171" s="892">
        <v>1.135</v>
      </c>
      <c r="K171" s="877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683"/>
      <c r="M171" s="880"/>
      <c r="N171" s="31" t="str">
        <f t="shared" si="1312"/>
        <v>Y</v>
      </c>
      <c r="O171" s="162">
        <f>IFERROR(INDEX(B$164:B$305,MATCH($W171,$J$164:$J$305,0)),"")</f>
        <v>0.16206694552886936</v>
      </c>
      <c r="P171" s="162">
        <f t="shared" si="1307"/>
        <v>5.1858838440802666</v>
      </c>
      <c r="Q171" s="162">
        <f t="shared" si="1308"/>
        <v>-0.92430278769720775</v>
      </c>
      <c r="R171" s="162">
        <f>IFERROR(IF($L171="Y",-1*INDEX(E$164:E$305,MATCH($W171,$J$164:$J$305,0)),INDEX(E$164:E$305,MATCH($W171,$J$164:$J$305,0))),"")</f>
        <v>-0.94026095845880242</v>
      </c>
      <c r="S171" s="162">
        <f t="shared" si="1309"/>
        <v>0.25503296284354637</v>
      </c>
      <c r="T171" s="162">
        <f t="shared" si="1310"/>
        <v>0.22553828469104004</v>
      </c>
      <c r="U171" s="162">
        <f>IFERROR(IF(ISNUMBER(MATCH($X171,Settings!$AK$28:$AK$36,0)),INDEX(Settings!$AO$14:$AO$36,MATCH($X171,Settings!$AK$14:$AK$36,0))/2,INDEX(Settings!$AM$14:$AM$36,MATCH($X171,Settings!$AK$14:$AK$36,0))/2),"")</f>
        <v>0.3125</v>
      </c>
      <c r="V171" s="162">
        <f t="shared" si="1311"/>
        <v>0.52</v>
      </c>
      <c r="W171" s="75">
        <v>1.135</v>
      </c>
      <c r="X171" s="883">
        <f t="shared" si="1314"/>
        <v>1613</v>
      </c>
      <c r="AK171" s="82" t="str">
        <f t="shared" si="1315"/>
        <v>Y</v>
      </c>
      <c r="AL171" s="419" t="s">
        <v>400</v>
      </c>
    </row>
    <row r="172" spans="2:38" x14ac:dyDescent="0.25">
      <c r="B172" s="650">
        <v>0.22926896320440876</v>
      </c>
      <c r="C172" s="651">
        <v>5.5867144446739188</v>
      </c>
      <c r="D172" s="652">
        <v>-1.5541046871797366</v>
      </c>
      <c r="E172" s="653">
        <v>-0.91938535125986942</v>
      </c>
      <c r="F172" s="651">
        <v>0.34975869164905482</v>
      </c>
      <c r="G172" s="654">
        <v>0.17999842639508837</v>
      </c>
      <c r="H172" s="653">
        <v>0.314</v>
      </c>
      <c r="I172" s="888">
        <v>0.52</v>
      </c>
      <c r="J172" s="892">
        <v>1.141</v>
      </c>
      <c r="K172" s="877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683"/>
      <c r="M172" s="880"/>
      <c r="N172" s="31" t="str">
        <f t="shared" si="1312"/>
        <v>Y</v>
      </c>
      <c r="O172" s="162">
        <f t="shared" si="1306"/>
        <v>0.22926896320440876</v>
      </c>
      <c r="P172" s="162">
        <f t="shared" si="1307"/>
        <v>5.5867144446739188</v>
      </c>
      <c r="Q172" s="162">
        <f t="shared" si="1308"/>
        <v>-1.5541046871797366</v>
      </c>
      <c r="R172" s="162">
        <f t="shared" si="1313"/>
        <v>-0.91938535125986942</v>
      </c>
      <c r="S172" s="162">
        <f t="shared" si="1309"/>
        <v>0.34975869164905482</v>
      </c>
      <c r="T172" s="162">
        <f t="shared" si="1310"/>
        <v>0.17999842639508837</v>
      </c>
      <c r="U172" s="162">
        <f>IFERROR(IF(ISNUMBER(MATCH($X172,Settings!$AK$28:$AK$36,0)),INDEX(Settings!$AO$14:$AO$36,MATCH($X172,Settings!$AK$14:$AK$36,0))/2,INDEX(Settings!$AM$14:$AM$36,MATCH($X172,Settings!$AK$14:$AK$36,0))/2),"")</f>
        <v>0.3125</v>
      </c>
      <c r="V172" s="162">
        <f t="shared" si="1311"/>
        <v>0.52</v>
      </c>
      <c r="W172" s="75">
        <v>1.141</v>
      </c>
      <c r="X172" s="883">
        <f t="shared" si="1314"/>
        <v>1613</v>
      </c>
      <c r="AK172" s="82" t="str">
        <f t="shared" si="1315"/>
        <v>Y</v>
      </c>
      <c r="AL172" s="419" t="s">
        <v>400</v>
      </c>
    </row>
    <row r="173" spans="2:38" x14ac:dyDescent="0.25">
      <c r="B173" s="650">
        <v>0.27181304624780606</v>
      </c>
      <c r="C173" s="651">
        <v>5.8068593706032301</v>
      </c>
      <c r="D173" s="652">
        <v>-2.2684068415150334</v>
      </c>
      <c r="E173" s="653">
        <v>-0.87717575145823634</v>
      </c>
      <c r="F173" s="651">
        <v>0.46647350508793095</v>
      </c>
      <c r="G173" s="654">
        <v>0.113864700871949</v>
      </c>
      <c r="H173" s="653">
        <v>0.314</v>
      </c>
      <c r="I173" s="888">
        <v>0.52</v>
      </c>
      <c r="J173" s="892">
        <v>1.147</v>
      </c>
      <c r="K173" s="877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683"/>
      <c r="M173" s="880"/>
      <c r="N173" s="31" t="str">
        <f t="shared" si="1312"/>
        <v>Y</v>
      </c>
      <c r="O173" s="162">
        <f t="shared" si="1306"/>
        <v>0.27181304624780606</v>
      </c>
      <c r="P173" s="162">
        <f t="shared" si="1307"/>
        <v>5.8068593706032301</v>
      </c>
      <c r="Q173" s="162">
        <f t="shared" si="1308"/>
        <v>-2.2684068415150334</v>
      </c>
      <c r="R173" s="162">
        <f t="shared" si="1313"/>
        <v>-0.87717575145823634</v>
      </c>
      <c r="S173" s="162">
        <f t="shared" si="1309"/>
        <v>0.46647350508793095</v>
      </c>
      <c r="T173" s="162">
        <f t="shared" si="1310"/>
        <v>0.113864700871949</v>
      </c>
      <c r="U173" s="162">
        <f>IFERROR(IF(ISNUMBER(MATCH($X173,Settings!$AK$28:$AK$36,0)),INDEX(Settings!$AO$14:$AO$36,MATCH($X173,Settings!$AK$14:$AK$36,0))/2,INDEX(Settings!$AM$14:$AM$36,MATCH($X173,Settings!$AK$14:$AK$36,0))/2),"")</f>
        <v>0.3125</v>
      </c>
      <c r="V173" s="162">
        <f t="shared" si="1311"/>
        <v>0.52</v>
      </c>
      <c r="W173" s="75">
        <v>1.147</v>
      </c>
      <c r="X173" s="883">
        <f t="shared" si="1314"/>
        <v>1613</v>
      </c>
      <c r="AK173" s="82" t="str">
        <f t="shared" si="1315"/>
        <v>Y</v>
      </c>
      <c r="AL173" s="419" t="s">
        <v>400</v>
      </c>
    </row>
    <row r="174" spans="2:38" x14ac:dyDescent="0.25">
      <c r="B174" s="650">
        <v>0.28513888987639152</v>
      </c>
      <c r="C174" s="651">
        <v>5.8720988833869061</v>
      </c>
      <c r="D174" s="652">
        <v>-3.0292091360947548</v>
      </c>
      <c r="E174" s="653">
        <v>-0.84084796996678579</v>
      </c>
      <c r="F174" s="651">
        <v>0.53951427388709605</v>
      </c>
      <c r="G174" s="654">
        <v>4.3577972357774969E-2</v>
      </c>
      <c r="H174" s="653">
        <v>0.314</v>
      </c>
      <c r="I174" s="888">
        <v>0.52</v>
      </c>
      <c r="J174" s="892">
        <v>1.153</v>
      </c>
      <c r="K174" s="877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683"/>
      <c r="M174" s="880"/>
      <c r="N174" s="31" t="str">
        <f t="shared" si="1312"/>
        <v>Y</v>
      </c>
      <c r="O174" s="162">
        <f>IFERROR(INDEX(B$164:B$305,MATCH($W174,$J$164:$J$305,0)),"")</f>
        <v>0.28513888987639152</v>
      </c>
      <c r="P174" s="162">
        <f t="shared" si="1307"/>
        <v>5.8720988833869061</v>
      </c>
      <c r="Q174" s="162">
        <f t="shared" si="1308"/>
        <v>-3.0292091360947548</v>
      </c>
      <c r="R174" s="162">
        <f t="shared" si="1313"/>
        <v>-0.84084796996678579</v>
      </c>
      <c r="S174" s="162">
        <f t="shared" si="1309"/>
        <v>0.53951427388709605</v>
      </c>
      <c r="T174" s="162">
        <f t="shared" si="1310"/>
        <v>4.3577972357774969E-2</v>
      </c>
      <c r="U174" s="162">
        <f>IFERROR(IF(ISNUMBER(MATCH($X174,Settings!$AK$28:$AK$36,0)),INDEX(Settings!$AO$14:$AO$36,MATCH($X174,Settings!$AK$14:$AK$36,0))/2,INDEX(Settings!$AM$14:$AM$36,MATCH($X174,Settings!$AK$14:$AK$36,0))/2),"")</f>
        <v>0.3125</v>
      </c>
      <c r="V174" s="162">
        <f t="shared" si="1311"/>
        <v>0.52</v>
      </c>
      <c r="W174" s="75">
        <v>1.153</v>
      </c>
      <c r="X174" s="883">
        <f t="shared" si="1314"/>
        <v>1613</v>
      </c>
      <c r="AK174" s="82" t="str">
        <f t="shared" si="1315"/>
        <v>Y</v>
      </c>
      <c r="AL174" s="419" t="s">
        <v>400</v>
      </c>
    </row>
    <row r="175" spans="2:38" x14ac:dyDescent="0.25">
      <c r="B175" s="650">
        <v>1.0183977302972407</v>
      </c>
      <c r="C175" s="651">
        <v>4.5438881601593399</v>
      </c>
      <c r="D175" s="652">
        <v>-0.39989668707968129</v>
      </c>
      <c r="E175" s="653">
        <v>-0.86377583992281015</v>
      </c>
      <c r="F175" s="651">
        <v>0.38554343878279934</v>
      </c>
      <c r="G175" s="654">
        <v>0.32441879596777035</v>
      </c>
      <c r="H175" s="653">
        <v>0.26600000000000001</v>
      </c>
      <c r="I175" s="888">
        <v>0.52</v>
      </c>
      <c r="J175" s="892">
        <v>1.2290000000000001</v>
      </c>
      <c r="K175" s="877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683"/>
      <c r="M175" s="880" t="s">
        <v>9</v>
      </c>
      <c r="N175" s="31" t="str">
        <f t="shared" si="1312"/>
        <v>N</v>
      </c>
      <c r="O175" s="162">
        <f>IFERROR(INDEX(B$164:B$305,MATCH($W175,$J$164:$J$305,0)),"")</f>
        <v>2.1325422228972375</v>
      </c>
      <c r="P175" s="162">
        <f t="shared" si="1307"/>
        <v>0.99442076987586636</v>
      </c>
      <c r="Q175" s="162">
        <f t="shared" si="1308"/>
        <v>-0.13840000000000002</v>
      </c>
      <c r="R175" s="162">
        <f t="shared" si="1313"/>
        <v>-0.43680475094958188</v>
      </c>
      <c r="S175" s="162">
        <f t="shared" si="1309"/>
        <v>0.86209582759668058</v>
      </c>
      <c r="T175" s="162">
        <f t="shared" si="1310"/>
        <v>0.25688984718798874</v>
      </c>
      <c r="U175" s="162">
        <f>IFERROR(IF(ISNUMBER(MATCH($X175,Settings!$AK$28:$AK$36,0)),INDEX(Settings!$AO$14:$AO$36,MATCH($X175,Settings!$AK$14:$AK$36,0))/2,INDEX(Settings!$AM$14:$AM$36,MATCH($X175,Settings!$AK$14:$AK$36,0))/2),"")</f>
        <v>0.3125</v>
      </c>
      <c r="V175" s="162">
        <f t="shared" si="1311"/>
        <v>0.52</v>
      </c>
      <c r="W175" s="75">
        <v>2.11</v>
      </c>
      <c r="X175" s="883">
        <f t="shared" si="1314"/>
        <v>1613</v>
      </c>
      <c r="AK175" s="82" t="str">
        <f t="shared" si="1315"/>
        <v/>
      </c>
      <c r="AL175" s="419" t="s">
        <v>9</v>
      </c>
    </row>
    <row r="176" spans="2:38" x14ac:dyDescent="0.25">
      <c r="B176" s="650">
        <v>1.124330225083104</v>
      </c>
      <c r="C176" s="651">
        <v>5.1052494607503958</v>
      </c>
      <c r="D176" s="652">
        <v>-0.90432906757727416</v>
      </c>
      <c r="E176" s="653">
        <v>-0.83403154553876269</v>
      </c>
      <c r="F176" s="651">
        <v>0.47355222600473246</v>
      </c>
      <c r="G176" s="654">
        <v>0.28308950932909183</v>
      </c>
      <c r="H176" s="653">
        <v>0.26600000000000001</v>
      </c>
      <c r="I176" s="888">
        <v>0.52</v>
      </c>
      <c r="J176" s="892">
        <v>1.2350000000000001</v>
      </c>
      <c r="K176" s="877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683"/>
      <c r="M176" s="880" t="s">
        <v>9</v>
      </c>
      <c r="N176" s="31" t="str">
        <f t="shared" si="1312"/>
        <v>N</v>
      </c>
      <c r="O176" s="162">
        <f t="shared" si="1306"/>
        <v>2.7992306735211079</v>
      </c>
      <c r="P176" s="162">
        <f t="shared" si="1307"/>
        <v>1.3053027000052679</v>
      </c>
      <c r="Q176" s="162">
        <f t="shared" si="1308"/>
        <v>-2.900008746426379E-3</v>
      </c>
      <c r="R176" s="162">
        <f t="shared" si="1313"/>
        <v>-0.41231170266443079</v>
      </c>
      <c r="S176" s="162">
        <f t="shared" si="1309"/>
        <v>0.87351713437810641</v>
      </c>
      <c r="T176" s="162">
        <f t="shared" si="1310"/>
        <v>0.2587795892141021</v>
      </c>
      <c r="U176" s="162">
        <f>IFERROR(IF(ISNUMBER(MATCH($X176,Settings!$AK$28:$AK$36,0)),INDEX(Settings!$AO$14:$AO$36,MATCH($X176,Settings!$AK$14:$AK$36,0))/2,INDEX(Settings!$AM$14:$AM$36,MATCH($X176,Settings!$AK$14:$AK$36,0))/2),"")</f>
        <v>0.3125</v>
      </c>
      <c r="V176" s="162">
        <f t="shared" si="1311"/>
        <v>0.52</v>
      </c>
      <c r="W176" s="75">
        <v>2.1160000000000001</v>
      </c>
      <c r="X176" s="883">
        <f t="shared" si="1314"/>
        <v>1613</v>
      </c>
      <c r="AK176" s="82" t="str">
        <f t="shared" si="1315"/>
        <v/>
      </c>
      <c r="AL176" s="419" t="s">
        <v>9</v>
      </c>
    </row>
    <row r="177" spans="2:38" x14ac:dyDescent="0.25">
      <c r="B177" s="650">
        <v>1.2240279667402858</v>
      </c>
      <c r="C177" s="651">
        <v>5.5051322708074606</v>
      </c>
      <c r="D177" s="652">
        <v>-1.5456046798994683</v>
      </c>
      <c r="E177" s="653">
        <v>-0.7939275022097807</v>
      </c>
      <c r="F177" s="651">
        <v>0.56682668479068432</v>
      </c>
      <c r="G177" s="654">
        <v>0.21996961300175316</v>
      </c>
      <c r="H177" s="653">
        <v>0.26600000000000001</v>
      </c>
      <c r="I177" s="888">
        <v>0.52</v>
      </c>
      <c r="J177" s="892">
        <v>1.2410000000000001</v>
      </c>
      <c r="K177" s="877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683"/>
      <c r="M177" s="880" t="s">
        <v>9</v>
      </c>
      <c r="N177" s="31" t="str">
        <f t="shared" si="1312"/>
        <v>N</v>
      </c>
      <c r="O177" s="162">
        <f t="shared" si="1306"/>
        <v>3.4823360346978434</v>
      </c>
      <c r="P177" s="162">
        <f t="shared" si="1307"/>
        <v>1.6002231393082447</v>
      </c>
      <c r="Q177" s="162">
        <f t="shared" si="1308"/>
        <v>-7.6400230423094961E-2</v>
      </c>
      <c r="R177" s="162">
        <f t="shared" si="1313"/>
        <v>-0.34928035570798788</v>
      </c>
      <c r="S177" s="162">
        <f t="shared" si="1309"/>
        <v>0.89948495945127915</v>
      </c>
      <c r="T177" s="162">
        <f t="shared" si="1310"/>
        <v>0.26254531197001474</v>
      </c>
      <c r="U177" s="162">
        <f>IFERROR(IF(ISNUMBER(MATCH($X177,Settings!$AK$28:$AK$36,0)),INDEX(Settings!$AO$14:$AO$36,MATCH($X177,Settings!$AK$14:$AK$36,0))/2,INDEX(Settings!$AM$14:$AM$36,MATCH($X177,Settings!$AK$14:$AK$36,0))/2),"")</f>
        <v>0.3125</v>
      </c>
      <c r="V177" s="162">
        <f t="shared" si="1311"/>
        <v>0.52</v>
      </c>
      <c r="W177" s="75">
        <v>2.1219999999999999</v>
      </c>
      <c r="X177" s="883">
        <f t="shared" si="1314"/>
        <v>1613</v>
      </c>
      <c r="AK177" s="82" t="str">
        <f t="shared" si="1315"/>
        <v/>
      </c>
      <c r="AL177" s="419" t="s">
        <v>9</v>
      </c>
    </row>
    <row r="178" spans="2:38" x14ac:dyDescent="0.25">
      <c r="B178" s="650">
        <v>1.5431396788410932</v>
      </c>
      <c r="C178" s="651">
        <v>5.6214900105805894</v>
      </c>
      <c r="D178" s="652">
        <v>-2.2735586784903736</v>
      </c>
      <c r="E178" s="653">
        <v>0.2556947311383993</v>
      </c>
      <c r="F178" s="651">
        <v>0.93146809492455318</v>
      </c>
      <c r="G178" s="654">
        <v>0.25881922765838994</v>
      </c>
      <c r="H178" s="653">
        <v>0.25700000000000001</v>
      </c>
      <c r="I178" s="888">
        <v>0.41499999999999992</v>
      </c>
      <c r="J178" s="892">
        <v>1.2470000000000001</v>
      </c>
      <c r="K178" s="877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683"/>
      <c r="M178" s="880" t="s">
        <v>9</v>
      </c>
      <c r="N178" s="31" t="str">
        <f t="shared" si="1312"/>
        <v>N</v>
      </c>
      <c r="O178" s="162">
        <f t="shared" si="1306"/>
        <v>4.1311974113488024</v>
      </c>
      <c r="P178" s="162">
        <f t="shared" si="1307"/>
        <v>1.8419200850611128</v>
      </c>
      <c r="Q178" s="162">
        <f t="shared" si="1308"/>
        <v>-0.36180109119209103</v>
      </c>
      <c r="R178" s="162">
        <f>IFERROR(IF($L178="Y",-1*INDEX(E$164:E$305,MATCH($W178,$J$164:$J$305,0)),INDEX(E$164:E$305,MATCH($W178,$J$164:$J$305,0))),"")</f>
        <v>-0.26794145560411015</v>
      </c>
      <c r="S178" s="162">
        <f t="shared" si="1309"/>
        <v>0.92869779282659082</v>
      </c>
      <c r="T178" s="162">
        <f t="shared" si="1310"/>
        <v>0.25637430832236169</v>
      </c>
      <c r="U178" s="162">
        <f>IFERROR(IF(ISNUMBER(MATCH($X178,Settings!$AK$28:$AK$36,0)),INDEX(Settings!$AO$14:$AO$36,MATCH($X178,Settings!$AK$14:$AK$36,0))/2,INDEX(Settings!$AM$14:$AM$36,MATCH($X178,Settings!$AK$14:$AK$36,0))/2),"")</f>
        <v>0.3125</v>
      </c>
      <c r="V178" s="162">
        <f t="shared" si="1311"/>
        <v>0.52</v>
      </c>
      <c r="W178" s="75">
        <v>2.1280000000000001</v>
      </c>
      <c r="X178" s="883">
        <f t="shared" si="1314"/>
        <v>1613</v>
      </c>
      <c r="AK178" s="82" t="str">
        <f t="shared" si="1315"/>
        <v/>
      </c>
      <c r="AL178" s="419" t="s">
        <v>9</v>
      </c>
    </row>
    <row r="179" spans="2:38" x14ac:dyDescent="0.25">
      <c r="B179" s="650">
        <v>1.5844581471343409</v>
      </c>
      <c r="C179" s="651">
        <v>5.6672531920165765</v>
      </c>
      <c r="D179" s="652">
        <v>-3.0383119278406121</v>
      </c>
      <c r="E179" s="653">
        <v>0.26823140425037589</v>
      </c>
      <c r="F179" s="651">
        <v>0.95940387234989599</v>
      </c>
      <c r="G179" s="654">
        <v>8.7155742747658208E-2</v>
      </c>
      <c r="H179" s="653">
        <v>0.25700000000000001</v>
      </c>
      <c r="I179" s="888">
        <v>0.41499999999999992</v>
      </c>
      <c r="J179" s="892">
        <v>1.2529999999999999</v>
      </c>
      <c r="K179" s="877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683"/>
      <c r="M179" s="880" t="s">
        <v>9</v>
      </c>
      <c r="N179" s="31" t="str">
        <f t="shared" si="1312"/>
        <v>N</v>
      </c>
      <c r="O179" s="162">
        <f>IFERROR(INDEX(B$164:B$305,MATCH($W179,$J$164:$J$305,0)),"")</f>
        <v>4.6881614290746167</v>
      </c>
      <c r="P179" s="162">
        <f t="shared" si="1307"/>
        <v>2.0209816100273317</v>
      </c>
      <c r="Q179" s="162">
        <f t="shared" si="1308"/>
        <v>-0.83100250630355899</v>
      </c>
      <c r="R179" s="162">
        <f>IFERROR(IF($L179="Y",-1*INDEX(E$164:E$305,MATCH($W179,$J$164:$J$305,0)),INDEX(E$164:E$305,MATCH($W179,$J$164:$J$305,0))),"")</f>
        <v>-0.18104445892431562</v>
      </c>
      <c r="S179" s="162">
        <f t="shared" si="1309"/>
        <v>0.95584040496614497</v>
      </c>
      <c r="T179" s="162">
        <f t="shared" si="1310"/>
        <v>0.23149951215274281</v>
      </c>
      <c r="U179" s="162">
        <f>IFERROR(IF(ISNUMBER(MATCH($X179,Settings!$AK$28:$AK$36,0)),INDEX(Settings!$AO$14:$AO$36,MATCH($X179,Settings!$AK$14:$AK$36,0))/2,INDEX(Settings!$AM$14:$AM$36,MATCH($X179,Settings!$AK$14:$AK$36,0))/2),"")</f>
        <v>0.3125</v>
      </c>
      <c r="V179" s="162">
        <f t="shared" si="1311"/>
        <v>0.52</v>
      </c>
      <c r="W179" s="75">
        <v>2.1339999999999999</v>
      </c>
      <c r="X179" s="883">
        <f t="shared" si="1314"/>
        <v>1613</v>
      </c>
      <c r="AK179" s="82" t="str">
        <f t="shared" si="1315"/>
        <v/>
      </c>
      <c r="AL179" s="419" t="s">
        <v>9</v>
      </c>
    </row>
    <row r="180" spans="2:38" x14ac:dyDescent="0.25">
      <c r="B180" s="650">
        <v>1.6885280273337613</v>
      </c>
      <c r="C180" s="651">
        <v>5.7003750877383812</v>
      </c>
      <c r="D180" s="652">
        <v>-9.8749999999999982</v>
      </c>
      <c r="E180" s="653">
        <v>-0.55471050538713007</v>
      </c>
      <c r="F180" s="651">
        <v>0.82452257521230488</v>
      </c>
      <c r="G180" s="654">
        <v>-0.11161889704894966</v>
      </c>
      <c r="H180" s="653">
        <v>0.26600000000000001</v>
      </c>
      <c r="I180" s="888">
        <v>0.52</v>
      </c>
      <c r="J180" s="892">
        <v>1.399</v>
      </c>
      <c r="K180" s="877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683"/>
      <c r="M180" s="880" t="s">
        <v>9</v>
      </c>
      <c r="N180" s="31" t="s">
        <v>9</v>
      </c>
      <c r="O180" s="162">
        <f t="shared" si="1306"/>
        <v>5.1063436486882834</v>
      </c>
      <c r="P180" s="162">
        <f t="shared" si="1307"/>
        <v>2.1391720634075138</v>
      </c>
      <c r="Q180" s="162">
        <f t="shared" si="1308"/>
        <v>-1.4419043487835159</v>
      </c>
      <c r="R180" s="162">
        <f t="shared" si="1313"/>
        <v>-8.7989036966297854E-2</v>
      </c>
      <c r="S180" s="162">
        <f t="shared" si="1309"/>
        <v>0.97801847907961426</v>
      </c>
      <c r="T180" s="162">
        <f t="shared" si="1310"/>
        <v>0.18904439677636981</v>
      </c>
      <c r="U180" s="162">
        <f>IFERROR(IF(ISNUMBER(MATCH($X180,Settings!$AK$28:$AK$36,0)),INDEX(Settings!$AO$14:$AO$36,MATCH($X180,Settings!$AK$14:$AK$36,0))/2,INDEX(Settings!$AM$14:$AM$36,MATCH($X180,Settings!$AK$14:$AK$36,0))/2),"")</f>
        <v>0.3125</v>
      </c>
      <c r="V180" s="162">
        <f t="shared" si="1311"/>
        <v>0.52</v>
      </c>
      <c r="W180" s="75">
        <v>2.14</v>
      </c>
      <c r="X180" s="883">
        <f t="shared" si="1314"/>
        <v>1613</v>
      </c>
      <c r="AK180" s="82" t="str">
        <f t="shared" si="1315"/>
        <v/>
      </c>
      <c r="AL180" s="419" t="s">
        <v>9</v>
      </c>
    </row>
    <row r="181" spans="2:38" x14ac:dyDescent="0.25">
      <c r="B181" s="650">
        <v>2.1325422228972375</v>
      </c>
      <c r="C181" s="651">
        <v>0.99442076987586636</v>
      </c>
      <c r="D181" s="652">
        <v>-0.13840000000000002</v>
      </c>
      <c r="E181" s="653">
        <v>-0.43680475094958188</v>
      </c>
      <c r="F181" s="651">
        <v>0.86209582759668058</v>
      </c>
      <c r="G181" s="654">
        <v>0.25688984718798874</v>
      </c>
      <c r="H181" s="653">
        <v>0.314</v>
      </c>
      <c r="I181" s="888">
        <v>0.52</v>
      </c>
      <c r="J181" s="892">
        <v>2.11</v>
      </c>
      <c r="K181" s="877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683"/>
      <c r="M181" s="880"/>
      <c r="N181" s="31" t="str">
        <f t="shared" si="1312"/>
        <v>Y</v>
      </c>
      <c r="O181" s="162">
        <f t="shared" si="1306"/>
        <v>5.3542143137269758</v>
      </c>
      <c r="P181" s="162">
        <f t="shared" si="1307"/>
        <v>2.20247622371804</v>
      </c>
      <c r="Q181" s="162">
        <f t="shared" si="1308"/>
        <v>-2.145606471149117</v>
      </c>
      <c r="R181" s="162">
        <f t="shared" si="1313"/>
        <v>2.9646651500264954E-2</v>
      </c>
      <c r="S181" s="162">
        <f t="shared" si="1309"/>
        <v>0.99138776737983036</v>
      </c>
      <c r="T181" s="162">
        <f t="shared" si="1310"/>
        <v>0.12755928325471741</v>
      </c>
      <c r="U181" s="162">
        <f>IFERROR(IF(ISNUMBER(MATCH($X181,Settings!$AK$28:$AK$36,0)),INDEX(Settings!$AO$14:$AO$36,MATCH($X181,Settings!$AK$14:$AK$36,0))/2,INDEX(Settings!$AM$14:$AM$36,MATCH($X181,Settings!$AK$14:$AK$36,0))/2),"")</f>
        <v>0.3125</v>
      </c>
      <c r="V181" s="162">
        <f t="shared" si="1311"/>
        <v>0.52</v>
      </c>
      <c r="W181" s="75">
        <v>2.1459999999999999</v>
      </c>
      <c r="X181" s="883">
        <f t="shared" si="1314"/>
        <v>1613</v>
      </c>
      <c r="AK181" s="82" t="str">
        <f t="shared" si="1315"/>
        <v>Y</v>
      </c>
      <c r="AL181" s="419" t="s">
        <v>9</v>
      </c>
    </row>
    <row r="182" spans="2:38" x14ac:dyDescent="0.25">
      <c r="B182" s="650">
        <v>2.7992306735211079</v>
      </c>
      <c r="C182" s="651">
        <v>1.3053027000052679</v>
      </c>
      <c r="D182" s="652">
        <v>-2.900008746426379E-3</v>
      </c>
      <c r="E182" s="653">
        <v>-0.41231170266443079</v>
      </c>
      <c r="F182" s="651">
        <v>0.87351713437810641</v>
      </c>
      <c r="G182" s="654">
        <v>0.2587795892141021</v>
      </c>
      <c r="H182" s="653">
        <v>0.314</v>
      </c>
      <c r="I182" s="888">
        <v>0.52</v>
      </c>
      <c r="J182" s="892">
        <v>2.1160000000000001</v>
      </c>
      <c r="K182" s="877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683"/>
      <c r="M182" s="880"/>
      <c r="N182" s="31" t="str">
        <f t="shared" si="1312"/>
        <v>Y</v>
      </c>
      <c r="O182" s="162">
        <f t="shared" si="1306"/>
        <v>5.4424338462570017</v>
      </c>
      <c r="P182" s="162">
        <f t="shared" si="1307"/>
        <v>2.2232326265845179</v>
      </c>
      <c r="Q182" s="162">
        <f t="shared" si="1308"/>
        <v>-2.9042087590936174</v>
      </c>
      <c r="R182" s="162">
        <f t="shared" si="1313"/>
        <v>0.13360828018574014</v>
      </c>
      <c r="S182" s="162">
        <f t="shared" si="1309"/>
        <v>0.99007564750931731</v>
      </c>
      <c r="T182" s="162">
        <f t="shared" si="1310"/>
        <v>4.357797235777422E-2</v>
      </c>
      <c r="U182" s="162">
        <f>IFERROR(IF(ISNUMBER(MATCH($X182,Settings!$AK$28:$AK$36,0)),INDEX(Settings!$AO$14:$AO$36,MATCH($X182,Settings!$AK$14:$AK$36,0))/2,INDEX(Settings!$AM$14:$AM$36,MATCH($X182,Settings!$AK$14:$AK$36,0))/2),"")</f>
        <v>0.3125</v>
      </c>
      <c r="V182" s="162">
        <f t="shared" si="1311"/>
        <v>0.52</v>
      </c>
      <c r="W182" s="75">
        <v>2.1520000000000001</v>
      </c>
      <c r="X182" s="883">
        <f t="shared" si="1314"/>
        <v>1613</v>
      </c>
      <c r="AK182" s="82" t="str">
        <f t="shared" si="1315"/>
        <v>Y</v>
      </c>
      <c r="AL182" s="419" t="s">
        <v>400</v>
      </c>
    </row>
    <row r="183" spans="2:38" x14ac:dyDescent="0.25">
      <c r="B183" s="650">
        <v>3.4823360346978434</v>
      </c>
      <c r="C183" s="651">
        <v>1.6002231393082447</v>
      </c>
      <c r="D183" s="652">
        <v>-7.6400230423094961E-2</v>
      </c>
      <c r="E183" s="653">
        <v>-0.34928035570798788</v>
      </c>
      <c r="F183" s="651">
        <v>0.89948495945127915</v>
      </c>
      <c r="G183" s="654">
        <v>0.26254531197001474</v>
      </c>
      <c r="H183" s="653">
        <v>0.314</v>
      </c>
      <c r="I183" s="888">
        <v>0.52</v>
      </c>
      <c r="J183" s="892">
        <v>2.1219999999999999</v>
      </c>
      <c r="K183" s="877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683"/>
      <c r="M183" s="880"/>
      <c r="N183" s="31" t="str">
        <f t="shared" si="1312"/>
        <v>Y</v>
      </c>
      <c r="O183" s="162">
        <f t="shared" si="1306"/>
        <v>0.47502770316673903</v>
      </c>
      <c r="P183" s="162">
        <f t="shared" si="1307"/>
        <v>-0.33261797861579523</v>
      </c>
      <c r="Q183" s="162">
        <f t="shared" si="1308"/>
        <v>-0.74820225657800576</v>
      </c>
      <c r="R183" s="162">
        <f t="shared" si="1313"/>
        <v>0.4664731387290782</v>
      </c>
      <c r="S183" s="162">
        <f t="shared" si="1309"/>
        <v>0.82052488563465986</v>
      </c>
      <c r="T183" s="162">
        <f t="shared" si="1310"/>
        <v>0.33036604380364326</v>
      </c>
      <c r="U183" s="162">
        <f>IFERROR(IF(ISNUMBER(MATCH($X183,Settings!$AK$28:$AK$36,0)),INDEX(Settings!$AO$14:$AO$36,MATCH($X183,Settings!$AK$14:$AK$36,0))/2,INDEX(Settings!$AM$14:$AM$36,MATCH($X183,Settings!$AK$14:$AK$36,0))/2),"")</f>
        <v>0.3125</v>
      </c>
      <c r="V183" s="162">
        <f t="shared" si="1311"/>
        <v>0.52</v>
      </c>
      <c r="W183" s="75">
        <v>3.1019999999999999</v>
      </c>
      <c r="X183" s="883">
        <f t="shared" si="1314"/>
        <v>1613</v>
      </c>
      <c r="AK183" s="82" t="str">
        <f t="shared" si="1315"/>
        <v>Y</v>
      </c>
      <c r="AL183" s="419" t="s">
        <v>400</v>
      </c>
    </row>
    <row r="184" spans="2:38" x14ac:dyDescent="0.25">
      <c r="B184" s="650">
        <v>4.1311974113488024</v>
      </c>
      <c r="C184" s="651">
        <v>1.8419200850611128</v>
      </c>
      <c r="D184" s="652">
        <v>-0.36180109119209103</v>
      </c>
      <c r="E184" s="653">
        <v>-0.26794145560411015</v>
      </c>
      <c r="F184" s="651">
        <v>0.92869779282659082</v>
      </c>
      <c r="G184" s="654">
        <v>0.25637430832236169</v>
      </c>
      <c r="H184" s="653">
        <v>0.314</v>
      </c>
      <c r="I184" s="888">
        <v>0.52</v>
      </c>
      <c r="J184" s="892">
        <v>2.1280000000000001</v>
      </c>
      <c r="K184" s="877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683"/>
      <c r="M184" s="880"/>
      <c r="N184" s="31" t="str">
        <f t="shared" si="1312"/>
        <v>Y</v>
      </c>
      <c r="O184" s="162">
        <f t="shared" si="1306"/>
        <v>1.057364647780008</v>
      </c>
      <c r="P184" s="162">
        <f t="shared" si="1307"/>
        <v>-0.74037469701201686</v>
      </c>
      <c r="Q184" s="162">
        <f t="shared" si="1308"/>
        <v>-0.50890153484702916</v>
      </c>
      <c r="R184" s="162">
        <f t="shared" si="1313"/>
        <v>0.50995250049304508</v>
      </c>
      <c r="S184" s="162">
        <f t="shared" si="1309"/>
        <v>0.82210513033099375</v>
      </c>
      <c r="T184" s="162">
        <f t="shared" si="1310"/>
        <v>0.25316319227792727</v>
      </c>
      <c r="U184" s="162">
        <f>IFERROR(IF(ISNUMBER(MATCH($X184,Settings!$AK$28:$AK$36,0)),INDEX(Settings!$AO$14:$AO$36,MATCH($X184,Settings!$AK$14:$AK$36,0))/2,INDEX(Settings!$AM$14:$AM$36,MATCH($X184,Settings!$AK$14:$AK$36,0))/2),"")</f>
        <v>0.3125</v>
      </c>
      <c r="V184" s="162">
        <f t="shared" si="1311"/>
        <v>0.52</v>
      </c>
      <c r="W184" s="75">
        <v>3.105</v>
      </c>
      <c r="X184" s="883">
        <f t="shared" si="1314"/>
        <v>1613</v>
      </c>
      <c r="AK184" s="82" t="str">
        <f t="shared" si="1315"/>
        <v>Y</v>
      </c>
      <c r="AL184" s="419" t="s">
        <v>400</v>
      </c>
    </row>
    <row r="185" spans="2:38" x14ac:dyDescent="0.25">
      <c r="B185" s="650">
        <v>4.6881614290746167</v>
      </c>
      <c r="C185" s="651">
        <v>2.0209816100273317</v>
      </c>
      <c r="D185" s="652">
        <v>-0.83100250630355899</v>
      </c>
      <c r="E185" s="653">
        <v>-0.18104445892431562</v>
      </c>
      <c r="F185" s="651">
        <v>0.95584040496614497</v>
      </c>
      <c r="G185" s="654">
        <v>0.23149951215274281</v>
      </c>
      <c r="H185" s="653">
        <v>0.314</v>
      </c>
      <c r="I185" s="888">
        <v>0.52</v>
      </c>
      <c r="J185" s="892">
        <v>2.1339999999999999</v>
      </c>
      <c r="K185" s="877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683"/>
      <c r="M185" s="880"/>
      <c r="N185" s="31" t="str">
        <f t="shared" si="1312"/>
        <v>Y</v>
      </c>
      <c r="O185" s="162">
        <f t="shared" si="1306"/>
        <v>1.6374079597516722</v>
      </c>
      <c r="P185" s="162">
        <f t="shared" si="1307"/>
        <v>-1.1465253965427025</v>
      </c>
      <c r="Q185" s="162">
        <f t="shared" si="1308"/>
        <v>-0.26210079049598417</v>
      </c>
      <c r="R185" s="162">
        <f t="shared" si="1313"/>
        <v>0.52086629626126324</v>
      </c>
      <c r="S185" s="162">
        <f t="shared" si="1309"/>
        <v>0.81446320826360619</v>
      </c>
      <c r="T185" s="162">
        <f t="shared" si="1310"/>
        <v>0.25563251711006529</v>
      </c>
      <c r="U185" s="162">
        <f>IFERROR(IF(ISNUMBER(MATCH($X185,Settings!$AK$28:$AK$36,0)),INDEX(Settings!$AO$14:$AO$36,MATCH($X185,Settings!$AK$14:$AK$36,0))/2,INDEX(Settings!$AM$14:$AM$36,MATCH($X185,Settings!$AK$14:$AK$36,0))/2),"")</f>
        <v>0.3125</v>
      </c>
      <c r="V185" s="162">
        <f t="shared" si="1311"/>
        <v>0.52</v>
      </c>
      <c r="W185" s="75">
        <v>3.1080000000000001</v>
      </c>
      <c r="X185" s="883">
        <f t="shared" si="1314"/>
        <v>1613</v>
      </c>
      <c r="AK185" s="82" t="str">
        <f t="shared" si="1315"/>
        <v>Y</v>
      </c>
      <c r="AL185" s="419" t="s">
        <v>400</v>
      </c>
    </row>
    <row r="186" spans="2:38" x14ac:dyDescent="0.25">
      <c r="B186" s="650">
        <v>5.1063436486882834</v>
      </c>
      <c r="C186" s="651">
        <v>2.1391720634075138</v>
      </c>
      <c r="D186" s="652">
        <v>-1.4419043487835159</v>
      </c>
      <c r="E186" s="653">
        <v>-8.7989036966297854E-2</v>
      </c>
      <c r="F186" s="651">
        <v>0.97801847907961426</v>
      </c>
      <c r="G186" s="654">
        <v>0.18904439677636981</v>
      </c>
      <c r="H186" s="653">
        <v>0.314</v>
      </c>
      <c r="I186" s="888">
        <v>0.52</v>
      </c>
      <c r="J186" s="892">
        <v>2.14</v>
      </c>
      <c r="K186" s="877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683"/>
      <c r="M186" s="880"/>
      <c r="N186" s="31" t="str">
        <f t="shared" si="1312"/>
        <v>Y</v>
      </c>
      <c r="O186" s="162">
        <f t="shared" si="1306"/>
        <v>2.2250694087115246</v>
      </c>
      <c r="P186" s="162">
        <f t="shared" si="1307"/>
        <v>-1.5580103730196322</v>
      </c>
      <c r="Q186" s="162">
        <f t="shared" si="1308"/>
        <v>-4.5600137530014795E-2</v>
      </c>
      <c r="R186" s="162">
        <f t="shared" si="1313"/>
        <v>0.53924308308411939</v>
      </c>
      <c r="S186" s="162">
        <f t="shared" si="1309"/>
        <v>0.80159564360216939</v>
      </c>
      <c r="T186" s="162">
        <f t="shared" si="1310"/>
        <v>0.25818853867659863</v>
      </c>
      <c r="U186" s="162">
        <f>IFERROR(IF(ISNUMBER(MATCH($X186,Settings!$AK$28:$AK$36,0)),INDEX(Settings!$AO$14:$AO$36,MATCH($X186,Settings!$AK$14:$AK$36,0))/2,INDEX(Settings!$AM$14:$AM$36,MATCH($X186,Settings!$AK$14:$AK$36,0))/2),"")</f>
        <v>0.3125</v>
      </c>
      <c r="V186" s="162">
        <f t="shared" si="1311"/>
        <v>0.52</v>
      </c>
      <c r="W186" s="75">
        <v>3.113</v>
      </c>
      <c r="X186" s="883">
        <f t="shared" si="1314"/>
        <v>1613</v>
      </c>
      <c r="AK186" s="82" t="str">
        <f t="shared" si="1315"/>
        <v>Y</v>
      </c>
      <c r="AL186" s="419" t="s">
        <v>400</v>
      </c>
    </row>
    <row r="187" spans="2:38" x14ac:dyDescent="0.25">
      <c r="B187" s="650">
        <v>5.3542143137269758</v>
      </c>
      <c r="C187" s="651">
        <v>2.20247622371804</v>
      </c>
      <c r="D187" s="652">
        <v>-2.145606471149117</v>
      </c>
      <c r="E187" s="653">
        <v>2.9646651500264954E-2</v>
      </c>
      <c r="F187" s="651">
        <v>0.99138776737983036</v>
      </c>
      <c r="G187" s="654">
        <v>0.12755928325471741</v>
      </c>
      <c r="H187" s="653">
        <v>0.314</v>
      </c>
      <c r="I187" s="888">
        <v>0.52</v>
      </c>
      <c r="J187" s="892">
        <v>2.1459999999999999</v>
      </c>
      <c r="K187" s="877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683"/>
      <c r="M187" s="880"/>
      <c r="N187" s="31" t="str">
        <f t="shared" si="1312"/>
        <v>Y</v>
      </c>
      <c r="O187" s="162">
        <f t="shared" si="1306"/>
        <v>2.8337721629073664</v>
      </c>
      <c r="P187" s="162">
        <f t="shared" si="1307"/>
        <v>-1.9908696379683377</v>
      </c>
      <c r="Q187" s="162">
        <f t="shared" si="1308"/>
        <v>-1.2200036795310976E-2</v>
      </c>
      <c r="R187" s="162">
        <f t="shared" si="1313"/>
        <v>0.57344981741872236</v>
      </c>
      <c r="S187" s="162">
        <f t="shared" si="1309"/>
        <v>0.77648846879063005</v>
      </c>
      <c r="T187" s="162">
        <f t="shared" si="1310"/>
        <v>0.26119143312447451</v>
      </c>
      <c r="U187" s="162">
        <f>IFERROR(IF(ISNUMBER(MATCH($X187,Settings!$AK$28:$AK$36,0)),INDEX(Settings!$AO$14:$AO$36,MATCH($X187,Settings!$AK$14:$AK$36,0))/2,INDEX(Settings!$AM$14:$AM$36,MATCH($X187,Settings!$AK$14:$AK$36,0))/2),"")</f>
        <v>0.3125</v>
      </c>
      <c r="V187" s="162">
        <f t="shared" si="1311"/>
        <v>0.52</v>
      </c>
      <c r="W187" s="75">
        <v>3.1190000000000002</v>
      </c>
      <c r="X187" s="883">
        <f t="shared" si="1314"/>
        <v>1613</v>
      </c>
      <c r="AK187" s="82" t="str">
        <f t="shared" si="1315"/>
        <v>Y</v>
      </c>
      <c r="AL187" s="419" t="s">
        <v>400</v>
      </c>
    </row>
    <row r="188" spans="2:38" x14ac:dyDescent="0.25">
      <c r="B188" s="650">
        <v>5.4424338462570017</v>
      </c>
      <c r="C188" s="651">
        <v>2.2232326265845179</v>
      </c>
      <c r="D188" s="652">
        <v>-2.9042087590936174</v>
      </c>
      <c r="E188" s="653">
        <v>0.13360828018574014</v>
      </c>
      <c r="F188" s="651">
        <v>0.99007564750931731</v>
      </c>
      <c r="G188" s="654">
        <v>4.357797235777422E-2</v>
      </c>
      <c r="H188" s="653">
        <v>0.314</v>
      </c>
      <c r="I188" s="888">
        <v>0.52</v>
      </c>
      <c r="J188" s="892">
        <v>2.1520000000000001</v>
      </c>
      <c r="K188" s="877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683"/>
      <c r="M188" s="880"/>
      <c r="N188" s="31" t="str">
        <f t="shared" si="1312"/>
        <v>Y</v>
      </c>
      <c r="O188" s="162">
        <f t="shared" si="1306"/>
        <v>3.4045876329139113</v>
      </c>
      <c r="P188" s="162">
        <f t="shared" si="1307"/>
        <v>-2.4392433453258366</v>
      </c>
      <c r="Q188" s="162">
        <f t="shared" si="1308"/>
        <v>-0.19390058480416383</v>
      </c>
      <c r="R188" s="162">
        <f t="shared" si="1313"/>
        <v>0.63666530940087673</v>
      </c>
      <c r="S188" s="162">
        <f t="shared" si="1309"/>
        <v>0.72577536079422666</v>
      </c>
      <c r="T188" s="162">
        <f t="shared" si="1310"/>
        <v>0.26059050149515434</v>
      </c>
      <c r="U188" s="162">
        <f>IFERROR(IF(ISNUMBER(MATCH($X188,Settings!$AK$28:$AK$36,0)),INDEX(Settings!$AO$14:$AO$36,MATCH($X188,Settings!$AK$14:$AK$36,0))/2,INDEX(Settings!$AM$14:$AM$36,MATCH($X188,Settings!$AK$14:$AK$36,0))/2),"")</f>
        <v>0.3125</v>
      </c>
      <c r="V188" s="162">
        <f t="shared" si="1311"/>
        <v>0.52</v>
      </c>
      <c r="W188" s="75">
        <v>3.125</v>
      </c>
      <c r="X188" s="883">
        <f t="shared" si="1314"/>
        <v>1613</v>
      </c>
      <c r="AK188" s="82" t="str">
        <f t="shared" si="1315"/>
        <v>Y</v>
      </c>
      <c r="AL188" s="419" t="s">
        <v>400</v>
      </c>
    </row>
    <row r="189" spans="2:38" x14ac:dyDescent="0.25">
      <c r="B189" s="650">
        <v>4.4457468071183994</v>
      </c>
      <c r="C189" s="651">
        <v>0.96230280380738376</v>
      </c>
      <c r="D189" s="652">
        <v>-0.33253809143433827</v>
      </c>
      <c r="E189" s="653">
        <v>-2.8828965384297685E-2</v>
      </c>
      <c r="F189" s="651">
        <v>0.94374771411731506</v>
      </c>
      <c r="G189" s="654">
        <v>0.32940725986719482</v>
      </c>
      <c r="H189" s="653">
        <v>0.26600000000000001</v>
      </c>
      <c r="I189" s="888">
        <v>0.52</v>
      </c>
      <c r="J189" s="892">
        <v>2.2280000000000002</v>
      </c>
      <c r="K189" s="877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683"/>
      <c r="M189" s="880" t="s">
        <v>9</v>
      </c>
      <c r="N189" s="31" t="str">
        <f t="shared" si="1312"/>
        <v>N</v>
      </c>
      <c r="O189" s="162">
        <f t="shared" si="1306"/>
        <v>3.8917115587408078</v>
      </c>
      <c r="P189" s="162">
        <f t="shared" si="1307"/>
        <v>-2.8618847626898156</v>
      </c>
      <c r="Q189" s="162">
        <f t="shared" si="1308"/>
        <v>-0.57580173661803769</v>
      </c>
      <c r="R189" s="162">
        <f t="shared" si="1313"/>
        <v>0.70396656964695659</v>
      </c>
      <c r="S189" s="162">
        <f t="shared" si="1309"/>
        <v>0.66614989186895235</v>
      </c>
      <c r="T189" s="162">
        <f t="shared" si="1310"/>
        <v>0.24632375115380101</v>
      </c>
      <c r="U189" s="162">
        <f>IFERROR(IF(ISNUMBER(MATCH($X189,Settings!$AK$28:$AK$36,0)),INDEX(Settings!$AO$14:$AO$36,MATCH($X189,Settings!$AK$14:$AK$36,0))/2,INDEX(Settings!$AM$14:$AM$36,MATCH($X189,Settings!$AK$14:$AK$36,0))/2),"")</f>
        <v>0.3125</v>
      </c>
      <c r="V189" s="162">
        <f t="shared" si="1311"/>
        <v>0.52</v>
      </c>
      <c r="W189" s="75">
        <v>3.1309999999999998</v>
      </c>
      <c r="X189" s="883">
        <f t="shared" si="1314"/>
        <v>1613</v>
      </c>
      <c r="AK189" s="82" t="str">
        <f t="shared" si="1315"/>
        <v/>
      </c>
      <c r="AL189" s="419" t="s">
        <v>400</v>
      </c>
    </row>
    <row r="190" spans="2:38" x14ac:dyDescent="0.25">
      <c r="B190" s="650">
        <v>5.020548798796634</v>
      </c>
      <c r="C190" s="651">
        <v>1.113942419844095</v>
      </c>
      <c r="D190" s="652">
        <v>-0.80945733783586238</v>
      </c>
      <c r="E190" s="653">
        <v>6.1938534778826375E-2</v>
      </c>
      <c r="F190" s="651">
        <v>0.95452473619329481</v>
      </c>
      <c r="G190" s="654">
        <v>0.29162672357754382</v>
      </c>
      <c r="H190" s="653">
        <v>0.26600000000000001</v>
      </c>
      <c r="I190" s="888">
        <v>0.52</v>
      </c>
      <c r="J190" s="892">
        <v>2.234</v>
      </c>
      <c r="K190" s="877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1313</v>
      </c>
      <c r="L190" s="683"/>
      <c r="M190" s="880" t="s">
        <v>9</v>
      </c>
      <c r="N190" s="31" t="str">
        <f t="shared" si="1312"/>
        <v>N</v>
      </c>
      <c r="O190" s="162">
        <f t="shared" si="1306"/>
        <v>4.2660043229391542</v>
      </c>
      <c r="P190" s="162">
        <f t="shared" si="1307"/>
        <v>-3.2146648015979111</v>
      </c>
      <c r="Q190" s="162">
        <f t="shared" si="1308"/>
        <v>-1.1217033830574032</v>
      </c>
      <c r="R190" s="162">
        <f t="shared" si="1313"/>
        <v>0.76953726710793535</v>
      </c>
      <c r="S190" s="162">
        <f t="shared" si="1309"/>
        <v>0.60259942507347497</v>
      </c>
      <c r="T190" s="162">
        <f t="shared" si="1310"/>
        <v>0.21139140813469137</v>
      </c>
      <c r="U190" s="162">
        <f>IFERROR(IF(ISNUMBER(MATCH($X190,Settings!$AK$28:$AK$36,0)),INDEX(Settings!$AO$14:$AO$36,MATCH($X190,Settings!$AK$14:$AK$36,0))/2,INDEX(Settings!$AM$14:$AM$36,MATCH($X190,Settings!$AK$14:$AK$36,0))/2),"")</f>
        <v>0.3125</v>
      </c>
      <c r="V190" s="162">
        <f t="shared" si="1311"/>
        <v>0.52</v>
      </c>
      <c r="W190" s="75">
        <v>3.137</v>
      </c>
      <c r="X190" s="883">
        <f t="shared" si="1314"/>
        <v>1613</v>
      </c>
      <c r="AK190" s="82" t="str">
        <f t="shared" si="1315"/>
        <v/>
      </c>
      <c r="AL190" s="419" t="s">
        <v>9</v>
      </c>
    </row>
    <row r="191" spans="2:38" x14ac:dyDescent="0.25">
      <c r="B191" s="650">
        <v>5.4520827381211667</v>
      </c>
      <c r="C191" s="651">
        <v>1.2029212071939199</v>
      </c>
      <c r="D191" s="652">
        <v>-1.431430483764853</v>
      </c>
      <c r="E191" s="653">
        <v>0.16155582777088251</v>
      </c>
      <c r="F191" s="651">
        <v>0.95916717489524106</v>
      </c>
      <c r="G191" s="654">
        <v>0.23215952514757451</v>
      </c>
      <c r="H191" s="653">
        <v>0.26600000000000001</v>
      </c>
      <c r="I191" s="888">
        <v>0.52</v>
      </c>
      <c r="J191" s="892">
        <v>2.2400000000000002</v>
      </c>
      <c r="K191" s="877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1313</v>
      </c>
      <c r="L191" s="683"/>
      <c r="M191" s="880" t="s">
        <v>9</v>
      </c>
      <c r="N191" s="31" t="str">
        <f t="shared" si="1312"/>
        <v>N</v>
      </c>
      <c r="O191" s="162">
        <f t="shared" si="1306"/>
        <v>4.5118628228722111</v>
      </c>
      <c r="P191" s="162">
        <f t="shared" si="1307"/>
        <v>-3.4608231097818862</v>
      </c>
      <c r="Q191" s="162">
        <f t="shared" si="1308"/>
        <v>-1.7854053847826401</v>
      </c>
      <c r="R191" s="162">
        <f t="shared" si="1313"/>
        <v>0.83748901257473329</v>
      </c>
      <c r="S191" s="162">
        <f t="shared" si="1309"/>
        <v>0.52197305572426267</v>
      </c>
      <c r="T191" s="162">
        <f t="shared" si="1310"/>
        <v>0.16172904165447216</v>
      </c>
      <c r="U191" s="162">
        <f>IFERROR(IF(ISNUMBER(MATCH($X191,Settings!$AK$28:$AK$36,0)),INDEX(Settings!$AO$14:$AO$36,MATCH($X191,Settings!$AK$14:$AK$36,0))/2,INDEX(Settings!$AM$14:$AM$36,MATCH($X191,Settings!$AK$14:$AK$36,0))/2),"")</f>
        <v>0.3125</v>
      </c>
      <c r="V191" s="162">
        <f t="shared" si="1311"/>
        <v>0.52</v>
      </c>
      <c r="W191" s="75">
        <v>3.1429999999999998</v>
      </c>
      <c r="X191" s="883">
        <f t="shared" si="1314"/>
        <v>1613</v>
      </c>
      <c r="AK191" s="82" t="str">
        <f t="shared" si="1315"/>
        <v/>
      </c>
      <c r="AL191" s="419" t="s">
        <v>9</v>
      </c>
    </row>
    <row r="192" spans="2:38" x14ac:dyDescent="0.25">
      <c r="B192" s="650">
        <v>5.7261006935597383</v>
      </c>
      <c r="C192" s="651">
        <v>0.97260989664454889</v>
      </c>
      <c r="D192" s="652">
        <v>-2.1492427046611007</v>
      </c>
      <c r="E192" s="653">
        <v>0.94024981157590115</v>
      </c>
      <c r="F192" s="651">
        <v>0.15970663475852878</v>
      </c>
      <c r="G192" s="654">
        <v>0.30070597374443442</v>
      </c>
      <c r="H192" s="653">
        <v>0.25700000000000001</v>
      </c>
      <c r="I192" s="888">
        <v>0.41499999999999992</v>
      </c>
      <c r="J192" s="892">
        <v>2.246</v>
      </c>
      <c r="K192" s="877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683"/>
      <c r="M192" s="880" t="s">
        <v>9</v>
      </c>
      <c r="N192" s="31" t="str">
        <f t="shared" si="1312"/>
        <v>N</v>
      </c>
      <c r="O192" s="162">
        <f t="shared" si="1306"/>
        <v>4.6230720387095259</v>
      </c>
      <c r="P192" s="162">
        <f t="shared" si="1307"/>
        <v>-3.5756945084804932</v>
      </c>
      <c r="Q192" s="162">
        <f t="shared" si="1308"/>
        <v>-2.5163075891836892</v>
      </c>
      <c r="R192" s="162">
        <f t="shared" si="1313"/>
        <v>0.90729786536106705</v>
      </c>
      <c r="S192" s="162">
        <f t="shared" si="1309"/>
        <v>0.41240407805847851</v>
      </c>
      <c r="T192" s="162">
        <f t="shared" si="1310"/>
        <v>8.2057662116267915E-2</v>
      </c>
      <c r="U192" s="162">
        <f>IFERROR(IF(ISNUMBER(MATCH($X192,Settings!$AK$28:$AK$36,0)),INDEX(Settings!$AO$14:$AO$36,MATCH($X192,Settings!$AK$14:$AK$36,0))/2,INDEX(Settings!$AM$14:$AM$36,MATCH($X192,Settings!$AK$14:$AK$36,0))/2),"")</f>
        <v>0.3125</v>
      </c>
      <c r="V192" s="162">
        <f t="shared" si="1311"/>
        <v>0.52</v>
      </c>
      <c r="W192" s="75">
        <v>3.149</v>
      </c>
      <c r="X192" s="883">
        <f t="shared" si="1314"/>
        <v>1613</v>
      </c>
      <c r="AK192" s="82" t="str">
        <f t="shared" si="1315"/>
        <v/>
      </c>
      <c r="AL192" s="419" t="s">
        <v>9</v>
      </c>
    </row>
    <row r="193" spans="2:38" x14ac:dyDescent="0.25">
      <c r="B193" s="650">
        <v>5.8058966469757394</v>
      </c>
      <c r="C193" s="651">
        <v>0.95907793587296253</v>
      </c>
      <c r="D193" s="652">
        <v>-2.913311927840613</v>
      </c>
      <c r="E193" s="653">
        <v>0.98287469023238738</v>
      </c>
      <c r="F193" s="651">
        <v>0.16236138643991907</v>
      </c>
      <c r="G193" s="654">
        <v>8.7155742747657847E-2</v>
      </c>
      <c r="H193" s="653">
        <v>0.25700000000000001</v>
      </c>
      <c r="I193" s="888">
        <v>0.41499999999999992</v>
      </c>
      <c r="J193" s="892">
        <v>2.2519999999999998</v>
      </c>
      <c r="K193" s="877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683"/>
      <c r="M193" s="880" t="s">
        <v>9</v>
      </c>
      <c r="N193" s="31" t="str">
        <f t="shared" si="1312"/>
        <v>N</v>
      </c>
      <c r="O193" s="162">
        <f t="shared" si="1306"/>
        <v>4.6465928562730943</v>
      </c>
      <c r="P193" s="162">
        <f t="shared" si="1307"/>
        <v>-3.6016696559825601</v>
      </c>
      <c r="Q193" s="162">
        <f t="shared" si="1308"/>
        <v>-3.2792098900970283</v>
      </c>
      <c r="R193" s="162">
        <f t="shared" si="1313"/>
        <v>0.92423480250426637</v>
      </c>
      <c r="S193" s="162">
        <f t="shared" si="1309"/>
        <v>0.37932965895785797</v>
      </c>
      <c r="T193" s="162">
        <f t="shared" si="1310"/>
        <v>4.357797235777406E-2</v>
      </c>
      <c r="U193" s="162">
        <f>IFERROR(IF(ISNUMBER(MATCH($X193,Settings!$AK$28:$AK$36,0)),INDEX(Settings!$AO$14:$AO$36,MATCH($X193,Settings!$AK$14:$AK$36,0))/2,INDEX(Settings!$AM$14:$AM$36,MATCH($X193,Settings!$AK$14:$AK$36,0))/2),"")</f>
        <v>0.3125</v>
      </c>
      <c r="V193" s="162">
        <f t="shared" si="1311"/>
        <v>0.52</v>
      </c>
      <c r="W193" s="75">
        <v>3.1549999999999998</v>
      </c>
      <c r="X193" s="883">
        <f t="shared" si="1314"/>
        <v>1613</v>
      </c>
      <c r="AK193" s="82" t="str">
        <f t="shared" si="1315"/>
        <v/>
      </c>
      <c r="AL193" s="419" t="s">
        <v>9</v>
      </c>
    </row>
    <row r="194" spans="2:38" x14ac:dyDescent="0.25">
      <c r="B194" s="650">
        <v>0.47502770316673903</v>
      </c>
      <c r="C194" s="651">
        <v>-0.33261797861579523</v>
      </c>
      <c r="D194" s="652">
        <v>-0.74820225657800576</v>
      </c>
      <c r="E194" s="653">
        <v>0.4664731387290782</v>
      </c>
      <c r="F194" s="651">
        <v>0.82052488563465986</v>
      </c>
      <c r="G194" s="654">
        <v>0.33036604380364326</v>
      </c>
      <c r="H194" s="653">
        <v>0.314</v>
      </c>
      <c r="I194" s="888">
        <v>0.52</v>
      </c>
      <c r="J194" s="892">
        <v>3.1019999999999999</v>
      </c>
      <c r="K194" s="877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683"/>
      <c r="M194" s="880"/>
      <c r="N194" s="31" t="str">
        <f t="shared" si="1312"/>
        <v>Y</v>
      </c>
      <c r="O194" s="162">
        <f t="shared" si="1306"/>
        <v>-0.33855883738036974</v>
      </c>
      <c r="P194" s="162">
        <f t="shared" si="1307"/>
        <v>-2.5716096814313891</v>
      </c>
      <c r="Q194" s="162">
        <f t="shared" si="1308"/>
        <v>-7.0999999999999994E-2</v>
      </c>
      <c r="R194" s="162">
        <f t="shared" si="1313"/>
        <v>0.96060655015305019</v>
      </c>
      <c r="S194" s="162">
        <f t="shared" si="1309"/>
        <v>-0.10371403706453673</v>
      </c>
      <c r="T194" s="162">
        <f t="shared" si="1310"/>
        <v>0.25783416049629954</v>
      </c>
      <c r="U194" s="162">
        <f>IFERROR(IF(ISNUMBER(MATCH($X194,Settings!$AK$28:$AK$36,0)),INDEX(Settings!$AO$14:$AO$36,MATCH($X194,Settings!$AK$14:$AK$36,0))/2,INDEX(Settings!$AM$14:$AM$36,MATCH($X194,Settings!$AK$14:$AK$36,0))/2),"")</f>
        <v>0.3125</v>
      </c>
      <c r="V194" s="162">
        <f t="shared" si="1311"/>
        <v>0.52</v>
      </c>
      <c r="W194" s="75">
        <v>4.1120000000000001</v>
      </c>
      <c r="X194" s="883">
        <f t="shared" si="1314"/>
        <v>1613</v>
      </c>
      <c r="AK194" s="82" t="str">
        <f t="shared" si="1315"/>
        <v>Y</v>
      </c>
      <c r="AL194" s="419" t="s">
        <v>9</v>
      </c>
    </row>
    <row r="195" spans="2:38" x14ac:dyDescent="0.25">
      <c r="B195" s="650">
        <v>1.057364647780008</v>
      </c>
      <c r="C195" s="651">
        <v>-0.74037469701201686</v>
      </c>
      <c r="D195" s="652">
        <v>-0.50890153484702916</v>
      </c>
      <c r="E195" s="653">
        <v>0.50995250049304508</v>
      </c>
      <c r="F195" s="651">
        <v>0.82210513033099375</v>
      </c>
      <c r="G195" s="654">
        <v>0.25316319227792727</v>
      </c>
      <c r="H195" s="653">
        <v>0.314</v>
      </c>
      <c r="I195" s="888">
        <v>0.52</v>
      </c>
      <c r="J195" s="892">
        <v>3.105</v>
      </c>
      <c r="K195" s="877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683"/>
      <c r="M195" s="880"/>
      <c r="N195" s="31" t="str">
        <f t="shared" si="1312"/>
        <v>Y</v>
      </c>
      <c r="O195" s="162">
        <f t="shared" si="1306"/>
        <v>-0.43865131538092078</v>
      </c>
      <c r="P195" s="162">
        <f t="shared" si="1307"/>
        <v>-3.3095671173086774</v>
      </c>
      <c r="Q195" s="162">
        <f t="shared" si="1308"/>
        <v>-3.0000090480272893E-3</v>
      </c>
      <c r="R195" s="162">
        <f t="shared" si="1313"/>
        <v>0.95560954576038415</v>
      </c>
      <c r="S195" s="162">
        <f t="shared" si="1309"/>
        <v>-0.13811927792335815</v>
      </c>
      <c r="T195" s="162">
        <f t="shared" si="1310"/>
        <v>0.26025652944270683</v>
      </c>
      <c r="U195" s="162">
        <f>IFERROR(IF(ISNUMBER(MATCH($X195,Settings!$AK$28:$AK$36,0)),INDEX(Settings!$AO$14:$AO$36,MATCH($X195,Settings!$AK$14:$AK$36,0))/2,INDEX(Settings!$AM$14:$AM$36,MATCH($X195,Settings!$AK$14:$AK$36,0))/2),"")</f>
        <v>0.3125</v>
      </c>
      <c r="V195" s="162">
        <f t="shared" si="1311"/>
        <v>0.52</v>
      </c>
      <c r="W195" s="75">
        <v>4.1180000000000003</v>
      </c>
      <c r="X195" s="883">
        <f t="shared" si="1314"/>
        <v>1613</v>
      </c>
      <c r="AK195" s="82" t="str">
        <f t="shared" si="1315"/>
        <v>Y</v>
      </c>
      <c r="AL195" s="419" t="s">
        <v>400</v>
      </c>
    </row>
    <row r="196" spans="2:38" x14ac:dyDescent="0.25">
      <c r="B196" s="650">
        <v>1.6374079597516722</v>
      </c>
      <c r="C196" s="651">
        <v>-1.1465253965427025</v>
      </c>
      <c r="D196" s="652">
        <v>-0.26210079049598417</v>
      </c>
      <c r="E196" s="653">
        <v>0.52086629626126324</v>
      </c>
      <c r="F196" s="651">
        <v>0.81446320826360619</v>
      </c>
      <c r="G196" s="654">
        <v>0.25563251711006529</v>
      </c>
      <c r="H196" s="653">
        <v>0.314</v>
      </c>
      <c r="I196" s="888">
        <v>0.52</v>
      </c>
      <c r="J196" s="892">
        <v>3.1080000000000001</v>
      </c>
      <c r="K196" s="877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683"/>
      <c r="M196" s="880"/>
      <c r="N196" s="31" t="str">
        <f t="shared" si="1312"/>
        <v>Y</v>
      </c>
      <c r="O196" s="162">
        <f t="shared" ref="O196:O227" si="1316">IFERROR(INDEX(B$164:B$305,MATCH($W196,$J$164:$J$305,0)),"")</f>
        <v>-0.56734867305638159</v>
      </c>
      <c r="P196" s="162">
        <f t="shared" ref="P196:P227" si="1317">IFERROR(INDEX(C$164:C$305,MATCH($W196,$J$164:$J$305,0)),"")</f>
        <v>-4.0317896431702183</v>
      </c>
      <c r="Q196" s="162">
        <f t="shared" ref="Q196:Q227" si="1318">IFERROR(INDEX(D$164:D$305,MATCH($W196,$J$164:$J$305,0)),"")</f>
        <v>-0.14900044938535537</v>
      </c>
      <c r="R196" s="162">
        <f t="shared" si="1313"/>
        <v>0.94087887325714337</v>
      </c>
      <c r="S196" s="162">
        <f t="shared" si="1309"/>
        <v>-0.21559211386423405</v>
      </c>
      <c r="T196" s="162">
        <f t="shared" si="1310"/>
        <v>0.26127951756293416</v>
      </c>
      <c r="U196" s="162">
        <f>IFERROR(IF(ISNUMBER(MATCH($X196,Settings!$AK$28:$AK$36,0)),INDEX(Settings!$AO$14:$AO$36,MATCH($X196,Settings!$AK$14:$AK$36,0))/2,INDEX(Settings!$AM$14:$AM$36,MATCH($X196,Settings!$AK$14:$AK$36,0))/2),"")</f>
        <v>0.3125</v>
      </c>
      <c r="V196" s="162">
        <f t="shared" ref="V196:V227" si="1319">IFERROR(INDEX(I$164:I$305,MATCH($W196,$J$164:$J$305,0)),"")</f>
        <v>0.52</v>
      </c>
      <c r="W196" s="75">
        <v>4.1239999999999997</v>
      </c>
      <c r="X196" s="883">
        <f t="shared" si="1314"/>
        <v>1613</v>
      </c>
      <c r="AK196" s="82" t="str">
        <f t="shared" si="1315"/>
        <v>Y</v>
      </c>
      <c r="AL196" s="419" t="s">
        <v>400</v>
      </c>
    </row>
    <row r="197" spans="2:38" x14ac:dyDescent="0.25">
      <c r="B197" s="650">
        <v>2.2250694087115246</v>
      </c>
      <c r="C197" s="651">
        <v>-1.5580103730196322</v>
      </c>
      <c r="D197" s="652">
        <v>-4.5600137530014795E-2</v>
      </c>
      <c r="E197" s="653">
        <v>0.53924308308411939</v>
      </c>
      <c r="F197" s="651">
        <v>0.80159564360216939</v>
      </c>
      <c r="G197" s="654">
        <v>0.25818853867659863</v>
      </c>
      <c r="H197" s="653">
        <v>0.314</v>
      </c>
      <c r="I197" s="888">
        <v>0.52</v>
      </c>
      <c r="J197" s="892">
        <v>3.113</v>
      </c>
      <c r="K197" s="877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683"/>
      <c r="M197" s="880"/>
      <c r="N197" s="31" t="str">
        <f t="shared" si="1312"/>
        <v>Y</v>
      </c>
      <c r="O197" s="162">
        <f t="shared" si="1316"/>
        <v>-0.71652415096333488</v>
      </c>
      <c r="P197" s="162">
        <f t="shared" si="1317"/>
        <v>-4.677046797536434</v>
      </c>
      <c r="Q197" s="162">
        <f t="shared" si="1318"/>
        <v>-0.49970150709974542</v>
      </c>
      <c r="R197" s="162">
        <f t="shared" si="1313"/>
        <v>0.91955408471086775</v>
      </c>
      <c r="S197" s="162">
        <f t="shared" si="1309"/>
        <v>-0.30251931896345707</v>
      </c>
      <c r="T197" s="162">
        <f t="shared" si="1310"/>
        <v>0.2508034029781982</v>
      </c>
      <c r="U197" s="162">
        <f>IFERROR(IF(ISNUMBER(MATCH($X197,Settings!$AK$28:$AK$36,0)),INDEX(Settings!$AO$14:$AO$36,MATCH($X197,Settings!$AK$14:$AK$36,0))/2,INDEX(Settings!$AM$14:$AM$36,MATCH($X197,Settings!$AK$14:$AK$36,0))/2),"")</f>
        <v>0.3125</v>
      </c>
      <c r="V197" s="162">
        <f t="shared" si="1319"/>
        <v>0.52</v>
      </c>
      <c r="W197" s="75">
        <v>4.13</v>
      </c>
      <c r="X197" s="883">
        <f t="shared" si="1314"/>
        <v>1613</v>
      </c>
      <c r="AK197" s="82" t="str">
        <f t="shared" si="1315"/>
        <v>Y</v>
      </c>
      <c r="AL197" s="419" t="s">
        <v>400</v>
      </c>
    </row>
    <row r="198" spans="2:38" x14ac:dyDescent="0.25">
      <c r="B198" s="650">
        <v>2.8337721629073664</v>
      </c>
      <c r="C198" s="651">
        <v>-1.9908696379683377</v>
      </c>
      <c r="D198" s="652">
        <v>-1.2200036795310976E-2</v>
      </c>
      <c r="E198" s="653">
        <v>0.57344981741872236</v>
      </c>
      <c r="F198" s="651">
        <v>0.77648846879063005</v>
      </c>
      <c r="G198" s="654">
        <v>0.26119143312447451</v>
      </c>
      <c r="H198" s="653">
        <v>0.314</v>
      </c>
      <c r="I198" s="888">
        <v>0.52</v>
      </c>
      <c r="J198" s="892">
        <v>3.1190000000000002</v>
      </c>
      <c r="K198" s="877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683"/>
      <c r="M198" s="880"/>
      <c r="N198" s="31" t="str">
        <f t="shared" si="1312"/>
        <v>Y</v>
      </c>
      <c r="O198" s="162">
        <f t="shared" si="1316"/>
        <v>-0.86028941066753417</v>
      </c>
      <c r="P198" s="162">
        <f t="shared" si="1317"/>
        <v>-5.1965872238584172</v>
      </c>
      <c r="Q198" s="162">
        <f t="shared" si="1318"/>
        <v>-1.02130308025009</v>
      </c>
      <c r="R198" s="162">
        <f t="shared" si="1313"/>
        <v>0.89437649265582309</v>
      </c>
      <c r="S198" s="162">
        <f t="shared" si="1309"/>
        <v>-0.39013041695101824</v>
      </c>
      <c r="T198" s="162">
        <f t="shared" si="1310"/>
        <v>0.21883543395504557</v>
      </c>
      <c r="U198" s="162">
        <f>IFERROR(IF(ISNUMBER(MATCH($X198,Settings!$AK$28:$AK$36,0)),INDEX(Settings!$AO$14:$AO$36,MATCH($X198,Settings!$AK$14:$AK$36,0))/2,INDEX(Settings!$AM$14:$AM$36,MATCH($X198,Settings!$AK$14:$AK$36,0))/2),"")</f>
        <v>0.3125</v>
      </c>
      <c r="V198" s="162">
        <f t="shared" si="1319"/>
        <v>0.52</v>
      </c>
      <c r="W198" s="75">
        <v>4.1360000000000001</v>
      </c>
      <c r="X198" s="883">
        <f t="shared" si="1314"/>
        <v>1613</v>
      </c>
      <c r="AK198" s="82" t="str">
        <f t="shared" si="1315"/>
        <v>Y</v>
      </c>
      <c r="AL198" s="419" t="s">
        <v>400</v>
      </c>
    </row>
    <row r="199" spans="2:38" x14ac:dyDescent="0.25">
      <c r="B199" s="650">
        <v>3.4045876329139113</v>
      </c>
      <c r="C199" s="651">
        <v>-2.4392433453258366</v>
      </c>
      <c r="D199" s="652">
        <v>-0.19390058480416383</v>
      </c>
      <c r="E199" s="653">
        <v>0.63666530940087673</v>
      </c>
      <c r="F199" s="651">
        <v>0.72577536079422666</v>
      </c>
      <c r="G199" s="654">
        <v>0.26059050149515434</v>
      </c>
      <c r="H199" s="653">
        <v>0.314</v>
      </c>
      <c r="I199" s="888">
        <v>0.52</v>
      </c>
      <c r="J199" s="892">
        <v>3.125</v>
      </c>
      <c r="K199" s="877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683"/>
      <c r="M199" s="880"/>
      <c r="N199" s="31" t="str">
        <f t="shared" si="1312"/>
        <v>Y</v>
      </c>
      <c r="O199" s="162">
        <f t="shared" si="1316"/>
        <v>-0.97186356151239295</v>
      </c>
      <c r="P199" s="162">
        <f t="shared" si="1317"/>
        <v>-5.5570736138231327</v>
      </c>
      <c r="Q199" s="162">
        <f t="shared" si="1318"/>
        <v>-1.6687050328143791</v>
      </c>
      <c r="R199" s="162">
        <f t="shared" si="1313"/>
        <v>0.85785633561949537</v>
      </c>
      <c r="S199" s="162">
        <f t="shared" si="1309"/>
        <v>-0.48443533445850329</v>
      </c>
      <c r="T199" s="162">
        <f t="shared" si="1310"/>
        <v>0.17147861139387038</v>
      </c>
      <c r="U199" s="162">
        <f>IFERROR(IF(ISNUMBER(MATCH($X199,Settings!$AK$28:$AK$36,0)),INDEX(Settings!$AO$14:$AO$36,MATCH($X199,Settings!$AK$14:$AK$36,0))/2,INDEX(Settings!$AM$14:$AM$36,MATCH($X199,Settings!$AK$14:$AK$36,0))/2),"")</f>
        <v>0.3125</v>
      </c>
      <c r="V199" s="162">
        <f t="shared" si="1319"/>
        <v>0.52</v>
      </c>
      <c r="W199" s="75">
        <v>4.1420000000000003</v>
      </c>
      <c r="X199" s="883">
        <f t="shared" si="1314"/>
        <v>1613</v>
      </c>
      <c r="AK199" s="82" t="str">
        <f t="shared" si="1315"/>
        <v>Y</v>
      </c>
      <c r="AL199" s="419" t="s">
        <v>400</v>
      </c>
    </row>
    <row r="200" spans="2:38" x14ac:dyDescent="0.25">
      <c r="B200" s="650">
        <v>3.8917115587408078</v>
      </c>
      <c r="C200" s="651">
        <v>-2.8618847626898156</v>
      </c>
      <c r="D200" s="652">
        <v>-0.57580173661803769</v>
      </c>
      <c r="E200" s="653">
        <v>0.70396656964695659</v>
      </c>
      <c r="F200" s="651">
        <v>0.66614989186895235</v>
      </c>
      <c r="G200" s="654">
        <v>0.24632375115380101</v>
      </c>
      <c r="H200" s="653">
        <v>0.314</v>
      </c>
      <c r="I200" s="888">
        <v>0.52</v>
      </c>
      <c r="J200" s="892">
        <v>3.1309999999999998</v>
      </c>
      <c r="K200" s="877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683"/>
      <c r="M200" s="880"/>
      <c r="N200" s="31" t="str">
        <f t="shared" si="1312"/>
        <v>Y</v>
      </c>
      <c r="O200" s="162">
        <f t="shared" si="1316"/>
        <v>-1.0336921547340627</v>
      </c>
      <c r="P200" s="162">
        <f t="shared" si="1317"/>
        <v>-5.7392720987737214</v>
      </c>
      <c r="Q200" s="162">
        <f t="shared" si="1318"/>
        <v>-2.3920072142937583</v>
      </c>
      <c r="R200" s="162">
        <f t="shared" si="1313"/>
        <v>0.79728180958991157</v>
      </c>
      <c r="S200" s="162">
        <f t="shared" si="1309"/>
        <v>-0.59549991023333138</v>
      </c>
      <c r="T200" s="162">
        <f t="shared" si="1310"/>
        <v>9.8598037552125803E-2</v>
      </c>
      <c r="U200" s="162">
        <f>IFERROR(IF(ISNUMBER(MATCH($X200,Settings!$AK$28:$AK$36,0)),INDEX(Settings!$AO$14:$AO$36,MATCH($X200,Settings!$AK$14:$AK$36,0))/2,INDEX(Settings!$AM$14:$AM$36,MATCH($X200,Settings!$AK$14:$AK$36,0))/2),"")</f>
        <v>0.3125</v>
      </c>
      <c r="V200" s="162">
        <f t="shared" si="1319"/>
        <v>0.52</v>
      </c>
      <c r="W200" s="75">
        <v>4.1479999999999997</v>
      </c>
      <c r="X200" s="883">
        <f t="shared" si="1314"/>
        <v>1613</v>
      </c>
      <c r="AK200" s="82" t="str">
        <f t="shared" si="1315"/>
        <v>Y</v>
      </c>
      <c r="AL200" s="419" t="s">
        <v>400</v>
      </c>
    </row>
    <row r="201" spans="2:38" x14ac:dyDescent="0.25">
      <c r="B201" s="650">
        <v>4.2660043229391542</v>
      </c>
      <c r="C201" s="651">
        <v>-3.2146648015979111</v>
      </c>
      <c r="D201" s="652">
        <v>-1.1217033830574032</v>
      </c>
      <c r="E201" s="653">
        <v>0.76953726710793535</v>
      </c>
      <c r="F201" s="651">
        <v>0.60259942507347497</v>
      </c>
      <c r="G201" s="654">
        <v>0.21139140813469137</v>
      </c>
      <c r="H201" s="653">
        <v>0.314</v>
      </c>
      <c r="I201" s="888">
        <v>0.52</v>
      </c>
      <c r="J201" s="892">
        <v>3.137</v>
      </c>
      <c r="K201" s="877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683"/>
      <c r="M201" s="880"/>
      <c r="N201" s="31" t="str">
        <f t="shared" si="1312"/>
        <v>Y</v>
      </c>
      <c r="O201" s="162">
        <f t="shared" si="1316"/>
        <v>-1.0491621947338907</v>
      </c>
      <c r="P201" s="162">
        <f t="shared" si="1317"/>
        <v>-5.7846441698634203</v>
      </c>
      <c r="Q201" s="162">
        <f t="shared" si="1318"/>
        <v>-3.1542095130958918</v>
      </c>
      <c r="R201" s="162">
        <f t="shared" si="1313"/>
        <v>0.76323365520132114</v>
      </c>
      <c r="S201" s="162">
        <f t="shared" si="1309"/>
        <v>-0.64465133823890886</v>
      </c>
      <c r="T201" s="162">
        <f t="shared" si="1310"/>
        <v>4.3577972357774629E-2</v>
      </c>
      <c r="U201" s="162">
        <f>IFERROR(IF(ISNUMBER(MATCH($X201,Settings!$AK$28:$AK$36,0)),INDEX(Settings!$AO$14:$AO$36,MATCH($X201,Settings!$AK$14:$AK$36,0))/2,INDEX(Settings!$AM$14:$AM$36,MATCH($X201,Settings!$AK$14:$AK$36,0))/2),"")</f>
        <v>0.3125</v>
      </c>
      <c r="V201" s="162">
        <f t="shared" si="1319"/>
        <v>0.52</v>
      </c>
      <c r="W201" s="75">
        <v>4.1539999999999999</v>
      </c>
      <c r="X201" s="883">
        <f t="shared" si="1314"/>
        <v>1613</v>
      </c>
      <c r="AK201" s="82" t="str">
        <f t="shared" si="1315"/>
        <v>Y</v>
      </c>
      <c r="AL201" s="419" t="s">
        <v>400</v>
      </c>
    </row>
    <row r="202" spans="2:38" x14ac:dyDescent="0.25">
      <c r="B202" s="650">
        <v>4.5118628228722111</v>
      </c>
      <c r="C202" s="651">
        <v>-3.4608231097818862</v>
      </c>
      <c r="D202" s="652">
        <v>-1.7854053847826401</v>
      </c>
      <c r="E202" s="653">
        <v>0.83748901257473329</v>
      </c>
      <c r="F202" s="651">
        <v>0.52197305572426267</v>
      </c>
      <c r="G202" s="654">
        <v>0.16172904165447216</v>
      </c>
      <c r="H202" s="653">
        <v>0.314</v>
      </c>
      <c r="I202" s="888">
        <v>0.52</v>
      </c>
      <c r="J202" s="892">
        <v>3.1429999999999998</v>
      </c>
      <c r="K202" s="877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683"/>
      <c r="M202" s="880"/>
      <c r="N202" s="31" t="str">
        <f t="shared" si="1312"/>
        <v>Y</v>
      </c>
      <c r="O202" s="162">
        <f t="shared" si="1316"/>
        <v>-0.74099948153560136</v>
      </c>
      <c r="P202" s="162">
        <f t="shared" si="1317"/>
        <v>-0.34553373292893436</v>
      </c>
      <c r="Q202" s="162">
        <f t="shared" si="1318"/>
        <v>-0.66990202042449376</v>
      </c>
      <c r="R202" s="162">
        <f t="shared" si="1313"/>
        <v>0.46898965621450944</v>
      </c>
      <c r="S202" s="162">
        <f t="shared" si="1309"/>
        <v>-0.83361677073922924</v>
      </c>
      <c r="T202" s="162">
        <f t="shared" si="1310"/>
        <v>0.29177351131673307</v>
      </c>
      <c r="U202" s="162">
        <f>IFERROR(IF(ISNUMBER(MATCH($X202,Settings!$AK$28:$AK$36,0)),INDEX(Settings!$AO$14:$AO$36,MATCH($X202,Settings!$AK$14:$AK$36,0))/2,INDEX(Settings!$AM$14:$AM$36,MATCH($X202,Settings!$AK$14:$AK$36,0))/2),"")</f>
        <v>0.3125</v>
      </c>
      <c r="V202" s="162">
        <f t="shared" si="1319"/>
        <v>0.52</v>
      </c>
      <c r="W202" s="75">
        <v>5.1029999999999998</v>
      </c>
      <c r="X202" s="883">
        <f t="shared" si="1314"/>
        <v>1613</v>
      </c>
      <c r="AK202" s="82" t="str">
        <f t="shared" si="1315"/>
        <v>Y</v>
      </c>
      <c r="AL202" s="419" t="s">
        <v>400</v>
      </c>
    </row>
    <row r="203" spans="2:38" x14ac:dyDescent="0.25">
      <c r="B203" s="650">
        <v>4.6230720387095259</v>
      </c>
      <c r="C203" s="651">
        <v>-3.5756945084804932</v>
      </c>
      <c r="D203" s="652">
        <v>-2.5163075891836892</v>
      </c>
      <c r="E203" s="653">
        <v>0.90729786536106705</v>
      </c>
      <c r="F203" s="651">
        <v>0.41240407805847851</v>
      </c>
      <c r="G203" s="654">
        <v>8.2057662116267915E-2</v>
      </c>
      <c r="H203" s="653">
        <v>0.314</v>
      </c>
      <c r="I203" s="888">
        <v>0.52</v>
      </c>
      <c r="J203" s="892">
        <v>3.149</v>
      </c>
      <c r="K203" s="877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683"/>
      <c r="M203" s="880"/>
      <c r="N203" s="31" t="str">
        <f t="shared" si="1312"/>
        <v>Y</v>
      </c>
      <c r="O203" s="162">
        <f t="shared" si="1316"/>
        <v>-1.3837549026523435</v>
      </c>
      <c r="P203" s="162">
        <f t="shared" si="1317"/>
        <v>-0.64525550811631216</v>
      </c>
      <c r="Q203" s="162">
        <f t="shared" si="1318"/>
        <v>-0.42670128693108145</v>
      </c>
      <c r="R203" s="162">
        <f t="shared" si="1313"/>
        <v>0.45297590335492149</v>
      </c>
      <c r="S203" s="162">
        <f t="shared" si="1309"/>
        <v>-0.85455510618337871</v>
      </c>
      <c r="T203" s="162">
        <f t="shared" si="1310"/>
        <v>0.25406377442623962</v>
      </c>
      <c r="U203" s="162">
        <f>IFERROR(IF(ISNUMBER(MATCH($X203,Settings!$AK$28:$AK$36,0)),INDEX(Settings!$AO$14:$AO$36,MATCH($X203,Settings!$AK$14:$AK$36,0))/2,INDEX(Settings!$AM$14:$AM$36,MATCH($X203,Settings!$AK$14:$AK$36,0))/2),"")</f>
        <v>0.3125</v>
      </c>
      <c r="V203" s="162">
        <f t="shared" si="1319"/>
        <v>0.52</v>
      </c>
      <c r="W203" s="75">
        <v>5.1059999999999999</v>
      </c>
      <c r="X203" s="883">
        <f t="shared" si="1314"/>
        <v>1613</v>
      </c>
      <c r="AK203" s="82" t="str">
        <f t="shared" si="1315"/>
        <v>Y</v>
      </c>
      <c r="AL203" s="419" t="s">
        <v>400</v>
      </c>
    </row>
    <row r="204" spans="2:38" x14ac:dyDescent="0.25">
      <c r="B204" s="650">
        <v>4.6465928562730943</v>
      </c>
      <c r="C204" s="651">
        <v>-3.6016696559825601</v>
      </c>
      <c r="D204" s="652">
        <v>-3.2792098900970283</v>
      </c>
      <c r="E204" s="653">
        <v>0.92423480250426637</v>
      </c>
      <c r="F204" s="651">
        <v>0.37932965895785797</v>
      </c>
      <c r="G204" s="654">
        <v>4.357797235777406E-2</v>
      </c>
      <c r="H204" s="653">
        <v>0.314</v>
      </c>
      <c r="I204" s="888">
        <v>0.52</v>
      </c>
      <c r="J204" s="892">
        <v>3.1549999999999998</v>
      </c>
      <c r="K204" s="877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683"/>
      <c r="M204" s="880"/>
      <c r="N204" s="31" t="str">
        <f t="shared" si="1312"/>
        <v>Y</v>
      </c>
      <c r="O204" s="162">
        <f t="shared" si="1316"/>
        <v>-2.0256040132486164</v>
      </c>
      <c r="P204" s="162">
        <f t="shared" si="1317"/>
        <v>-0.94455466376732899</v>
      </c>
      <c r="Q204" s="162">
        <f t="shared" si="1318"/>
        <v>-0.17990054258003643</v>
      </c>
      <c r="R204" s="162">
        <f t="shared" si="1313"/>
        <v>0.44086368797438608</v>
      </c>
      <c r="S204" s="162">
        <f t="shared" si="1309"/>
        <v>-0.86020312497254525</v>
      </c>
      <c r="T204" s="162">
        <f t="shared" si="1310"/>
        <v>0.25630019979136009</v>
      </c>
      <c r="U204" s="162">
        <f>IFERROR(IF(ISNUMBER(MATCH($X204,Settings!$AK$28:$AK$36,0)),INDEX(Settings!$AO$14:$AO$36,MATCH($X204,Settings!$AK$14:$AK$36,0))/2,INDEX(Settings!$AM$14:$AM$36,MATCH($X204,Settings!$AK$14:$AK$36,0))/2),"")</f>
        <v>0.3125</v>
      </c>
      <c r="V204" s="162">
        <f t="shared" si="1319"/>
        <v>0.52</v>
      </c>
      <c r="W204" s="75">
        <v>5.109</v>
      </c>
      <c r="X204" s="883">
        <f t="shared" si="1314"/>
        <v>1613</v>
      </c>
      <c r="AK204" s="82" t="str">
        <f t="shared" si="1315"/>
        <v>Y</v>
      </c>
      <c r="AL204" s="419" t="s">
        <v>400</v>
      </c>
    </row>
    <row r="205" spans="2:38" x14ac:dyDescent="0.25">
      <c r="B205" s="650">
        <v>2.8172532245425006</v>
      </c>
      <c r="C205" s="651">
        <v>-3.1244872811995945</v>
      </c>
      <c r="D205" s="652">
        <v>-0.16212352044907802</v>
      </c>
      <c r="E205" s="653">
        <v>0.77533493093193251</v>
      </c>
      <c r="F205" s="651">
        <v>0.53330862554051905</v>
      </c>
      <c r="G205" s="654">
        <v>0.33828635030231119</v>
      </c>
      <c r="H205" s="653">
        <v>0.26600000000000001</v>
      </c>
      <c r="I205" s="888">
        <v>0.52</v>
      </c>
      <c r="J205" s="892">
        <v>3.2250000000000001</v>
      </c>
      <c r="K205" s="877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683"/>
      <c r="M205" s="880" t="s">
        <v>9</v>
      </c>
      <c r="N205" s="31" t="str">
        <f t="shared" si="1312"/>
        <v>N</v>
      </c>
      <c r="O205" s="162">
        <f t="shared" si="1316"/>
        <v>-2.686213751618602</v>
      </c>
      <c r="P205" s="162">
        <f t="shared" si="1317"/>
        <v>-1.252602043821023</v>
      </c>
      <c r="Q205" s="162">
        <f t="shared" si="1318"/>
        <v>-1.1500034684104607E-2</v>
      </c>
      <c r="R205" s="162">
        <f t="shared" si="1313"/>
        <v>0.41640426050533763</v>
      </c>
      <c r="S205" s="162">
        <f t="shared" si="1309"/>
        <v>-0.87160874331544913</v>
      </c>
      <c r="T205" s="162">
        <f t="shared" si="1310"/>
        <v>0.25866134308989119</v>
      </c>
      <c r="U205" s="162">
        <f>IFERROR(IF(ISNUMBER(MATCH($X205,Settings!$AK$28:$AK$36,0)),INDEX(Settings!$AO$14:$AO$36,MATCH($X205,Settings!$AK$14:$AK$36,0))/2,INDEX(Settings!$AM$14:$AM$36,MATCH($X205,Settings!$AK$14:$AK$36,0))/2),"")</f>
        <v>0.3125</v>
      </c>
      <c r="V205" s="162">
        <f t="shared" si="1319"/>
        <v>0.52</v>
      </c>
      <c r="W205" s="75">
        <v>5.1150000000000002</v>
      </c>
      <c r="X205" s="883">
        <f t="shared" si="1314"/>
        <v>1613</v>
      </c>
      <c r="AK205" s="82" t="str">
        <f t="shared" si="1315"/>
        <v/>
      </c>
      <c r="AL205" s="419" t="s">
        <v>400</v>
      </c>
    </row>
    <row r="206" spans="2:38" x14ac:dyDescent="0.25">
      <c r="B206" s="650">
        <v>3.2922334209736888</v>
      </c>
      <c r="C206" s="651">
        <v>-3.578331609956797</v>
      </c>
      <c r="D206" s="652">
        <v>-0.54960262577132357</v>
      </c>
      <c r="E206" s="653">
        <v>0.82851244364382071</v>
      </c>
      <c r="F206" s="651">
        <v>0.46400430560435474</v>
      </c>
      <c r="G206" s="654">
        <v>0.31347589238722251</v>
      </c>
      <c r="H206" s="653">
        <v>0.26600000000000001</v>
      </c>
      <c r="I206" s="888">
        <v>0.52</v>
      </c>
      <c r="J206" s="892">
        <v>3.2309999999999999</v>
      </c>
      <c r="K206" s="877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683"/>
      <c r="M206" s="880" t="s">
        <v>9</v>
      </c>
      <c r="N206" s="31" t="str">
        <f t="shared" si="1312"/>
        <v>N</v>
      </c>
      <c r="O206" s="162">
        <f t="shared" si="1316"/>
        <v>-3.3690421498373446</v>
      </c>
      <c r="P206" s="162">
        <f t="shared" si="1317"/>
        <v>-1.5545758894149206</v>
      </c>
      <c r="Q206" s="162">
        <f t="shared" si="1318"/>
        <v>-4.9000147784445724E-2</v>
      </c>
      <c r="R206" s="162">
        <f t="shared" si="1313"/>
        <v>0.36206277132236603</v>
      </c>
      <c r="S206" s="162">
        <f t="shared" si="1309"/>
        <v>-0.89471613179638565</v>
      </c>
      <c r="T206" s="162">
        <f t="shared" si="1310"/>
        <v>0.26152168767748629</v>
      </c>
      <c r="U206" s="162">
        <f>IFERROR(IF(ISNUMBER(MATCH($X206,Settings!$AK$28:$AK$36,0)),INDEX(Settings!$AO$14:$AO$36,MATCH($X206,Settings!$AK$14:$AK$36,0))/2,INDEX(Settings!$AM$14:$AM$36,MATCH($X206,Settings!$AK$14:$AK$36,0))/2),"")</f>
        <v>0.3125</v>
      </c>
      <c r="V206" s="162">
        <f t="shared" si="1319"/>
        <v>0.52</v>
      </c>
      <c r="W206" s="75">
        <v>5.1210000000000004</v>
      </c>
      <c r="X206" s="883">
        <f t="shared" si="1314"/>
        <v>1613</v>
      </c>
      <c r="AK206" s="82" t="str">
        <f t="shared" si="1315"/>
        <v/>
      </c>
      <c r="AL206" s="419" t="s">
        <v>9</v>
      </c>
    </row>
    <row r="207" spans="2:38" x14ac:dyDescent="0.25">
      <c r="B207" s="650">
        <v>3.6494860000028999</v>
      </c>
      <c r="C207" s="651">
        <v>-3.9585508364590485</v>
      </c>
      <c r="D207" s="652">
        <v>-1.1050286653629722</v>
      </c>
      <c r="E207" s="653">
        <v>0.88346328617757997</v>
      </c>
      <c r="F207" s="651">
        <v>0.3873807214026419</v>
      </c>
      <c r="G207" s="654">
        <v>0.26349345088992315</v>
      </c>
      <c r="H207" s="653">
        <v>0.26600000000000001</v>
      </c>
      <c r="I207" s="888">
        <v>0.52</v>
      </c>
      <c r="J207" s="892">
        <v>3.2370000000000001</v>
      </c>
      <c r="K207" s="877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683"/>
      <c r="M207" s="880" t="s">
        <v>9</v>
      </c>
      <c r="N207" s="31" t="str">
        <f t="shared" si="1312"/>
        <v>N</v>
      </c>
      <c r="O207" s="162">
        <f t="shared" si="1316"/>
        <v>-4.0278702988579989</v>
      </c>
      <c r="P207" s="162">
        <f t="shared" si="1317"/>
        <v>-1.8059734302044208</v>
      </c>
      <c r="Q207" s="162">
        <f t="shared" si="1318"/>
        <v>-0.30050090631073345</v>
      </c>
      <c r="R207" s="162">
        <f t="shared" si="1313"/>
        <v>0.28275424687306594</v>
      </c>
      <c r="S207" s="162">
        <f t="shared" si="1309"/>
        <v>-0.92400895697448393</v>
      </c>
      <c r="T207" s="162">
        <f t="shared" si="1310"/>
        <v>0.25740528997316997</v>
      </c>
      <c r="U207" s="162">
        <f>IFERROR(IF(ISNUMBER(MATCH($X207,Settings!$AK$28:$AK$36,0)),INDEX(Settings!$AO$14:$AO$36,MATCH($X207,Settings!$AK$14:$AK$36,0))/2,INDEX(Settings!$AM$14:$AM$36,MATCH($X207,Settings!$AK$14:$AK$36,0))/2),"")</f>
        <v>0.3125</v>
      </c>
      <c r="V207" s="162">
        <f t="shared" si="1319"/>
        <v>0.52</v>
      </c>
      <c r="W207" s="75">
        <v>5.1269999999999998</v>
      </c>
      <c r="X207" s="883">
        <f t="shared" si="1314"/>
        <v>1613</v>
      </c>
      <c r="AK207" s="82" t="str">
        <f t="shared" si="1315"/>
        <v/>
      </c>
      <c r="AL207" s="419" t="s">
        <v>9</v>
      </c>
    </row>
    <row r="208" spans="2:38" x14ac:dyDescent="0.25">
      <c r="B208" s="650">
        <v>3.8754553463633421</v>
      </c>
      <c r="C208" s="651">
        <v>-4.2298584812123829</v>
      </c>
      <c r="D208" s="652">
        <v>-1.7811655393350256</v>
      </c>
      <c r="E208" s="653">
        <v>0.93671676229190115</v>
      </c>
      <c r="F208" s="651">
        <v>0.29065571646377986</v>
      </c>
      <c r="G208" s="654">
        <v>0.19514343885538346</v>
      </c>
      <c r="H208" s="653">
        <v>0.26600000000000001</v>
      </c>
      <c r="I208" s="888">
        <v>0.52</v>
      </c>
      <c r="J208" s="892">
        <v>3.2429999999999999</v>
      </c>
      <c r="K208" s="877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1313</v>
      </c>
      <c r="L208" s="683"/>
      <c r="M208" s="880" t="s">
        <v>9</v>
      </c>
      <c r="N208" s="31" t="str">
        <f t="shared" si="1312"/>
        <v>N</v>
      </c>
      <c r="O208" s="162">
        <f t="shared" si="1316"/>
        <v>-4.6036389247304133</v>
      </c>
      <c r="P208" s="162">
        <f t="shared" si="1317"/>
        <v>-1.9959894315721809</v>
      </c>
      <c r="Q208" s="162">
        <f t="shared" si="1318"/>
        <v>-0.74170223697394688</v>
      </c>
      <c r="R208" s="162">
        <f t="shared" si="1313"/>
        <v>0.1960788185322172</v>
      </c>
      <c r="S208" s="162">
        <f t="shared" si="1309"/>
        <v>-0.95158624882883425</v>
      </c>
      <c r="T208" s="162">
        <f t="shared" si="1310"/>
        <v>0.23672073834558244</v>
      </c>
      <c r="U208" s="162">
        <f>IFERROR(IF(ISNUMBER(MATCH($X208,Settings!$AK$28:$AK$36,0)),INDEX(Settings!$AO$14:$AO$36,MATCH($X208,Settings!$AK$14:$AK$36,0))/2,INDEX(Settings!$AM$14:$AM$36,MATCH($X208,Settings!$AK$14:$AK$36,0))/2),"")</f>
        <v>0.3125</v>
      </c>
      <c r="V208" s="162">
        <f t="shared" si="1319"/>
        <v>0.52</v>
      </c>
      <c r="W208" s="75">
        <v>5.133</v>
      </c>
      <c r="X208" s="883">
        <f t="shared" si="1314"/>
        <v>1613</v>
      </c>
      <c r="AK208" s="82" t="str">
        <f t="shared" si="1315"/>
        <v/>
      </c>
      <c r="AL208" s="419" t="s">
        <v>9</v>
      </c>
    </row>
    <row r="209" spans="2:38" x14ac:dyDescent="0.25">
      <c r="B209" s="650">
        <v>3.7386366923826539</v>
      </c>
      <c r="C209" s="651">
        <v>-4.5064093578278106</v>
      </c>
      <c r="D209" s="652">
        <v>-2.523897457045492</v>
      </c>
      <c r="E209" s="653">
        <v>0.62879895267662289</v>
      </c>
      <c r="F209" s="651">
        <v>-0.75793015414086073</v>
      </c>
      <c r="G209" s="654">
        <v>0.17364837619970236</v>
      </c>
      <c r="H209" s="653">
        <v>0.25700000000000001</v>
      </c>
      <c r="I209" s="888">
        <v>0.41499999999999992</v>
      </c>
      <c r="J209" s="892">
        <v>3.2490000000000001</v>
      </c>
      <c r="K209" s="877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683"/>
      <c r="M209" s="880" t="s">
        <v>9</v>
      </c>
      <c r="N209" s="31" t="str">
        <f t="shared" si="1312"/>
        <v>N</v>
      </c>
      <c r="O209" s="162">
        <f t="shared" si="1316"/>
        <v>-5.0480439280111007</v>
      </c>
      <c r="P209" s="162">
        <f t="shared" si="1317"/>
        <v>-2.1230391165813143</v>
      </c>
      <c r="Q209" s="162">
        <f t="shared" si="1318"/>
        <v>-1.332304018228919</v>
      </c>
      <c r="R209" s="162">
        <f t="shared" si="1313"/>
        <v>8.9853983920771111E-2</v>
      </c>
      <c r="S209" s="162">
        <f t="shared" si="1309"/>
        <v>-0.97431510190423998</v>
      </c>
      <c r="T209" s="162">
        <f t="shared" si="1310"/>
        <v>0.20648569871760186</v>
      </c>
      <c r="U209" s="162">
        <f>IFERROR(IF(ISNUMBER(MATCH($X209,Settings!$AK$28:$AK$36,0)),INDEX(Settings!$AO$14:$AO$36,MATCH($X209,Settings!$AK$14:$AK$36,0))/2,INDEX(Settings!$AM$14:$AM$36,MATCH($X209,Settings!$AK$14:$AK$36,0))/2),"")</f>
        <v>0.3125</v>
      </c>
      <c r="V209" s="162">
        <f t="shared" si="1319"/>
        <v>0.52</v>
      </c>
      <c r="W209" s="75">
        <v>5.1390000000000002</v>
      </c>
      <c r="X209" s="883">
        <f t="shared" si="1314"/>
        <v>1613</v>
      </c>
      <c r="AK209" s="82" t="str">
        <f t="shared" si="1315"/>
        <v/>
      </c>
      <c r="AL209" s="419" t="s">
        <v>9</v>
      </c>
    </row>
    <row r="210" spans="2:38" x14ac:dyDescent="0.25">
      <c r="B210" s="650">
        <v>3.7335341801629949</v>
      </c>
      <c r="C210" s="651">
        <v>-4.5485150200914033</v>
      </c>
      <c r="D210" s="652">
        <v>-3.2883119278406125</v>
      </c>
      <c r="E210" s="653">
        <v>0.63204643036682606</v>
      </c>
      <c r="F210" s="651">
        <v>-0.77001375725804855</v>
      </c>
      <c r="G210" s="654">
        <v>8.7155742747657999E-2</v>
      </c>
      <c r="H210" s="653">
        <v>0.25700000000000001</v>
      </c>
      <c r="I210" s="888">
        <v>0.41499999999999992</v>
      </c>
      <c r="J210" s="892">
        <v>3.2549999999999999</v>
      </c>
      <c r="K210" s="877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CPS-32193r1</v>
      </c>
      <c r="L210" s="683"/>
      <c r="M210" s="880" t="s">
        <v>9</v>
      </c>
      <c r="N210" s="31" t="str">
        <f t="shared" si="1312"/>
        <v>N</v>
      </c>
      <c r="O210" s="162">
        <f t="shared" si="1316"/>
        <v>-5.3257710201636774</v>
      </c>
      <c r="P210" s="162">
        <f t="shared" si="1317"/>
        <v>-2.1951244513170249</v>
      </c>
      <c r="Q210" s="162">
        <f t="shared" si="1318"/>
        <v>-2.0241061047040119</v>
      </c>
      <c r="R210" s="162">
        <f t="shared" si="1313"/>
        <v>-8.5546144907159907E-3</v>
      </c>
      <c r="S210" s="162">
        <f t="shared" si="1309"/>
        <v>-0.99008596714351482</v>
      </c>
      <c r="T210" s="162">
        <f t="shared" si="1310"/>
        <v>0.14020198371066714</v>
      </c>
      <c r="U210" s="162">
        <f>IFERROR(IF(ISNUMBER(MATCH($X210,Settings!$AK$28:$AK$36,0)),INDEX(Settings!$AO$14:$AO$36,MATCH($X210,Settings!$AK$14:$AK$36,0))/2,INDEX(Settings!$AM$14:$AM$36,MATCH($X210,Settings!$AK$14:$AK$36,0))/2),"")</f>
        <v>0.3125</v>
      </c>
      <c r="V210" s="162">
        <f t="shared" si="1319"/>
        <v>0.52</v>
      </c>
      <c r="W210" s="75">
        <v>5.1449999999999996</v>
      </c>
      <c r="X210" s="883">
        <f t="shared" si="1314"/>
        <v>1613</v>
      </c>
      <c r="AK210" s="82" t="str">
        <f t="shared" si="1315"/>
        <v/>
      </c>
      <c r="AL210" s="419" t="s">
        <v>9</v>
      </c>
    </row>
    <row r="211" spans="2:38" x14ac:dyDescent="0.25">
      <c r="B211" s="650">
        <v>-0.33855883738036974</v>
      </c>
      <c r="C211" s="651">
        <v>-2.5716096814313891</v>
      </c>
      <c r="D211" s="652">
        <v>-7.0999999999999994E-2</v>
      </c>
      <c r="E211" s="653">
        <v>0.96060655015305019</v>
      </c>
      <c r="F211" s="651">
        <v>-0.10371403706453673</v>
      </c>
      <c r="G211" s="654">
        <v>0.25783416049629954</v>
      </c>
      <c r="H211" s="653">
        <v>0.314</v>
      </c>
      <c r="I211" s="888">
        <v>0.52</v>
      </c>
      <c r="J211" s="892">
        <v>4.1120000000000001</v>
      </c>
      <c r="K211" s="877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683"/>
      <c r="M211" s="880"/>
      <c r="N211" s="31" t="str">
        <f t="shared" si="1312"/>
        <v>Y</v>
      </c>
      <c r="O211" s="162">
        <f t="shared" si="1316"/>
        <v>-5.4177434813472773</v>
      </c>
      <c r="P211" s="162">
        <f t="shared" si="1317"/>
        <v>-2.2175613370927016</v>
      </c>
      <c r="Q211" s="162">
        <f t="shared" si="1318"/>
        <v>-2.7500082940250152</v>
      </c>
      <c r="R211" s="162">
        <f t="shared" si="1313"/>
        <v>-0.1329170445864542</v>
      </c>
      <c r="S211" s="162">
        <f t="shared" si="1309"/>
        <v>-0.99016868238880773</v>
      </c>
      <c r="T211" s="162">
        <f t="shared" si="1310"/>
        <v>4.3577972357774962E-2</v>
      </c>
      <c r="U211" s="162">
        <f>IFERROR(IF(ISNUMBER(MATCH($X211,Settings!$AK$28:$AK$36,0)),INDEX(Settings!$AO$14:$AO$36,MATCH($X211,Settings!$AK$14:$AK$36,0))/2,INDEX(Settings!$AM$14:$AM$36,MATCH($X211,Settings!$AK$14:$AK$36,0))/2),"")</f>
        <v>0.3125</v>
      </c>
      <c r="V211" s="162">
        <f t="shared" si="1319"/>
        <v>0.52</v>
      </c>
      <c r="W211" s="75">
        <v>5.1509999999999998</v>
      </c>
      <c r="X211" s="883">
        <f t="shared" si="1314"/>
        <v>1613</v>
      </c>
      <c r="AK211" s="82" t="str">
        <f t="shared" si="1315"/>
        <v>Y</v>
      </c>
      <c r="AL211" s="419" t="s">
        <v>9</v>
      </c>
    </row>
    <row r="212" spans="2:38" x14ac:dyDescent="0.25">
      <c r="B212" s="650">
        <v>-0.43865131538092078</v>
      </c>
      <c r="C212" s="651">
        <v>-3.3095671173086774</v>
      </c>
      <c r="D212" s="652">
        <v>-3.0000090480272893E-3</v>
      </c>
      <c r="E212" s="653">
        <v>0.95560954576038415</v>
      </c>
      <c r="F212" s="651">
        <v>-0.13811927792335815</v>
      </c>
      <c r="G212" s="654">
        <v>0.26025652944270683</v>
      </c>
      <c r="H212" s="653">
        <v>0.314</v>
      </c>
      <c r="I212" s="888">
        <v>0.52</v>
      </c>
      <c r="J212" s="892">
        <v>4.1180000000000003</v>
      </c>
      <c r="K212" s="877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683"/>
      <c r="M212" s="880"/>
      <c r="N212" s="31" t="str">
        <f t="shared" si="1312"/>
        <v>Y</v>
      </c>
      <c r="O212" s="162">
        <f t="shared" si="1316"/>
        <v>-5.4424338462570034</v>
      </c>
      <c r="P212" s="162">
        <f t="shared" si="1317"/>
        <v>-2.2232326265845161</v>
      </c>
      <c r="Q212" s="162">
        <f t="shared" si="1318"/>
        <v>-3.5292106440993027</v>
      </c>
      <c r="R212" s="162">
        <f t="shared" si="1313"/>
        <v>-0.13360828018574053</v>
      </c>
      <c r="S212" s="162">
        <f t="shared" si="1309"/>
        <v>-0.9900756475093172</v>
      </c>
      <c r="T212" s="162">
        <f t="shared" si="1310"/>
        <v>4.3577972357775017E-2</v>
      </c>
      <c r="U212" s="162">
        <f>IFERROR(IF(ISNUMBER(MATCH($X212,Settings!$AK$28:$AK$36,0)),INDEX(Settings!$AO$14:$AO$36,MATCH($X212,Settings!$AK$14:$AK$36,0))/2,INDEX(Settings!$AM$14:$AM$36,MATCH($X212,Settings!$AK$14:$AK$36,0))/2),"")</f>
        <v>0.3125</v>
      </c>
      <c r="V212" s="162">
        <f t="shared" si="1319"/>
        <v>0.52</v>
      </c>
      <c r="W212" s="75">
        <v>5.157</v>
      </c>
      <c r="X212" s="883">
        <f t="shared" si="1314"/>
        <v>1613</v>
      </c>
      <c r="AK212" s="82" t="str">
        <f t="shared" si="1315"/>
        <v>Y</v>
      </c>
      <c r="AL212" s="419" t="s">
        <v>9</v>
      </c>
    </row>
    <row r="213" spans="2:38" x14ac:dyDescent="0.25">
      <c r="B213" s="650">
        <v>-0.56734867305638159</v>
      </c>
      <c r="C213" s="651">
        <v>-4.0317896431702183</v>
      </c>
      <c r="D213" s="652">
        <v>-0.14900044938535537</v>
      </c>
      <c r="E213" s="653">
        <v>0.94087887325714337</v>
      </c>
      <c r="F213" s="651">
        <v>-0.21559211386423405</v>
      </c>
      <c r="G213" s="654">
        <v>0.26127951756293416</v>
      </c>
      <c r="H213" s="653">
        <v>0.314</v>
      </c>
      <c r="I213" s="888">
        <v>0.52</v>
      </c>
      <c r="J213" s="892">
        <v>4.1239999999999997</v>
      </c>
      <c r="K213" s="877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683"/>
      <c r="M213" s="880"/>
      <c r="N213" s="31" t="str">
        <f t="shared" si="1312"/>
        <v>Y</v>
      </c>
      <c r="O213" s="162">
        <f t="shared" si="1316"/>
        <v>-2.3261530758451263</v>
      </c>
      <c r="P213" s="162">
        <f t="shared" si="1317"/>
        <v>1.6287899187364601</v>
      </c>
      <c r="Q213" s="162">
        <f t="shared" si="1318"/>
        <v>-2.5700077511433706E-2</v>
      </c>
      <c r="R213" s="162">
        <f t="shared" si="1313"/>
        <v>-0.54293644339959091</v>
      </c>
      <c r="S213" s="162">
        <f t="shared" si="1309"/>
        <v>-0.79900952486795174</v>
      </c>
      <c r="T213" s="162">
        <f t="shared" si="1310"/>
        <v>0.25846430623761785</v>
      </c>
      <c r="U213" s="162">
        <f>IFERROR(IF(ISNUMBER(MATCH($X213,Settings!$AK$28:$AK$36,0)),INDEX(Settings!$AO$14:$AO$36,MATCH($X213,Settings!$AK$14:$AK$36,0))/2,INDEX(Settings!$AM$14:$AM$36,MATCH($X213,Settings!$AK$14:$AK$36,0))/2),"")</f>
        <v>0.3125</v>
      </c>
      <c r="V213" s="162">
        <f t="shared" si="1319"/>
        <v>0.52</v>
      </c>
      <c r="W213" s="75">
        <v>6.1139999999999999</v>
      </c>
      <c r="X213" s="883">
        <f t="shared" si="1314"/>
        <v>1613</v>
      </c>
      <c r="AK213" s="82" t="str">
        <f t="shared" si="1315"/>
        <v>Y</v>
      </c>
      <c r="AL213" s="419" t="s">
        <v>400</v>
      </c>
    </row>
    <row r="214" spans="2:38" x14ac:dyDescent="0.25">
      <c r="B214" s="650">
        <v>-0.71652415096333488</v>
      </c>
      <c r="C214" s="651">
        <v>-4.677046797536434</v>
      </c>
      <c r="D214" s="652">
        <v>-0.49970150709974542</v>
      </c>
      <c r="E214" s="653">
        <v>0.91955408471086775</v>
      </c>
      <c r="F214" s="651">
        <v>-0.30251931896345707</v>
      </c>
      <c r="G214" s="654">
        <v>0.2508034029781982</v>
      </c>
      <c r="H214" s="653">
        <v>0.314</v>
      </c>
      <c r="I214" s="888">
        <v>0.52</v>
      </c>
      <c r="J214" s="892">
        <v>4.13</v>
      </c>
      <c r="K214" s="877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683"/>
      <c r="M214" s="880"/>
      <c r="N214" s="31" t="str">
        <f t="shared" si="1312"/>
        <v>Y</v>
      </c>
      <c r="O214" s="162">
        <f t="shared" si="1316"/>
        <v>-2.9327956470919827</v>
      </c>
      <c r="P214" s="162">
        <f t="shared" si="1317"/>
        <v>2.0657949091999219</v>
      </c>
      <c r="Q214" s="162">
        <f t="shared" si="1318"/>
        <v>-2.7600083241851057E-2</v>
      </c>
      <c r="R214" s="162">
        <f t="shared" si="1313"/>
        <v>-0.58360991290008557</v>
      </c>
      <c r="S214" s="162">
        <f t="shared" si="1309"/>
        <v>-0.76873713134500132</v>
      </c>
      <c r="T214" s="162">
        <f t="shared" si="1310"/>
        <v>0.26161554322366398</v>
      </c>
      <c r="U214" s="162">
        <f>IFERROR(IF(ISNUMBER(MATCH($X214,Settings!$AK$28:$AK$36,0)),INDEX(Settings!$AO$14:$AO$36,MATCH($X214,Settings!$AK$14:$AK$36,0))/2,INDEX(Settings!$AM$14:$AM$36,MATCH($X214,Settings!$AK$14:$AK$36,0))/2),"")</f>
        <v>0.3125</v>
      </c>
      <c r="V214" s="162">
        <f t="shared" si="1319"/>
        <v>0.52</v>
      </c>
      <c r="W214" s="75">
        <v>6.12</v>
      </c>
      <c r="X214" s="883">
        <f t="shared" si="1314"/>
        <v>1613</v>
      </c>
      <c r="AK214" s="82" t="str">
        <f t="shared" si="1315"/>
        <v>Y</v>
      </c>
      <c r="AL214" s="419" t="s">
        <v>400</v>
      </c>
    </row>
    <row r="215" spans="2:38" x14ac:dyDescent="0.25">
      <c r="B215" s="650">
        <v>-0.86028941066753417</v>
      </c>
      <c r="C215" s="651">
        <v>-5.1965872238584172</v>
      </c>
      <c r="D215" s="652">
        <v>-1.02130308025009</v>
      </c>
      <c r="E215" s="653">
        <v>0.89437649265582309</v>
      </c>
      <c r="F215" s="651">
        <v>-0.39013041695101824</v>
      </c>
      <c r="G215" s="654">
        <v>0.21883543395504557</v>
      </c>
      <c r="H215" s="653">
        <v>0.314</v>
      </c>
      <c r="I215" s="888">
        <v>0.52</v>
      </c>
      <c r="J215" s="892">
        <v>4.1360000000000001</v>
      </c>
      <c r="K215" s="877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683"/>
      <c r="M215" s="880"/>
      <c r="N215" s="31" t="str">
        <f t="shared" si="1312"/>
        <v>Y</v>
      </c>
      <c r="O215" s="162">
        <f t="shared" si="1316"/>
        <v>-3.4926848419750631</v>
      </c>
      <c r="P215" s="162">
        <f t="shared" si="1317"/>
        <v>2.5125227375187058</v>
      </c>
      <c r="Q215" s="162">
        <f t="shared" si="1318"/>
        <v>-0.24450073741422404</v>
      </c>
      <c r="R215" s="162">
        <f t="shared" si="1313"/>
        <v>-0.64768418194285715</v>
      </c>
      <c r="S215" s="162">
        <f t="shared" si="1309"/>
        <v>-0.71642694731200063</v>
      </c>
      <c r="T215" s="162">
        <f t="shared" si="1310"/>
        <v>0.25930219749593303</v>
      </c>
      <c r="U215" s="162">
        <f>IFERROR(IF(ISNUMBER(MATCH($X215,Settings!$AK$28:$AK$36,0)),INDEX(Settings!$AO$14:$AO$36,MATCH($X215,Settings!$AK$14:$AK$36,0))/2,INDEX(Settings!$AM$14:$AM$36,MATCH($X215,Settings!$AK$14:$AK$36,0))/2),"")</f>
        <v>0.3125</v>
      </c>
      <c r="V215" s="162">
        <f t="shared" si="1319"/>
        <v>0.52</v>
      </c>
      <c r="W215" s="75">
        <v>6.1260000000000003</v>
      </c>
      <c r="X215" s="883">
        <f t="shared" si="1314"/>
        <v>1613</v>
      </c>
      <c r="AK215" s="82" t="str">
        <f t="shared" si="1315"/>
        <v>Y</v>
      </c>
      <c r="AL215" s="419" t="s">
        <v>400</v>
      </c>
    </row>
    <row r="216" spans="2:38" x14ac:dyDescent="0.25">
      <c r="B216" s="650">
        <v>-0.97186356151239295</v>
      </c>
      <c r="C216" s="651">
        <v>-5.5570736138231327</v>
      </c>
      <c r="D216" s="652">
        <v>-1.6687050328143791</v>
      </c>
      <c r="E216" s="653">
        <v>0.85785633561949537</v>
      </c>
      <c r="F216" s="651">
        <v>-0.48443533445850329</v>
      </c>
      <c r="G216" s="654">
        <v>0.17147861139387038</v>
      </c>
      <c r="H216" s="653">
        <v>0.314</v>
      </c>
      <c r="I216" s="888">
        <v>0.52</v>
      </c>
      <c r="J216" s="892">
        <v>4.1420000000000003</v>
      </c>
      <c r="K216" s="877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683"/>
      <c r="M216" s="880"/>
      <c r="N216" s="31" t="str">
        <f t="shared" si="1312"/>
        <v>Y</v>
      </c>
      <c r="O216" s="162">
        <f t="shared" si="1316"/>
        <v>-3.9625272161437115</v>
      </c>
      <c r="P216" s="162">
        <f t="shared" si="1317"/>
        <v>2.9267679927215817</v>
      </c>
      <c r="Q216" s="162">
        <f t="shared" si="1318"/>
        <v>-0.65660198031157258</v>
      </c>
      <c r="R216" s="162">
        <f t="shared" si="1313"/>
        <v>-0.71537078787348019</v>
      </c>
      <c r="S216" s="162">
        <f t="shared" si="1309"/>
        <v>-0.65530646523949787</v>
      </c>
      <c r="T216" s="162">
        <f t="shared" si="1310"/>
        <v>0.24252437500711371</v>
      </c>
      <c r="U216" s="162">
        <f>IFERROR(IF(ISNUMBER(MATCH($X216,Settings!$AK$28:$AK$36,0)),INDEX(Settings!$AO$14:$AO$36,MATCH($X216,Settings!$AK$14:$AK$36,0))/2,INDEX(Settings!$AM$14:$AM$36,MATCH($X216,Settings!$AK$14:$AK$36,0))/2),"")</f>
        <v>0.3125</v>
      </c>
      <c r="V216" s="162">
        <f t="shared" si="1319"/>
        <v>0.52</v>
      </c>
      <c r="W216" s="75">
        <v>6.1319999999999997</v>
      </c>
      <c r="X216" s="883">
        <f t="shared" si="1314"/>
        <v>1613</v>
      </c>
      <c r="AK216" s="82" t="str">
        <f t="shared" si="1315"/>
        <v>Y</v>
      </c>
      <c r="AL216" s="419" t="s">
        <v>400</v>
      </c>
    </row>
    <row r="217" spans="2:38" x14ac:dyDescent="0.25">
      <c r="B217" s="650">
        <v>-1.0336921547340627</v>
      </c>
      <c r="C217" s="651">
        <v>-5.7392720987737214</v>
      </c>
      <c r="D217" s="652">
        <v>-2.3920072142937583</v>
      </c>
      <c r="E217" s="653">
        <v>0.79728180958991157</v>
      </c>
      <c r="F217" s="651">
        <v>-0.59549991023333138</v>
      </c>
      <c r="G217" s="654">
        <v>9.8598037552125803E-2</v>
      </c>
      <c r="H217" s="653">
        <v>0.314</v>
      </c>
      <c r="I217" s="888">
        <v>0.52</v>
      </c>
      <c r="J217" s="892">
        <v>4.1479999999999997</v>
      </c>
      <c r="K217" s="877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1613</v>
      </c>
      <c r="L217" s="683"/>
      <c r="M217" s="880"/>
      <c r="N217" s="31" t="str">
        <f t="shared" si="1312"/>
        <v>Y</v>
      </c>
      <c r="O217" s="162">
        <f t="shared" si="1316"/>
        <v>-4.3159789483179045</v>
      </c>
      <c r="P217" s="162">
        <f t="shared" si="1317"/>
        <v>3.2641492059204738</v>
      </c>
      <c r="Q217" s="162">
        <f t="shared" si="1318"/>
        <v>-1.2255036961191477</v>
      </c>
      <c r="R217" s="162">
        <f t="shared" si="1313"/>
        <v>-0.78051884206384037</v>
      </c>
      <c r="S217" s="162">
        <f t="shared" si="1309"/>
        <v>-0.5908372192746848</v>
      </c>
      <c r="T217" s="162">
        <f t="shared" si="1310"/>
        <v>0.20420998384770486</v>
      </c>
      <c r="U217" s="162">
        <f>IFERROR(IF(ISNUMBER(MATCH($X217,Settings!$AK$28:$AK$36,0)),INDEX(Settings!$AO$14:$AO$36,MATCH($X217,Settings!$AK$14:$AK$36,0))/2,INDEX(Settings!$AM$14:$AM$36,MATCH($X217,Settings!$AK$14:$AK$36,0))/2),"")</f>
        <v>0.3125</v>
      </c>
      <c r="V217" s="162">
        <f t="shared" si="1319"/>
        <v>0.52</v>
      </c>
      <c r="W217" s="75">
        <v>6.1379999999999999</v>
      </c>
      <c r="X217" s="883">
        <f t="shared" si="1314"/>
        <v>1613</v>
      </c>
      <c r="AK217" s="82" t="str">
        <f t="shared" si="1315"/>
        <v>Y</v>
      </c>
      <c r="AL217" s="419" t="s">
        <v>400</v>
      </c>
    </row>
    <row r="218" spans="2:38" x14ac:dyDescent="0.25">
      <c r="B218" s="650">
        <v>-1.0491621947338907</v>
      </c>
      <c r="C218" s="651">
        <v>-5.7846441698634203</v>
      </c>
      <c r="D218" s="652">
        <v>-3.1542095130958918</v>
      </c>
      <c r="E218" s="653">
        <v>0.76323365520132114</v>
      </c>
      <c r="F218" s="651">
        <v>-0.64465133823890886</v>
      </c>
      <c r="G218" s="654">
        <v>4.3577972357774629E-2</v>
      </c>
      <c r="H218" s="653">
        <v>0.314</v>
      </c>
      <c r="I218" s="888">
        <v>0.52</v>
      </c>
      <c r="J218" s="892">
        <v>4.1539999999999999</v>
      </c>
      <c r="K218" s="877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1613</v>
      </c>
      <c r="L218" s="683"/>
      <c r="M218" s="880"/>
      <c r="N218" s="31" t="str">
        <f t="shared" si="1312"/>
        <v>Y</v>
      </c>
      <c r="O218" s="162">
        <f t="shared" si="1316"/>
        <v>-4.5397113049621183</v>
      </c>
      <c r="P218" s="162">
        <f t="shared" si="1317"/>
        <v>3.4897414001808635</v>
      </c>
      <c r="Q218" s="162">
        <f t="shared" si="1318"/>
        <v>-1.9039057421797185</v>
      </c>
      <c r="R218" s="162">
        <f t="shared" si="1313"/>
        <v>-0.8494762762305107</v>
      </c>
      <c r="S218" s="162">
        <f t="shared" si="1309"/>
        <v>-0.50544787763847132</v>
      </c>
      <c r="T218" s="162">
        <f t="shared" si="1310"/>
        <v>0.15136875209999634</v>
      </c>
      <c r="U218" s="162">
        <f>IFERROR(IF(ISNUMBER(MATCH($X218,Settings!$AK$28:$AK$36,0)),INDEX(Settings!$AO$14:$AO$36,MATCH($X218,Settings!$AK$14:$AK$36,0))/2,INDEX(Settings!$AM$14:$AM$36,MATCH($X218,Settings!$AK$14:$AK$36,0))/2),"")</f>
        <v>0.3125</v>
      </c>
      <c r="V218" s="162">
        <f t="shared" si="1319"/>
        <v>0.52</v>
      </c>
      <c r="W218" s="75">
        <v>6.1440000000000001</v>
      </c>
      <c r="X218" s="883">
        <f t="shared" si="1314"/>
        <v>1613</v>
      </c>
      <c r="AK218" s="82" t="str">
        <f t="shared" si="1315"/>
        <v>Y</v>
      </c>
      <c r="AL218" s="419" t="s">
        <v>400</v>
      </c>
    </row>
    <row r="219" spans="2:38" x14ac:dyDescent="0.25">
      <c r="B219" s="650">
        <v>-1.6283934509588733</v>
      </c>
      <c r="C219" s="651">
        <v>-4.4742115452336799</v>
      </c>
      <c r="D219" s="652">
        <v>-0.47236195771288048</v>
      </c>
      <c r="E219" s="653">
        <v>0.79968981384995896</v>
      </c>
      <c r="F219" s="651">
        <v>-0.5080127631603516</v>
      </c>
      <c r="G219" s="654">
        <v>0.32003005185576305</v>
      </c>
      <c r="H219" s="653">
        <v>0.26600000000000001</v>
      </c>
      <c r="I219" s="888">
        <v>0.52</v>
      </c>
      <c r="J219" s="892">
        <v>4.2300000000000004</v>
      </c>
      <c r="K219" s="877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1313</v>
      </c>
      <c r="L219" s="683"/>
      <c r="M219" s="880" t="s">
        <v>9</v>
      </c>
      <c r="N219" s="31" t="str">
        <f t="shared" si="1312"/>
        <v>N</v>
      </c>
      <c r="O219" s="162">
        <f t="shared" si="1316"/>
        <v>-4.6277545954400097</v>
      </c>
      <c r="P219" s="162">
        <f t="shared" si="1317"/>
        <v>3.581898655268088</v>
      </c>
      <c r="Q219" s="162">
        <f t="shared" si="1318"/>
        <v>-2.6411079655816243</v>
      </c>
      <c r="R219" s="162">
        <f t="shared" si="1313"/>
        <v>-0.9161198567789206</v>
      </c>
      <c r="S219" s="162">
        <f t="shared" si="1309"/>
        <v>-0.39584687538397667</v>
      </c>
      <c r="T219" s="162">
        <f t="shared" si="1310"/>
        <v>6.347959722708317E-2</v>
      </c>
      <c r="U219" s="162">
        <f>IFERROR(IF(ISNUMBER(MATCH($X219,Settings!$AK$28:$AK$36,0)),INDEX(Settings!$AO$14:$AO$36,MATCH($X219,Settings!$AK$14:$AK$36,0))/2,INDEX(Settings!$AM$14:$AM$36,MATCH($X219,Settings!$AK$14:$AK$36,0))/2),"")</f>
        <v>0.3125</v>
      </c>
      <c r="V219" s="162">
        <f t="shared" si="1319"/>
        <v>0.52</v>
      </c>
      <c r="W219" s="75">
        <v>6.15</v>
      </c>
      <c r="X219" s="883">
        <f t="shared" si="1314"/>
        <v>1613</v>
      </c>
      <c r="AK219" s="82" t="str">
        <f t="shared" si="1315"/>
        <v/>
      </c>
      <c r="AL219" s="419" t="s">
        <v>400</v>
      </c>
    </row>
    <row r="220" spans="2:38" x14ac:dyDescent="0.25">
      <c r="B220" s="650">
        <v>-1.804511779506909</v>
      </c>
      <c r="C220" s="651">
        <v>-4.9921031292208049</v>
      </c>
      <c r="D220" s="652">
        <v>-1.0029078188295399</v>
      </c>
      <c r="E220" s="653">
        <v>0.75826328373584018</v>
      </c>
      <c r="F220" s="651">
        <v>-0.59170921881187888</v>
      </c>
      <c r="G220" s="654">
        <v>0.27370968728047756</v>
      </c>
      <c r="H220" s="653">
        <v>0.26600000000000001</v>
      </c>
      <c r="I220" s="888">
        <v>0.52</v>
      </c>
      <c r="J220" s="892">
        <v>4.2359999999999998</v>
      </c>
      <c r="K220" s="877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1313</v>
      </c>
      <c r="L220" s="683"/>
      <c r="M220" s="880" t="s">
        <v>9</v>
      </c>
      <c r="N220" s="31" t="str">
        <f t="shared" si="1312"/>
        <v>N</v>
      </c>
      <c r="O220" s="162">
        <f t="shared" si="1316"/>
        <v>-4.646592856273096</v>
      </c>
      <c r="P220" s="162">
        <f t="shared" si="1317"/>
        <v>3.6016696559825574</v>
      </c>
      <c r="Q220" s="162">
        <f t="shared" si="1318"/>
        <v>-3.4042102670981649</v>
      </c>
      <c r="R220" s="162">
        <f t="shared" si="1313"/>
        <v>-0.92423480250426615</v>
      </c>
      <c r="S220" s="162">
        <f t="shared" si="1309"/>
        <v>-0.37932965895785853</v>
      </c>
      <c r="T220" s="162">
        <f t="shared" si="1310"/>
        <v>4.3577972357775677E-2</v>
      </c>
      <c r="U220" s="162">
        <f>IFERROR(IF(ISNUMBER(MATCH($X220,Settings!$AK$28:$AK$36,0)),INDEX(Settings!$AO$14:$AO$36,MATCH($X220,Settings!$AK$14:$AK$36,0))/2,INDEX(Settings!$AM$14:$AM$36,MATCH($X220,Settings!$AK$14:$AK$36,0))/2),"")</f>
        <v>0.3125</v>
      </c>
      <c r="V220" s="162">
        <f t="shared" si="1319"/>
        <v>0.52</v>
      </c>
      <c r="W220" s="75">
        <v>6.1559999999999997</v>
      </c>
      <c r="X220" s="883">
        <f t="shared" si="1314"/>
        <v>1613</v>
      </c>
      <c r="AK220" s="82" t="str">
        <f t="shared" si="1315"/>
        <v/>
      </c>
      <c r="AL220" s="419" t="s">
        <v>400</v>
      </c>
    </row>
    <row r="221" spans="2:38" x14ac:dyDescent="0.25">
      <c r="B221" s="650">
        <v>-1.9476998242591741</v>
      </c>
      <c r="C221" s="651">
        <v>-5.3471429437231413</v>
      </c>
      <c r="D221" s="652">
        <v>-1.6622856272758395</v>
      </c>
      <c r="E221" s="653">
        <v>0.70180253100081536</v>
      </c>
      <c r="F221" s="651">
        <v>-0.68127032154769496</v>
      </c>
      <c r="G221" s="654">
        <v>0.20819211430587375</v>
      </c>
      <c r="H221" s="653">
        <v>0.26600000000000001</v>
      </c>
      <c r="I221" s="888">
        <v>0.52</v>
      </c>
      <c r="J221" s="892">
        <v>4.242</v>
      </c>
      <c r="K221" s="877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683"/>
      <c r="M221" s="880" t="s">
        <v>9</v>
      </c>
      <c r="N221" s="31" t="str">
        <f t="shared" si="1312"/>
        <v>N</v>
      </c>
      <c r="O221" s="162" t="str">
        <f t="shared" si="1316"/>
        <v/>
      </c>
      <c r="P221" s="162" t="str">
        <f t="shared" si="1317"/>
        <v/>
      </c>
      <c r="Q221" s="162" t="str">
        <f t="shared" si="1318"/>
        <v/>
      </c>
      <c r="R221" s="162" t="str">
        <f t="shared" si="1313"/>
        <v/>
      </c>
      <c r="S221" s="162" t="str">
        <f t="shared" si="1309"/>
        <v/>
      </c>
      <c r="T221" s="162" t="str">
        <f t="shared" si="1310"/>
        <v/>
      </c>
      <c r="U221" s="162" t="str">
        <f>IFERROR(IF(ISNUMBER(MATCH($X221,Settings!$AK$28:$AK$36,0)),INDEX(Settings!$AO$14:$AO$36,MATCH($X221,Settings!$AK$14:$AK$36,0))/2,INDEX(Settings!$AM$14:$AM$36,MATCH($X221,Settings!$AK$14:$AK$36,0))/2),"")</f>
        <v/>
      </c>
      <c r="V221" s="162" t="str">
        <f t="shared" si="1319"/>
        <v/>
      </c>
      <c r="W221" s="75"/>
      <c r="X221" s="883" t="str">
        <f t="shared" si="1314"/>
        <v/>
      </c>
      <c r="AK221" s="82" t="str">
        <f t="shared" si="1315"/>
        <v/>
      </c>
      <c r="AL221" s="419" t="s">
        <v>9</v>
      </c>
    </row>
    <row r="222" spans="2:38" x14ac:dyDescent="0.25">
      <c r="B222" s="650">
        <v>-2.2689385550441714</v>
      </c>
      <c r="C222" s="651">
        <v>-5.3870608381161613</v>
      </c>
      <c r="D222" s="652">
        <v>-2.3984554130488362</v>
      </c>
      <c r="E222" s="653">
        <v>-0.37895813137977935</v>
      </c>
      <c r="F222" s="651">
        <v>-0.89974693422314433</v>
      </c>
      <c r="G222" s="654">
        <v>0.21643980460441833</v>
      </c>
      <c r="H222" s="653">
        <v>0.25700000000000001</v>
      </c>
      <c r="I222" s="888">
        <v>0.41499999999999992</v>
      </c>
      <c r="J222" s="892">
        <v>4.2480000000000002</v>
      </c>
      <c r="K222" s="877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CPS-32193r1</v>
      </c>
      <c r="L222" s="683"/>
      <c r="M222" s="880" t="s">
        <v>9</v>
      </c>
      <c r="N222" s="31" t="str">
        <f t="shared" si="1312"/>
        <v>N</v>
      </c>
      <c r="O222" s="162" t="str">
        <f t="shared" si="1316"/>
        <v/>
      </c>
      <c r="P222" s="162" t="str">
        <f t="shared" si="1317"/>
        <v/>
      </c>
      <c r="Q222" s="162" t="str">
        <f t="shared" si="1318"/>
        <v/>
      </c>
      <c r="R222" s="162" t="str">
        <f t="shared" si="1313"/>
        <v/>
      </c>
      <c r="S222" s="162" t="str">
        <f t="shared" si="1309"/>
        <v/>
      </c>
      <c r="T222" s="162" t="str">
        <f t="shared" si="1310"/>
        <v/>
      </c>
      <c r="U222" s="162" t="str">
        <f>IFERROR(IF(ISNUMBER(MATCH($X222,Settings!$AK$28:$AK$36,0)),INDEX(Settings!$AO$14:$AO$36,MATCH($X222,Settings!$AK$14:$AK$36,0))/2,INDEX(Settings!$AM$14:$AM$36,MATCH($X222,Settings!$AK$14:$AK$36,0))/2),"")</f>
        <v/>
      </c>
      <c r="V222" s="162" t="str">
        <f t="shared" si="1319"/>
        <v/>
      </c>
      <c r="W222" s="75"/>
      <c r="X222" s="883" t="str">
        <f t="shared" si="1314"/>
        <v/>
      </c>
      <c r="AK222" s="82" t="str">
        <f t="shared" si="1315"/>
        <v/>
      </c>
      <c r="AL222" s="419" t="s">
        <v>9</v>
      </c>
    </row>
    <row r="223" spans="2:38" x14ac:dyDescent="0.25">
      <c r="B223" s="650">
        <v>-2.3106278675390666</v>
      </c>
      <c r="C223" s="651">
        <v>-5.4119557666516753</v>
      </c>
      <c r="D223" s="652">
        <v>-3.1633119278406121</v>
      </c>
      <c r="E223" s="653">
        <v>-0.3911639816621203</v>
      </c>
      <c r="F223" s="651">
        <v>-0.91618481539280083</v>
      </c>
      <c r="G223" s="654">
        <v>8.7155742747658069E-2</v>
      </c>
      <c r="H223" s="653">
        <v>0.25700000000000001</v>
      </c>
      <c r="I223" s="888">
        <v>0.41499999999999992</v>
      </c>
      <c r="J223" s="892">
        <v>4.2539999999999996</v>
      </c>
      <c r="K223" s="877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CPS-32193r1</v>
      </c>
      <c r="L223" s="683"/>
      <c r="M223" s="880" t="s">
        <v>9</v>
      </c>
      <c r="N223" s="31" t="str">
        <f t="shared" si="1312"/>
        <v>N</v>
      </c>
      <c r="O223" s="162" t="str">
        <f t="shared" si="1316"/>
        <v/>
      </c>
      <c r="P223" s="162" t="str">
        <f t="shared" si="1317"/>
        <v/>
      </c>
      <c r="Q223" s="162" t="str">
        <f t="shared" si="1318"/>
        <v/>
      </c>
      <c r="R223" s="162" t="str">
        <f t="shared" si="1313"/>
        <v/>
      </c>
      <c r="S223" s="162" t="str">
        <f t="shared" si="1309"/>
        <v/>
      </c>
      <c r="T223" s="162" t="str">
        <f t="shared" si="1310"/>
        <v/>
      </c>
      <c r="U223" s="162" t="str">
        <f>IFERROR(IF(ISNUMBER(MATCH($X223,Settings!$AK$28:$AK$36,0)),INDEX(Settings!$AO$14:$AO$36,MATCH($X223,Settings!$AK$14:$AK$36,0))/2,INDEX(Settings!$AM$14:$AM$36,MATCH($X223,Settings!$AK$14:$AK$36,0))/2),"")</f>
        <v/>
      </c>
      <c r="V223" s="162" t="str">
        <f t="shared" si="1319"/>
        <v/>
      </c>
      <c r="W223" s="75"/>
      <c r="X223" s="883" t="str">
        <f t="shared" si="1314"/>
        <v/>
      </c>
      <c r="AK223" s="82" t="str">
        <f t="shared" si="1315"/>
        <v/>
      </c>
      <c r="AL223" s="419" t="s">
        <v>9</v>
      </c>
    </row>
    <row r="224" spans="2:38" x14ac:dyDescent="0.25">
      <c r="B224" s="650">
        <v>-0.74099948153560136</v>
      </c>
      <c r="C224" s="651">
        <v>-0.34553373292893436</v>
      </c>
      <c r="D224" s="652">
        <v>-0.66990202042449376</v>
      </c>
      <c r="E224" s="653">
        <v>0.46898965621450944</v>
      </c>
      <c r="F224" s="651">
        <v>-0.83361677073922924</v>
      </c>
      <c r="G224" s="654">
        <v>0.29177351131673307</v>
      </c>
      <c r="H224" s="653">
        <v>0.314</v>
      </c>
      <c r="I224" s="888">
        <v>0.52</v>
      </c>
      <c r="J224" s="892">
        <v>5.1029999999999998</v>
      </c>
      <c r="K224" s="877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683"/>
      <c r="M224" s="880"/>
      <c r="N224" s="31" t="str">
        <f t="shared" si="1312"/>
        <v>Y</v>
      </c>
      <c r="O224" s="162" t="str">
        <f t="shared" si="1316"/>
        <v/>
      </c>
      <c r="P224" s="162" t="str">
        <f t="shared" si="1317"/>
        <v/>
      </c>
      <c r="Q224" s="162" t="str">
        <f t="shared" si="1318"/>
        <v/>
      </c>
      <c r="R224" s="162" t="str">
        <f t="shared" si="1313"/>
        <v/>
      </c>
      <c r="S224" s="162" t="str">
        <f t="shared" si="1309"/>
        <v/>
      </c>
      <c r="T224" s="162" t="str">
        <f t="shared" si="1310"/>
        <v/>
      </c>
      <c r="U224" s="162" t="str">
        <f>IFERROR(IF(ISNUMBER(MATCH($X224,Settings!$AK$28:$AK$36,0)),INDEX(Settings!$AO$14:$AO$36,MATCH($X224,Settings!$AK$14:$AK$36,0))/2,INDEX(Settings!$AM$14:$AM$36,MATCH($X224,Settings!$AK$14:$AK$36,0))/2),"")</f>
        <v/>
      </c>
      <c r="V224" s="162" t="str">
        <f t="shared" si="1319"/>
        <v/>
      </c>
      <c r="W224" s="75"/>
      <c r="X224" s="883" t="str">
        <f t="shared" si="1314"/>
        <v/>
      </c>
      <c r="AK224" s="82" t="str">
        <f t="shared" si="1315"/>
        <v>Y</v>
      </c>
      <c r="AL224" s="419" t="s">
        <v>9</v>
      </c>
    </row>
    <row r="225" spans="2:38" x14ac:dyDescent="0.25">
      <c r="B225" s="650">
        <v>-1.3837549026523435</v>
      </c>
      <c r="C225" s="651">
        <v>-0.64525550811631216</v>
      </c>
      <c r="D225" s="652">
        <v>-0.42670128693108145</v>
      </c>
      <c r="E225" s="653">
        <v>0.45297590335492149</v>
      </c>
      <c r="F225" s="651">
        <v>-0.85455510618337871</v>
      </c>
      <c r="G225" s="654">
        <v>0.25406377442623962</v>
      </c>
      <c r="H225" s="653">
        <v>0.314</v>
      </c>
      <c r="I225" s="888">
        <v>0.52</v>
      </c>
      <c r="J225" s="892">
        <v>5.1059999999999999</v>
      </c>
      <c r="K225" s="877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683"/>
      <c r="M225" s="880"/>
      <c r="N225" s="31" t="str">
        <f t="shared" si="1312"/>
        <v>Y</v>
      </c>
      <c r="O225" s="162" t="str">
        <f t="shared" si="1316"/>
        <v/>
      </c>
      <c r="P225" s="162" t="str">
        <f t="shared" si="1317"/>
        <v/>
      </c>
      <c r="Q225" s="162" t="str">
        <f t="shared" si="1318"/>
        <v/>
      </c>
      <c r="R225" s="162" t="str">
        <f t="shared" si="1313"/>
        <v/>
      </c>
      <c r="S225" s="162" t="str">
        <f t="shared" si="1309"/>
        <v/>
      </c>
      <c r="T225" s="162" t="str">
        <f t="shared" si="1310"/>
        <v/>
      </c>
      <c r="U225" s="162" t="str">
        <f>IFERROR(IF(ISNUMBER(MATCH($X225,Settings!$AK$28:$AK$36,0)),INDEX(Settings!$AO$14:$AO$36,MATCH($X225,Settings!$AK$14:$AK$36,0))/2,INDEX(Settings!$AM$14:$AM$36,MATCH($X225,Settings!$AK$14:$AK$36,0))/2),"")</f>
        <v/>
      </c>
      <c r="V225" s="162" t="str">
        <f t="shared" si="1319"/>
        <v/>
      </c>
      <c r="W225" s="75"/>
      <c r="X225" s="883" t="str">
        <f t="shared" si="1314"/>
        <v/>
      </c>
      <c r="AK225" s="82" t="str">
        <f t="shared" si="1315"/>
        <v>Y</v>
      </c>
      <c r="AL225" s="419" t="s">
        <v>9</v>
      </c>
    </row>
    <row r="226" spans="2:38" x14ac:dyDescent="0.25">
      <c r="B226" s="650">
        <v>-2.0256040132486164</v>
      </c>
      <c r="C226" s="651">
        <v>-0.94455466376732899</v>
      </c>
      <c r="D226" s="652">
        <v>-0.17990054258003643</v>
      </c>
      <c r="E226" s="653">
        <v>0.44086368797438608</v>
      </c>
      <c r="F226" s="651">
        <v>-0.86020312497254525</v>
      </c>
      <c r="G226" s="654">
        <v>0.25630019979136009</v>
      </c>
      <c r="H226" s="653">
        <v>0.314</v>
      </c>
      <c r="I226" s="888">
        <v>0.52</v>
      </c>
      <c r="J226" s="892">
        <v>5.109</v>
      </c>
      <c r="K226" s="877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683"/>
      <c r="M226" s="880"/>
      <c r="N226" s="31" t="str">
        <f t="shared" si="1312"/>
        <v>Y</v>
      </c>
      <c r="O226" s="162" t="str">
        <f t="shared" si="1316"/>
        <v/>
      </c>
      <c r="P226" s="162" t="str">
        <f t="shared" si="1317"/>
        <v/>
      </c>
      <c r="Q226" s="162" t="str">
        <f t="shared" si="1318"/>
        <v/>
      </c>
      <c r="R226" s="162" t="str">
        <f t="shared" si="1313"/>
        <v/>
      </c>
      <c r="S226" s="162" t="str">
        <f t="shared" si="1309"/>
        <v/>
      </c>
      <c r="T226" s="162" t="str">
        <f t="shared" si="1310"/>
        <v/>
      </c>
      <c r="U226" s="162" t="str">
        <f>IFERROR(IF(ISNUMBER(MATCH($X226,Settings!$AK$28:$AK$36,0)),INDEX(Settings!$AO$14:$AO$36,MATCH($X226,Settings!$AK$14:$AK$36,0))/2,INDEX(Settings!$AM$14:$AM$36,MATCH($X226,Settings!$AK$14:$AK$36,0))/2),"")</f>
        <v/>
      </c>
      <c r="V226" s="162" t="str">
        <f t="shared" si="1319"/>
        <v/>
      </c>
      <c r="W226" s="75"/>
      <c r="X226" s="883" t="str">
        <f t="shared" si="1314"/>
        <v/>
      </c>
      <c r="AK226" s="82" t="str">
        <f t="shared" si="1315"/>
        <v>Y</v>
      </c>
      <c r="AL226" s="419" t="s">
        <v>400</v>
      </c>
    </row>
    <row r="227" spans="2:38" x14ac:dyDescent="0.25">
      <c r="B227" s="650">
        <v>-2.686213751618602</v>
      </c>
      <c r="C227" s="651">
        <v>-1.252602043821023</v>
      </c>
      <c r="D227" s="652">
        <v>-1.1500034684104607E-2</v>
      </c>
      <c r="E227" s="653">
        <v>0.41640426050533763</v>
      </c>
      <c r="F227" s="651">
        <v>-0.87160874331544913</v>
      </c>
      <c r="G227" s="654">
        <v>0.25866134308989119</v>
      </c>
      <c r="H227" s="653">
        <v>0.314</v>
      </c>
      <c r="I227" s="888">
        <v>0.52</v>
      </c>
      <c r="J227" s="892">
        <v>5.1150000000000002</v>
      </c>
      <c r="K227" s="877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683"/>
      <c r="M227" s="880"/>
      <c r="N227" s="31" t="str">
        <f t="shared" si="1312"/>
        <v>Y</v>
      </c>
      <c r="O227" s="162" t="str">
        <f t="shared" si="1316"/>
        <v/>
      </c>
      <c r="P227" s="162" t="str">
        <f t="shared" si="1317"/>
        <v/>
      </c>
      <c r="Q227" s="162" t="str">
        <f t="shared" si="1318"/>
        <v/>
      </c>
      <c r="R227" s="162" t="str">
        <f t="shared" si="1313"/>
        <v/>
      </c>
      <c r="S227" s="162" t="str">
        <f t="shared" si="1309"/>
        <v/>
      </c>
      <c r="T227" s="162" t="str">
        <f t="shared" si="1310"/>
        <v/>
      </c>
      <c r="U227" s="162" t="str">
        <f>IFERROR(IF(ISNUMBER(MATCH($X227,Settings!$AK$28:$AK$36,0)),INDEX(Settings!$AO$14:$AO$36,MATCH($X227,Settings!$AK$14:$AK$36,0))/2,INDEX(Settings!$AM$14:$AM$36,MATCH($X227,Settings!$AK$14:$AK$36,0))/2),"")</f>
        <v/>
      </c>
      <c r="V227" s="162" t="str">
        <f t="shared" si="1319"/>
        <v/>
      </c>
      <c r="W227" s="75"/>
      <c r="X227" s="883" t="str">
        <f t="shared" si="1314"/>
        <v/>
      </c>
      <c r="AK227" s="82" t="str">
        <f t="shared" si="1315"/>
        <v>Y</v>
      </c>
      <c r="AL227" s="419" t="s">
        <v>400</v>
      </c>
    </row>
    <row r="228" spans="2:38" x14ac:dyDescent="0.25">
      <c r="B228" s="650">
        <v>-3.3690421498373446</v>
      </c>
      <c r="C228" s="651">
        <v>-1.5545758894149206</v>
      </c>
      <c r="D228" s="652">
        <v>-4.9000147784445724E-2</v>
      </c>
      <c r="E228" s="653">
        <v>0.36206277132236603</v>
      </c>
      <c r="F228" s="651">
        <v>-0.89471613179638565</v>
      </c>
      <c r="G228" s="654">
        <v>0.26152168767748629</v>
      </c>
      <c r="H228" s="653">
        <v>0.314</v>
      </c>
      <c r="I228" s="888">
        <v>0.52</v>
      </c>
      <c r="J228" s="892">
        <v>5.1210000000000004</v>
      </c>
      <c r="K228" s="877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683"/>
      <c r="M228" s="880"/>
      <c r="N228" s="31" t="str">
        <f t="shared" si="1312"/>
        <v>Y</v>
      </c>
      <c r="O228" s="162" t="str">
        <f t="shared" ref="O228:O259" si="1320">IFERROR(INDEX(B$164:B$305,MATCH($W228,$J$164:$J$305,0)),"")</f>
        <v/>
      </c>
      <c r="P228" s="162" t="str">
        <f t="shared" ref="P228:P259" si="1321">IFERROR(INDEX(C$164:C$305,MATCH($W228,$J$164:$J$305,0)),"")</f>
        <v/>
      </c>
      <c r="Q228" s="162" t="str">
        <f t="shared" ref="Q228:Q259" si="1322">IFERROR(INDEX(D$164:D$305,MATCH($W228,$J$164:$J$305,0)),"")</f>
        <v/>
      </c>
      <c r="R228" s="162" t="str">
        <f t="shared" si="1313"/>
        <v/>
      </c>
      <c r="S228" s="162" t="str">
        <f t="shared" ref="S228:S291" si="1323">IFERROR(IF($L228="Y",-1*INDEX(F$164:F$305,MATCH($W228,$J$164:$J$305,0)),INDEX(F$164:F$305,MATCH($W228,$J$164:$J$305,0))),"")</f>
        <v/>
      </c>
      <c r="T228" s="162" t="str">
        <f t="shared" ref="T228:T291" si="1324">IFERROR(IF($L228="Y",-1*INDEX(G$164:G$305,MATCH($W228,$J$164:$J$305,0)),INDEX(G$164:G$305,MATCH($W228,$J$164:$J$305,0))),"")</f>
        <v/>
      </c>
      <c r="U228" s="162" t="str">
        <f>IFERROR(IF(ISNUMBER(MATCH($X228,Settings!$AK$28:$AK$36,0)),INDEX(Settings!$AO$14:$AO$36,MATCH($X228,Settings!$AK$14:$AK$36,0))/2,INDEX(Settings!$AM$14:$AM$36,MATCH($X228,Settings!$AK$14:$AK$36,0))/2),"")</f>
        <v/>
      </c>
      <c r="V228" s="162" t="str">
        <f t="shared" ref="V228:V259" si="1325">IFERROR(INDEX(I$164:I$305,MATCH($W228,$J$164:$J$305,0)),"")</f>
        <v/>
      </c>
      <c r="W228" s="75"/>
      <c r="X228" s="883" t="str">
        <f t="shared" si="1314"/>
        <v/>
      </c>
      <c r="AK228" s="82" t="str">
        <f t="shared" si="1315"/>
        <v>Y</v>
      </c>
      <c r="AL228" s="419" t="s">
        <v>400</v>
      </c>
    </row>
    <row r="229" spans="2:38" x14ac:dyDescent="0.25">
      <c r="B229" s="650">
        <v>-4.0278702988579989</v>
      </c>
      <c r="C229" s="651">
        <v>-1.8059734302044208</v>
      </c>
      <c r="D229" s="652">
        <v>-0.30050090631073345</v>
      </c>
      <c r="E229" s="653">
        <v>0.28275424687306594</v>
      </c>
      <c r="F229" s="651">
        <v>-0.92400895697448393</v>
      </c>
      <c r="G229" s="654">
        <v>0.25740528997316997</v>
      </c>
      <c r="H229" s="653">
        <v>0.314</v>
      </c>
      <c r="I229" s="888">
        <v>0.52</v>
      </c>
      <c r="J229" s="892">
        <v>5.1269999999999998</v>
      </c>
      <c r="K229" s="877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683"/>
      <c r="M229" s="880"/>
      <c r="N229" s="31" t="str">
        <f t="shared" ref="N229:N247" si="1326">IF(M229="Y","N","Y")</f>
        <v>Y</v>
      </c>
      <c r="O229" s="162" t="str">
        <f t="shared" si="1320"/>
        <v/>
      </c>
      <c r="P229" s="162" t="str">
        <f t="shared" si="1321"/>
        <v/>
      </c>
      <c r="Q229" s="162" t="str">
        <f t="shared" si="1322"/>
        <v/>
      </c>
      <c r="R229" s="162" t="str">
        <f t="shared" ref="R229:R292" si="1327">IFERROR(IF($L229="Y",-1*INDEX(E$164:E$305,MATCH($W229,$J$164:$J$305,0)),INDEX(E$164:E$305,MATCH($W229,$J$164:$J$305,0))),"")</f>
        <v/>
      </c>
      <c r="S229" s="162" t="str">
        <f t="shared" si="1323"/>
        <v/>
      </c>
      <c r="T229" s="162" t="str">
        <f t="shared" si="1324"/>
        <v/>
      </c>
      <c r="U229" s="162" t="str">
        <f>IFERROR(IF(ISNUMBER(MATCH($X229,Settings!$AK$28:$AK$36,0)),INDEX(Settings!$AO$14:$AO$36,MATCH($X229,Settings!$AK$14:$AK$36,0))/2,INDEX(Settings!$AM$14:$AM$36,MATCH($X229,Settings!$AK$14:$AK$36,0))/2),"")</f>
        <v/>
      </c>
      <c r="V229" s="162" t="str">
        <f t="shared" si="1325"/>
        <v/>
      </c>
      <c r="W229" s="75"/>
      <c r="X229" s="883" t="str">
        <f t="shared" ref="X229:X292" si="1328">IFERROR(INDEX(K$164:K$305,MATCH($W229,$J$164:$J$305,0)),"")</f>
        <v/>
      </c>
      <c r="AK229" s="82" t="str">
        <f t="shared" ref="AK229:AK256" si="1329">IF(M229="","Y","")</f>
        <v>Y</v>
      </c>
      <c r="AL229" s="419" t="s">
        <v>400</v>
      </c>
    </row>
    <row r="230" spans="2:38" x14ac:dyDescent="0.25">
      <c r="B230" s="650">
        <v>-4.6036389247304133</v>
      </c>
      <c r="C230" s="651">
        <v>-1.9959894315721809</v>
      </c>
      <c r="D230" s="652">
        <v>-0.74170223697394688</v>
      </c>
      <c r="E230" s="653">
        <v>0.1960788185322172</v>
      </c>
      <c r="F230" s="651">
        <v>-0.95158624882883425</v>
      </c>
      <c r="G230" s="654">
        <v>0.23672073834558244</v>
      </c>
      <c r="H230" s="653">
        <v>0.314</v>
      </c>
      <c r="I230" s="888">
        <v>0.52</v>
      </c>
      <c r="J230" s="892">
        <v>5.133</v>
      </c>
      <c r="K230" s="877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683"/>
      <c r="M230" s="880"/>
      <c r="N230" s="31" t="str">
        <f t="shared" si="1326"/>
        <v>Y</v>
      </c>
      <c r="O230" s="162" t="str">
        <f t="shared" si="1320"/>
        <v/>
      </c>
      <c r="P230" s="162" t="str">
        <f t="shared" si="1321"/>
        <v/>
      </c>
      <c r="Q230" s="162" t="str">
        <f t="shared" si="1322"/>
        <v/>
      </c>
      <c r="R230" s="162" t="str">
        <f t="shared" si="1327"/>
        <v/>
      </c>
      <c r="S230" s="162" t="str">
        <f t="shared" si="1323"/>
        <v/>
      </c>
      <c r="T230" s="162" t="str">
        <f t="shared" si="1324"/>
        <v/>
      </c>
      <c r="U230" s="162" t="str">
        <f>IFERROR(IF(ISNUMBER(MATCH($X230,Settings!$AK$28:$AK$36,0)),INDEX(Settings!$AO$14:$AO$36,MATCH($X230,Settings!$AK$14:$AK$36,0))/2,INDEX(Settings!$AM$14:$AM$36,MATCH($X230,Settings!$AK$14:$AK$36,0))/2),"")</f>
        <v/>
      </c>
      <c r="V230" s="162" t="str">
        <f t="shared" si="1325"/>
        <v/>
      </c>
      <c r="W230" s="75"/>
      <c r="X230" s="883" t="str">
        <f t="shared" si="1328"/>
        <v/>
      </c>
      <c r="AK230" s="82" t="str">
        <f t="shared" si="1329"/>
        <v>Y</v>
      </c>
      <c r="AL230" s="419" t="s">
        <v>400</v>
      </c>
    </row>
    <row r="231" spans="2:38" x14ac:dyDescent="0.25">
      <c r="B231" s="650">
        <v>-5.0480439280111007</v>
      </c>
      <c r="C231" s="651">
        <v>-2.1230391165813143</v>
      </c>
      <c r="D231" s="652">
        <v>-1.332304018228919</v>
      </c>
      <c r="E231" s="653">
        <v>8.9853983920771111E-2</v>
      </c>
      <c r="F231" s="651">
        <v>-0.97431510190423998</v>
      </c>
      <c r="G231" s="654">
        <v>0.20648569871760186</v>
      </c>
      <c r="H231" s="653">
        <v>0.314</v>
      </c>
      <c r="I231" s="888">
        <v>0.52</v>
      </c>
      <c r="J231" s="892">
        <v>5.1390000000000002</v>
      </c>
      <c r="K231" s="877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683"/>
      <c r="M231" s="880"/>
      <c r="N231" s="31" t="str">
        <f t="shared" si="1326"/>
        <v>Y</v>
      </c>
      <c r="O231" s="162" t="str">
        <f t="shared" si="1320"/>
        <v/>
      </c>
      <c r="P231" s="162" t="str">
        <f t="shared" si="1321"/>
        <v/>
      </c>
      <c r="Q231" s="162" t="str">
        <f t="shared" si="1322"/>
        <v/>
      </c>
      <c r="R231" s="162" t="str">
        <f t="shared" si="1327"/>
        <v/>
      </c>
      <c r="S231" s="162" t="str">
        <f t="shared" si="1323"/>
        <v/>
      </c>
      <c r="T231" s="162" t="str">
        <f t="shared" si="1324"/>
        <v/>
      </c>
      <c r="U231" s="162" t="str">
        <f>IFERROR(IF(ISNUMBER(MATCH($X231,Settings!$AK$28:$AK$36,0)),INDEX(Settings!$AO$14:$AO$36,MATCH($X231,Settings!$AK$14:$AK$36,0))/2,INDEX(Settings!$AM$14:$AM$36,MATCH($X231,Settings!$AK$14:$AK$36,0))/2),"")</f>
        <v/>
      </c>
      <c r="V231" s="162" t="str">
        <f t="shared" si="1325"/>
        <v/>
      </c>
      <c r="W231" s="75"/>
      <c r="X231" s="883" t="str">
        <f t="shared" si="1328"/>
        <v/>
      </c>
      <c r="AK231" s="82" t="str">
        <f t="shared" si="1329"/>
        <v>Y</v>
      </c>
      <c r="AL231" s="419" t="s">
        <v>400</v>
      </c>
    </row>
    <row r="232" spans="2:38" x14ac:dyDescent="0.25">
      <c r="B232" s="650">
        <v>-5.3257710201636774</v>
      </c>
      <c r="C232" s="651">
        <v>-2.1951244513170249</v>
      </c>
      <c r="D232" s="652">
        <v>-2.0241061047040119</v>
      </c>
      <c r="E232" s="653">
        <v>-8.5546144907159907E-3</v>
      </c>
      <c r="F232" s="651">
        <v>-0.99008596714351482</v>
      </c>
      <c r="G232" s="654">
        <v>0.14020198371066714</v>
      </c>
      <c r="H232" s="653">
        <v>0.314</v>
      </c>
      <c r="I232" s="888">
        <v>0.52</v>
      </c>
      <c r="J232" s="892">
        <v>5.1449999999999996</v>
      </c>
      <c r="K232" s="877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683"/>
      <c r="M232" s="880"/>
      <c r="N232" s="31" t="str">
        <f t="shared" si="1326"/>
        <v>Y</v>
      </c>
      <c r="O232" s="162" t="str">
        <f t="shared" si="1320"/>
        <v/>
      </c>
      <c r="P232" s="162" t="str">
        <f t="shared" si="1321"/>
        <v/>
      </c>
      <c r="Q232" s="162" t="str">
        <f t="shared" si="1322"/>
        <v/>
      </c>
      <c r="R232" s="162" t="str">
        <f t="shared" si="1327"/>
        <v/>
      </c>
      <c r="S232" s="162" t="str">
        <f t="shared" si="1323"/>
        <v/>
      </c>
      <c r="T232" s="162" t="str">
        <f t="shared" si="1324"/>
        <v/>
      </c>
      <c r="U232" s="162" t="str">
        <f>IFERROR(IF(ISNUMBER(MATCH($X232,Settings!$AK$28:$AK$36,0)),INDEX(Settings!$AO$14:$AO$36,MATCH($X232,Settings!$AK$14:$AK$36,0))/2,INDEX(Settings!$AM$14:$AM$36,MATCH($X232,Settings!$AK$14:$AK$36,0))/2),"")</f>
        <v/>
      </c>
      <c r="V232" s="162" t="str">
        <f t="shared" si="1325"/>
        <v/>
      </c>
      <c r="W232" s="75"/>
      <c r="X232" s="883" t="str">
        <f t="shared" si="1328"/>
        <v/>
      </c>
      <c r="AK232" s="82" t="str">
        <f t="shared" si="1329"/>
        <v>Y</v>
      </c>
      <c r="AL232" s="419" t="s">
        <v>400</v>
      </c>
    </row>
    <row r="233" spans="2:38" x14ac:dyDescent="0.25">
      <c r="B233" s="650">
        <v>-5.4177434813472773</v>
      </c>
      <c r="C233" s="651">
        <v>-2.2175613370927016</v>
      </c>
      <c r="D233" s="652">
        <v>-2.7500082940250152</v>
      </c>
      <c r="E233" s="653">
        <v>-0.1329170445864542</v>
      </c>
      <c r="F233" s="651">
        <v>-0.99016868238880773</v>
      </c>
      <c r="G233" s="654">
        <v>4.3577972357774962E-2</v>
      </c>
      <c r="H233" s="653">
        <v>0.314</v>
      </c>
      <c r="I233" s="888">
        <v>0.52</v>
      </c>
      <c r="J233" s="892">
        <v>5.1509999999999998</v>
      </c>
      <c r="K233" s="877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1613</v>
      </c>
      <c r="L233" s="683"/>
      <c r="M233" s="880"/>
      <c r="N233" s="31" t="str">
        <f t="shared" si="1326"/>
        <v>Y</v>
      </c>
      <c r="O233" s="162" t="str">
        <f t="shared" si="1320"/>
        <v/>
      </c>
      <c r="P233" s="162" t="str">
        <f t="shared" si="1321"/>
        <v/>
      </c>
      <c r="Q233" s="162" t="str">
        <f t="shared" si="1322"/>
        <v/>
      </c>
      <c r="R233" s="162" t="str">
        <f t="shared" si="1327"/>
        <v/>
      </c>
      <c r="S233" s="162" t="str">
        <f t="shared" si="1323"/>
        <v/>
      </c>
      <c r="T233" s="162" t="str">
        <f t="shared" si="1324"/>
        <v/>
      </c>
      <c r="U233" s="162" t="str">
        <f>IFERROR(IF(ISNUMBER(MATCH($X233,Settings!$AK$28:$AK$36,0)),INDEX(Settings!$AO$14:$AO$36,MATCH($X233,Settings!$AK$14:$AK$36,0))/2,INDEX(Settings!$AM$14:$AM$36,MATCH($X233,Settings!$AK$14:$AK$36,0))/2),"")</f>
        <v/>
      </c>
      <c r="V233" s="162" t="str">
        <f t="shared" si="1325"/>
        <v/>
      </c>
      <c r="W233" s="75"/>
      <c r="X233" s="883" t="str">
        <f t="shared" si="1328"/>
        <v/>
      </c>
      <c r="AK233" s="82" t="str">
        <f t="shared" si="1329"/>
        <v>Y</v>
      </c>
      <c r="AL233" s="419" t="s">
        <v>400</v>
      </c>
    </row>
    <row r="234" spans="2:38" x14ac:dyDescent="0.25">
      <c r="B234" s="650">
        <v>-5.4424338462570034</v>
      </c>
      <c r="C234" s="651">
        <v>-2.2232326265845161</v>
      </c>
      <c r="D234" s="652">
        <v>-3.5292106440993027</v>
      </c>
      <c r="E234" s="653">
        <v>-0.13360828018574053</v>
      </c>
      <c r="F234" s="651">
        <v>-0.9900756475093172</v>
      </c>
      <c r="G234" s="654">
        <v>4.3577972357775017E-2</v>
      </c>
      <c r="H234" s="653">
        <v>0.314</v>
      </c>
      <c r="I234" s="888">
        <v>0.52</v>
      </c>
      <c r="J234" s="892">
        <v>5.157</v>
      </c>
      <c r="K234" s="877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1613</v>
      </c>
      <c r="L234" s="683"/>
      <c r="M234" s="880"/>
      <c r="N234" s="31" t="str">
        <f t="shared" si="1326"/>
        <v>Y</v>
      </c>
      <c r="O234" s="162" t="str">
        <f t="shared" si="1320"/>
        <v/>
      </c>
      <c r="P234" s="162" t="str">
        <f t="shared" si="1321"/>
        <v/>
      </c>
      <c r="Q234" s="162" t="str">
        <f t="shared" si="1322"/>
        <v/>
      </c>
      <c r="R234" s="162" t="str">
        <f t="shared" si="1327"/>
        <v/>
      </c>
      <c r="S234" s="162" t="str">
        <f t="shared" si="1323"/>
        <v/>
      </c>
      <c r="T234" s="162" t="str">
        <f t="shared" si="1324"/>
        <v/>
      </c>
      <c r="U234" s="162" t="str">
        <f>IFERROR(IF(ISNUMBER(MATCH($X234,Settings!$AK$28:$AK$36,0)),INDEX(Settings!$AO$14:$AO$36,MATCH($X234,Settings!$AK$14:$AK$36,0))/2,INDEX(Settings!$AM$14:$AM$36,MATCH($X234,Settings!$AK$14:$AK$36,0))/2),"")</f>
        <v/>
      </c>
      <c r="V234" s="162" t="str">
        <f t="shared" si="1325"/>
        <v/>
      </c>
      <c r="W234" s="75"/>
      <c r="X234" s="883" t="str">
        <f t="shared" si="1328"/>
        <v/>
      </c>
      <c r="AK234" s="82" t="str">
        <f t="shared" si="1329"/>
        <v>Y</v>
      </c>
      <c r="AL234" s="419" t="s">
        <v>400</v>
      </c>
    </row>
    <row r="235" spans="2:38" x14ac:dyDescent="0.25">
      <c r="B235" s="650">
        <v>-4.3331908855622556</v>
      </c>
      <c r="C235" s="651">
        <v>-0.95667879391872079</v>
      </c>
      <c r="D235" s="652">
        <v>-0.26987271499664622</v>
      </c>
      <c r="E235" s="653">
        <v>4.9338673664749977E-2</v>
      </c>
      <c r="F235" s="651">
        <v>-0.94193072261528976</v>
      </c>
      <c r="G235" s="654">
        <v>0.33216292549657223</v>
      </c>
      <c r="H235" s="653">
        <v>0.26600000000000001</v>
      </c>
      <c r="I235" s="888">
        <v>0.52</v>
      </c>
      <c r="J235" s="892">
        <v>5.2270000000000003</v>
      </c>
      <c r="K235" s="877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683"/>
      <c r="M235" s="880" t="s">
        <v>9</v>
      </c>
      <c r="N235" s="31" t="str">
        <f t="shared" si="1326"/>
        <v>N</v>
      </c>
      <c r="O235" s="162" t="str">
        <f t="shared" si="1320"/>
        <v/>
      </c>
      <c r="P235" s="162" t="str">
        <f t="shared" si="1321"/>
        <v/>
      </c>
      <c r="Q235" s="162" t="str">
        <f t="shared" si="1322"/>
        <v/>
      </c>
      <c r="R235" s="162" t="str">
        <f t="shared" si="1327"/>
        <v/>
      </c>
      <c r="S235" s="162" t="str">
        <f t="shared" si="1323"/>
        <v/>
      </c>
      <c r="T235" s="162" t="str">
        <f t="shared" si="1324"/>
        <v/>
      </c>
      <c r="U235" s="162" t="str">
        <f>IFERROR(IF(ISNUMBER(MATCH($X235,Settings!$AK$28:$AK$36,0)),INDEX(Settings!$AO$14:$AO$36,MATCH($X235,Settings!$AK$14:$AK$36,0))/2,INDEX(Settings!$AM$14:$AM$36,MATCH($X235,Settings!$AK$14:$AK$36,0))/2),"")</f>
        <v/>
      </c>
      <c r="V235" s="162" t="str">
        <f t="shared" si="1325"/>
        <v/>
      </c>
      <c r="W235" s="75"/>
      <c r="X235" s="883" t="str">
        <f t="shared" si="1328"/>
        <v/>
      </c>
      <c r="AK235" s="82" t="str">
        <f t="shared" si="1329"/>
        <v/>
      </c>
      <c r="AL235" s="419" t="s">
        <v>400</v>
      </c>
    </row>
    <row r="236" spans="2:38" x14ac:dyDescent="0.25">
      <c r="B236" s="650">
        <v>-4.9277004210549746</v>
      </c>
      <c r="C236" s="651">
        <v>-1.1197623869608309</v>
      </c>
      <c r="D236" s="652">
        <v>-0.71806337123570452</v>
      </c>
      <c r="E236" s="653">
        <v>-4.0939383075620783E-2</v>
      </c>
      <c r="F236" s="651">
        <v>-0.95327491546511189</v>
      </c>
      <c r="G236" s="654">
        <v>0.29931739417944198</v>
      </c>
      <c r="H236" s="653">
        <v>0.26600000000000001</v>
      </c>
      <c r="I236" s="888">
        <v>0.52</v>
      </c>
      <c r="J236" s="892">
        <v>5.2329999999999997</v>
      </c>
      <c r="K236" s="877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1313</v>
      </c>
      <c r="L236" s="683"/>
      <c r="M236" s="880" t="s">
        <v>9</v>
      </c>
      <c r="N236" s="31" t="str">
        <f t="shared" si="1326"/>
        <v>N</v>
      </c>
      <c r="O236" s="162" t="str">
        <f t="shared" si="1320"/>
        <v/>
      </c>
      <c r="P236" s="162" t="str">
        <f t="shared" si="1321"/>
        <v/>
      </c>
      <c r="Q236" s="162" t="str">
        <f t="shared" si="1322"/>
        <v/>
      </c>
      <c r="R236" s="162" t="str">
        <f t="shared" si="1327"/>
        <v/>
      </c>
      <c r="S236" s="162" t="str">
        <f t="shared" si="1323"/>
        <v/>
      </c>
      <c r="T236" s="162" t="str">
        <f t="shared" si="1324"/>
        <v/>
      </c>
      <c r="U236" s="162" t="str">
        <f>IFERROR(IF(ISNUMBER(MATCH($X236,Settings!$AK$28:$AK$36,0)),INDEX(Settings!$AO$14:$AO$36,MATCH($X236,Settings!$AK$14:$AK$36,0))/2,INDEX(Settings!$AM$14:$AM$36,MATCH($X236,Settings!$AK$14:$AK$36,0))/2),"")</f>
        <v/>
      </c>
      <c r="V236" s="162" t="str">
        <f t="shared" si="1325"/>
        <v/>
      </c>
      <c r="W236" s="75"/>
      <c r="X236" s="883" t="str">
        <f t="shared" si="1328"/>
        <v/>
      </c>
      <c r="AK236" s="82" t="str">
        <f t="shared" si="1329"/>
        <v/>
      </c>
      <c r="AL236" s="419" t="s">
        <v>400</v>
      </c>
    </row>
    <row r="237" spans="2:38" x14ac:dyDescent="0.25">
      <c r="B237" s="650">
        <v>-5.385909135524968</v>
      </c>
      <c r="C237" s="651">
        <v>-1.2177584847284437</v>
      </c>
      <c r="D237" s="652">
        <v>-1.3193131620554261</v>
      </c>
      <c r="E237" s="653">
        <v>-0.15345857405904179</v>
      </c>
      <c r="F237" s="651">
        <v>-0.95539291267967663</v>
      </c>
      <c r="G237" s="654">
        <v>0.25233875732675204</v>
      </c>
      <c r="H237" s="653">
        <v>0.26600000000000001</v>
      </c>
      <c r="I237" s="888">
        <v>0.52</v>
      </c>
      <c r="J237" s="892">
        <v>5.2389999999999999</v>
      </c>
      <c r="K237" s="877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683"/>
      <c r="M237" s="880" t="s">
        <v>9</v>
      </c>
      <c r="N237" s="31" t="str">
        <f t="shared" si="1326"/>
        <v>N</v>
      </c>
      <c r="O237" s="162" t="str">
        <f t="shared" si="1320"/>
        <v/>
      </c>
      <c r="P237" s="162" t="str">
        <f t="shared" si="1321"/>
        <v/>
      </c>
      <c r="Q237" s="162" t="str">
        <f t="shared" si="1322"/>
        <v/>
      </c>
      <c r="R237" s="162" t="str">
        <f t="shared" si="1327"/>
        <v/>
      </c>
      <c r="S237" s="162" t="str">
        <f t="shared" si="1323"/>
        <v/>
      </c>
      <c r="T237" s="162" t="str">
        <f t="shared" si="1324"/>
        <v/>
      </c>
      <c r="U237" s="162" t="str">
        <f>IFERROR(IF(ISNUMBER(MATCH($X237,Settings!$AK$28:$AK$36,0)),INDEX(Settings!$AO$14:$AO$36,MATCH($X237,Settings!$AK$14:$AK$36,0))/2,INDEX(Settings!$AM$14:$AM$36,MATCH($X237,Settings!$AK$14:$AK$36,0))/2),"")</f>
        <v/>
      </c>
      <c r="V237" s="162" t="str">
        <f t="shared" si="1325"/>
        <v/>
      </c>
      <c r="W237" s="75"/>
      <c r="X237" s="883" t="str">
        <f t="shared" si="1328"/>
        <v/>
      </c>
      <c r="AK237" s="82" t="str">
        <f t="shared" si="1329"/>
        <v/>
      </c>
      <c r="AL237" s="419" t="s">
        <v>9</v>
      </c>
    </row>
    <row r="238" spans="2:38" x14ac:dyDescent="0.25">
      <c r="B238" s="650">
        <v>-5.6746109332845025</v>
      </c>
      <c r="C238" s="651">
        <v>-1.2597417265398689</v>
      </c>
      <c r="D238" s="652">
        <v>-2.0243555734880503</v>
      </c>
      <c r="E238" s="653">
        <v>-0.25836289651580396</v>
      </c>
      <c r="F238" s="651">
        <v>-0.95152880063387213</v>
      </c>
      <c r="G238" s="654">
        <v>0.16685788943957339</v>
      </c>
      <c r="H238" s="653">
        <v>0.26600000000000001</v>
      </c>
      <c r="I238" s="888">
        <v>0.52</v>
      </c>
      <c r="J238" s="892">
        <v>5.2450000000000001</v>
      </c>
      <c r="K238" s="877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1313</v>
      </c>
      <c r="L238" s="683"/>
      <c r="M238" s="880" t="s">
        <v>9</v>
      </c>
      <c r="N238" s="31" t="str">
        <f t="shared" si="1326"/>
        <v>N</v>
      </c>
      <c r="O238" s="162" t="str">
        <f t="shared" si="1320"/>
        <v/>
      </c>
      <c r="P238" s="162" t="str">
        <f t="shared" si="1321"/>
        <v/>
      </c>
      <c r="Q238" s="162" t="str">
        <f t="shared" si="1322"/>
        <v/>
      </c>
      <c r="R238" s="162" t="str">
        <f t="shared" si="1327"/>
        <v/>
      </c>
      <c r="S238" s="162" t="str">
        <f t="shared" si="1323"/>
        <v/>
      </c>
      <c r="T238" s="162" t="str">
        <f t="shared" si="1324"/>
        <v/>
      </c>
      <c r="U238" s="162" t="str">
        <f>IFERROR(IF(ISNUMBER(MATCH($X238,Settings!$AK$28:$AK$36,0)),INDEX(Settings!$AO$14:$AO$36,MATCH($X238,Settings!$AK$14:$AK$36,0))/2,INDEX(Settings!$AM$14:$AM$36,MATCH($X238,Settings!$AK$14:$AK$36,0))/2),"")</f>
        <v/>
      </c>
      <c r="V238" s="162" t="str">
        <f t="shared" si="1325"/>
        <v/>
      </c>
      <c r="W238" s="75"/>
      <c r="X238" s="883" t="str">
        <f t="shared" si="1328"/>
        <v/>
      </c>
      <c r="AK238" s="82" t="str">
        <f t="shared" si="1329"/>
        <v/>
      </c>
      <c r="AL238" s="419" t="s">
        <v>9</v>
      </c>
    </row>
    <row r="239" spans="2:38" x14ac:dyDescent="0.25">
      <c r="B239" s="650">
        <v>-5.7761687125889694</v>
      </c>
      <c r="C239" s="651">
        <v>-0.98526358952870086</v>
      </c>
      <c r="D239" s="652">
        <v>-2.7590202206706991</v>
      </c>
      <c r="E239" s="653">
        <v>-0.98201108049662211</v>
      </c>
      <c r="F239" s="651">
        <v>-0.16750545392109789</v>
      </c>
      <c r="G239" s="654">
        <v>8.7155956127758727E-2</v>
      </c>
      <c r="H239" s="653">
        <v>0.25700000000000001</v>
      </c>
      <c r="I239" s="888">
        <v>0.41499999999999992</v>
      </c>
      <c r="J239" s="892">
        <v>5.2510000000000003</v>
      </c>
      <c r="K239" s="877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CPS-32193r1</v>
      </c>
      <c r="L239" s="683"/>
      <c r="M239" s="880" t="s">
        <v>9</v>
      </c>
      <c r="N239" s="31" t="str">
        <f t="shared" si="1326"/>
        <v>N</v>
      </c>
      <c r="O239" s="162" t="str">
        <f t="shared" si="1320"/>
        <v/>
      </c>
      <c r="P239" s="162" t="str">
        <f t="shared" si="1321"/>
        <v/>
      </c>
      <c r="Q239" s="162" t="str">
        <f t="shared" si="1322"/>
        <v/>
      </c>
      <c r="R239" s="162" t="str">
        <f t="shared" si="1327"/>
        <v/>
      </c>
      <c r="S239" s="162" t="str">
        <f t="shared" si="1323"/>
        <v/>
      </c>
      <c r="T239" s="162" t="str">
        <f t="shared" si="1324"/>
        <v/>
      </c>
      <c r="U239" s="162" t="str">
        <f>IFERROR(IF(ISNUMBER(MATCH($X239,Settings!$AK$28:$AK$36,0)),INDEX(Settings!$AO$14:$AO$36,MATCH($X239,Settings!$AK$14:$AK$36,0))/2,INDEX(Settings!$AM$14:$AM$36,MATCH($X239,Settings!$AK$14:$AK$36,0))/2),"")</f>
        <v/>
      </c>
      <c r="V239" s="162" t="str">
        <f t="shared" si="1325"/>
        <v/>
      </c>
      <c r="W239" s="75"/>
      <c r="X239" s="883" t="str">
        <f t="shared" si="1328"/>
        <v/>
      </c>
      <c r="AK239" s="82" t="str">
        <f t="shared" si="1329"/>
        <v/>
      </c>
      <c r="AL239" s="419" t="s">
        <v>9</v>
      </c>
    </row>
    <row r="240" spans="2:38" x14ac:dyDescent="0.25">
      <c r="B240" s="650">
        <v>-5.8058966469757394</v>
      </c>
      <c r="C240" s="651">
        <v>-0.95907793587296086</v>
      </c>
      <c r="D240" s="652">
        <v>-3.5383119278406125</v>
      </c>
      <c r="E240" s="653">
        <v>-0.98287469023238738</v>
      </c>
      <c r="F240" s="651">
        <v>-0.16236138643991896</v>
      </c>
      <c r="G240" s="654">
        <v>8.7155742747657847E-2</v>
      </c>
      <c r="H240" s="653">
        <v>0.25700000000000001</v>
      </c>
      <c r="I240" s="888">
        <v>0.41499999999999992</v>
      </c>
      <c r="J240" s="892">
        <v>5.2569999999999997</v>
      </c>
      <c r="K240" s="877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CPS-32193r1</v>
      </c>
      <c r="L240" s="683"/>
      <c r="M240" s="880" t="s">
        <v>9</v>
      </c>
      <c r="N240" s="31" t="str">
        <f t="shared" si="1326"/>
        <v>N</v>
      </c>
      <c r="O240" s="162" t="str">
        <f t="shared" si="1320"/>
        <v/>
      </c>
      <c r="P240" s="162" t="str">
        <f t="shared" si="1321"/>
        <v/>
      </c>
      <c r="Q240" s="162" t="str">
        <f t="shared" si="1322"/>
        <v/>
      </c>
      <c r="R240" s="162" t="str">
        <f t="shared" si="1327"/>
        <v/>
      </c>
      <c r="S240" s="162" t="str">
        <f t="shared" si="1323"/>
        <v/>
      </c>
      <c r="T240" s="162" t="str">
        <f t="shared" si="1324"/>
        <v/>
      </c>
      <c r="U240" s="162" t="str">
        <f>IFERROR(IF(ISNUMBER(MATCH($X240,Settings!$AK$28:$AK$36,0)),INDEX(Settings!$AO$14:$AO$36,MATCH($X240,Settings!$AK$14:$AK$36,0))/2,INDEX(Settings!$AM$14:$AM$36,MATCH($X240,Settings!$AK$14:$AK$36,0))/2),"")</f>
        <v/>
      </c>
      <c r="V240" s="162" t="str">
        <f t="shared" si="1325"/>
        <v/>
      </c>
      <c r="W240" s="75"/>
      <c r="X240" s="883" t="str">
        <f t="shared" si="1328"/>
        <v/>
      </c>
      <c r="AK240" s="82" t="str">
        <f t="shared" si="1329"/>
        <v/>
      </c>
      <c r="AL240" s="419" t="s">
        <v>9</v>
      </c>
    </row>
    <row r="241" spans="2:38" x14ac:dyDescent="0.25">
      <c r="B241" s="650">
        <v>-2.3261530758451263</v>
      </c>
      <c r="C241" s="651">
        <v>1.6287899187364601</v>
      </c>
      <c r="D241" s="652">
        <v>-2.5700077511433706E-2</v>
      </c>
      <c r="E241" s="653">
        <v>-0.54293644339959091</v>
      </c>
      <c r="F241" s="651">
        <v>-0.79900952486795174</v>
      </c>
      <c r="G241" s="654">
        <v>0.25846430623761785</v>
      </c>
      <c r="H241" s="653">
        <v>0.314</v>
      </c>
      <c r="I241" s="888">
        <v>0.52</v>
      </c>
      <c r="J241" s="892">
        <v>6.1139999999999999</v>
      </c>
      <c r="K241" s="877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683"/>
      <c r="M241" s="880"/>
      <c r="N241" s="31" t="str">
        <f t="shared" si="1326"/>
        <v>Y</v>
      </c>
      <c r="O241" s="162" t="str">
        <f t="shared" si="1320"/>
        <v/>
      </c>
      <c r="P241" s="162" t="str">
        <f t="shared" si="1321"/>
        <v/>
      </c>
      <c r="Q241" s="162" t="str">
        <f t="shared" si="1322"/>
        <v/>
      </c>
      <c r="R241" s="162" t="str">
        <f t="shared" si="1327"/>
        <v/>
      </c>
      <c r="S241" s="162" t="str">
        <f t="shared" si="1323"/>
        <v/>
      </c>
      <c r="T241" s="162" t="str">
        <f t="shared" si="1324"/>
        <v/>
      </c>
      <c r="U241" s="162" t="str">
        <f>IFERROR(IF(ISNUMBER(MATCH($X241,Settings!$AK$28:$AK$36,0)),INDEX(Settings!$AO$14:$AO$36,MATCH($X241,Settings!$AK$14:$AK$36,0))/2,INDEX(Settings!$AM$14:$AM$36,MATCH($X241,Settings!$AK$14:$AK$36,0))/2),"")</f>
        <v/>
      </c>
      <c r="V241" s="162" t="str">
        <f t="shared" si="1325"/>
        <v/>
      </c>
      <c r="W241" s="75"/>
      <c r="X241" s="883" t="str">
        <f t="shared" si="1328"/>
        <v/>
      </c>
      <c r="AK241" s="82" t="str">
        <f t="shared" si="1329"/>
        <v>Y</v>
      </c>
      <c r="AL241" s="419" t="s">
        <v>9</v>
      </c>
    </row>
    <row r="242" spans="2:38" x14ac:dyDescent="0.25">
      <c r="B242" s="650">
        <v>-2.9327956470919827</v>
      </c>
      <c r="C242" s="651">
        <v>2.0657949091999219</v>
      </c>
      <c r="D242" s="652">
        <v>-2.7600083241851057E-2</v>
      </c>
      <c r="E242" s="653">
        <v>-0.58360991290008557</v>
      </c>
      <c r="F242" s="651">
        <v>-0.76873713134500132</v>
      </c>
      <c r="G242" s="654">
        <v>0.26161554322366398</v>
      </c>
      <c r="H242" s="653">
        <v>0.314</v>
      </c>
      <c r="I242" s="888">
        <v>0.52</v>
      </c>
      <c r="J242" s="892">
        <v>6.12</v>
      </c>
      <c r="K242" s="877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683"/>
      <c r="M242" s="880"/>
      <c r="N242" s="31" t="str">
        <f t="shared" si="1326"/>
        <v>Y</v>
      </c>
      <c r="O242" s="162" t="str">
        <f t="shared" si="1320"/>
        <v/>
      </c>
      <c r="P242" s="162" t="str">
        <f t="shared" si="1321"/>
        <v/>
      </c>
      <c r="Q242" s="162" t="str">
        <f t="shared" si="1322"/>
        <v/>
      </c>
      <c r="R242" s="162" t="str">
        <f t="shared" si="1327"/>
        <v/>
      </c>
      <c r="S242" s="162" t="str">
        <f t="shared" si="1323"/>
        <v/>
      </c>
      <c r="T242" s="162" t="str">
        <f t="shared" si="1324"/>
        <v/>
      </c>
      <c r="U242" s="162" t="str">
        <f>IFERROR(IF(ISNUMBER(MATCH($X242,Settings!$AK$28:$AK$36,0)),INDEX(Settings!$AO$14:$AO$36,MATCH($X242,Settings!$AK$14:$AK$36,0))/2,INDEX(Settings!$AM$14:$AM$36,MATCH($X242,Settings!$AK$14:$AK$36,0))/2),"")</f>
        <v/>
      </c>
      <c r="V242" s="162" t="str">
        <f t="shared" si="1325"/>
        <v/>
      </c>
      <c r="W242" s="75"/>
      <c r="X242" s="883" t="str">
        <f t="shared" si="1328"/>
        <v/>
      </c>
      <c r="AK242" s="82" t="str">
        <f t="shared" si="1329"/>
        <v>Y</v>
      </c>
      <c r="AL242" s="419" t="s">
        <v>9</v>
      </c>
    </row>
    <row r="243" spans="2:38" x14ac:dyDescent="0.25">
      <c r="B243" s="650">
        <v>-3.4926848419750631</v>
      </c>
      <c r="C243" s="651">
        <v>2.5125227375187058</v>
      </c>
      <c r="D243" s="652">
        <v>-0.24450073741422404</v>
      </c>
      <c r="E243" s="653">
        <v>-0.64768418194285715</v>
      </c>
      <c r="F243" s="651">
        <v>-0.71642694731200063</v>
      </c>
      <c r="G243" s="654">
        <v>0.25930219749593303</v>
      </c>
      <c r="H243" s="653">
        <v>0.314</v>
      </c>
      <c r="I243" s="888">
        <v>0.52</v>
      </c>
      <c r="J243" s="892">
        <v>6.1260000000000003</v>
      </c>
      <c r="K243" s="877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683"/>
      <c r="M243" s="880"/>
      <c r="N243" s="31" t="str">
        <f t="shared" si="1326"/>
        <v>Y</v>
      </c>
      <c r="O243" s="162" t="str">
        <f t="shared" si="1320"/>
        <v/>
      </c>
      <c r="P243" s="162" t="str">
        <f t="shared" si="1321"/>
        <v/>
      </c>
      <c r="Q243" s="162" t="str">
        <f t="shared" si="1322"/>
        <v/>
      </c>
      <c r="R243" s="162" t="str">
        <f t="shared" si="1327"/>
        <v/>
      </c>
      <c r="S243" s="162" t="str">
        <f t="shared" si="1323"/>
        <v/>
      </c>
      <c r="T243" s="162" t="str">
        <f t="shared" si="1324"/>
        <v/>
      </c>
      <c r="U243" s="162" t="str">
        <f>IFERROR(IF(ISNUMBER(MATCH($X243,Settings!$AK$28:$AK$36,0)),INDEX(Settings!$AO$14:$AO$36,MATCH($X243,Settings!$AK$14:$AK$36,0))/2,INDEX(Settings!$AM$14:$AM$36,MATCH($X243,Settings!$AK$14:$AK$36,0))/2),"")</f>
        <v/>
      </c>
      <c r="V243" s="162" t="str">
        <f t="shared" si="1325"/>
        <v/>
      </c>
      <c r="W243" s="75"/>
      <c r="X243" s="883" t="str">
        <f t="shared" si="1328"/>
        <v/>
      </c>
      <c r="AK243" s="82" t="str">
        <f t="shared" si="1329"/>
        <v>Y</v>
      </c>
      <c r="AL243" s="419" t="s">
        <v>9</v>
      </c>
    </row>
    <row r="244" spans="2:38" x14ac:dyDescent="0.25">
      <c r="B244" s="650">
        <v>-3.9625272161437115</v>
      </c>
      <c r="C244" s="651">
        <v>2.9267679927215817</v>
      </c>
      <c r="D244" s="652">
        <v>-0.65660198031157258</v>
      </c>
      <c r="E244" s="653">
        <v>-0.71537078787348019</v>
      </c>
      <c r="F244" s="651">
        <v>-0.65530646523949787</v>
      </c>
      <c r="G244" s="654">
        <v>0.24252437500711371</v>
      </c>
      <c r="H244" s="653">
        <v>0.314</v>
      </c>
      <c r="I244" s="888">
        <v>0.52</v>
      </c>
      <c r="J244" s="892">
        <v>6.1319999999999997</v>
      </c>
      <c r="K244" s="877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683"/>
      <c r="M244" s="880"/>
      <c r="N244" s="31" t="str">
        <f t="shared" si="1326"/>
        <v>Y</v>
      </c>
      <c r="O244" s="162" t="str">
        <f t="shared" si="1320"/>
        <v/>
      </c>
      <c r="P244" s="162" t="str">
        <f t="shared" si="1321"/>
        <v/>
      </c>
      <c r="Q244" s="162" t="str">
        <f t="shared" si="1322"/>
        <v/>
      </c>
      <c r="R244" s="162" t="str">
        <f t="shared" si="1327"/>
        <v/>
      </c>
      <c r="S244" s="162" t="str">
        <f t="shared" si="1323"/>
        <v/>
      </c>
      <c r="T244" s="162" t="str">
        <f t="shared" si="1324"/>
        <v/>
      </c>
      <c r="U244" s="162" t="str">
        <f>IFERROR(IF(ISNUMBER(MATCH($X244,Settings!$AK$28:$AK$36,0)),INDEX(Settings!$AO$14:$AO$36,MATCH($X244,Settings!$AK$14:$AK$36,0))/2,INDEX(Settings!$AM$14:$AM$36,MATCH($X244,Settings!$AK$14:$AK$36,0))/2),"")</f>
        <v/>
      </c>
      <c r="V244" s="162" t="str">
        <f t="shared" si="1325"/>
        <v/>
      </c>
      <c r="W244" s="75"/>
      <c r="X244" s="883" t="str">
        <f t="shared" si="1328"/>
        <v/>
      </c>
      <c r="AK244" s="82" t="str">
        <f t="shared" si="1329"/>
        <v>Y</v>
      </c>
      <c r="AL244" s="419" t="s">
        <v>400</v>
      </c>
    </row>
    <row r="245" spans="2:38" x14ac:dyDescent="0.25">
      <c r="B245" s="650">
        <v>-4.3159789483179045</v>
      </c>
      <c r="C245" s="651">
        <v>3.2641492059204738</v>
      </c>
      <c r="D245" s="652">
        <v>-1.2255036961191477</v>
      </c>
      <c r="E245" s="653">
        <v>-0.78051884206384037</v>
      </c>
      <c r="F245" s="651">
        <v>-0.5908372192746848</v>
      </c>
      <c r="G245" s="654">
        <v>0.20420998384770486</v>
      </c>
      <c r="H245" s="653">
        <v>0.314</v>
      </c>
      <c r="I245" s="888">
        <v>0.52</v>
      </c>
      <c r="J245" s="892">
        <v>6.1379999999999999</v>
      </c>
      <c r="K245" s="877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683"/>
      <c r="M245" s="880"/>
      <c r="N245" s="31" t="str">
        <f t="shared" si="1326"/>
        <v>Y</v>
      </c>
      <c r="O245" s="162" t="str">
        <f t="shared" si="1320"/>
        <v/>
      </c>
      <c r="P245" s="162" t="str">
        <f t="shared" si="1321"/>
        <v/>
      </c>
      <c r="Q245" s="162" t="str">
        <f t="shared" si="1322"/>
        <v/>
      </c>
      <c r="R245" s="162" t="str">
        <f t="shared" si="1327"/>
        <v/>
      </c>
      <c r="S245" s="162" t="str">
        <f t="shared" si="1323"/>
        <v/>
      </c>
      <c r="T245" s="162" t="str">
        <f t="shared" si="1324"/>
        <v/>
      </c>
      <c r="U245" s="162" t="str">
        <f>IFERROR(IF(ISNUMBER(MATCH($X245,Settings!$AK$28:$AK$36,0)),INDEX(Settings!$AO$14:$AO$36,MATCH($X245,Settings!$AK$14:$AK$36,0))/2,INDEX(Settings!$AM$14:$AM$36,MATCH($X245,Settings!$AK$14:$AK$36,0))/2),"")</f>
        <v/>
      </c>
      <c r="V245" s="162" t="str">
        <f t="shared" si="1325"/>
        <v/>
      </c>
      <c r="W245" s="75"/>
      <c r="X245" s="883" t="str">
        <f t="shared" si="1328"/>
        <v/>
      </c>
      <c r="AK245" s="82" t="str">
        <f t="shared" si="1329"/>
        <v>Y</v>
      </c>
      <c r="AL245" s="419" t="s">
        <v>400</v>
      </c>
    </row>
    <row r="246" spans="2:38" x14ac:dyDescent="0.25">
      <c r="B246" s="650">
        <v>-4.5397113049621183</v>
      </c>
      <c r="C246" s="651">
        <v>3.4897414001808635</v>
      </c>
      <c r="D246" s="652">
        <v>-1.9039057421797185</v>
      </c>
      <c r="E246" s="653">
        <v>-0.8494762762305107</v>
      </c>
      <c r="F246" s="651">
        <v>-0.50544787763847132</v>
      </c>
      <c r="G246" s="654">
        <v>0.15136875209999634</v>
      </c>
      <c r="H246" s="653">
        <v>0.314</v>
      </c>
      <c r="I246" s="888">
        <v>0.52</v>
      </c>
      <c r="J246" s="892">
        <v>6.1440000000000001</v>
      </c>
      <c r="K246" s="877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683"/>
      <c r="M246" s="880"/>
      <c r="N246" s="31" t="str">
        <f t="shared" si="1326"/>
        <v>Y</v>
      </c>
      <c r="O246" s="162" t="str">
        <f t="shared" si="1320"/>
        <v/>
      </c>
      <c r="P246" s="162" t="str">
        <f t="shared" si="1321"/>
        <v/>
      </c>
      <c r="Q246" s="162" t="str">
        <f t="shared" si="1322"/>
        <v/>
      </c>
      <c r="R246" s="162" t="str">
        <f t="shared" si="1327"/>
        <v/>
      </c>
      <c r="S246" s="162" t="str">
        <f t="shared" si="1323"/>
        <v/>
      </c>
      <c r="T246" s="162" t="str">
        <f t="shared" si="1324"/>
        <v/>
      </c>
      <c r="U246" s="162" t="str">
        <f>IFERROR(IF(ISNUMBER(MATCH($X246,Settings!$AK$28:$AK$36,0)),INDEX(Settings!$AO$14:$AO$36,MATCH($X246,Settings!$AK$14:$AK$36,0))/2,INDEX(Settings!$AM$14:$AM$36,MATCH($X246,Settings!$AK$14:$AK$36,0))/2),"")</f>
        <v/>
      </c>
      <c r="V246" s="162" t="str">
        <f t="shared" si="1325"/>
        <v/>
      </c>
      <c r="W246" s="75"/>
      <c r="X246" s="883" t="str">
        <f t="shared" si="1328"/>
        <v/>
      </c>
      <c r="AK246" s="82" t="str">
        <f t="shared" si="1329"/>
        <v>Y</v>
      </c>
      <c r="AL246" s="419" t="s">
        <v>400</v>
      </c>
    </row>
    <row r="247" spans="2:38" x14ac:dyDescent="0.25">
      <c r="B247" s="650">
        <v>-4.6277545954400097</v>
      </c>
      <c r="C247" s="651">
        <v>3.581898655268088</v>
      </c>
      <c r="D247" s="652">
        <v>-2.6411079655816243</v>
      </c>
      <c r="E247" s="653">
        <v>-0.9161198567789206</v>
      </c>
      <c r="F247" s="651">
        <v>-0.39584687538397667</v>
      </c>
      <c r="G247" s="654">
        <v>6.347959722708317E-2</v>
      </c>
      <c r="H247" s="653">
        <v>0.314</v>
      </c>
      <c r="I247" s="888">
        <v>0.52</v>
      </c>
      <c r="J247" s="892">
        <v>6.15</v>
      </c>
      <c r="K247" s="877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1613</v>
      </c>
      <c r="L247" s="683"/>
      <c r="M247" s="880"/>
      <c r="N247" s="31" t="str">
        <f t="shared" si="1326"/>
        <v>Y</v>
      </c>
      <c r="O247" s="162" t="str">
        <f t="shared" si="1320"/>
        <v/>
      </c>
      <c r="P247" s="162" t="str">
        <f t="shared" si="1321"/>
        <v/>
      </c>
      <c r="Q247" s="162" t="str">
        <f t="shared" si="1322"/>
        <v/>
      </c>
      <c r="R247" s="162" t="str">
        <f t="shared" si="1327"/>
        <v/>
      </c>
      <c r="S247" s="162" t="str">
        <f t="shared" si="1323"/>
        <v/>
      </c>
      <c r="T247" s="162" t="str">
        <f t="shared" si="1324"/>
        <v/>
      </c>
      <c r="U247" s="162" t="str">
        <f>IFERROR(IF(ISNUMBER(MATCH($X247,Settings!$AK$28:$AK$36,0)),INDEX(Settings!$AO$14:$AO$36,MATCH($X247,Settings!$AK$14:$AK$36,0))/2,INDEX(Settings!$AM$14:$AM$36,MATCH($X247,Settings!$AK$14:$AK$36,0))/2),"")</f>
        <v/>
      </c>
      <c r="V247" s="162" t="str">
        <f t="shared" si="1325"/>
        <v/>
      </c>
      <c r="W247" s="75"/>
      <c r="X247" s="883" t="str">
        <f t="shared" si="1328"/>
        <v/>
      </c>
      <c r="AK247" s="82" t="str">
        <f t="shared" si="1329"/>
        <v>Y</v>
      </c>
      <c r="AL247" s="419" t="s">
        <v>400</v>
      </c>
    </row>
    <row r="248" spans="2:38" x14ac:dyDescent="0.25">
      <c r="B248" s="650">
        <v>-4.646592856273096</v>
      </c>
      <c r="C248" s="651">
        <v>3.6016696559825574</v>
      </c>
      <c r="D248" s="652">
        <v>-3.4042102670981649</v>
      </c>
      <c r="E248" s="653">
        <v>-0.92423480250426615</v>
      </c>
      <c r="F248" s="651">
        <v>-0.37932965895785853</v>
      </c>
      <c r="G248" s="654">
        <v>4.3577972357775677E-2</v>
      </c>
      <c r="H248" s="653">
        <v>0.314</v>
      </c>
      <c r="I248" s="888">
        <v>0.52</v>
      </c>
      <c r="J248" s="892">
        <v>6.1559999999999997</v>
      </c>
      <c r="K248" s="877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1613</v>
      </c>
      <c r="L248" s="683"/>
      <c r="M248" s="880"/>
      <c r="N248" s="31"/>
      <c r="O248" s="162" t="str">
        <f t="shared" si="1320"/>
        <v/>
      </c>
      <c r="P248" s="162" t="str">
        <f t="shared" si="1321"/>
        <v/>
      </c>
      <c r="Q248" s="162" t="str">
        <f t="shared" si="1322"/>
        <v/>
      </c>
      <c r="R248" s="162" t="str">
        <f t="shared" si="1327"/>
        <v/>
      </c>
      <c r="S248" s="162" t="str">
        <f t="shared" si="1323"/>
        <v/>
      </c>
      <c r="T248" s="162" t="str">
        <f t="shared" si="1324"/>
        <v/>
      </c>
      <c r="U248" s="162" t="str">
        <f>IFERROR(IF(ISNUMBER(MATCH($X248,Settings!$AK$28:$AK$36,0)),INDEX(Settings!$AO$14:$AO$36,MATCH($X248,Settings!$AK$14:$AK$36,0))/2,INDEX(Settings!$AM$14:$AM$36,MATCH($X248,Settings!$AK$14:$AK$36,0))/2),"")</f>
        <v/>
      </c>
      <c r="V248" s="162" t="str">
        <f t="shared" si="1325"/>
        <v/>
      </c>
      <c r="W248" s="75"/>
      <c r="X248" s="883" t="str">
        <f t="shared" si="1328"/>
        <v/>
      </c>
      <c r="AK248" s="82" t="str">
        <f t="shared" si="1329"/>
        <v>Y</v>
      </c>
      <c r="AL248" s="419" t="s">
        <v>400</v>
      </c>
    </row>
    <row r="249" spans="2:38" x14ac:dyDescent="0.25">
      <c r="B249" s="650">
        <v>-2.9076286155415056</v>
      </c>
      <c r="C249" s="651">
        <v>3.1999271237853111</v>
      </c>
      <c r="D249" s="652">
        <v>-0.21320258602189013</v>
      </c>
      <c r="E249" s="653">
        <v>-0.78302919815248606</v>
      </c>
      <c r="F249" s="651">
        <v>-0.52367705364305828</v>
      </c>
      <c r="G249" s="654">
        <v>0.33560038487522675</v>
      </c>
      <c r="H249" s="653">
        <v>0.26600000000000001</v>
      </c>
      <c r="I249" s="888">
        <v>0.52</v>
      </c>
      <c r="J249" s="892">
        <v>6.226</v>
      </c>
      <c r="K249" s="877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683"/>
      <c r="M249" s="880" t="s">
        <v>9</v>
      </c>
      <c r="O249" s="162" t="str">
        <f t="shared" si="1320"/>
        <v/>
      </c>
      <c r="P249" s="162" t="str">
        <f t="shared" si="1321"/>
        <v/>
      </c>
      <c r="Q249" s="162" t="str">
        <f t="shared" si="1322"/>
        <v/>
      </c>
      <c r="R249" s="162" t="str">
        <f t="shared" si="1327"/>
        <v/>
      </c>
      <c r="S249" s="162" t="str">
        <f t="shared" si="1323"/>
        <v/>
      </c>
      <c r="T249" s="162" t="str">
        <f t="shared" si="1324"/>
        <v/>
      </c>
      <c r="U249" s="162" t="str">
        <f>IFERROR(IF(ISNUMBER(MATCH($X249,Settings!$AK$28:$AK$36,0)),INDEX(Settings!$AO$14:$AO$36,MATCH($X249,Settings!$AK$14:$AK$36,0))/2,INDEX(Settings!$AM$14:$AM$36,MATCH($X249,Settings!$AK$14:$AK$36,0))/2),"")</f>
        <v/>
      </c>
      <c r="V249" s="162" t="str">
        <f t="shared" si="1325"/>
        <v/>
      </c>
      <c r="W249" s="75"/>
      <c r="X249" s="883" t="str">
        <f t="shared" si="1328"/>
        <v/>
      </c>
      <c r="AK249" s="82" t="str">
        <f t="shared" si="1329"/>
        <v/>
      </c>
      <c r="AL249" s="419" t="s">
        <v>400</v>
      </c>
    </row>
    <row r="250" spans="2:38" x14ac:dyDescent="0.25">
      <c r="B250" s="650">
        <v>-3.3643814364200932</v>
      </c>
      <c r="C250" s="651">
        <v>3.6443573945788863</v>
      </c>
      <c r="D250" s="652">
        <v>-0.63172953741224336</v>
      </c>
      <c r="E250" s="653">
        <v>-0.83737349820610962</v>
      </c>
      <c r="F250" s="651">
        <v>-0.45198258805632657</v>
      </c>
      <c r="G250" s="654">
        <v>0.3074367651989065</v>
      </c>
      <c r="H250" s="653">
        <v>0.26600000000000001</v>
      </c>
      <c r="I250" s="888">
        <v>0.52</v>
      </c>
      <c r="J250" s="892">
        <v>6.2320000000000002</v>
      </c>
      <c r="K250" s="877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1313</v>
      </c>
      <c r="L250" s="683"/>
      <c r="M250" s="880" t="s">
        <v>9</v>
      </c>
      <c r="O250" s="162" t="str">
        <f t="shared" si="1320"/>
        <v/>
      </c>
      <c r="P250" s="162" t="str">
        <f t="shared" si="1321"/>
        <v/>
      </c>
      <c r="Q250" s="162" t="str">
        <f t="shared" si="1322"/>
        <v/>
      </c>
      <c r="R250" s="162" t="str">
        <f t="shared" si="1327"/>
        <v/>
      </c>
      <c r="S250" s="162" t="str">
        <f t="shared" si="1323"/>
        <v/>
      </c>
      <c r="T250" s="162" t="str">
        <f t="shared" si="1324"/>
        <v/>
      </c>
      <c r="U250" s="162" t="str">
        <f>IFERROR(IF(ISNUMBER(MATCH($X250,Settings!$AK$28:$AK$36,0)),INDEX(Settings!$AO$14:$AO$36,MATCH($X250,Settings!$AK$14:$AK$36,0))/2,INDEX(Settings!$AM$14:$AM$36,MATCH($X250,Settings!$AK$14:$AK$36,0))/2),"")</f>
        <v/>
      </c>
      <c r="V250" s="162" t="str">
        <f t="shared" si="1325"/>
        <v/>
      </c>
      <c r="W250" s="75"/>
      <c r="X250" s="883" t="str">
        <f t="shared" si="1328"/>
        <v/>
      </c>
      <c r="AK250" s="82" t="str">
        <f t="shared" si="1329"/>
        <v/>
      </c>
      <c r="AL250" s="419" t="s">
        <v>400</v>
      </c>
    </row>
    <row r="251" spans="2:38" x14ac:dyDescent="0.25">
      <c r="B251" s="650">
        <v>-3.7001678003358047</v>
      </c>
      <c r="C251" s="651">
        <v>4.0086872904472193</v>
      </c>
      <c r="D251" s="652">
        <v>-1.2107174309839794</v>
      </c>
      <c r="E251" s="653">
        <v>-0.89212506303453576</v>
      </c>
      <c r="F251" s="651">
        <v>-0.37402320146086721</v>
      </c>
      <c r="G251" s="654">
        <v>0.25341569934514574</v>
      </c>
      <c r="H251" s="653">
        <v>0.26600000000000001</v>
      </c>
      <c r="I251" s="888">
        <v>0.52</v>
      </c>
      <c r="J251" s="892">
        <v>6.2380000000000004</v>
      </c>
      <c r="K251" s="877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1313</v>
      </c>
      <c r="L251" s="683"/>
      <c r="M251" s="880" t="s">
        <v>9</v>
      </c>
      <c r="O251" s="162" t="str">
        <f t="shared" si="1320"/>
        <v/>
      </c>
      <c r="P251" s="162" t="str">
        <f t="shared" si="1321"/>
        <v/>
      </c>
      <c r="Q251" s="162" t="str">
        <f t="shared" si="1322"/>
        <v/>
      </c>
      <c r="R251" s="162" t="str">
        <f t="shared" si="1327"/>
        <v/>
      </c>
      <c r="S251" s="162" t="str">
        <f t="shared" si="1323"/>
        <v/>
      </c>
      <c r="T251" s="162" t="str">
        <f t="shared" si="1324"/>
        <v/>
      </c>
      <c r="U251" s="162" t="str">
        <f>IFERROR(IF(ISNUMBER(MATCH($X251,Settings!$AK$28:$AK$36,0)),INDEX(Settings!$AO$14:$AO$36,MATCH($X251,Settings!$AK$14:$AK$36,0))/2,INDEX(Settings!$AM$14:$AM$36,MATCH($X251,Settings!$AK$14:$AK$36,0))/2),"")</f>
        <v/>
      </c>
      <c r="V251" s="162" t="str">
        <f t="shared" si="1325"/>
        <v/>
      </c>
      <c r="W251" s="75"/>
      <c r="X251" s="883" t="str">
        <f t="shared" si="1328"/>
        <v/>
      </c>
      <c r="AK251" s="82" t="str">
        <f t="shared" si="1329"/>
        <v/>
      </c>
      <c r="AL251" s="419" t="s">
        <v>400</v>
      </c>
    </row>
    <row r="252" spans="2:38" x14ac:dyDescent="0.25">
      <c r="B252" s="650">
        <v>-3.9036891834531899</v>
      </c>
      <c r="C252" s="651">
        <v>4.2591613444575271</v>
      </c>
      <c r="D252" s="652">
        <v>-1.9018902662438184</v>
      </c>
      <c r="E252" s="653">
        <v>-0.94503395957411473</v>
      </c>
      <c r="F252" s="651">
        <v>-0.27202115946853289</v>
      </c>
      <c r="G252" s="654">
        <v>0.18142575355518181</v>
      </c>
      <c r="H252" s="653">
        <v>0.26600000000000001</v>
      </c>
      <c r="I252" s="888">
        <v>0.52</v>
      </c>
      <c r="J252" s="892">
        <v>6.2439999999999998</v>
      </c>
      <c r="K252" s="877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1313</v>
      </c>
      <c r="L252" s="683"/>
      <c r="M252" s="880" t="s">
        <v>9</v>
      </c>
      <c r="O252" s="162" t="str">
        <f t="shared" si="1320"/>
        <v/>
      </c>
      <c r="P252" s="162" t="str">
        <f t="shared" si="1321"/>
        <v/>
      </c>
      <c r="Q252" s="162" t="str">
        <f t="shared" si="1322"/>
        <v/>
      </c>
      <c r="R252" s="162" t="str">
        <f t="shared" si="1327"/>
        <v/>
      </c>
      <c r="S252" s="162" t="str">
        <f t="shared" si="1323"/>
        <v/>
      </c>
      <c r="T252" s="162" t="str">
        <f t="shared" si="1324"/>
        <v/>
      </c>
      <c r="U252" s="162" t="str">
        <f>IFERROR(IF(ISNUMBER(MATCH($X252,Settings!$AK$28:$AK$36,0)),INDEX(Settings!$AO$14:$AO$36,MATCH($X252,Settings!$AK$14:$AK$36,0))/2,INDEX(Settings!$AM$14:$AM$36,MATCH($X252,Settings!$AK$14:$AK$36,0))/2),"")</f>
        <v/>
      </c>
      <c r="V252" s="162" t="str">
        <f t="shared" si="1325"/>
        <v/>
      </c>
      <c r="W252" s="75"/>
      <c r="X252" s="883" t="str">
        <f t="shared" si="1328"/>
        <v/>
      </c>
      <c r="AK252" s="82" t="str">
        <f t="shared" si="1329"/>
        <v/>
      </c>
      <c r="AL252" s="419" t="s">
        <v>9</v>
      </c>
    </row>
    <row r="253" spans="2:38" x14ac:dyDescent="0.25">
      <c r="B253" s="650">
        <v>-3.7417628676623744</v>
      </c>
      <c r="C253" s="651">
        <v>4.510177529213399</v>
      </c>
      <c r="D253" s="652">
        <v>-2.6495245964754286</v>
      </c>
      <c r="E253" s="653">
        <v>-0.63303674620459693</v>
      </c>
      <c r="F253" s="651">
        <v>0.76303822793613729</v>
      </c>
      <c r="G253" s="654">
        <v>0.13052639833679752</v>
      </c>
      <c r="H253" s="653">
        <v>0.25700000000000001</v>
      </c>
      <c r="I253" s="888">
        <v>0.41499999999999992</v>
      </c>
      <c r="J253" s="892">
        <v>6.25</v>
      </c>
      <c r="K253" s="877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CPS-32193r1</v>
      </c>
      <c r="L253" s="683"/>
      <c r="M253" s="880" t="s">
        <v>9</v>
      </c>
      <c r="O253" s="162" t="str">
        <f t="shared" si="1320"/>
        <v/>
      </c>
      <c r="P253" s="162" t="str">
        <f t="shared" si="1321"/>
        <v/>
      </c>
      <c r="Q253" s="162" t="str">
        <f t="shared" si="1322"/>
        <v/>
      </c>
      <c r="R253" s="162" t="str">
        <f t="shared" si="1327"/>
        <v/>
      </c>
      <c r="S253" s="162" t="str">
        <f t="shared" si="1323"/>
        <v/>
      </c>
      <c r="T253" s="162" t="str">
        <f t="shared" si="1324"/>
        <v/>
      </c>
      <c r="U253" s="162" t="str">
        <f>IFERROR(IF(ISNUMBER(MATCH($X253,Settings!$AK$28:$AK$36,0)),INDEX(Settings!$AO$14:$AO$36,MATCH($X253,Settings!$AK$14:$AK$36,0))/2,INDEX(Settings!$AM$14:$AM$36,MATCH($X253,Settings!$AK$14:$AK$36,0))/2),"")</f>
        <v/>
      </c>
      <c r="V253" s="162" t="str">
        <f t="shared" si="1325"/>
        <v/>
      </c>
      <c r="W253" s="75"/>
      <c r="X253" s="883" t="str">
        <f t="shared" si="1328"/>
        <v/>
      </c>
      <c r="AK253" s="82" t="str">
        <f t="shared" si="1329"/>
        <v/>
      </c>
      <c r="AL253" s="419" t="s">
        <v>9</v>
      </c>
    </row>
    <row r="254" spans="2:38" x14ac:dyDescent="0.25">
      <c r="B254" s="650">
        <v>-3.7335341801629962</v>
      </c>
      <c r="C254" s="651">
        <v>4.5485150200914006</v>
      </c>
      <c r="D254" s="652">
        <v>-3.4133119278406121</v>
      </c>
      <c r="E254" s="653">
        <v>-0.63204643036682484</v>
      </c>
      <c r="F254" s="651">
        <v>0.77001375725804966</v>
      </c>
      <c r="G254" s="654">
        <v>8.7155742747658013E-2</v>
      </c>
      <c r="H254" s="653">
        <v>0.25700000000000001</v>
      </c>
      <c r="I254" s="888">
        <v>0.41499999999999992</v>
      </c>
      <c r="J254" s="892">
        <v>6.2560000000000002</v>
      </c>
      <c r="K254" s="877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CPS-32193r1</v>
      </c>
      <c r="L254" s="683"/>
      <c r="M254" s="880" t="s">
        <v>9</v>
      </c>
      <c r="O254" s="162" t="str">
        <f t="shared" si="1320"/>
        <v/>
      </c>
      <c r="P254" s="162" t="str">
        <f t="shared" si="1321"/>
        <v/>
      </c>
      <c r="Q254" s="162" t="str">
        <f t="shared" si="1322"/>
        <v/>
      </c>
      <c r="R254" s="162" t="str">
        <f t="shared" si="1327"/>
        <v/>
      </c>
      <c r="S254" s="162" t="str">
        <f t="shared" si="1323"/>
        <v/>
      </c>
      <c r="T254" s="162" t="str">
        <f t="shared" si="1324"/>
        <v/>
      </c>
      <c r="U254" s="162" t="str">
        <f>IFERROR(IF(ISNUMBER(MATCH($X254,Settings!$AK$28:$AK$36,0)),INDEX(Settings!$AO$14:$AO$36,MATCH($X254,Settings!$AK$14:$AK$36,0))/2,INDEX(Settings!$AM$14:$AM$36,MATCH($X254,Settings!$AK$14:$AK$36,0))/2),"")</f>
        <v/>
      </c>
      <c r="V254" s="162" t="str">
        <f t="shared" si="1325"/>
        <v/>
      </c>
      <c r="W254" s="75"/>
      <c r="X254" s="883" t="str">
        <f t="shared" si="1328"/>
        <v/>
      </c>
      <c r="AK254" s="82" t="str">
        <f t="shared" si="1329"/>
        <v/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888"/>
      <c r="J255" s="892"/>
      <c r="K255" s="877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683"/>
      <c r="M255" s="880"/>
      <c r="O255" s="162" t="str">
        <f t="shared" si="1320"/>
        <v/>
      </c>
      <c r="P255" s="162" t="str">
        <f t="shared" si="1321"/>
        <v/>
      </c>
      <c r="Q255" s="162" t="str">
        <f t="shared" si="1322"/>
        <v/>
      </c>
      <c r="R255" s="162" t="str">
        <f t="shared" si="1327"/>
        <v/>
      </c>
      <c r="S255" s="162" t="str">
        <f t="shared" si="1323"/>
        <v/>
      </c>
      <c r="T255" s="162" t="str">
        <f t="shared" si="1324"/>
        <v/>
      </c>
      <c r="U255" s="162" t="str">
        <f>IFERROR(IF(ISNUMBER(MATCH($X255,Settings!$AK$28:$AK$36,0)),INDEX(Settings!$AO$14:$AO$36,MATCH($X255,Settings!$AK$14:$AK$36,0))/2,INDEX(Settings!$AM$14:$AM$36,MATCH($X255,Settings!$AK$14:$AK$36,0))/2),"")</f>
        <v/>
      </c>
      <c r="V255" s="162" t="str">
        <f t="shared" si="1325"/>
        <v/>
      </c>
      <c r="W255" s="75"/>
      <c r="X255" s="883" t="str">
        <f t="shared" si="1328"/>
        <v/>
      </c>
      <c r="AK255" s="82" t="str">
        <f t="shared" si="1329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888"/>
      <c r="J256" s="892"/>
      <c r="K256" s="877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683"/>
      <c r="M256" s="880"/>
      <c r="O256" s="162" t="str">
        <f t="shared" si="1320"/>
        <v/>
      </c>
      <c r="P256" s="162" t="str">
        <f t="shared" si="1321"/>
        <v/>
      </c>
      <c r="Q256" s="162" t="str">
        <f t="shared" si="1322"/>
        <v/>
      </c>
      <c r="R256" s="162" t="str">
        <f t="shared" si="1327"/>
        <v/>
      </c>
      <c r="S256" s="162" t="str">
        <f t="shared" si="1323"/>
        <v/>
      </c>
      <c r="T256" s="162" t="str">
        <f t="shared" si="1324"/>
        <v/>
      </c>
      <c r="U256" s="162" t="str">
        <f>IFERROR(IF(ISNUMBER(MATCH($X256,Settings!$AK$28:$AK$36,0)),INDEX(Settings!$AO$14:$AO$36,MATCH($X256,Settings!$AK$14:$AK$36,0))/2,INDEX(Settings!$AM$14:$AM$36,MATCH($X256,Settings!$AK$14:$AK$36,0))/2),"")</f>
        <v/>
      </c>
      <c r="V256" s="162" t="str">
        <f t="shared" si="1325"/>
        <v/>
      </c>
      <c r="W256" s="75"/>
      <c r="X256" s="883" t="str">
        <f t="shared" si="1328"/>
        <v/>
      </c>
      <c r="AK256" s="82" t="str">
        <f t="shared" si="1329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888"/>
      <c r="J257" s="892"/>
      <c r="K257" s="877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683"/>
      <c r="M257" s="880"/>
      <c r="O257" s="162" t="str">
        <f t="shared" si="1320"/>
        <v/>
      </c>
      <c r="P257" s="162" t="str">
        <f t="shared" si="1321"/>
        <v/>
      </c>
      <c r="Q257" s="162" t="str">
        <f t="shared" si="1322"/>
        <v/>
      </c>
      <c r="R257" s="162" t="str">
        <f t="shared" si="1327"/>
        <v/>
      </c>
      <c r="S257" s="162" t="str">
        <f t="shared" si="1323"/>
        <v/>
      </c>
      <c r="T257" s="162" t="str">
        <f t="shared" si="1324"/>
        <v/>
      </c>
      <c r="U257" s="162" t="str">
        <f>IFERROR(IF(ISNUMBER(MATCH($X257,Settings!$AK$28:$AK$36,0)),INDEX(Settings!$AO$14:$AO$36,MATCH($X257,Settings!$AK$14:$AK$36,0))/2,INDEX(Settings!$AM$14:$AM$36,MATCH($X257,Settings!$AK$14:$AK$36,0))/2),"")</f>
        <v/>
      </c>
      <c r="V257" s="162" t="str">
        <f t="shared" si="1325"/>
        <v/>
      </c>
      <c r="W257" s="75"/>
      <c r="X257" s="883" t="str">
        <f t="shared" si="1328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888"/>
      <c r="J258" s="892"/>
      <c r="K258" s="877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683"/>
      <c r="M258" s="880"/>
      <c r="O258" s="162" t="str">
        <f t="shared" si="1320"/>
        <v/>
      </c>
      <c r="P258" s="162" t="str">
        <f t="shared" si="1321"/>
        <v/>
      </c>
      <c r="Q258" s="162" t="str">
        <f t="shared" si="1322"/>
        <v/>
      </c>
      <c r="R258" s="162" t="str">
        <f t="shared" si="1327"/>
        <v/>
      </c>
      <c r="S258" s="162" t="str">
        <f t="shared" si="1323"/>
        <v/>
      </c>
      <c r="T258" s="162" t="str">
        <f t="shared" si="1324"/>
        <v/>
      </c>
      <c r="U258" s="162" t="str">
        <f>IFERROR(IF(ISNUMBER(MATCH($X258,Settings!$AK$28:$AK$36,0)),INDEX(Settings!$AO$14:$AO$36,MATCH($X258,Settings!$AK$14:$AK$36,0))/2,INDEX(Settings!$AM$14:$AM$36,MATCH($X258,Settings!$AK$14:$AK$36,0))/2),"")</f>
        <v/>
      </c>
      <c r="V258" s="162" t="str">
        <f t="shared" si="1325"/>
        <v/>
      </c>
      <c r="W258" s="75"/>
      <c r="X258" s="883" t="str">
        <f t="shared" si="1328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888"/>
      <c r="J259" s="892"/>
      <c r="K259" s="877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683"/>
      <c r="M259" s="880"/>
      <c r="O259" s="162" t="str">
        <f t="shared" si="1320"/>
        <v/>
      </c>
      <c r="P259" s="162" t="str">
        <f t="shared" si="1321"/>
        <v/>
      </c>
      <c r="Q259" s="162" t="str">
        <f t="shared" si="1322"/>
        <v/>
      </c>
      <c r="R259" s="162" t="str">
        <f t="shared" si="1327"/>
        <v/>
      </c>
      <c r="S259" s="162" t="str">
        <f t="shared" si="1323"/>
        <v/>
      </c>
      <c r="T259" s="162" t="str">
        <f t="shared" si="1324"/>
        <v/>
      </c>
      <c r="U259" s="162" t="str">
        <f>IFERROR(IF(ISNUMBER(MATCH($X259,Settings!$AK$28:$AK$36,0)),INDEX(Settings!$AO$14:$AO$36,MATCH($X259,Settings!$AK$14:$AK$36,0))/2,INDEX(Settings!$AM$14:$AM$36,MATCH($X259,Settings!$AK$14:$AK$36,0))/2),"")</f>
        <v/>
      </c>
      <c r="V259" s="162" t="str">
        <f t="shared" si="1325"/>
        <v/>
      </c>
      <c r="W259" s="75"/>
      <c r="X259" s="883" t="str">
        <f t="shared" si="1328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888"/>
      <c r="J260" s="892"/>
      <c r="K260" s="877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683"/>
      <c r="M260" s="880"/>
      <c r="O260" s="162" t="str">
        <f t="shared" ref="O260:O291" si="1330">IFERROR(INDEX(B$164:B$305,MATCH($W260,$J$164:$J$305,0)),"")</f>
        <v/>
      </c>
      <c r="P260" s="162" t="str">
        <f t="shared" ref="P260:P291" si="1331">IFERROR(INDEX(C$164:C$305,MATCH($W260,$J$164:$J$305,0)),"")</f>
        <v/>
      </c>
      <c r="Q260" s="162" t="str">
        <f t="shared" ref="Q260:Q291" si="1332">IFERROR(INDEX(D$164:D$305,MATCH($W260,$J$164:$J$305,0)),"")</f>
        <v/>
      </c>
      <c r="R260" s="162" t="str">
        <f t="shared" si="1327"/>
        <v/>
      </c>
      <c r="S260" s="162" t="str">
        <f t="shared" si="1323"/>
        <v/>
      </c>
      <c r="T260" s="162" t="str">
        <f t="shared" si="1324"/>
        <v/>
      </c>
      <c r="U260" s="162" t="str">
        <f>IFERROR(IF(ISNUMBER(MATCH($X260,Settings!$AK$28:$AK$36,0)),INDEX(Settings!$AO$14:$AO$36,MATCH($X260,Settings!$AK$14:$AK$36,0))/2,INDEX(Settings!$AM$14:$AM$36,MATCH($X260,Settings!$AK$14:$AK$36,0))/2),"")</f>
        <v/>
      </c>
      <c r="V260" s="162" t="str">
        <f t="shared" ref="V260:V291" si="1333">IFERROR(INDEX(I$164:I$305,MATCH($W260,$J$164:$J$305,0)),"")</f>
        <v/>
      </c>
      <c r="W260" s="75"/>
      <c r="X260" s="883" t="str">
        <f t="shared" si="1328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888"/>
      <c r="J261" s="892"/>
      <c r="K261" s="877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683"/>
      <c r="M261" s="880"/>
      <c r="O261" s="162" t="str">
        <f t="shared" si="1330"/>
        <v/>
      </c>
      <c r="P261" s="162" t="str">
        <f t="shared" si="1331"/>
        <v/>
      </c>
      <c r="Q261" s="162" t="str">
        <f t="shared" si="1332"/>
        <v/>
      </c>
      <c r="R261" s="162" t="str">
        <f t="shared" si="1327"/>
        <v/>
      </c>
      <c r="S261" s="162" t="str">
        <f t="shared" si="1323"/>
        <v/>
      </c>
      <c r="T261" s="162" t="str">
        <f t="shared" si="1324"/>
        <v/>
      </c>
      <c r="U261" s="162" t="str">
        <f>IFERROR(IF(ISNUMBER(MATCH($X261,Settings!$AK$28:$AK$36,0)),INDEX(Settings!$AO$14:$AO$36,MATCH($X261,Settings!$AK$14:$AK$36,0))/2,INDEX(Settings!$AM$14:$AM$36,MATCH($X261,Settings!$AK$14:$AK$36,0))/2),"")</f>
        <v/>
      </c>
      <c r="V261" s="162" t="str">
        <f t="shared" si="1333"/>
        <v/>
      </c>
      <c r="W261" s="75"/>
      <c r="X261" s="883" t="str">
        <f t="shared" si="1328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888"/>
      <c r="J262" s="892"/>
      <c r="K262" s="877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683"/>
      <c r="M262" s="880"/>
      <c r="O262" s="162" t="str">
        <f t="shared" si="1330"/>
        <v/>
      </c>
      <c r="P262" s="162" t="str">
        <f t="shared" si="1331"/>
        <v/>
      </c>
      <c r="Q262" s="162" t="str">
        <f t="shared" si="1332"/>
        <v/>
      </c>
      <c r="R262" s="162" t="str">
        <f t="shared" si="1327"/>
        <v/>
      </c>
      <c r="S262" s="162" t="str">
        <f t="shared" si="1323"/>
        <v/>
      </c>
      <c r="T262" s="162" t="str">
        <f t="shared" si="1324"/>
        <v/>
      </c>
      <c r="U262" s="162" t="str">
        <f>IFERROR(IF(ISNUMBER(MATCH($X262,Settings!$AK$28:$AK$36,0)),INDEX(Settings!$AO$14:$AO$36,MATCH($X262,Settings!$AK$14:$AK$36,0))/2,INDEX(Settings!$AM$14:$AM$36,MATCH($X262,Settings!$AK$14:$AK$36,0))/2),"")</f>
        <v/>
      </c>
      <c r="V262" s="162" t="str">
        <f t="shared" si="1333"/>
        <v/>
      </c>
      <c r="W262" s="75"/>
      <c r="X262" s="883" t="str">
        <f t="shared" si="1328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888"/>
      <c r="J263" s="892"/>
      <c r="K263" s="877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683"/>
      <c r="M263" s="880"/>
      <c r="O263" s="162" t="str">
        <f t="shared" si="1330"/>
        <v/>
      </c>
      <c r="P263" s="162" t="str">
        <f t="shared" si="1331"/>
        <v/>
      </c>
      <c r="Q263" s="162" t="str">
        <f t="shared" si="1332"/>
        <v/>
      </c>
      <c r="R263" s="162" t="str">
        <f t="shared" si="1327"/>
        <v/>
      </c>
      <c r="S263" s="162" t="str">
        <f t="shared" si="1323"/>
        <v/>
      </c>
      <c r="T263" s="162" t="str">
        <f t="shared" si="1324"/>
        <v/>
      </c>
      <c r="U263" s="162" t="str">
        <f>IFERROR(IF(ISNUMBER(MATCH($X263,Settings!$AK$28:$AK$36,0)),INDEX(Settings!$AO$14:$AO$36,MATCH($X263,Settings!$AK$14:$AK$36,0))/2,INDEX(Settings!$AM$14:$AM$36,MATCH($X263,Settings!$AK$14:$AK$36,0))/2),"")</f>
        <v/>
      </c>
      <c r="V263" s="162" t="str">
        <f t="shared" si="1333"/>
        <v/>
      </c>
      <c r="W263" s="75"/>
      <c r="X263" s="883" t="str">
        <f t="shared" si="1328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888"/>
      <c r="J264" s="892"/>
      <c r="K264" s="877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683"/>
      <c r="M264" s="880"/>
      <c r="O264" s="162" t="str">
        <f t="shared" si="1330"/>
        <v/>
      </c>
      <c r="P264" s="162" t="str">
        <f t="shared" si="1331"/>
        <v/>
      </c>
      <c r="Q264" s="162" t="str">
        <f t="shared" si="1332"/>
        <v/>
      </c>
      <c r="R264" s="162" t="str">
        <f t="shared" si="1327"/>
        <v/>
      </c>
      <c r="S264" s="162" t="str">
        <f t="shared" si="1323"/>
        <v/>
      </c>
      <c r="T264" s="162" t="str">
        <f t="shared" si="1324"/>
        <v/>
      </c>
      <c r="U264" s="162" t="str">
        <f>IFERROR(IF(ISNUMBER(MATCH($X264,Settings!$AK$28:$AK$36,0)),INDEX(Settings!$AO$14:$AO$36,MATCH($X264,Settings!$AK$14:$AK$36,0))/2,INDEX(Settings!$AM$14:$AM$36,MATCH($X264,Settings!$AK$14:$AK$36,0))/2),"")</f>
        <v/>
      </c>
      <c r="V264" s="162" t="str">
        <f t="shared" si="1333"/>
        <v/>
      </c>
      <c r="W264" s="75"/>
      <c r="X264" s="883" t="str">
        <f t="shared" si="1328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888"/>
      <c r="J265" s="892"/>
      <c r="K265" s="877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683"/>
      <c r="M265" s="880"/>
      <c r="O265" s="162" t="str">
        <f t="shared" si="1330"/>
        <v/>
      </c>
      <c r="P265" s="162" t="str">
        <f t="shared" si="1331"/>
        <v/>
      </c>
      <c r="Q265" s="162" t="str">
        <f t="shared" si="1332"/>
        <v/>
      </c>
      <c r="R265" s="162" t="str">
        <f t="shared" si="1327"/>
        <v/>
      </c>
      <c r="S265" s="162" t="str">
        <f t="shared" si="1323"/>
        <v/>
      </c>
      <c r="T265" s="162" t="str">
        <f t="shared" si="1324"/>
        <v/>
      </c>
      <c r="U265" s="162" t="str">
        <f>IFERROR(IF(ISNUMBER(MATCH($X265,Settings!$AK$28:$AK$36,0)),INDEX(Settings!$AO$14:$AO$36,MATCH($X265,Settings!$AK$14:$AK$36,0))/2,INDEX(Settings!$AM$14:$AM$36,MATCH($X265,Settings!$AK$14:$AK$36,0))/2),"")</f>
        <v/>
      </c>
      <c r="V265" s="162" t="str">
        <f t="shared" si="1333"/>
        <v/>
      </c>
      <c r="W265" s="75"/>
      <c r="X265" s="883" t="str">
        <f t="shared" si="1328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888"/>
      <c r="J266" s="892"/>
      <c r="K266" s="877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683"/>
      <c r="M266" s="880"/>
      <c r="O266" s="162" t="str">
        <f t="shared" si="1330"/>
        <v/>
      </c>
      <c r="P266" s="162" t="str">
        <f t="shared" si="1331"/>
        <v/>
      </c>
      <c r="Q266" s="162" t="str">
        <f t="shared" si="1332"/>
        <v/>
      </c>
      <c r="R266" s="162" t="str">
        <f t="shared" si="1327"/>
        <v/>
      </c>
      <c r="S266" s="162" t="str">
        <f t="shared" si="1323"/>
        <v/>
      </c>
      <c r="T266" s="162" t="str">
        <f t="shared" si="1324"/>
        <v/>
      </c>
      <c r="U266" s="162" t="str">
        <f>IFERROR(IF(ISNUMBER(MATCH($X266,Settings!$AK$28:$AK$36,0)),INDEX(Settings!$AO$14:$AO$36,MATCH($X266,Settings!$AK$14:$AK$36,0))/2,INDEX(Settings!$AM$14:$AM$36,MATCH($X266,Settings!$AK$14:$AK$36,0))/2),"")</f>
        <v/>
      </c>
      <c r="V266" s="162" t="str">
        <f t="shared" si="1333"/>
        <v/>
      </c>
      <c r="W266" s="75"/>
      <c r="X266" s="883" t="str">
        <f t="shared" si="1328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888"/>
      <c r="J267" s="892"/>
      <c r="K267" s="877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683"/>
      <c r="M267" s="880"/>
      <c r="O267" s="162" t="str">
        <f t="shared" si="1330"/>
        <v/>
      </c>
      <c r="P267" s="162" t="str">
        <f t="shared" si="1331"/>
        <v/>
      </c>
      <c r="Q267" s="162" t="str">
        <f t="shared" si="1332"/>
        <v/>
      </c>
      <c r="R267" s="162" t="str">
        <f t="shared" si="1327"/>
        <v/>
      </c>
      <c r="S267" s="162" t="str">
        <f t="shared" si="1323"/>
        <v/>
      </c>
      <c r="T267" s="162" t="str">
        <f t="shared" si="1324"/>
        <v/>
      </c>
      <c r="U267" s="162" t="str">
        <f>IFERROR(IF(ISNUMBER(MATCH($X267,Settings!$AK$28:$AK$36,0)),INDEX(Settings!$AO$14:$AO$36,MATCH($X267,Settings!$AK$14:$AK$36,0))/2,INDEX(Settings!$AM$14:$AM$36,MATCH($X267,Settings!$AK$14:$AK$36,0))/2),"")</f>
        <v/>
      </c>
      <c r="V267" s="162" t="str">
        <f t="shared" si="1333"/>
        <v/>
      </c>
      <c r="W267" s="75"/>
      <c r="X267" s="883" t="str">
        <f t="shared" si="1328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888"/>
      <c r="J268" s="892"/>
      <c r="K268" s="877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683"/>
      <c r="M268" s="880"/>
      <c r="O268" s="162" t="str">
        <f t="shared" si="1330"/>
        <v/>
      </c>
      <c r="P268" s="162" t="str">
        <f t="shared" si="1331"/>
        <v/>
      </c>
      <c r="Q268" s="162" t="str">
        <f t="shared" si="1332"/>
        <v/>
      </c>
      <c r="R268" s="162" t="str">
        <f t="shared" si="1327"/>
        <v/>
      </c>
      <c r="S268" s="162" t="str">
        <f t="shared" si="1323"/>
        <v/>
      </c>
      <c r="T268" s="162" t="str">
        <f t="shared" si="1324"/>
        <v/>
      </c>
      <c r="U268" s="162" t="str">
        <f>IFERROR(IF(ISNUMBER(MATCH($X268,Settings!$AK$28:$AK$36,0)),INDEX(Settings!$AO$14:$AO$36,MATCH($X268,Settings!$AK$14:$AK$36,0))/2,INDEX(Settings!$AM$14:$AM$36,MATCH($X268,Settings!$AK$14:$AK$36,0))/2),"")</f>
        <v/>
      </c>
      <c r="V268" s="162" t="str">
        <f t="shared" si="1333"/>
        <v/>
      </c>
      <c r="W268" s="75"/>
      <c r="X268" s="883" t="str">
        <f t="shared" si="1328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888"/>
      <c r="J269" s="892"/>
      <c r="K269" s="877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683"/>
      <c r="M269" s="880"/>
      <c r="O269" s="162" t="str">
        <f t="shared" si="1330"/>
        <v/>
      </c>
      <c r="P269" s="162" t="str">
        <f t="shared" si="1331"/>
        <v/>
      </c>
      <c r="Q269" s="162" t="str">
        <f t="shared" si="1332"/>
        <v/>
      </c>
      <c r="R269" s="162" t="str">
        <f t="shared" si="1327"/>
        <v/>
      </c>
      <c r="S269" s="162" t="str">
        <f t="shared" si="1323"/>
        <v/>
      </c>
      <c r="T269" s="162" t="str">
        <f t="shared" si="1324"/>
        <v/>
      </c>
      <c r="U269" s="162" t="str">
        <f>IFERROR(IF(ISNUMBER(MATCH($X269,Settings!$AK$28:$AK$36,0)),INDEX(Settings!$AO$14:$AO$36,MATCH($X269,Settings!$AK$14:$AK$36,0))/2,INDEX(Settings!$AM$14:$AM$36,MATCH($X269,Settings!$AK$14:$AK$36,0))/2),"")</f>
        <v/>
      </c>
      <c r="V269" s="162" t="str">
        <f t="shared" si="1333"/>
        <v/>
      </c>
      <c r="W269" s="75"/>
      <c r="X269" s="883" t="str">
        <f t="shared" si="1328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888"/>
      <c r="J270" s="892"/>
      <c r="K270" s="877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683"/>
      <c r="M270" s="880"/>
      <c r="O270" s="162" t="str">
        <f t="shared" si="1330"/>
        <v/>
      </c>
      <c r="P270" s="162" t="str">
        <f t="shared" si="1331"/>
        <v/>
      </c>
      <c r="Q270" s="162" t="str">
        <f t="shared" si="1332"/>
        <v/>
      </c>
      <c r="R270" s="162" t="str">
        <f t="shared" si="1327"/>
        <v/>
      </c>
      <c r="S270" s="162" t="str">
        <f t="shared" si="1323"/>
        <v/>
      </c>
      <c r="T270" s="162" t="str">
        <f t="shared" si="1324"/>
        <v/>
      </c>
      <c r="U270" s="162" t="str">
        <f>IFERROR(IF(ISNUMBER(MATCH($X270,Settings!$AK$28:$AK$36,0)),INDEX(Settings!$AO$14:$AO$36,MATCH($X270,Settings!$AK$14:$AK$36,0))/2,INDEX(Settings!$AM$14:$AM$36,MATCH($X270,Settings!$AK$14:$AK$36,0))/2),"")</f>
        <v/>
      </c>
      <c r="V270" s="162" t="str">
        <f t="shared" si="1333"/>
        <v/>
      </c>
      <c r="W270" s="75"/>
      <c r="X270" s="883" t="str">
        <f t="shared" si="1328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888"/>
      <c r="J271" s="892"/>
      <c r="K271" s="877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683"/>
      <c r="M271" s="880"/>
      <c r="O271" s="162" t="str">
        <f t="shared" si="1330"/>
        <v/>
      </c>
      <c r="P271" s="162" t="str">
        <f t="shared" si="1331"/>
        <v/>
      </c>
      <c r="Q271" s="162" t="str">
        <f t="shared" si="1332"/>
        <v/>
      </c>
      <c r="R271" s="162" t="str">
        <f t="shared" si="1327"/>
        <v/>
      </c>
      <c r="S271" s="162" t="str">
        <f t="shared" si="1323"/>
        <v/>
      </c>
      <c r="T271" s="162" t="str">
        <f t="shared" si="1324"/>
        <v/>
      </c>
      <c r="U271" s="162" t="str">
        <f>IFERROR(IF(ISNUMBER(MATCH($X271,Settings!$AK$28:$AK$36,0)),INDEX(Settings!$AO$14:$AO$36,MATCH($X271,Settings!$AK$14:$AK$36,0))/2,INDEX(Settings!$AM$14:$AM$36,MATCH($X271,Settings!$AK$14:$AK$36,0))/2),"")</f>
        <v/>
      </c>
      <c r="V271" s="162" t="str">
        <f t="shared" si="1333"/>
        <v/>
      </c>
      <c r="W271" s="75"/>
      <c r="X271" s="883" t="str">
        <f t="shared" si="1328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888"/>
      <c r="J272" s="892"/>
      <c r="K272" s="877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683"/>
      <c r="M272" s="880"/>
      <c r="O272" s="162" t="str">
        <f t="shared" si="1330"/>
        <v/>
      </c>
      <c r="P272" s="162" t="str">
        <f t="shared" si="1331"/>
        <v/>
      </c>
      <c r="Q272" s="162" t="str">
        <f t="shared" si="1332"/>
        <v/>
      </c>
      <c r="R272" s="162" t="str">
        <f t="shared" si="1327"/>
        <v/>
      </c>
      <c r="S272" s="162" t="str">
        <f t="shared" si="1323"/>
        <v/>
      </c>
      <c r="T272" s="162" t="str">
        <f t="shared" si="1324"/>
        <v/>
      </c>
      <c r="U272" s="162" t="str">
        <f>IFERROR(IF(ISNUMBER(MATCH($X272,Settings!$AK$28:$AK$36,0)),INDEX(Settings!$AO$14:$AO$36,MATCH($X272,Settings!$AK$14:$AK$36,0))/2,INDEX(Settings!$AM$14:$AM$36,MATCH($X272,Settings!$AK$14:$AK$36,0))/2),"")</f>
        <v/>
      </c>
      <c r="V272" s="162" t="str">
        <f t="shared" si="1333"/>
        <v/>
      </c>
      <c r="W272" s="75"/>
      <c r="X272" s="883" t="str">
        <f t="shared" si="1328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888"/>
      <c r="J273" s="892"/>
      <c r="K273" s="877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683"/>
      <c r="M273" s="880"/>
      <c r="O273" s="162" t="str">
        <f t="shared" si="1330"/>
        <v/>
      </c>
      <c r="P273" s="162" t="str">
        <f t="shared" si="1331"/>
        <v/>
      </c>
      <c r="Q273" s="162" t="str">
        <f t="shared" si="1332"/>
        <v/>
      </c>
      <c r="R273" s="162" t="str">
        <f t="shared" si="1327"/>
        <v/>
      </c>
      <c r="S273" s="162" t="str">
        <f t="shared" si="1323"/>
        <v/>
      </c>
      <c r="T273" s="162" t="str">
        <f t="shared" si="1324"/>
        <v/>
      </c>
      <c r="U273" s="162" t="str">
        <f>IFERROR(IF(ISNUMBER(MATCH($X273,Settings!$AK$28:$AK$36,0)),INDEX(Settings!$AO$14:$AO$36,MATCH($X273,Settings!$AK$14:$AK$36,0))/2,INDEX(Settings!$AM$14:$AM$36,MATCH($X273,Settings!$AK$14:$AK$36,0))/2),"")</f>
        <v/>
      </c>
      <c r="V273" s="162" t="str">
        <f t="shared" si="1333"/>
        <v/>
      </c>
      <c r="W273" s="75"/>
      <c r="X273" s="883" t="str">
        <f t="shared" si="1328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888"/>
      <c r="J274" s="892"/>
      <c r="K274" s="877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683"/>
      <c r="M274" s="880"/>
      <c r="O274" s="162" t="str">
        <f t="shared" si="1330"/>
        <v/>
      </c>
      <c r="P274" s="162" t="str">
        <f t="shared" si="1331"/>
        <v/>
      </c>
      <c r="Q274" s="162" t="str">
        <f t="shared" si="1332"/>
        <v/>
      </c>
      <c r="R274" s="162" t="str">
        <f t="shared" si="1327"/>
        <v/>
      </c>
      <c r="S274" s="162" t="str">
        <f t="shared" si="1323"/>
        <v/>
      </c>
      <c r="T274" s="162" t="str">
        <f t="shared" si="1324"/>
        <v/>
      </c>
      <c r="U274" s="162" t="str">
        <f>IFERROR(IF(ISNUMBER(MATCH($X274,Settings!$AK$28:$AK$36,0)),INDEX(Settings!$AO$14:$AO$36,MATCH($X274,Settings!$AK$14:$AK$36,0))/2,INDEX(Settings!$AM$14:$AM$36,MATCH($X274,Settings!$AK$14:$AK$36,0))/2),"")</f>
        <v/>
      </c>
      <c r="V274" s="162" t="str">
        <f t="shared" si="1333"/>
        <v/>
      </c>
      <c r="W274" s="75"/>
      <c r="X274" s="883" t="str">
        <f t="shared" si="1328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888"/>
      <c r="J275" s="892"/>
      <c r="K275" s="877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683"/>
      <c r="M275" s="880"/>
      <c r="O275" s="162" t="str">
        <f t="shared" si="1330"/>
        <v/>
      </c>
      <c r="P275" s="162" t="str">
        <f t="shared" si="1331"/>
        <v/>
      </c>
      <c r="Q275" s="162" t="str">
        <f t="shared" si="1332"/>
        <v/>
      </c>
      <c r="R275" s="162" t="str">
        <f t="shared" si="1327"/>
        <v/>
      </c>
      <c r="S275" s="162" t="str">
        <f t="shared" si="1323"/>
        <v/>
      </c>
      <c r="T275" s="162" t="str">
        <f t="shared" si="1324"/>
        <v/>
      </c>
      <c r="U275" s="162" t="str">
        <f>IFERROR(IF(ISNUMBER(MATCH($X275,Settings!$AK$28:$AK$36,0)),INDEX(Settings!$AO$14:$AO$36,MATCH($X275,Settings!$AK$14:$AK$36,0))/2,INDEX(Settings!$AM$14:$AM$36,MATCH($X275,Settings!$AK$14:$AK$36,0))/2),"")</f>
        <v/>
      </c>
      <c r="V275" s="162" t="str">
        <f t="shared" si="1333"/>
        <v/>
      </c>
      <c r="W275" s="75"/>
      <c r="X275" s="883" t="str">
        <f t="shared" si="1328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888"/>
      <c r="J276" s="892"/>
      <c r="K276" s="877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683"/>
      <c r="M276" s="880"/>
      <c r="O276" s="162" t="str">
        <f t="shared" si="1330"/>
        <v/>
      </c>
      <c r="P276" s="162" t="str">
        <f t="shared" si="1331"/>
        <v/>
      </c>
      <c r="Q276" s="162" t="str">
        <f t="shared" si="1332"/>
        <v/>
      </c>
      <c r="R276" s="162" t="str">
        <f t="shared" si="1327"/>
        <v/>
      </c>
      <c r="S276" s="162" t="str">
        <f t="shared" si="1323"/>
        <v/>
      </c>
      <c r="T276" s="162" t="str">
        <f t="shared" si="1324"/>
        <v/>
      </c>
      <c r="U276" s="162" t="str">
        <f>IFERROR(IF(ISNUMBER(MATCH($X276,Settings!$AK$28:$AK$36,0)),INDEX(Settings!$AO$14:$AO$36,MATCH($X276,Settings!$AK$14:$AK$36,0))/2,INDEX(Settings!$AM$14:$AM$36,MATCH($X276,Settings!$AK$14:$AK$36,0))/2),"")</f>
        <v/>
      </c>
      <c r="V276" s="162" t="str">
        <f t="shared" si="1333"/>
        <v/>
      </c>
      <c r="W276" s="75"/>
      <c r="X276" s="883" t="str">
        <f t="shared" si="1328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888"/>
      <c r="J277" s="892"/>
      <c r="K277" s="877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683"/>
      <c r="M277" s="880"/>
      <c r="O277" s="162" t="str">
        <f t="shared" si="1330"/>
        <v/>
      </c>
      <c r="P277" s="162" t="str">
        <f t="shared" si="1331"/>
        <v/>
      </c>
      <c r="Q277" s="162" t="str">
        <f t="shared" si="1332"/>
        <v/>
      </c>
      <c r="R277" s="162" t="str">
        <f t="shared" si="1327"/>
        <v/>
      </c>
      <c r="S277" s="162" t="str">
        <f t="shared" si="1323"/>
        <v/>
      </c>
      <c r="T277" s="162" t="str">
        <f t="shared" si="1324"/>
        <v/>
      </c>
      <c r="U277" s="162" t="str">
        <f>IFERROR(IF(ISNUMBER(MATCH($X277,Settings!$AK$28:$AK$36,0)),INDEX(Settings!$AO$14:$AO$36,MATCH($X277,Settings!$AK$14:$AK$36,0))/2,INDEX(Settings!$AM$14:$AM$36,MATCH($X277,Settings!$AK$14:$AK$36,0))/2),"")</f>
        <v/>
      </c>
      <c r="V277" s="162" t="str">
        <f t="shared" si="1333"/>
        <v/>
      </c>
      <c r="W277" s="75"/>
      <c r="X277" s="883" t="str">
        <f t="shared" si="1328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888"/>
      <c r="J278" s="892"/>
      <c r="K278" s="877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683"/>
      <c r="M278" s="880"/>
      <c r="O278" s="162" t="str">
        <f t="shared" si="1330"/>
        <v/>
      </c>
      <c r="P278" s="162" t="str">
        <f t="shared" si="1331"/>
        <v/>
      </c>
      <c r="Q278" s="162" t="str">
        <f t="shared" si="1332"/>
        <v/>
      </c>
      <c r="R278" s="162" t="str">
        <f t="shared" si="1327"/>
        <v/>
      </c>
      <c r="S278" s="162" t="str">
        <f t="shared" si="1323"/>
        <v/>
      </c>
      <c r="T278" s="162" t="str">
        <f t="shared" si="1324"/>
        <v/>
      </c>
      <c r="U278" s="162" t="str">
        <f>IFERROR(IF(ISNUMBER(MATCH($X278,Settings!$AK$28:$AK$36,0)),INDEX(Settings!$AO$14:$AO$36,MATCH($X278,Settings!$AK$14:$AK$36,0))/2,INDEX(Settings!$AM$14:$AM$36,MATCH($X278,Settings!$AK$14:$AK$36,0))/2),"")</f>
        <v/>
      </c>
      <c r="V278" s="162" t="str">
        <f t="shared" si="1333"/>
        <v/>
      </c>
      <c r="W278" s="75"/>
      <c r="X278" s="883" t="str">
        <f t="shared" si="1328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888"/>
      <c r="J279" s="892"/>
      <c r="K279" s="877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880"/>
      <c r="O279" s="162" t="str">
        <f t="shared" si="1330"/>
        <v/>
      </c>
      <c r="P279" s="162" t="str">
        <f t="shared" si="1331"/>
        <v/>
      </c>
      <c r="Q279" s="162" t="str">
        <f t="shared" si="1332"/>
        <v/>
      </c>
      <c r="R279" s="162" t="str">
        <f t="shared" si="1327"/>
        <v/>
      </c>
      <c r="S279" s="162" t="str">
        <f t="shared" si="1323"/>
        <v/>
      </c>
      <c r="T279" s="162" t="str">
        <f t="shared" si="1324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33"/>
        <v/>
      </c>
      <c r="W279" s="75"/>
      <c r="X279" s="883" t="str">
        <f t="shared" si="1328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888"/>
      <c r="J280" s="892"/>
      <c r="K280" s="877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880"/>
      <c r="O280" s="162" t="str">
        <f t="shared" si="1330"/>
        <v/>
      </c>
      <c r="P280" s="162" t="str">
        <f t="shared" si="1331"/>
        <v/>
      </c>
      <c r="Q280" s="162" t="str">
        <f t="shared" si="1332"/>
        <v/>
      </c>
      <c r="R280" s="162" t="str">
        <f t="shared" si="1327"/>
        <v/>
      </c>
      <c r="S280" s="162" t="str">
        <f t="shared" si="1323"/>
        <v/>
      </c>
      <c r="T280" s="162" t="str">
        <f t="shared" si="1324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33"/>
        <v/>
      </c>
      <c r="W280" s="75"/>
      <c r="X280" s="883" t="str">
        <f t="shared" si="1328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888"/>
      <c r="J281" s="892"/>
      <c r="K281" s="877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880"/>
      <c r="O281" s="162" t="str">
        <f t="shared" si="1330"/>
        <v/>
      </c>
      <c r="P281" s="162" t="str">
        <f t="shared" si="1331"/>
        <v/>
      </c>
      <c r="Q281" s="162" t="str">
        <f t="shared" si="1332"/>
        <v/>
      </c>
      <c r="R281" s="162" t="str">
        <f t="shared" si="1327"/>
        <v/>
      </c>
      <c r="S281" s="162" t="str">
        <f t="shared" si="1323"/>
        <v/>
      </c>
      <c r="T281" s="162" t="str">
        <f t="shared" si="1324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33"/>
        <v/>
      </c>
      <c r="W281" s="75"/>
      <c r="X281" s="883" t="str">
        <f t="shared" si="1328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888"/>
      <c r="J282" s="892"/>
      <c r="K282" s="877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880"/>
      <c r="O282" s="162" t="str">
        <f t="shared" si="1330"/>
        <v/>
      </c>
      <c r="P282" s="162" t="str">
        <f t="shared" si="1331"/>
        <v/>
      </c>
      <c r="Q282" s="162" t="str">
        <f t="shared" si="1332"/>
        <v/>
      </c>
      <c r="R282" s="162" t="str">
        <f t="shared" si="1327"/>
        <v/>
      </c>
      <c r="S282" s="162" t="str">
        <f t="shared" si="1323"/>
        <v/>
      </c>
      <c r="T282" s="162" t="str">
        <f t="shared" si="1324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33"/>
        <v/>
      </c>
      <c r="W282" s="75"/>
      <c r="X282" s="883" t="str">
        <f t="shared" si="1328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888"/>
      <c r="J283" s="892"/>
      <c r="K283" s="877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880"/>
      <c r="O283" s="162" t="str">
        <f t="shared" si="1330"/>
        <v/>
      </c>
      <c r="P283" s="162" t="str">
        <f t="shared" si="1331"/>
        <v/>
      </c>
      <c r="Q283" s="162" t="str">
        <f t="shared" si="1332"/>
        <v/>
      </c>
      <c r="R283" s="162" t="str">
        <f t="shared" si="1327"/>
        <v/>
      </c>
      <c r="S283" s="162" t="str">
        <f t="shared" si="1323"/>
        <v/>
      </c>
      <c r="T283" s="162" t="str">
        <f t="shared" si="1324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33"/>
        <v/>
      </c>
      <c r="W283" s="75"/>
      <c r="X283" s="883" t="str">
        <f t="shared" si="1328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888"/>
      <c r="J284" s="892"/>
      <c r="K284" s="877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880"/>
      <c r="O284" s="162" t="str">
        <f t="shared" si="1330"/>
        <v/>
      </c>
      <c r="P284" s="162" t="str">
        <f t="shared" si="1331"/>
        <v/>
      </c>
      <c r="Q284" s="162" t="str">
        <f t="shared" si="1332"/>
        <v/>
      </c>
      <c r="R284" s="162" t="str">
        <f t="shared" si="1327"/>
        <v/>
      </c>
      <c r="S284" s="162" t="str">
        <f t="shared" si="1323"/>
        <v/>
      </c>
      <c r="T284" s="162" t="str">
        <f t="shared" si="1324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33"/>
        <v/>
      </c>
      <c r="W284" s="75"/>
      <c r="X284" s="883" t="str">
        <f t="shared" si="1328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889"/>
      <c r="J285" s="893"/>
      <c r="K285" s="878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880"/>
      <c r="O285" s="162" t="str">
        <f t="shared" si="1330"/>
        <v/>
      </c>
      <c r="P285" s="162" t="str">
        <f t="shared" si="1331"/>
        <v/>
      </c>
      <c r="Q285" s="162" t="str">
        <f t="shared" si="1332"/>
        <v/>
      </c>
      <c r="R285" s="162" t="str">
        <f t="shared" si="1327"/>
        <v/>
      </c>
      <c r="S285" s="162" t="str">
        <f t="shared" si="1323"/>
        <v/>
      </c>
      <c r="T285" s="162" t="str">
        <f t="shared" si="1324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33"/>
        <v/>
      </c>
      <c r="W285" s="75"/>
      <c r="X285" s="883" t="str">
        <f t="shared" si="1328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889"/>
      <c r="J286" s="893"/>
      <c r="K286" s="878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880"/>
      <c r="O286" s="162" t="str">
        <f t="shared" si="1330"/>
        <v/>
      </c>
      <c r="P286" s="162" t="str">
        <f t="shared" si="1331"/>
        <v/>
      </c>
      <c r="Q286" s="162" t="str">
        <f t="shared" si="1332"/>
        <v/>
      </c>
      <c r="R286" s="162" t="str">
        <f t="shared" si="1327"/>
        <v/>
      </c>
      <c r="S286" s="162" t="str">
        <f t="shared" si="1323"/>
        <v/>
      </c>
      <c r="T286" s="162" t="str">
        <f t="shared" si="1324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33"/>
        <v/>
      </c>
      <c r="W286" s="75"/>
      <c r="X286" s="883" t="str">
        <f t="shared" si="1328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889"/>
      <c r="J287" s="893"/>
      <c r="K287" s="878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880"/>
      <c r="O287" s="162" t="str">
        <f t="shared" si="1330"/>
        <v/>
      </c>
      <c r="P287" s="162" t="str">
        <f t="shared" si="1331"/>
        <v/>
      </c>
      <c r="Q287" s="162" t="str">
        <f t="shared" si="1332"/>
        <v/>
      </c>
      <c r="R287" s="162" t="str">
        <f t="shared" si="1327"/>
        <v/>
      </c>
      <c r="S287" s="162" t="str">
        <f t="shared" si="1323"/>
        <v/>
      </c>
      <c r="T287" s="162" t="str">
        <f t="shared" si="1324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33"/>
        <v/>
      </c>
      <c r="W287" s="75"/>
      <c r="X287" s="883" t="str">
        <f t="shared" si="1328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889"/>
      <c r="J288" s="893"/>
      <c r="K288" s="878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880"/>
      <c r="O288" s="162" t="str">
        <f t="shared" si="1330"/>
        <v/>
      </c>
      <c r="P288" s="162" t="str">
        <f t="shared" si="1331"/>
        <v/>
      </c>
      <c r="Q288" s="162" t="str">
        <f t="shared" si="1332"/>
        <v/>
      </c>
      <c r="R288" s="162" t="str">
        <f t="shared" si="1327"/>
        <v/>
      </c>
      <c r="S288" s="162" t="str">
        <f t="shared" si="1323"/>
        <v/>
      </c>
      <c r="T288" s="162" t="str">
        <f t="shared" si="1324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33"/>
        <v/>
      </c>
      <c r="W288" s="75"/>
      <c r="X288" s="883" t="str">
        <f t="shared" si="1328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889"/>
      <c r="J289" s="893"/>
      <c r="K289" s="878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880"/>
      <c r="O289" s="162" t="str">
        <f t="shared" si="1330"/>
        <v/>
      </c>
      <c r="P289" s="162" t="str">
        <f t="shared" si="1331"/>
        <v/>
      </c>
      <c r="Q289" s="162" t="str">
        <f t="shared" si="1332"/>
        <v/>
      </c>
      <c r="R289" s="162" t="str">
        <f t="shared" si="1327"/>
        <v/>
      </c>
      <c r="S289" s="162" t="str">
        <f t="shared" si="1323"/>
        <v/>
      </c>
      <c r="T289" s="162" t="str">
        <f t="shared" si="1324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33"/>
        <v/>
      </c>
      <c r="W289" s="75"/>
      <c r="X289" s="883" t="str">
        <f t="shared" si="1328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889"/>
      <c r="J290" s="893"/>
      <c r="K290" s="878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880"/>
      <c r="O290" s="162" t="str">
        <f t="shared" si="1330"/>
        <v/>
      </c>
      <c r="P290" s="162" t="str">
        <f t="shared" si="1331"/>
        <v/>
      </c>
      <c r="Q290" s="162" t="str">
        <f t="shared" si="1332"/>
        <v/>
      </c>
      <c r="R290" s="162" t="str">
        <f t="shared" si="1327"/>
        <v/>
      </c>
      <c r="S290" s="162" t="str">
        <f t="shared" si="1323"/>
        <v/>
      </c>
      <c r="T290" s="162" t="str">
        <f t="shared" si="1324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33"/>
        <v/>
      </c>
      <c r="W290" s="75"/>
      <c r="X290" s="883" t="str">
        <f t="shared" si="1328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889"/>
      <c r="J291" s="893"/>
      <c r="K291" s="878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880"/>
      <c r="O291" s="162" t="str">
        <f t="shared" si="1330"/>
        <v/>
      </c>
      <c r="P291" s="162" t="str">
        <f t="shared" si="1331"/>
        <v/>
      </c>
      <c r="Q291" s="162" t="str">
        <f t="shared" si="1332"/>
        <v/>
      </c>
      <c r="R291" s="162" t="str">
        <f t="shared" si="1327"/>
        <v/>
      </c>
      <c r="S291" s="162" t="str">
        <f t="shared" si="1323"/>
        <v/>
      </c>
      <c r="T291" s="162" t="str">
        <f t="shared" si="1324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33"/>
        <v/>
      </c>
      <c r="W291" s="75"/>
      <c r="X291" s="883" t="str">
        <f t="shared" si="1328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889"/>
      <c r="J292" s="893"/>
      <c r="K292" s="878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880"/>
      <c r="O292" s="162" t="str">
        <f t="shared" ref="O292:O305" si="1334">IFERROR(INDEX(B$164:B$305,MATCH($W292,$J$164:$J$305,0)),"")</f>
        <v/>
      </c>
      <c r="P292" s="162" t="str">
        <f t="shared" ref="P292:P305" si="1335">IFERROR(INDEX(C$164:C$305,MATCH($W292,$J$164:$J$305,0)),"")</f>
        <v/>
      </c>
      <c r="Q292" s="162" t="str">
        <f t="shared" ref="Q292:Q305" si="1336">IFERROR(INDEX(D$164:D$305,MATCH($W292,$J$164:$J$305,0)),"")</f>
        <v/>
      </c>
      <c r="R292" s="162" t="str">
        <f t="shared" si="1327"/>
        <v/>
      </c>
      <c r="S292" s="162" t="str">
        <f t="shared" ref="S292:S305" si="1337">IFERROR(IF($L292="Y",-1*INDEX(F$164:F$305,MATCH($W292,$J$164:$J$305,0)),INDEX(F$164:F$305,MATCH($W292,$J$164:$J$305,0))),"")</f>
        <v/>
      </c>
      <c r="T292" s="162" t="str">
        <f t="shared" ref="T292:T305" si="1338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39">IFERROR(INDEX(I$164:I$305,MATCH($W292,$J$164:$J$305,0)),"")</f>
        <v/>
      </c>
      <c r="W292" s="75"/>
      <c r="X292" s="883" t="str">
        <f t="shared" si="1328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889"/>
      <c r="J293" s="893"/>
      <c r="K293" s="878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880"/>
      <c r="O293" s="162" t="str">
        <f t="shared" si="1334"/>
        <v/>
      </c>
      <c r="P293" s="162" t="str">
        <f t="shared" si="1335"/>
        <v/>
      </c>
      <c r="Q293" s="162" t="str">
        <f t="shared" si="1336"/>
        <v/>
      </c>
      <c r="R293" s="162" t="str">
        <f t="shared" ref="R293:R305" si="1340">IFERROR(IF($L293="Y",-1*INDEX(E$164:E$305,MATCH($W293,$J$164:$J$305,0)),INDEX(E$164:E$305,MATCH($W293,$J$164:$J$305,0))),"")</f>
        <v/>
      </c>
      <c r="S293" s="162" t="str">
        <f t="shared" si="1337"/>
        <v/>
      </c>
      <c r="T293" s="162" t="str">
        <f t="shared" si="1338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39"/>
        <v/>
      </c>
      <c r="W293" s="75"/>
      <c r="X293" s="883" t="str">
        <f t="shared" ref="X293:X305" si="1341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889"/>
      <c r="J294" s="893"/>
      <c r="K294" s="878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880"/>
      <c r="O294" s="162" t="str">
        <f t="shared" si="1334"/>
        <v/>
      </c>
      <c r="P294" s="162" t="str">
        <f t="shared" si="1335"/>
        <v/>
      </c>
      <c r="Q294" s="162" t="str">
        <f t="shared" si="1336"/>
        <v/>
      </c>
      <c r="R294" s="162" t="str">
        <f t="shared" si="1340"/>
        <v/>
      </c>
      <c r="S294" s="162" t="str">
        <f t="shared" si="1337"/>
        <v/>
      </c>
      <c r="T294" s="162" t="str">
        <f t="shared" si="1338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9"/>
        <v/>
      </c>
      <c r="W294" s="75"/>
      <c r="X294" s="883" t="str">
        <f t="shared" si="1341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889"/>
      <c r="J295" s="893"/>
      <c r="K295" s="878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880"/>
      <c r="O295" s="162" t="str">
        <f t="shared" si="1334"/>
        <v/>
      </c>
      <c r="P295" s="162" t="str">
        <f t="shared" si="1335"/>
        <v/>
      </c>
      <c r="Q295" s="162" t="str">
        <f t="shared" si="1336"/>
        <v/>
      </c>
      <c r="R295" s="162" t="str">
        <f t="shared" si="1340"/>
        <v/>
      </c>
      <c r="S295" s="162" t="str">
        <f t="shared" si="1337"/>
        <v/>
      </c>
      <c r="T295" s="162" t="str">
        <f t="shared" si="1338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9"/>
        <v/>
      </c>
      <c r="W295" s="75"/>
      <c r="X295" s="883" t="str">
        <f t="shared" si="1341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889"/>
      <c r="J296" s="893"/>
      <c r="K296" s="878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880"/>
      <c r="O296" s="162" t="str">
        <f t="shared" si="1334"/>
        <v/>
      </c>
      <c r="P296" s="162" t="str">
        <f t="shared" si="1335"/>
        <v/>
      </c>
      <c r="Q296" s="162" t="str">
        <f t="shared" si="1336"/>
        <v/>
      </c>
      <c r="R296" s="162" t="str">
        <f t="shared" si="1340"/>
        <v/>
      </c>
      <c r="S296" s="162" t="str">
        <f t="shared" si="1337"/>
        <v/>
      </c>
      <c r="T296" s="162" t="str">
        <f t="shared" si="1338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9"/>
        <v/>
      </c>
      <c r="W296" s="75"/>
      <c r="X296" s="883" t="str">
        <f t="shared" si="1341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889"/>
      <c r="J297" s="893"/>
      <c r="K297" s="878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880"/>
      <c r="O297" s="162" t="str">
        <f t="shared" si="1334"/>
        <v/>
      </c>
      <c r="P297" s="162" t="str">
        <f t="shared" si="1335"/>
        <v/>
      </c>
      <c r="Q297" s="162" t="str">
        <f t="shared" si="1336"/>
        <v/>
      </c>
      <c r="R297" s="162" t="str">
        <f t="shared" si="1340"/>
        <v/>
      </c>
      <c r="S297" s="162" t="str">
        <f t="shared" si="1337"/>
        <v/>
      </c>
      <c r="T297" s="162" t="str">
        <f t="shared" si="1338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9"/>
        <v/>
      </c>
      <c r="W297" s="75"/>
      <c r="X297" s="883" t="str">
        <f t="shared" si="1341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889"/>
      <c r="J298" s="893"/>
      <c r="K298" s="878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880"/>
      <c r="O298" s="162" t="str">
        <f t="shared" si="1334"/>
        <v/>
      </c>
      <c r="P298" s="162" t="str">
        <f t="shared" si="1335"/>
        <v/>
      </c>
      <c r="Q298" s="162" t="str">
        <f t="shared" si="1336"/>
        <v/>
      </c>
      <c r="R298" s="162" t="str">
        <f t="shared" si="1340"/>
        <v/>
      </c>
      <c r="S298" s="162" t="str">
        <f t="shared" si="1337"/>
        <v/>
      </c>
      <c r="T298" s="162" t="str">
        <f t="shared" si="1338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9"/>
        <v/>
      </c>
      <c r="W298" s="75"/>
      <c r="X298" s="883" t="str">
        <f t="shared" si="1341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889"/>
      <c r="J299" s="893"/>
      <c r="K299" s="878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880"/>
      <c r="O299" s="162" t="str">
        <f t="shared" si="1334"/>
        <v/>
      </c>
      <c r="P299" s="162" t="str">
        <f t="shared" si="1335"/>
        <v/>
      </c>
      <c r="Q299" s="162" t="str">
        <f t="shared" si="1336"/>
        <v/>
      </c>
      <c r="R299" s="162" t="str">
        <f t="shared" si="1340"/>
        <v/>
      </c>
      <c r="S299" s="162" t="str">
        <f t="shared" si="1337"/>
        <v/>
      </c>
      <c r="T299" s="162" t="str">
        <f t="shared" si="1338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9"/>
        <v/>
      </c>
      <c r="W299" s="75"/>
      <c r="X299" s="883" t="str">
        <f t="shared" si="1341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889"/>
      <c r="J300" s="893"/>
      <c r="K300" s="878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880"/>
      <c r="O300" s="162" t="str">
        <f t="shared" si="1334"/>
        <v/>
      </c>
      <c r="P300" s="162" t="str">
        <f t="shared" si="1335"/>
        <v/>
      </c>
      <c r="Q300" s="162" t="str">
        <f t="shared" si="1336"/>
        <v/>
      </c>
      <c r="R300" s="162" t="str">
        <f t="shared" si="1340"/>
        <v/>
      </c>
      <c r="S300" s="162" t="str">
        <f t="shared" si="1337"/>
        <v/>
      </c>
      <c r="T300" s="162" t="str">
        <f t="shared" si="1338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9"/>
        <v/>
      </c>
      <c r="W300" s="75"/>
      <c r="X300" s="883" t="str">
        <f t="shared" si="1341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889"/>
      <c r="J301" s="893"/>
      <c r="K301" s="878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880"/>
      <c r="O301" s="162" t="str">
        <f t="shared" si="1334"/>
        <v/>
      </c>
      <c r="P301" s="162" t="str">
        <f t="shared" si="1335"/>
        <v/>
      </c>
      <c r="Q301" s="162" t="str">
        <f t="shared" si="1336"/>
        <v/>
      </c>
      <c r="R301" s="162" t="str">
        <f t="shared" si="1340"/>
        <v/>
      </c>
      <c r="S301" s="162" t="str">
        <f t="shared" si="1337"/>
        <v/>
      </c>
      <c r="T301" s="162" t="str">
        <f t="shared" si="1338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9"/>
        <v/>
      </c>
      <c r="W301" s="75"/>
      <c r="X301" s="883" t="str">
        <f t="shared" si="1341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889"/>
      <c r="J302" s="893"/>
      <c r="K302" s="878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880"/>
      <c r="O302" s="162" t="str">
        <f t="shared" si="1334"/>
        <v/>
      </c>
      <c r="P302" s="162" t="str">
        <f t="shared" si="1335"/>
        <v/>
      </c>
      <c r="Q302" s="162" t="str">
        <f t="shared" si="1336"/>
        <v/>
      </c>
      <c r="R302" s="162" t="str">
        <f t="shared" si="1340"/>
        <v/>
      </c>
      <c r="S302" s="162" t="str">
        <f t="shared" si="1337"/>
        <v/>
      </c>
      <c r="T302" s="162" t="str">
        <f t="shared" si="1338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9"/>
        <v/>
      </c>
      <c r="W302" s="75"/>
      <c r="X302" s="883" t="str">
        <f t="shared" si="1341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889"/>
      <c r="J303" s="893"/>
      <c r="K303" s="878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880"/>
      <c r="O303" s="162" t="str">
        <f t="shared" si="1334"/>
        <v/>
      </c>
      <c r="P303" s="162" t="str">
        <f t="shared" si="1335"/>
        <v/>
      </c>
      <c r="Q303" s="162" t="str">
        <f t="shared" si="1336"/>
        <v/>
      </c>
      <c r="R303" s="162" t="str">
        <f t="shared" si="1340"/>
        <v/>
      </c>
      <c r="S303" s="162" t="str">
        <f t="shared" si="1337"/>
        <v/>
      </c>
      <c r="T303" s="162" t="str">
        <f t="shared" si="1338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9"/>
        <v/>
      </c>
      <c r="W303" s="75"/>
      <c r="X303" s="883" t="str">
        <f t="shared" si="1341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889"/>
      <c r="J304" s="893"/>
      <c r="K304" s="878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880"/>
      <c r="O304" s="162" t="str">
        <f t="shared" si="1334"/>
        <v/>
      </c>
      <c r="P304" s="162" t="str">
        <f t="shared" si="1335"/>
        <v/>
      </c>
      <c r="Q304" s="162" t="str">
        <f t="shared" si="1336"/>
        <v/>
      </c>
      <c r="R304" s="162" t="str">
        <f t="shared" si="1340"/>
        <v/>
      </c>
      <c r="S304" s="162" t="str">
        <f t="shared" si="1337"/>
        <v/>
      </c>
      <c r="T304" s="162" t="str">
        <f t="shared" si="1338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9"/>
        <v/>
      </c>
      <c r="W304" s="75"/>
      <c r="X304" s="883" t="str">
        <f t="shared" si="1341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890"/>
      <c r="J305" s="894"/>
      <c r="K305" s="879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885"/>
      <c r="O305" s="162" t="str">
        <f t="shared" si="1334"/>
        <v/>
      </c>
      <c r="P305" s="162" t="str">
        <f t="shared" si="1335"/>
        <v/>
      </c>
      <c r="Q305" s="162" t="str">
        <f t="shared" si="1336"/>
        <v/>
      </c>
      <c r="R305" s="162" t="str">
        <f t="shared" si="1340"/>
        <v/>
      </c>
      <c r="S305" s="162" t="str">
        <f t="shared" si="1337"/>
        <v/>
      </c>
      <c r="T305" s="162" t="str">
        <f t="shared" si="1338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9"/>
        <v/>
      </c>
      <c r="W305" s="75"/>
      <c r="X305" s="883" t="str">
        <f t="shared" si="1341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5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EC5:ED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O7:HP7"/>
    <mergeCell ref="HN6:HR6"/>
    <mergeCell ref="HA6:HD6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HW2:IE2"/>
    <mergeCell ref="HW4:IE4"/>
    <mergeCell ref="HY5:IB5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S4:EY4"/>
    <mergeCell ref="EV5:EY5"/>
    <mergeCell ref="ES5:EU6"/>
    <mergeCell ref="EZ4:FF4"/>
    <mergeCell ref="EW6:EY6"/>
    <mergeCell ref="FD6:FF6"/>
    <mergeCell ref="FJ6:FJ7"/>
    <mergeCell ref="HS5:HV6"/>
    <mergeCell ref="IF25:IF26"/>
    <mergeCell ref="IF50:IF51"/>
    <mergeCell ref="B162:D162"/>
    <mergeCell ref="E162:G162"/>
    <mergeCell ref="H162:J162"/>
    <mergeCell ref="B157:M159"/>
    <mergeCell ref="B160:M161"/>
    <mergeCell ref="L162:M162"/>
    <mergeCell ref="FG6:FI6"/>
    <mergeCell ref="FK6:FM6"/>
    <mergeCell ref="FA5:FC6"/>
    <mergeCell ref="FD5:FF5"/>
    <mergeCell ref="GF6:GF7"/>
    <mergeCell ref="EZ5:EZ7"/>
    <mergeCell ref="FO6:FO7"/>
    <mergeCell ref="FZ6:FZ7"/>
    <mergeCell ref="CY6:DA6"/>
    <mergeCell ref="FN6:FN7"/>
    <mergeCell ref="EP6:ER6"/>
    <mergeCell ref="CI5:CN5"/>
    <mergeCell ref="CF5:CH5"/>
    <mergeCell ref="T5:V5"/>
    <mergeCell ref="AK6:AM6"/>
  </mergeCells>
  <conditionalFormatting sqref="HI9:HI40 HL9:HL40 AV9:AV40 AV54:AV150 HL54:HL150 HI54:HI150 M9:M150">
    <cfRule type="cellIs" dxfId="41" priority="163" stopIfTrue="1" operator="between">
      <formula>9</formula>
      <formula>9.99</formula>
    </cfRule>
    <cfRule type="cellIs" dxfId="40" priority="164" stopIfTrue="1" operator="between">
      <formula>8</formula>
      <formula>8.99</formula>
    </cfRule>
    <cfRule type="cellIs" dxfId="39" priority="165" stopIfTrue="1" operator="between">
      <formula>7</formula>
      <formula>7.99</formula>
    </cfRule>
    <cfRule type="cellIs" dxfId="38" priority="166" stopIfTrue="1" operator="between">
      <formula>6</formula>
      <formula>6.99</formula>
    </cfRule>
    <cfRule type="cellIs" dxfId="37" priority="167" stopIfTrue="1" operator="between">
      <formula>5</formula>
      <formula>5.99</formula>
    </cfRule>
    <cfRule type="cellIs" dxfId="36" priority="168" stopIfTrue="1" operator="between">
      <formula>4</formula>
      <formula>4.99</formula>
    </cfRule>
    <cfRule type="cellIs" dxfId="35" priority="169" stopIfTrue="1" operator="between">
      <formula>3</formula>
      <formula>3.99</formula>
    </cfRule>
    <cfRule type="cellIs" dxfId="34" priority="170" stopIfTrue="1" operator="between">
      <formula>2</formula>
      <formula>2.99</formula>
    </cfRule>
    <cfRule type="cellIs" dxfId="33" priority="171" stopIfTrue="1" operator="between">
      <formula>1</formula>
      <formula>1.99</formula>
    </cfRule>
  </conditionalFormatting>
  <conditionalFormatting sqref="HI41:HI53 HL41:HL53 AV41:AV53">
    <cfRule type="cellIs" dxfId="32" priority="49" stopIfTrue="1" operator="between">
      <formula>9</formula>
      <formula>9.99</formula>
    </cfRule>
    <cfRule type="cellIs" dxfId="31" priority="50" stopIfTrue="1" operator="between">
      <formula>8</formula>
      <formula>8.99</formula>
    </cfRule>
    <cfRule type="cellIs" dxfId="30" priority="51" stopIfTrue="1" operator="between">
      <formula>7</formula>
      <formula>7.99</formula>
    </cfRule>
    <cfRule type="cellIs" dxfId="29" priority="52" stopIfTrue="1" operator="between">
      <formula>6</formula>
      <formula>6.99</formula>
    </cfRule>
    <cfRule type="cellIs" dxfId="28" priority="53" stopIfTrue="1" operator="between">
      <formula>5</formula>
      <formula>5.99</formula>
    </cfRule>
    <cfRule type="cellIs" dxfId="27" priority="54" stopIfTrue="1" operator="between">
      <formula>4</formula>
      <formula>4.99</formula>
    </cfRule>
    <cfRule type="cellIs" dxfId="26" priority="55" stopIfTrue="1" operator="between">
      <formula>3</formula>
      <formula>3.99</formula>
    </cfRule>
    <cfRule type="cellIs" dxfId="25" priority="56" stopIfTrue="1" operator="between">
      <formula>2</formula>
      <formula>2.99</formula>
    </cfRule>
    <cfRule type="cellIs" dxfId="24" priority="57" stopIfTrue="1" operator="between">
      <formula>1</formula>
      <formula>1.99</formula>
    </cfRule>
  </conditionalFormatting>
  <conditionalFormatting sqref="L5">
    <cfRule type="cellIs" dxfId="23" priority="29" operator="equal">
      <formula>"Wrong CS"</formula>
    </cfRule>
  </conditionalFormatting>
  <conditionalFormatting sqref="HM9:HM15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N9:HN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paperSize="17" scale="87" orientation="portrait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0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2" t="str">
        <f>CONCATENATE(Settings!$C$19," ",Settings!$B$28)</f>
        <v>12.25 4538r00</v>
      </c>
      <c r="D1" s="1302"/>
      <c r="E1" s="1302"/>
      <c r="F1" s="1302"/>
      <c r="G1" s="1302"/>
      <c r="H1" s="1302"/>
      <c r="I1" s="1302"/>
      <c r="J1" s="1302"/>
      <c r="K1" s="1302"/>
      <c r="M1" s="103" t="s">
        <v>310</v>
      </c>
      <c r="N1" s="1374" t="s">
        <v>312</v>
      </c>
      <c r="O1" s="1374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3" t="str">
        <f>Settings!B28</f>
        <v>4538r00</v>
      </c>
      <c r="C2" s="1384"/>
      <c r="D2" s="1384"/>
      <c r="E2" s="1384"/>
      <c r="F2" s="1384"/>
      <c r="G2" s="1384"/>
      <c r="H2" s="1384"/>
      <c r="I2" s="1384"/>
      <c r="J2" s="1384"/>
      <c r="K2" s="1385"/>
      <c r="L2" s="1146" t="str" cm="1">
        <f t="array" ref="L2">IF(OR($K$9:$K$150="Undefined"),"Undefined Element","")</f>
        <v/>
      </c>
      <c r="M2" s="1380" t="s">
        <v>0</v>
      </c>
      <c r="N2" s="1264" t="s">
        <v>1</v>
      </c>
      <c r="O2" s="1265"/>
      <c r="P2" s="1265"/>
      <c r="Q2" s="1265"/>
      <c r="R2" s="1265"/>
      <c r="S2" s="1265"/>
      <c r="T2" s="1265"/>
      <c r="U2" s="1265"/>
      <c r="V2" s="1265"/>
      <c r="W2" s="1265"/>
      <c r="X2" s="1265"/>
      <c r="Y2" s="1277"/>
      <c r="Z2" s="1264" t="s">
        <v>2</v>
      </c>
      <c r="AA2" s="1265"/>
      <c r="AB2" s="1265"/>
      <c r="AC2" s="1265"/>
      <c r="AD2" s="1265"/>
      <c r="AE2" s="1265"/>
      <c r="AF2" s="1265"/>
      <c r="AG2" s="1265"/>
      <c r="AH2" s="1265"/>
      <c r="AI2" s="1265"/>
      <c r="AJ2" s="1265"/>
      <c r="AK2" s="1265"/>
      <c r="AL2" s="1265"/>
      <c r="AM2" s="1265"/>
      <c r="AN2" s="1265"/>
      <c r="AO2" s="1265"/>
      <c r="AP2" s="1265"/>
      <c r="AQ2" s="1266"/>
      <c r="AS2" s="1097" t="s">
        <v>44</v>
      </c>
      <c r="AT2" s="1099"/>
      <c r="AV2" s="1396" t="str">
        <f>M2</f>
        <v>CS-Name</v>
      </c>
      <c r="AW2" s="1079"/>
      <c r="AX2" s="1079"/>
      <c r="AY2" s="1079"/>
      <c r="AZ2" s="1079"/>
      <c r="BA2" s="1079"/>
      <c r="BB2" s="1079"/>
      <c r="BC2" s="1080"/>
      <c r="BF2" s="1403" t="s">
        <v>313</v>
      </c>
      <c r="BG2" s="1404"/>
      <c r="BH2" s="1404"/>
      <c r="BI2" s="1404"/>
      <c r="BJ2" s="1404"/>
      <c r="BK2" s="1405"/>
      <c r="BM2" s="1416" t="s">
        <v>270</v>
      </c>
      <c r="BN2" s="1346"/>
      <c r="BO2" s="1346"/>
      <c r="BP2" s="1347"/>
      <c r="BR2" s="1416" t="s">
        <v>270</v>
      </c>
      <c r="BS2" s="1346"/>
      <c r="BT2" s="1346"/>
      <c r="BU2" s="1347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04"/>
      <c r="C3" s="1305"/>
      <c r="D3" s="1305"/>
      <c r="E3" s="1305"/>
      <c r="F3" s="1305"/>
      <c r="G3" s="1305"/>
      <c r="H3" s="1305"/>
      <c r="I3" s="1305"/>
      <c r="J3" s="1305"/>
      <c r="K3" s="1306"/>
      <c r="L3" s="1146"/>
      <c r="M3" s="1381"/>
      <c r="N3" s="1267"/>
      <c r="O3" s="1268"/>
      <c r="P3" s="1268"/>
      <c r="Q3" s="1268"/>
      <c r="R3" s="1268"/>
      <c r="S3" s="1268"/>
      <c r="T3" s="1268"/>
      <c r="U3" s="1268"/>
      <c r="V3" s="1268"/>
      <c r="W3" s="1268"/>
      <c r="X3" s="1268"/>
      <c r="Y3" s="1361"/>
      <c r="Z3" s="1129"/>
      <c r="AA3" s="1130"/>
      <c r="AB3" s="1130"/>
      <c r="AC3" s="1130"/>
      <c r="AD3" s="1130"/>
      <c r="AE3" s="1130"/>
      <c r="AF3" s="1130"/>
      <c r="AG3" s="1130"/>
      <c r="AH3" s="1130"/>
      <c r="AI3" s="1130"/>
      <c r="AJ3" s="1130"/>
      <c r="AK3" s="1130"/>
      <c r="AL3" s="1130"/>
      <c r="AM3" s="1130"/>
      <c r="AN3" s="1130"/>
      <c r="AO3" s="1130"/>
      <c r="AP3" s="1130"/>
      <c r="AQ3" s="1285"/>
      <c r="AS3" s="415">
        <v>100</v>
      </c>
      <c r="AT3" s="412" t="s">
        <v>45</v>
      </c>
      <c r="AV3" s="1397"/>
      <c r="AW3" s="1085"/>
      <c r="AX3" s="1085"/>
      <c r="AY3" s="1085"/>
      <c r="AZ3" s="1085"/>
      <c r="BA3" s="1085"/>
      <c r="BB3" s="1085"/>
      <c r="BC3" s="1086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70" t="s">
        <v>307</v>
      </c>
      <c r="C4" s="1004"/>
      <c r="D4" s="1004"/>
      <c r="E4" s="1004"/>
      <c r="F4" s="1004"/>
      <c r="G4" s="1004"/>
      <c r="H4" s="1004"/>
      <c r="I4" s="1004"/>
      <c r="J4" s="1004"/>
      <c r="K4" s="1386"/>
      <c r="L4" s="1146"/>
      <c r="M4" s="1381"/>
      <c r="N4" s="1319" t="s">
        <v>3</v>
      </c>
      <c r="O4" s="1316"/>
      <c r="P4" s="1316"/>
      <c r="Q4" s="1315" t="s">
        <v>4</v>
      </c>
      <c r="R4" s="1316"/>
      <c r="S4" s="1334"/>
      <c r="T4" s="1328" t="str">
        <f>N4</f>
        <v>Cartesian Coordinates</v>
      </c>
      <c r="U4" s="1289"/>
      <c r="V4" s="1329"/>
      <c r="W4" s="1289" t="str">
        <f>Q4</f>
        <v>Polar XY; Cartesian Z</v>
      </c>
      <c r="X4" s="1289"/>
      <c r="Y4" s="1303"/>
      <c r="Z4" s="1376" t="s">
        <v>3</v>
      </c>
      <c r="AA4" s="1377"/>
      <c r="AB4" s="1377"/>
      <c r="AC4" s="1377"/>
      <c r="AD4" s="1377"/>
      <c r="AE4" s="1377"/>
      <c r="AF4" s="1377"/>
      <c r="AG4" s="1412" t="s">
        <v>31</v>
      </c>
      <c r="AH4" s="1377"/>
      <c r="AI4" s="1377"/>
      <c r="AJ4" s="1413"/>
      <c r="AK4" s="1419" t="s">
        <v>32</v>
      </c>
      <c r="AL4" s="1420"/>
      <c r="AM4" s="1420"/>
      <c r="AN4" s="1420"/>
      <c r="AO4" s="1420"/>
      <c r="AP4" s="1420"/>
      <c r="AQ4" s="1421"/>
      <c r="AS4" s="416">
        <v>0</v>
      </c>
      <c r="AT4" s="413" t="s">
        <v>46</v>
      </c>
      <c r="AV4" s="1397"/>
      <c r="AW4" s="1410"/>
      <c r="AX4" s="1410"/>
      <c r="AY4" s="1410"/>
      <c r="AZ4" s="1411"/>
      <c r="BA4" s="1410" t="str">
        <f>Z2</f>
        <v>PDC Orientation</v>
      </c>
      <c r="BB4" s="1410"/>
      <c r="BC4" s="1411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91" t="s">
        <v>372</v>
      </c>
      <c r="IF4" s="991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04" t="str">
        <f>CONCATENATE(B7," ; ",E7," ; ",H8)</f>
        <v>Absolute-Point ; Incremental-Vector Point ; Radius</v>
      </c>
      <c r="C5" s="1305"/>
      <c r="D5" s="1305"/>
      <c r="E5" s="1305"/>
      <c r="F5" s="1305"/>
      <c r="G5" s="1305"/>
      <c r="H5" s="1305"/>
      <c r="I5" s="1305"/>
      <c r="J5" s="1305"/>
      <c r="K5" s="1306"/>
      <c r="L5" s="813" t="str" cm="1">
        <f t="array" ref="L5">IF(OR(IF(LEFT($K$9:$K$150,4)="&lt;&gt;CS",TRUE,FALSE)),"Wrong CS","")</f>
        <v/>
      </c>
      <c r="M5" s="1381"/>
      <c r="N5" s="1339" t="s">
        <v>5</v>
      </c>
      <c r="O5" s="1274"/>
      <c r="P5" s="1274"/>
      <c r="Q5" s="1342" t="s">
        <v>6</v>
      </c>
      <c r="R5" s="1274"/>
      <c r="S5" s="1275"/>
      <c r="T5" s="1258" t="str">
        <f>CONCATENATE("Relative to ",M8,"'s θ &amp; Z; Z Axis")</f>
        <v>Relative to 's θ &amp; Z; Z Axis</v>
      </c>
      <c r="U5" s="1259"/>
      <c r="V5" s="1260"/>
      <c r="W5" s="1259" t="str">
        <f>CONCATENATE("Relative to ",M8,"'s θ &amp; Z; Z Axis")</f>
        <v>Relative to 's θ &amp; Z; Z Axis</v>
      </c>
      <c r="X5" s="1259"/>
      <c r="Y5" s="1330"/>
      <c r="Z5" s="1320" t="str">
        <f>N5</f>
        <v>Relative to World_CS</v>
      </c>
      <c r="AA5" s="1259"/>
      <c r="AB5" s="1259"/>
      <c r="AC5" s="1259"/>
      <c r="AD5" s="1259"/>
      <c r="AE5" s="1259"/>
      <c r="AF5" s="1259"/>
      <c r="AG5" s="1258" t="str">
        <f>N5</f>
        <v>Relative to World_CS</v>
      </c>
      <c r="AH5" s="1259"/>
      <c r="AI5" s="1259"/>
      <c r="AJ5" s="1296"/>
      <c r="AK5" s="1273" t="s">
        <v>7</v>
      </c>
      <c r="AL5" s="1274"/>
      <c r="AM5" s="1274"/>
      <c r="AN5" s="1274"/>
      <c r="AO5" s="1274"/>
      <c r="AP5" s="1274"/>
      <c r="AQ5" s="1275"/>
      <c r="AS5" s="167">
        <f>(((AS4*12)/60)/AS3)</f>
        <v>0</v>
      </c>
      <c r="AT5" s="413" t="s">
        <v>47</v>
      </c>
      <c r="AV5" s="1397"/>
      <c r="AW5" s="1328" t="str">
        <f>W4</f>
        <v>Polar XY; Cartesian Z</v>
      </c>
      <c r="AX5" s="1289"/>
      <c r="AY5" s="1289"/>
      <c r="AZ5" s="1147" t="s">
        <v>104</v>
      </c>
      <c r="BA5" s="1289" t="str">
        <f>AK4</f>
        <v>Polar Z Projection → XZ Plane</v>
      </c>
      <c r="BB5" s="1289"/>
      <c r="BC5" s="1290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0"/>
      <c r="C6" s="1091"/>
      <c r="D6" s="1091"/>
      <c r="E6" s="1091"/>
      <c r="F6" s="1091"/>
      <c r="G6" s="1091"/>
      <c r="H6" s="1091"/>
      <c r="I6" s="1091"/>
      <c r="J6" s="1091"/>
      <c r="K6" s="1092"/>
      <c r="L6" s="1146" t="str" cm="1">
        <f t="array" ref="L6">IF(OR($K$9:$K$150="Inactive"),"Inactive Element","")</f>
        <v/>
      </c>
      <c r="M6" s="1381"/>
      <c r="N6" s="1335" t="s">
        <v>8</v>
      </c>
      <c r="O6" s="1337" t="s">
        <v>9</v>
      </c>
      <c r="P6" s="1340" t="s">
        <v>10</v>
      </c>
      <c r="Q6" s="1352" t="s">
        <v>11</v>
      </c>
      <c r="R6" s="1353"/>
      <c r="S6" s="1331" t="s">
        <v>10</v>
      </c>
      <c r="T6" s="1370" t="str">
        <f>N6</f>
        <v>X</v>
      </c>
      <c r="U6" s="1372" t="str">
        <f>O6</f>
        <v>Y</v>
      </c>
      <c r="V6" s="1326" t="str">
        <f>P6</f>
        <v>Z</v>
      </c>
      <c r="W6" s="1291" t="str">
        <f>Q6</f>
        <v>Projected XY</v>
      </c>
      <c r="X6" s="1292"/>
      <c r="Y6" s="1368" t="str">
        <f>S6</f>
        <v>Z</v>
      </c>
      <c r="Z6" s="1357" t="s">
        <v>12</v>
      </c>
      <c r="AA6" s="1310"/>
      <c r="AB6" s="1310"/>
      <c r="AC6" s="1358"/>
      <c r="AD6" s="1315" t="s">
        <v>13</v>
      </c>
      <c r="AE6" s="1316"/>
      <c r="AF6" s="1316"/>
      <c r="AG6" s="1356" t="s">
        <v>7</v>
      </c>
      <c r="AH6" s="1316"/>
      <c r="AI6" s="1315" t="s">
        <v>14</v>
      </c>
      <c r="AJ6" s="1334"/>
      <c r="AK6" s="1328" t="str">
        <f>AD6</f>
        <v>Unit Vector</v>
      </c>
      <c r="AL6" s="1289"/>
      <c r="AM6" s="1290"/>
      <c r="AN6" s="34" t="s">
        <v>15</v>
      </c>
      <c r="AO6" s="35" t="s">
        <v>16</v>
      </c>
      <c r="AP6" s="680" t="s">
        <v>17</v>
      </c>
      <c r="AQ6" s="1378" t="s">
        <v>108</v>
      </c>
      <c r="AS6" s="168">
        <f>(AS5/360)</f>
        <v>0</v>
      </c>
      <c r="AT6" s="414" t="s">
        <v>48</v>
      </c>
      <c r="AV6" s="1397"/>
      <c r="AW6" s="1258" t="str">
        <f>W5</f>
        <v>Relative to 's θ &amp; Z; Z Axis</v>
      </c>
      <c r="AX6" s="1259"/>
      <c r="AY6" s="1259"/>
      <c r="AZ6" s="1393"/>
      <c r="BA6" s="1259" t="str">
        <f>AK5</f>
        <v>Vector Along X Axis</v>
      </c>
      <c r="BB6" s="1259"/>
      <c r="BC6" s="1296"/>
      <c r="BD6" s="417"/>
      <c r="BF6" s="410">
        <f>SUM(AZ9:AZ150)</f>
        <v>0</v>
      </c>
      <c r="BG6" s="1375" t="s">
        <v>309</v>
      </c>
      <c r="BH6" s="1375"/>
      <c r="BI6" s="1375"/>
      <c r="BJ6" s="1375"/>
      <c r="BK6" s="1375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21" t="s">
        <v>40</v>
      </c>
      <c r="C7" s="1322"/>
      <c r="D7" s="1323"/>
      <c r="E7" s="1324" t="s">
        <v>41</v>
      </c>
      <c r="F7" s="1322"/>
      <c r="G7" s="1325"/>
      <c r="H7" s="971" t="s">
        <v>305</v>
      </c>
      <c r="I7" s="969"/>
      <c r="J7" s="970"/>
      <c r="K7" s="488"/>
      <c r="L7" s="1146"/>
      <c r="M7" s="1382"/>
      <c r="N7" s="1336"/>
      <c r="O7" s="1338"/>
      <c r="P7" s="1341"/>
      <c r="Q7" s="36" t="s">
        <v>18</v>
      </c>
      <c r="R7" s="2" t="s">
        <v>19</v>
      </c>
      <c r="S7" s="1332"/>
      <c r="T7" s="1371"/>
      <c r="U7" s="1373"/>
      <c r="V7" s="1327"/>
      <c r="W7" s="37" t="str">
        <f>Q7</f>
        <v>&lt; θ°</v>
      </c>
      <c r="X7" s="27" t="str">
        <f>R7</f>
        <v>r</v>
      </c>
      <c r="Y7" s="1369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9"/>
      <c r="AS7" s="1414" t="s">
        <v>54</v>
      </c>
      <c r="AT7" s="1417" t="s">
        <v>53</v>
      </c>
      <c r="AV7" s="1397"/>
      <c r="AW7" s="1392" t="str">
        <f>$W$6</f>
        <v>Projected XY</v>
      </c>
      <c r="AX7" s="1292"/>
      <c r="AY7" s="1394" t="str">
        <f>$Y$6</f>
        <v>Z</v>
      </c>
      <c r="AZ7" s="1393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5"/>
      <c r="BH7" s="1375"/>
      <c r="BI7" s="1375"/>
      <c r="BJ7" s="1375"/>
      <c r="BK7" s="1375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77" t="s">
        <v>33</v>
      </c>
      <c r="IH7" s="1189" t="s">
        <v>376</v>
      </c>
      <c r="II7" s="973" t="s">
        <v>324</v>
      </c>
      <c r="IJ7" s="974"/>
      <c r="IK7" s="974"/>
      <c r="IL7" s="969"/>
      <c r="IM7" s="969"/>
      <c r="IN7" s="969"/>
      <c r="IO7" s="970"/>
      <c r="IP7" s="971" t="s">
        <v>320</v>
      </c>
      <c r="IQ7" s="969"/>
      <c r="IR7" s="969"/>
      <c r="IS7" s="969"/>
      <c r="IT7" s="969"/>
      <c r="IU7" s="971" t="s">
        <v>319</v>
      </c>
      <c r="IV7" s="969"/>
      <c r="IW7" s="969"/>
      <c r="IX7" s="969"/>
      <c r="IY7" s="970"/>
      <c r="JA7" s="725"/>
      <c r="JB7" s="1422" t="s">
        <v>355</v>
      </c>
      <c r="JC7" s="1343"/>
      <c r="JD7" s="1343"/>
      <c r="JE7" s="1344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46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5"/>
      <c r="AT8" s="1418"/>
      <c r="AV8" s="1398"/>
      <c r="AW8" s="46" t="str">
        <f>$W$7</f>
        <v>&lt; θ°</v>
      </c>
      <c r="AX8" s="27" t="str">
        <f>$X$7</f>
        <v>r</v>
      </c>
      <c r="AY8" s="1395"/>
      <c r="AZ8" s="1148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91"/>
      <c r="IH8" s="1190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45" t="s">
        <v>356</v>
      </c>
      <c r="JC19" s="1346"/>
      <c r="JD19" s="1346"/>
      <c r="JE19" s="1346"/>
      <c r="JF19" s="1346"/>
      <c r="JG19" s="1346"/>
      <c r="JH19" s="1346"/>
      <c r="JI19" s="1347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48" t="s">
        <v>360</v>
      </c>
      <c r="JC20" s="1349"/>
      <c r="JD20" s="1349"/>
      <c r="JE20" s="1349"/>
      <c r="JF20" s="1141" t="s">
        <v>361</v>
      </c>
      <c r="JG20" s="1142"/>
      <c r="JH20" s="1142"/>
      <c r="JI20" s="114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1"/>
      <c r="JC21" s="1212"/>
      <c r="JD21" s="1212"/>
      <c r="JE21" s="1212"/>
      <c r="JF21" s="1144" t="s">
        <v>349</v>
      </c>
      <c r="JG21" s="1145"/>
      <c r="JH21" s="1350" t="s">
        <v>362</v>
      </c>
      <c r="JI21" s="1351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0" t="str">
        <f>$W$6</f>
        <v>Projected XY</v>
      </c>
      <c r="AX152" s="1391"/>
      <c r="AY152" s="1408" t="str">
        <f>$Y$6</f>
        <v>Z</v>
      </c>
      <c r="AZ152" s="1406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9"/>
      <c r="AZ153" s="1407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78" t="s">
        <v>42</v>
      </c>
      <c r="C157" s="1307"/>
      <c r="D157" s="1307"/>
      <c r="E157" s="1307"/>
      <c r="F157" s="1307"/>
      <c r="G157" s="1307"/>
      <c r="H157" s="1307"/>
      <c r="I157" s="1307"/>
      <c r="J157" s="1307"/>
      <c r="K157" s="1308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09"/>
      <c r="C158" s="1310"/>
      <c r="D158" s="1310"/>
      <c r="E158" s="1310"/>
      <c r="F158" s="1310"/>
      <c r="G158" s="1310"/>
      <c r="H158" s="1310"/>
      <c r="I158" s="1310"/>
      <c r="J158" s="1310"/>
      <c r="K158" s="131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2"/>
      <c r="C159" s="1313"/>
      <c r="D159" s="1313"/>
      <c r="E159" s="1313"/>
      <c r="F159" s="1313"/>
      <c r="G159" s="1313"/>
      <c r="H159" s="1313"/>
      <c r="I159" s="1313"/>
      <c r="J159" s="1313"/>
      <c r="K159" s="1314"/>
      <c r="AQ159" s="162"/>
      <c r="BD159" s="417"/>
    </row>
    <row r="160" spans="1:259" ht="15" customHeight="1" x14ac:dyDescent="0.25">
      <c r="B160" s="1304" t="str">
        <f>CONCATENATE(B162," ; ",E162," ; ",H163)</f>
        <v>Absolute-Point ; Incremental-Vector Point ; Radius</v>
      </c>
      <c r="C160" s="1305"/>
      <c r="D160" s="1305"/>
      <c r="E160" s="1305"/>
      <c r="F160" s="1305"/>
      <c r="G160" s="1305"/>
      <c r="H160" s="1305"/>
      <c r="I160" s="1305"/>
      <c r="J160" s="1305"/>
      <c r="K160" s="1306"/>
      <c r="AQ160" s="162"/>
      <c r="BD160" s="417"/>
    </row>
    <row r="161" spans="2:56" ht="15" customHeight="1" x14ac:dyDescent="0.25">
      <c r="B161" s="1090"/>
      <c r="C161" s="1091"/>
      <c r="D161" s="1091"/>
      <c r="E161" s="1091"/>
      <c r="F161" s="1091"/>
      <c r="G161" s="1091"/>
      <c r="H161" s="1091"/>
      <c r="I161" s="1091"/>
      <c r="J161" s="1091"/>
      <c r="K161" s="1092"/>
      <c r="AQ161" s="162"/>
      <c r="BD161" s="417"/>
    </row>
    <row r="162" spans="2:56" ht="15" customHeight="1" x14ac:dyDescent="0.25">
      <c r="B162" s="1321" t="s">
        <v>40</v>
      </c>
      <c r="C162" s="1322"/>
      <c r="D162" s="1323"/>
      <c r="E162" s="1324" t="s">
        <v>41</v>
      </c>
      <c r="F162" s="1322"/>
      <c r="G162" s="1325"/>
      <c r="H162" s="971" t="s">
        <v>305</v>
      </c>
      <c r="I162" s="969"/>
      <c r="J162" s="970"/>
      <c r="K162" s="488"/>
      <c r="M162" s="1111" t="s">
        <v>304</v>
      </c>
      <c r="N162" s="1387"/>
      <c r="O162" s="1399" t="s">
        <v>283</v>
      </c>
      <c r="P162" s="1400"/>
      <c r="Q162" s="1401"/>
      <c r="R162" s="1402" t="s">
        <v>41</v>
      </c>
      <c r="S162" s="1400"/>
      <c r="T162" s="1401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88"/>
      <c r="N163" s="1389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1.153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2.11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2.1160000000000001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2.1219999999999999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2.1280000000000001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2.1339999999999999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2.14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2.1459999999999999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2.1520000000000001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3.1019999999999999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3.105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3.1080000000000001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3.113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3.1190000000000002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3.125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3.1309999999999998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3.137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3.1429999999999998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3.149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3.1549999999999998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4.1120000000000001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4.1180000000000003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4.1239999999999997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4.13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4.1360000000000001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4.1420000000000003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4.1479999999999997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4.1539999999999999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5.1029999999999998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5.1059999999999999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5.109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5.1150000000000002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5.1210000000000004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5.1269999999999998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5.133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5.1390000000000002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5.1449999999999996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5.1509999999999998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5.157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6.1139999999999999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6.12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6.1260000000000003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6.1319999999999997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6.1379999999999999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6.1440000000000001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6.15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6.1559999999999997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topLeftCell="A21" zoomScale="80" zoomScaleNormal="80" workbookViewId="0">
      <selection activeCell="G50" sqref="G50"/>
    </sheetView>
  </sheetViews>
  <sheetFormatPr defaultRowHeight="15" x14ac:dyDescent="0.25"/>
  <cols>
    <col min="2" max="5" width="10.7109375" style="31" customWidth="1"/>
  </cols>
  <sheetData>
    <row r="7" spans="1:5" x14ac:dyDescent="0.25">
      <c r="B7" s="1416" t="s">
        <v>33</v>
      </c>
      <c r="C7" s="1423" t="s">
        <v>105</v>
      </c>
      <c r="D7" s="1401"/>
      <c r="E7" s="1425" t="s">
        <v>110</v>
      </c>
    </row>
    <row r="8" spans="1:5" ht="15.75" thickBot="1" x14ac:dyDescent="0.3">
      <c r="B8" s="1424"/>
      <c r="C8" s="839" t="s">
        <v>8</v>
      </c>
      <c r="D8" s="838" t="s">
        <v>9</v>
      </c>
      <c r="E8" s="1426"/>
    </row>
    <row r="9" spans="1:5" ht="15.75" thickTop="1" x14ac:dyDescent="0.25">
      <c r="A9">
        <f t="shared" ref="A9:A72" si="0">MOD((B9*1000),100)</f>
        <v>1</v>
      </c>
      <c r="B9" s="908">
        <v>1.101</v>
      </c>
      <c r="C9" s="911">
        <v>0.22189999999999999</v>
      </c>
      <c r="D9" s="912">
        <v>-0.50819999999999999</v>
      </c>
      <c r="E9" s="913">
        <v>5.6300000000000003E-2</v>
      </c>
    </row>
    <row r="10" spans="1:5" x14ac:dyDescent="0.25">
      <c r="A10">
        <f t="shared" si="0"/>
        <v>2</v>
      </c>
      <c r="B10" s="909">
        <v>3.1019999999999999</v>
      </c>
      <c r="C10" s="914">
        <v>0.52049999999999996</v>
      </c>
      <c r="D10" s="915">
        <v>-0.3241</v>
      </c>
      <c r="E10" s="916">
        <v>3.6499999999999998E-2</v>
      </c>
    </row>
    <row r="11" spans="1:5" x14ac:dyDescent="0.25">
      <c r="A11">
        <f t="shared" si="0"/>
        <v>3</v>
      </c>
      <c r="B11" s="909">
        <v>5.1029999999999998</v>
      </c>
      <c r="C11" s="914">
        <v>0.75870000000000004</v>
      </c>
      <c r="D11" s="915">
        <v>-0.1903</v>
      </c>
      <c r="E11" s="916">
        <v>3.6600000000000001E-2</v>
      </c>
    </row>
    <row r="12" spans="1:5" x14ac:dyDescent="0.25">
      <c r="A12">
        <f t="shared" si="0"/>
        <v>4</v>
      </c>
      <c r="B12" s="909">
        <v>1.1040000000000001</v>
      </c>
      <c r="C12" s="914">
        <v>0.99319999999999997</v>
      </c>
      <c r="D12" s="915">
        <v>-0.21190000000000001</v>
      </c>
      <c r="E12" s="916">
        <v>3.5499999999999997E-2</v>
      </c>
    </row>
    <row r="13" spans="1:5" x14ac:dyDescent="0.25">
      <c r="A13">
        <f t="shared" si="0"/>
        <v>5</v>
      </c>
      <c r="B13" s="909">
        <v>3.105</v>
      </c>
      <c r="C13" s="914">
        <v>1.228</v>
      </c>
      <c r="D13" s="915">
        <v>-7.7799999999999994E-2</v>
      </c>
      <c r="E13" s="916">
        <v>3.6499999999999998E-2</v>
      </c>
    </row>
    <row r="14" spans="1:5" x14ac:dyDescent="0.25">
      <c r="A14">
        <f t="shared" si="0"/>
        <v>6</v>
      </c>
      <c r="B14" s="909">
        <v>5.1059999999999999</v>
      </c>
      <c r="C14" s="914">
        <v>1.466</v>
      </c>
      <c r="D14" s="915">
        <v>5.6099999999999997E-2</v>
      </c>
      <c r="E14" s="916">
        <v>3.6499999999999998E-2</v>
      </c>
    </row>
    <row r="15" spans="1:5" x14ac:dyDescent="0.25">
      <c r="A15">
        <f t="shared" si="0"/>
        <v>7</v>
      </c>
      <c r="B15" s="909">
        <v>1.107</v>
      </c>
      <c r="C15" s="914">
        <v>1.7002999999999999</v>
      </c>
      <c r="D15" s="915">
        <v>3.4500000000000003E-2</v>
      </c>
      <c r="E15" s="916">
        <v>3.5499999999999997E-2</v>
      </c>
    </row>
    <row r="16" spans="1:5" x14ac:dyDescent="0.25">
      <c r="A16">
        <f t="shared" si="0"/>
        <v>8</v>
      </c>
      <c r="B16" s="909">
        <v>3.1080000000000001</v>
      </c>
      <c r="C16" s="914">
        <v>1.9300999999999999</v>
      </c>
      <c r="D16" s="915">
        <v>0.1676</v>
      </c>
      <c r="E16" s="916">
        <v>3.5499999999999997E-2</v>
      </c>
    </row>
    <row r="17" spans="1:5" x14ac:dyDescent="0.25">
      <c r="A17">
        <f t="shared" si="0"/>
        <v>9</v>
      </c>
      <c r="B17" s="909">
        <v>5.109</v>
      </c>
      <c r="C17" s="914">
        <v>2.1475</v>
      </c>
      <c r="D17" s="915">
        <v>0.314</v>
      </c>
      <c r="E17" s="916">
        <v>2.4199999999999999E-2</v>
      </c>
    </row>
    <row r="18" spans="1:5" x14ac:dyDescent="0.25">
      <c r="A18">
        <f t="shared" si="0"/>
        <v>10</v>
      </c>
      <c r="B18" s="909">
        <v>2.11</v>
      </c>
      <c r="C18" s="914">
        <v>2.2181999999999999</v>
      </c>
      <c r="D18" s="915">
        <v>0.2752</v>
      </c>
      <c r="E18" s="916">
        <v>1.4E-2</v>
      </c>
    </row>
    <row r="19" spans="1:5" x14ac:dyDescent="0.25">
      <c r="A19">
        <f t="shared" si="0"/>
        <v>11</v>
      </c>
      <c r="B19" s="909">
        <v>1.111</v>
      </c>
      <c r="C19" s="914">
        <v>2.3978000000000002</v>
      </c>
      <c r="D19" s="915">
        <v>0.28910000000000002</v>
      </c>
      <c r="E19" s="916">
        <v>2.58E-2</v>
      </c>
    </row>
    <row r="20" spans="1:5" x14ac:dyDescent="0.25">
      <c r="A20">
        <f t="shared" si="0"/>
        <v>12</v>
      </c>
      <c r="B20" s="909">
        <v>4.1120000000000001</v>
      </c>
      <c r="C20" s="914">
        <v>2.4817</v>
      </c>
      <c r="D20" s="915">
        <v>0.4052</v>
      </c>
      <c r="E20" s="916">
        <v>1.43E-2</v>
      </c>
    </row>
    <row r="21" spans="1:5" x14ac:dyDescent="0.25">
      <c r="A21">
        <f t="shared" si="0"/>
        <v>13</v>
      </c>
      <c r="B21" s="909">
        <v>3.113</v>
      </c>
      <c r="C21" s="914">
        <v>2.6654</v>
      </c>
      <c r="D21" s="915">
        <v>0.4022</v>
      </c>
      <c r="E21" s="916">
        <v>2.8000000000000001E-2</v>
      </c>
    </row>
    <row r="22" spans="1:5" x14ac:dyDescent="0.25">
      <c r="A22">
        <f t="shared" si="0"/>
        <v>14</v>
      </c>
      <c r="B22" s="909">
        <v>6.1139999999999999</v>
      </c>
      <c r="C22" s="914">
        <v>2.7526999999999999</v>
      </c>
      <c r="D22" s="915">
        <v>0.51090000000000002</v>
      </c>
      <c r="E22" s="916">
        <v>1.3899999999999999E-2</v>
      </c>
    </row>
    <row r="23" spans="1:5" x14ac:dyDescent="0.25">
      <c r="A23">
        <f t="shared" si="0"/>
        <v>15</v>
      </c>
      <c r="B23" s="909">
        <v>5.1150000000000002</v>
      </c>
      <c r="C23" s="914">
        <v>2.9386000000000001</v>
      </c>
      <c r="D23" s="915">
        <v>0.49130000000000001</v>
      </c>
      <c r="E23" s="916">
        <v>2.8000000000000001E-2</v>
      </c>
    </row>
    <row r="24" spans="1:5" x14ac:dyDescent="0.25">
      <c r="A24">
        <f t="shared" si="0"/>
        <v>16</v>
      </c>
      <c r="B24" s="909">
        <v>2.1160000000000001</v>
      </c>
      <c r="C24" s="914">
        <v>3.0289000000000001</v>
      </c>
      <c r="D24" s="915">
        <v>0.438</v>
      </c>
      <c r="E24" s="916">
        <v>1.4500000000000001E-2</v>
      </c>
    </row>
    <row r="25" spans="1:5" x14ac:dyDescent="0.25">
      <c r="A25">
        <f t="shared" si="0"/>
        <v>17</v>
      </c>
      <c r="B25" s="909">
        <v>1.117</v>
      </c>
      <c r="C25" s="914">
        <v>3.2115</v>
      </c>
      <c r="D25" s="915">
        <v>0.40079999999999999</v>
      </c>
      <c r="E25" s="916">
        <v>2.7E-2</v>
      </c>
    </row>
    <row r="26" spans="1:5" x14ac:dyDescent="0.25">
      <c r="A26">
        <f t="shared" si="0"/>
        <v>18</v>
      </c>
      <c r="B26" s="909">
        <v>4.1180000000000003</v>
      </c>
      <c r="C26" s="914">
        <v>3.3029000000000002</v>
      </c>
      <c r="D26" s="915">
        <v>0.49370000000000003</v>
      </c>
      <c r="E26" s="916">
        <v>1.47E-2</v>
      </c>
    </row>
    <row r="27" spans="1:5" x14ac:dyDescent="0.25">
      <c r="A27">
        <f t="shared" si="0"/>
        <v>19</v>
      </c>
      <c r="B27" s="909">
        <v>3.1190000000000002</v>
      </c>
      <c r="C27" s="914">
        <v>3.4861</v>
      </c>
      <c r="D27" s="915">
        <v>0.43869999999999998</v>
      </c>
      <c r="E27" s="916">
        <v>2.8400000000000002E-2</v>
      </c>
    </row>
    <row r="28" spans="1:5" x14ac:dyDescent="0.25">
      <c r="A28">
        <f t="shared" si="0"/>
        <v>20</v>
      </c>
      <c r="B28" s="909">
        <v>6.12</v>
      </c>
      <c r="C28" s="914">
        <v>3.5802</v>
      </c>
      <c r="D28" s="915">
        <v>0.52249999999999996</v>
      </c>
      <c r="E28" s="916">
        <v>1.4E-2</v>
      </c>
    </row>
    <row r="29" spans="1:5" x14ac:dyDescent="0.25">
      <c r="A29">
        <f t="shared" si="0"/>
        <v>21</v>
      </c>
      <c r="B29" s="909">
        <v>5.1210000000000004</v>
      </c>
      <c r="C29" s="914">
        <v>3.7591999999999999</v>
      </c>
      <c r="D29" s="915">
        <v>0.44979999999999998</v>
      </c>
      <c r="E29" s="916">
        <v>2.76E-2</v>
      </c>
    </row>
    <row r="30" spans="1:5" x14ac:dyDescent="0.25">
      <c r="A30">
        <f t="shared" si="0"/>
        <v>22</v>
      </c>
      <c r="B30" s="909">
        <v>2.1219999999999999</v>
      </c>
      <c r="C30" s="914">
        <v>3.855</v>
      </c>
      <c r="D30" s="915">
        <v>0.36980000000000002</v>
      </c>
      <c r="E30" s="916">
        <v>1.4200000000000001E-2</v>
      </c>
    </row>
    <row r="31" spans="1:5" x14ac:dyDescent="0.25">
      <c r="A31">
        <f t="shared" si="0"/>
        <v>23</v>
      </c>
      <c r="B31" s="909">
        <v>1.123</v>
      </c>
      <c r="C31" s="914">
        <v>4.0247000000000002</v>
      </c>
      <c r="D31" s="915">
        <v>0.28060000000000002</v>
      </c>
      <c r="E31" s="916">
        <v>2.58E-2</v>
      </c>
    </row>
    <row r="32" spans="1:5" x14ac:dyDescent="0.25">
      <c r="A32">
        <f t="shared" si="0"/>
        <v>24</v>
      </c>
      <c r="B32" s="909">
        <v>4.1239999999999997</v>
      </c>
      <c r="C32" s="914">
        <v>4.1193</v>
      </c>
      <c r="D32" s="915">
        <v>0.34599999999999997</v>
      </c>
      <c r="E32" s="916">
        <v>1.4E-2</v>
      </c>
    </row>
    <row r="33" spans="1:5" x14ac:dyDescent="0.25">
      <c r="A33">
        <f t="shared" si="0"/>
        <v>25</v>
      </c>
      <c r="B33" s="909">
        <v>3.125</v>
      </c>
      <c r="C33" s="914">
        <v>4.2831999999999999</v>
      </c>
      <c r="D33" s="915">
        <v>0.2404</v>
      </c>
      <c r="E33" s="916">
        <v>2.63E-2</v>
      </c>
    </row>
    <row r="34" spans="1:5" x14ac:dyDescent="0.25">
      <c r="A34">
        <f t="shared" si="0"/>
        <v>26</v>
      </c>
      <c r="B34" s="909">
        <v>6.1260000000000003</v>
      </c>
      <c r="C34" s="914">
        <v>4.3784999999999998</v>
      </c>
      <c r="D34" s="915">
        <v>0.29520000000000002</v>
      </c>
      <c r="E34" s="916">
        <v>1.29E-2</v>
      </c>
    </row>
    <row r="35" spans="1:5" x14ac:dyDescent="0.25">
      <c r="A35">
        <f t="shared" si="0"/>
        <v>27</v>
      </c>
      <c r="B35" s="909">
        <v>5.1269999999999998</v>
      </c>
      <c r="C35" s="914">
        <v>4.5328999999999997</v>
      </c>
      <c r="D35" s="915">
        <v>0.17499999999999999</v>
      </c>
      <c r="E35" s="916">
        <v>2.4899999999999999E-2</v>
      </c>
    </row>
    <row r="36" spans="1:5" x14ac:dyDescent="0.25">
      <c r="A36">
        <f t="shared" si="0"/>
        <v>28</v>
      </c>
      <c r="B36" s="909">
        <v>2.1280000000000001</v>
      </c>
      <c r="C36" s="914">
        <v>4.6271000000000004</v>
      </c>
      <c r="D36" s="915">
        <v>6.54E-2</v>
      </c>
      <c r="E36" s="916">
        <v>1.2699999999999999E-2</v>
      </c>
    </row>
    <row r="37" spans="1:5" x14ac:dyDescent="0.25">
      <c r="A37">
        <f t="shared" si="0"/>
        <v>29</v>
      </c>
      <c r="B37" s="909">
        <v>1.129</v>
      </c>
      <c r="C37" s="914">
        <v>4.7686000000000002</v>
      </c>
      <c r="D37" s="915">
        <v>-6.7100000000000007E-2</v>
      </c>
      <c r="E37" s="916">
        <v>2.2700000000000001E-2</v>
      </c>
    </row>
    <row r="38" spans="1:5" x14ac:dyDescent="0.25">
      <c r="A38">
        <f t="shared" si="0"/>
        <v>30</v>
      </c>
      <c r="B38" s="909">
        <v>4.13</v>
      </c>
      <c r="C38" s="914">
        <v>4.8586999999999998</v>
      </c>
      <c r="D38" s="915">
        <v>-3.1E-2</v>
      </c>
      <c r="E38" s="916">
        <v>1.2E-2</v>
      </c>
    </row>
    <row r="39" spans="1:5" x14ac:dyDescent="0.25">
      <c r="A39">
        <f t="shared" si="0"/>
        <v>31</v>
      </c>
      <c r="B39" s="909">
        <v>3.1309999999999998</v>
      </c>
      <c r="C39" s="914">
        <v>4.9903000000000004</v>
      </c>
      <c r="D39" s="915">
        <v>-0.17580000000000001</v>
      </c>
      <c r="E39" s="916">
        <v>2.2100000000000002E-2</v>
      </c>
    </row>
    <row r="40" spans="1:5" x14ac:dyDescent="0.25">
      <c r="A40">
        <f t="shared" si="0"/>
        <v>32</v>
      </c>
      <c r="B40" s="909">
        <v>6.1319999999999997</v>
      </c>
      <c r="C40" s="914">
        <v>5.0782999999999996</v>
      </c>
      <c r="D40" s="915">
        <v>-0.15110000000000001</v>
      </c>
      <c r="E40" s="916">
        <v>1.0699999999999999E-2</v>
      </c>
    </row>
    <row r="41" spans="1:5" x14ac:dyDescent="0.25">
      <c r="A41">
        <f t="shared" si="0"/>
        <v>33</v>
      </c>
      <c r="B41" s="909">
        <v>5.133</v>
      </c>
      <c r="C41" s="914">
        <v>5.1969000000000003</v>
      </c>
      <c r="D41" s="915">
        <v>-0.30580000000000002</v>
      </c>
      <c r="E41" s="916">
        <v>2.0199999999999999E-2</v>
      </c>
    </row>
    <row r="42" spans="1:5" x14ac:dyDescent="0.25">
      <c r="A42">
        <f t="shared" si="0"/>
        <v>34</v>
      </c>
      <c r="B42" s="909">
        <v>2.1339999999999999</v>
      </c>
      <c r="C42" s="914">
        <v>5.2811000000000003</v>
      </c>
      <c r="D42" s="915">
        <v>-0.44569999999999999</v>
      </c>
      <c r="E42" s="916">
        <v>1.01E-2</v>
      </c>
    </row>
    <row r="43" spans="1:5" x14ac:dyDescent="0.25">
      <c r="A43">
        <f t="shared" si="0"/>
        <v>35</v>
      </c>
      <c r="B43" s="909">
        <v>1.135</v>
      </c>
      <c r="C43" s="914">
        <v>5.3849999999999998</v>
      </c>
      <c r="D43" s="915">
        <v>-0.60760000000000003</v>
      </c>
      <c r="E43" s="916">
        <v>1.77E-2</v>
      </c>
    </row>
    <row r="44" spans="1:5" x14ac:dyDescent="0.25">
      <c r="A44">
        <f t="shared" si="0"/>
        <v>36</v>
      </c>
      <c r="B44" s="909">
        <v>4.1360000000000001</v>
      </c>
      <c r="C44" s="914">
        <v>5.4622999999999999</v>
      </c>
      <c r="D44" s="915">
        <v>-0.60089999999999999</v>
      </c>
      <c r="E44" s="916">
        <v>9.1999999999999998E-3</v>
      </c>
    </row>
    <row r="45" spans="1:5" x14ac:dyDescent="0.25">
      <c r="A45">
        <f t="shared" si="0"/>
        <v>37</v>
      </c>
      <c r="B45" s="909">
        <v>3.137</v>
      </c>
      <c r="C45" s="914">
        <v>5.5541999999999998</v>
      </c>
      <c r="D45" s="915">
        <v>-0.77049999999999996</v>
      </c>
      <c r="E45" s="916">
        <v>1.6299999999999999E-2</v>
      </c>
    </row>
    <row r="46" spans="1:5" x14ac:dyDescent="0.25">
      <c r="A46">
        <f t="shared" si="0"/>
        <v>38</v>
      </c>
      <c r="B46" s="909">
        <v>6.1379999999999999</v>
      </c>
      <c r="C46" s="914">
        <v>5.6275000000000004</v>
      </c>
      <c r="D46" s="915">
        <v>-0.77790000000000004</v>
      </c>
      <c r="E46" s="916">
        <v>8.0000000000000002E-3</v>
      </c>
    </row>
    <row r="47" spans="1:5" x14ac:dyDescent="0.25">
      <c r="A47">
        <f t="shared" si="0"/>
        <v>39</v>
      </c>
      <c r="B47" s="909">
        <v>5.1390000000000002</v>
      </c>
      <c r="C47" s="914">
        <v>5.7027999999999999</v>
      </c>
      <c r="D47" s="915">
        <v>-0.95030000000000003</v>
      </c>
      <c r="E47" s="916">
        <v>1.3599999999999999E-2</v>
      </c>
    </row>
    <row r="48" spans="1:5" x14ac:dyDescent="0.25">
      <c r="A48">
        <f t="shared" si="0"/>
        <v>40</v>
      </c>
      <c r="B48" s="909">
        <v>2.14</v>
      </c>
      <c r="C48" s="914">
        <v>5.7678000000000003</v>
      </c>
      <c r="D48" s="915">
        <v>-1.1188</v>
      </c>
      <c r="E48" s="916">
        <v>7.1000000000000004E-3</v>
      </c>
    </row>
    <row r="49" spans="1:5" x14ac:dyDescent="0.25">
      <c r="A49">
        <f t="shared" si="0"/>
        <v>41</v>
      </c>
      <c r="B49" s="909">
        <v>1.141</v>
      </c>
      <c r="C49" s="914">
        <v>5.8304</v>
      </c>
      <c r="D49" s="915">
        <v>-1.294</v>
      </c>
      <c r="E49" s="916">
        <v>1.18E-2</v>
      </c>
    </row>
    <row r="50" spans="1:5" x14ac:dyDescent="0.25">
      <c r="A50">
        <f t="shared" si="0"/>
        <v>42</v>
      </c>
      <c r="B50" s="909">
        <v>4.1420000000000003</v>
      </c>
      <c r="C50" s="914">
        <v>5.8871000000000002</v>
      </c>
      <c r="D50" s="915">
        <v>-1.3185</v>
      </c>
      <c r="E50" s="916">
        <v>5.7000000000000002E-3</v>
      </c>
    </row>
    <row r="51" spans="1:5" x14ac:dyDescent="0.25">
      <c r="A51">
        <f t="shared" si="0"/>
        <v>43</v>
      </c>
      <c r="B51" s="909">
        <v>3.1429999999999998</v>
      </c>
      <c r="C51" s="914">
        <v>5.9362000000000004</v>
      </c>
      <c r="D51" s="915">
        <v>-1.4961</v>
      </c>
      <c r="E51" s="916">
        <v>9.4999999999999998E-3</v>
      </c>
    </row>
    <row r="52" spans="1:5" x14ac:dyDescent="0.25">
      <c r="A52">
        <f t="shared" si="0"/>
        <v>44</v>
      </c>
      <c r="B52" s="909">
        <v>6.1440000000000001</v>
      </c>
      <c r="C52" s="914">
        <v>5.9837999999999996</v>
      </c>
      <c r="D52" s="915">
        <v>-1.5334000000000001</v>
      </c>
      <c r="E52" s="916">
        <v>4.3E-3</v>
      </c>
    </row>
    <row r="53" spans="1:5" x14ac:dyDescent="0.25">
      <c r="A53">
        <f t="shared" si="0"/>
        <v>45</v>
      </c>
      <c r="B53" s="909">
        <v>5.1449999999999996</v>
      </c>
      <c r="C53" s="914">
        <v>6.0179</v>
      </c>
      <c r="D53" s="915">
        <v>-1.7060999999999999</v>
      </c>
      <c r="E53" s="916">
        <v>7.1000000000000004E-3</v>
      </c>
    </row>
    <row r="54" spans="1:5" x14ac:dyDescent="0.25">
      <c r="A54">
        <f t="shared" si="0"/>
        <v>46</v>
      </c>
      <c r="B54" s="909">
        <v>2.1459999999999999</v>
      </c>
      <c r="C54" s="914">
        <v>6.0556000000000001</v>
      </c>
      <c r="D54" s="915">
        <v>-1.9123000000000001</v>
      </c>
      <c r="E54" s="916">
        <v>3.0999999999999999E-3</v>
      </c>
    </row>
    <row r="55" spans="1:5" x14ac:dyDescent="0.25">
      <c r="A55">
        <f t="shared" si="0"/>
        <v>48</v>
      </c>
      <c r="B55" s="909">
        <v>4.1479999999999997</v>
      </c>
      <c r="C55" s="914">
        <v>6.1013999999999999</v>
      </c>
      <c r="D55" s="915">
        <v>-2.1448999999999998</v>
      </c>
      <c r="E55" s="916">
        <v>1.9E-3</v>
      </c>
    </row>
    <row r="56" spans="1:5" x14ac:dyDescent="0.25">
      <c r="A56">
        <f t="shared" si="0"/>
        <v>49</v>
      </c>
      <c r="B56" s="909">
        <v>3.149</v>
      </c>
      <c r="C56" s="914">
        <v>6.1096000000000004</v>
      </c>
      <c r="D56" s="915">
        <v>-2.2854999999999999</v>
      </c>
      <c r="E56" s="916">
        <v>2E-3</v>
      </c>
    </row>
    <row r="57" spans="1:5" x14ac:dyDescent="0.25">
      <c r="A57">
        <f t="shared" si="0"/>
        <v>47</v>
      </c>
      <c r="B57" s="909">
        <v>1.147</v>
      </c>
      <c r="C57" s="914">
        <v>6.0758000000000001</v>
      </c>
      <c r="D57" s="915">
        <f>-1.9226-Assy.Model!AS5</f>
        <v>-2.0760883720930234</v>
      </c>
      <c r="E57" s="916">
        <v>4.4999999999999997E-3</v>
      </c>
    </row>
    <row r="58" spans="1:5" x14ac:dyDescent="0.25">
      <c r="A58">
        <f t="shared" si="0"/>
        <v>0</v>
      </c>
      <c r="B58" s="909"/>
      <c r="C58" s="914"/>
      <c r="D58" s="915"/>
      <c r="E58" s="916"/>
    </row>
    <row r="59" spans="1:5" x14ac:dyDescent="0.25">
      <c r="A59">
        <f t="shared" si="0"/>
        <v>0</v>
      </c>
      <c r="B59" s="909"/>
      <c r="C59" s="914"/>
      <c r="D59" s="915"/>
      <c r="E59" s="916"/>
    </row>
    <row r="60" spans="1:5" x14ac:dyDescent="0.25">
      <c r="A60">
        <f t="shared" si="0"/>
        <v>0</v>
      </c>
      <c r="B60" s="909"/>
      <c r="C60" s="914"/>
      <c r="D60" s="915"/>
      <c r="E60" s="916"/>
    </row>
    <row r="61" spans="1:5" x14ac:dyDescent="0.25">
      <c r="A61">
        <f t="shared" si="0"/>
        <v>0</v>
      </c>
      <c r="B61" s="909"/>
      <c r="C61" s="914"/>
      <c r="D61" s="915"/>
      <c r="E61" s="916"/>
    </row>
    <row r="62" spans="1:5" x14ac:dyDescent="0.25">
      <c r="A62">
        <f t="shared" si="0"/>
        <v>0</v>
      </c>
      <c r="B62" s="909"/>
      <c r="C62" s="914"/>
      <c r="D62" s="915"/>
      <c r="E62" s="916"/>
    </row>
    <row r="63" spans="1:5" x14ac:dyDescent="0.25">
      <c r="A63">
        <f t="shared" si="0"/>
        <v>0</v>
      </c>
      <c r="B63" s="909"/>
      <c r="C63" s="914"/>
      <c r="D63" s="915"/>
      <c r="E63" s="916"/>
    </row>
    <row r="64" spans="1:5" x14ac:dyDescent="0.25">
      <c r="A64">
        <f t="shared" si="0"/>
        <v>0</v>
      </c>
      <c r="B64" s="909"/>
      <c r="C64" s="914"/>
      <c r="D64" s="915"/>
      <c r="E64" s="916"/>
    </row>
    <row r="65" spans="1:5" x14ac:dyDescent="0.25">
      <c r="A65">
        <f t="shared" si="0"/>
        <v>0</v>
      </c>
      <c r="B65" s="909"/>
      <c r="C65" s="914"/>
      <c r="D65" s="915"/>
      <c r="E65" s="916"/>
    </row>
    <row r="66" spans="1:5" x14ac:dyDescent="0.25">
      <c r="A66">
        <f t="shared" si="0"/>
        <v>0</v>
      </c>
      <c r="B66" s="909"/>
      <c r="C66" s="914"/>
      <c r="D66" s="915"/>
      <c r="E66" s="916"/>
    </row>
    <row r="67" spans="1:5" x14ac:dyDescent="0.25">
      <c r="A67">
        <f t="shared" si="0"/>
        <v>0</v>
      </c>
      <c r="B67" s="909"/>
      <c r="C67" s="914"/>
      <c r="D67" s="915"/>
      <c r="E67" s="916"/>
    </row>
    <row r="68" spans="1:5" x14ac:dyDescent="0.25">
      <c r="A68">
        <f t="shared" si="0"/>
        <v>0</v>
      </c>
      <c r="B68" s="909"/>
      <c r="C68" s="914"/>
      <c r="D68" s="915"/>
      <c r="E68" s="916"/>
    </row>
    <row r="69" spans="1:5" x14ac:dyDescent="0.25">
      <c r="A69">
        <f t="shared" si="0"/>
        <v>0</v>
      </c>
      <c r="B69" s="909"/>
      <c r="C69" s="914"/>
      <c r="D69" s="915"/>
      <c r="E69" s="916"/>
    </row>
    <row r="70" spans="1:5" x14ac:dyDescent="0.25">
      <c r="A70">
        <f t="shared" si="0"/>
        <v>0</v>
      </c>
      <c r="B70" s="909"/>
      <c r="C70" s="914"/>
      <c r="D70" s="915"/>
      <c r="E70" s="916"/>
    </row>
    <row r="71" spans="1:5" x14ac:dyDescent="0.25">
      <c r="A71">
        <f t="shared" si="0"/>
        <v>0</v>
      </c>
      <c r="B71" s="909"/>
      <c r="C71" s="914"/>
      <c r="D71" s="915"/>
      <c r="E71" s="916"/>
    </row>
    <row r="72" spans="1:5" x14ac:dyDescent="0.25">
      <c r="A72">
        <f t="shared" si="0"/>
        <v>0</v>
      </c>
      <c r="B72" s="909"/>
      <c r="C72" s="914"/>
      <c r="D72" s="915"/>
      <c r="E72" s="916"/>
    </row>
    <row r="73" spans="1:5" x14ac:dyDescent="0.25">
      <c r="A73">
        <f t="shared" ref="A73:A105" si="1">MOD((B73*1000),100)</f>
        <v>0</v>
      </c>
      <c r="B73" s="909"/>
      <c r="C73" s="914"/>
      <c r="D73" s="915"/>
      <c r="E73" s="916"/>
    </row>
    <row r="74" spans="1:5" x14ac:dyDescent="0.25">
      <c r="A74">
        <f t="shared" si="1"/>
        <v>0</v>
      </c>
      <c r="B74" s="909"/>
      <c r="C74" s="914"/>
      <c r="D74" s="915"/>
      <c r="E74" s="916"/>
    </row>
    <row r="75" spans="1:5" x14ac:dyDescent="0.25">
      <c r="A75">
        <f t="shared" si="1"/>
        <v>0</v>
      </c>
      <c r="B75" s="909"/>
      <c r="C75" s="914"/>
      <c r="D75" s="915"/>
      <c r="E75" s="916"/>
    </row>
    <row r="76" spans="1:5" x14ac:dyDescent="0.25">
      <c r="A76">
        <f t="shared" si="1"/>
        <v>0</v>
      </c>
      <c r="B76" s="909"/>
      <c r="C76" s="914"/>
      <c r="D76" s="915"/>
      <c r="E76" s="916"/>
    </row>
    <row r="77" spans="1:5" x14ac:dyDescent="0.25">
      <c r="A77">
        <f t="shared" si="1"/>
        <v>0</v>
      </c>
      <c r="B77" s="909"/>
      <c r="C77" s="914"/>
      <c r="D77" s="915"/>
      <c r="E77" s="916"/>
    </row>
    <row r="78" spans="1:5" x14ac:dyDescent="0.25">
      <c r="A78">
        <f t="shared" si="1"/>
        <v>0</v>
      </c>
      <c r="B78" s="909"/>
      <c r="C78" s="914"/>
      <c r="D78" s="915"/>
      <c r="E78" s="916"/>
    </row>
    <row r="79" spans="1:5" x14ac:dyDescent="0.25">
      <c r="A79">
        <f t="shared" si="1"/>
        <v>0</v>
      </c>
      <c r="B79" s="909"/>
      <c r="C79" s="914"/>
      <c r="D79" s="915"/>
      <c r="E79" s="916"/>
    </row>
    <row r="80" spans="1:5" x14ac:dyDescent="0.25">
      <c r="A80">
        <f t="shared" si="1"/>
        <v>0</v>
      </c>
      <c r="B80" s="909"/>
      <c r="C80" s="914"/>
      <c r="D80" s="915"/>
      <c r="E80" s="916"/>
    </row>
    <row r="81" spans="1:5" x14ac:dyDescent="0.25">
      <c r="A81">
        <f t="shared" si="1"/>
        <v>0</v>
      </c>
      <c r="B81" s="909"/>
      <c r="C81" s="914"/>
      <c r="D81" s="915"/>
      <c r="E81" s="916"/>
    </row>
    <row r="82" spans="1:5" x14ac:dyDescent="0.25">
      <c r="A82">
        <f t="shared" si="1"/>
        <v>0</v>
      </c>
      <c r="B82" s="909"/>
      <c r="C82" s="914"/>
      <c r="D82" s="915"/>
      <c r="E82" s="916"/>
    </row>
    <row r="83" spans="1:5" x14ac:dyDescent="0.25">
      <c r="A83">
        <f t="shared" si="1"/>
        <v>0</v>
      </c>
      <c r="B83" s="909"/>
      <c r="C83" s="914"/>
      <c r="D83" s="915"/>
      <c r="E83" s="916"/>
    </row>
    <row r="84" spans="1:5" x14ac:dyDescent="0.25">
      <c r="A84">
        <f t="shared" si="1"/>
        <v>0</v>
      </c>
      <c r="B84" s="909"/>
      <c r="C84" s="914"/>
      <c r="D84" s="915"/>
      <c r="E84" s="916"/>
    </row>
    <row r="85" spans="1:5" x14ac:dyDescent="0.25">
      <c r="A85">
        <f t="shared" si="1"/>
        <v>0</v>
      </c>
      <c r="B85" s="909"/>
      <c r="C85" s="914"/>
      <c r="D85" s="915"/>
      <c r="E85" s="916"/>
    </row>
    <row r="86" spans="1:5" x14ac:dyDescent="0.25">
      <c r="A86">
        <f t="shared" si="1"/>
        <v>0</v>
      </c>
      <c r="B86" s="909"/>
      <c r="C86" s="914"/>
      <c r="D86" s="915"/>
      <c r="E86" s="916"/>
    </row>
    <row r="87" spans="1:5" x14ac:dyDescent="0.25">
      <c r="A87">
        <f t="shared" si="1"/>
        <v>0</v>
      </c>
      <c r="B87" s="909"/>
      <c r="C87" s="914"/>
      <c r="D87" s="915"/>
      <c r="E87" s="916"/>
    </row>
    <row r="88" spans="1:5" x14ac:dyDescent="0.25">
      <c r="A88">
        <f t="shared" si="1"/>
        <v>0</v>
      </c>
      <c r="B88" s="909"/>
      <c r="C88" s="914"/>
      <c r="D88" s="915"/>
      <c r="E88" s="916"/>
    </row>
    <row r="89" spans="1:5" x14ac:dyDescent="0.25">
      <c r="A89">
        <f t="shared" si="1"/>
        <v>0</v>
      </c>
      <c r="B89" s="909"/>
      <c r="C89" s="914"/>
      <c r="D89" s="915"/>
      <c r="E89" s="916"/>
    </row>
    <row r="90" spans="1:5" x14ac:dyDescent="0.25">
      <c r="A90">
        <f t="shared" si="1"/>
        <v>0</v>
      </c>
      <c r="B90" s="909"/>
      <c r="C90" s="914"/>
      <c r="D90" s="915"/>
      <c r="E90" s="916"/>
    </row>
    <row r="91" spans="1:5" x14ac:dyDescent="0.25">
      <c r="A91">
        <f t="shared" si="1"/>
        <v>0</v>
      </c>
      <c r="B91" s="909"/>
      <c r="C91" s="914"/>
      <c r="D91" s="915"/>
      <c r="E91" s="916"/>
    </row>
    <row r="92" spans="1:5" x14ac:dyDescent="0.25">
      <c r="A92">
        <f t="shared" si="1"/>
        <v>0</v>
      </c>
      <c r="B92" s="909"/>
      <c r="C92" s="914"/>
      <c r="D92" s="915"/>
      <c r="E92" s="916"/>
    </row>
    <row r="93" spans="1:5" x14ac:dyDescent="0.25">
      <c r="A93">
        <f t="shared" si="1"/>
        <v>0</v>
      </c>
      <c r="B93" s="909"/>
      <c r="C93" s="914"/>
      <c r="D93" s="915"/>
      <c r="E93" s="916"/>
    </row>
    <row r="94" spans="1:5" x14ac:dyDescent="0.25">
      <c r="A94">
        <f t="shared" si="1"/>
        <v>0</v>
      </c>
      <c r="B94" s="909"/>
      <c r="C94" s="914"/>
      <c r="D94" s="915"/>
      <c r="E94" s="916"/>
    </row>
    <row r="95" spans="1:5" x14ac:dyDescent="0.25">
      <c r="A95">
        <f t="shared" si="1"/>
        <v>0</v>
      </c>
      <c r="B95" s="909"/>
      <c r="C95" s="914"/>
      <c r="D95" s="915"/>
      <c r="E95" s="916"/>
    </row>
    <row r="96" spans="1:5" x14ac:dyDescent="0.25">
      <c r="A96">
        <f t="shared" si="1"/>
        <v>0</v>
      </c>
      <c r="B96" s="909"/>
      <c r="C96" s="914"/>
      <c r="D96" s="915"/>
      <c r="E96" s="916"/>
    </row>
    <row r="97" spans="1:5" x14ac:dyDescent="0.25">
      <c r="A97">
        <f t="shared" si="1"/>
        <v>0</v>
      </c>
      <c r="B97" s="909"/>
      <c r="C97" s="914"/>
      <c r="D97" s="915"/>
      <c r="E97" s="916"/>
    </row>
    <row r="98" spans="1:5" x14ac:dyDescent="0.25">
      <c r="A98">
        <f t="shared" si="1"/>
        <v>0</v>
      </c>
      <c r="B98" s="909"/>
      <c r="C98" s="914"/>
      <c r="D98" s="915"/>
      <c r="E98" s="916"/>
    </row>
    <row r="99" spans="1:5" x14ac:dyDescent="0.25">
      <c r="A99">
        <f t="shared" si="1"/>
        <v>0</v>
      </c>
      <c r="B99" s="909"/>
      <c r="C99" s="914"/>
      <c r="D99" s="915"/>
      <c r="E99" s="916"/>
    </row>
    <row r="100" spans="1:5" x14ac:dyDescent="0.25">
      <c r="A100">
        <f t="shared" si="1"/>
        <v>0</v>
      </c>
      <c r="B100" s="909"/>
      <c r="C100" s="914"/>
      <c r="D100" s="915"/>
      <c r="E100" s="916"/>
    </row>
    <row r="101" spans="1:5" x14ac:dyDescent="0.25">
      <c r="A101">
        <f t="shared" si="1"/>
        <v>0</v>
      </c>
      <c r="B101" s="909"/>
      <c r="C101" s="914"/>
      <c r="D101" s="915"/>
      <c r="E101" s="916"/>
    </row>
    <row r="102" spans="1:5" x14ac:dyDescent="0.25">
      <c r="A102">
        <f t="shared" si="1"/>
        <v>0</v>
      </c>
      <c r="B102" s="909"/>
      <c r="C102" s="914"/>
      <c r="D102" s="915"/>
      <c r="E102" s="916"/>
    </row>
    <row r="103" spans="1:5" x14ac:dyDescent="0.25">
      <c r="A103">
        <f t="shared" si="1"/>
        <v>0</v>
      </c>
      <c r="B103" s="909"/>
      <c r="C103" s="914"/>
      <c r="D103" s="915"/>
      <c r="E103" s="916"/>
    </row>
    <row r="104" spans="1:5" x14ac:dyDescent="0.25">
      <c r="A104">
        <f t="shared" si="1"/>
        <v>0</v>
      </c>
      <c r="B104" s="909"/>
      <c r="C104" s="914"/>
      <c r="D104" s="915"/>
      <c r="E104" s="916"/>
    </row>
    <row r="105" spans="1:5" x14ac:dyDescent="0.25">
      <c r="A105">
        <f t="shared" si="1"/>
        <v>0</v>
      </c>
      <c r="B105" s="909"/>
      <c r="C105" s="914"/>
      <c r="D105" s="915"/>
      <c r="E105" s="916"/>
    </row>
    <row r="106" spans="1:5" x14ac:dyDescent="0.25">
      <c r="B106" s="909"/>
      <c r="C106" s="914"/>
      <c r="D106" s="915"/>
      <c r="E106" s="916"/>
    </row>
    <row r="107" spans="1:5" x14ac:dyDescent="0.25">
      <c r="B107" s="909"/>
      <c r="C107" s="914"/>
      <c r="D107" s="915"/>
      <c r="E107" s="916"/>
    </row>
    <row r="108" spans="1:5" x14ac:dyDescent="0.25">
      <c r="B108" s="909"/>
      <c r="C108" s="914"/>
      <c r="D108" s="915"/>
      <c r="E108" s="916"/>
    </row>
    <row r="109" spans="1:5" x14ac:dyDescent="0.25">
      <c r="B109" s="909"/>
      <c r="C109" s="914"/>
      <c r="D109" s="915"/>
      <c r="E109" s="916"/>
    </row>
    <row r="110" spans="1:5" x14ac:dyDescent="0.25">
      <c r="B110" s="909"/>
      <c r="C110" s="914"/>
      <c r="D110" s="915"/>
      <c r="E110" s="916"/>
    </row>
    <row r="111" spans="1:5" x14ac:dyDescent="0.25">
      <c r="B111" s="909"/>
      <c r="C111" s="914"/>
      <c r="D111" s="915"/>
      <c r="E111" s="916"/>
    </row>
    <row r="112" spans="1:5" x14ac:dyDescent="0.25">
      <c r="B112" s="909"/>
      <c r="C112" s="914"/>
      <c r="D112" s="915"/>
      <c r="E112" s="916"/>
    </row>
    <row r="113" spans="2:5" x14ac:dyDescent="0.25">
      <c r="B113" s="909"/>
      <c r="C113" s="914"/>
      <c r="D113" s="915"/>
      <c r="E113" s="916"/>
    </row>
    <row r="114" spans="2:5" x14ac:dyDescent="0.25">
      <c r="B114" s="909"/>
      <c r="C114" s="914"/>
      <c r="D114" s="915"/>
      <c r="E114" s="916"/>
    </row>
    <row r="115" spans="2:5" x14ac:dyDescent="0.25">
      <c r="B115" s="909"/>
      <c r="C115" s="914"/>
      <c r="D115" s="915"/>
      <c r="E115" s="916"/>
    </row>
    <row r="116" spans="2:5" x14ac:dyDescent="0.25">
      <c r="B116" s="909"/>
      <c r="C116" s="914"/>
      <c r="D116" s="915"/>
      <c r="E116" s="916"/>
    </row>
    <row r="117" spans="2:5" x14ac:dyDescent="0.25">
      <c r="B117" s="909"/>
      <c r="C117" s="914"/>
      <c r="D117" s="915"/>
      <c r="E117" s="916"/>
    </row>
    <row r="118" spans="2:5" x14ac:dyDescent="0.25">
      <c r="B118" s="909"/>
      <c r="C118" s="914"/>
      <c r="D118" s="915"/>
      <c r="E118" s="916"/>
    </row>
    <row r="119" spans="2:5" x14ac:dyDescent="0.25">
      <c r="B119" s="909"/>
      <c r="C119" s="914"/>
      <c r="D119" s="915"/>
      <c r="E119" s="916"/>
    </row>
    <row r="120" spans="2:5" x14ac:dyDescent="0.25">
      <c r="B120" s="909"/>
      <c r="C120" s="914"/>
      <c r="D120" s="915"/>
      <c r="E120" s="916"/>
    </row>
    <row r="121" spans="2:5" x14ac:dyDescent="0.25">
      <c r="B121" s="909"/>
      <c r="C121" s="914"/>
      <c r="D121" s="915"/>
      <c r="E121" s="916"/>
    </row>
    <row r="122" spans="2:5" x14ac:dyDescent="0.25">
      <c r="B122" s="909"/>
      <c r="C122" s="914"/>
      <c r="D122" s="915"/>
      <c r="E122" s="916"/>
    </row>
    <row r="123" spans="2:5" x14ac:dyDescent="0.25">
      <c r="B123" s="909"/>
      <c r="C123" s="914"/>
      <c r="D123" s="915"/>
      <c r="E123" s="916"/>
    </row>
    <row r="124" spans="2:5" x14ac:dyDescent="0.25">
      <c r="B124" s="909"/>
      <c r="C124" s="914"/>
      <c r="D124" s="915"/>
      <c r="E124" s="916"/>
    </row>
    <row r="125" spans="2:5" x14ac:dyDescent="0.25">
      <c r="B125" s="909"/>
      <c r="C125" s="914"/>
      <c r="D125" s="915"/>
      <c r="E125" s="916"/>
    </row>
    <row r="126" spans="2:5" x14ac:dyDescent="0.25">
      <c r="B126" s="909"/>
      <c r="C126" s="914"/>
      <c r="D126" s="915"/>
      <c r="E126" s="916"/>
    </row>
    <row r="127" spans="2:5" x14ac:dyDescent="0.25">
      <c r="B127" s="909"/>
      <c r="C127" s="914"/>
      <c r="D127" s="915"/>
      <c r="E127" s="916"/>
    </row>
    <row r="128" spans="2:5" x14ac:dyDescent="0.25">
      <c r="B128" s="909"/>
      <c r="C128" s="914"/>
      <c r="D128" s="915"/>
      <c r="E128" s="916"/>
    </row>
    <row r="129" spans="2:5" x14ac:dyDescent="0.25">
      <c r="B129" s="909"/>
      <c r="C129" s="914"/>
      <c r="D129" s="915"/>
      <c r="E129" s="916"/>
    </row>
    <row r="130" spans="2:5" x14ac:dyDescent="0.25">
      <c r="B130" s="909"/>
      <c r="C130" s="914"/>
      <c r="D130" s="915"/>
      <c r="E130" s="916"/>
    </row>
    <row r="131" spans="2:5" x14ac:dyDescent="0.25">
      <c r="B131" s="909"/>
      <c r="C131" s="914"/>
      <c r="D131" s="915"/>
      <c r="E131" s="916"/>
    </row>
    <row r="132" spans="2:5" x14ac:dyDescent="0.25">
      <c r="B132" s="909"/>
      <c r="C132" s="914"/>
      <c r="D132" s="915"/>
      <c r="E132" s="916"/>
    </row>
    <row r="133" spans="2:5" x14ac:dyDescent="0.25">
      <c r="B133" s="909"/>
      <c r="C133" s="914"/>
      <c r="D133" s="915"/>
      <c r="E133" s="916"/>
    </row>
    <row r="134" spans="2:5" x14ac:dyDescent="0.25">
      <c r="B134" s="909"/>
      <c r="C134" s="914"/>
      <c r="D134" s="915"/>
      <c r="E134" s="916"/>
    </row>
    <row r="135" spans="2:5" x14ac:dyDescent="0.25">
      <c r="B135" s="909"/>
      <c r="C135" s="914"/>
      <c r="D135" s="915"/>
      <c r="E135" s="916"/>
    </row>
    <row r="136" spans="2:5" x14ac:dyDescent="0.25">
      <c r="B136" s="909"/>
      <c r="C136" s="914"/>
      <c r="D136" s="915"/>
      <c r="E136" s="916"/>
    </row>
    <row r="137" spans="2:5" x14ac:dyDescent="0.25">
      <c r="B137" s="909"/>
      <c r="C137" s="914"/>
      <c r="D137" s="915"/>
      <c r="E137" s="916"/>
    </row>
    <row r="138" spans="2:5" x14ac:dyDescent="0.25">
      <c r="B138" s="909"/>
      <c r="C138" s="914"/>
      <c r="D138" s="915"/>
      <c r="E138" s="916"/>
    </row>
    <row r="139" spans="2:5" x14ac:dyDescent="0.25">
      <c r="B139" s="909"/>
      <c r="C139" s="914"/>
      <c r="D139" s="915"/>
      <c r="E139" s="916"/>
    </row>
    <row r="140" spans="2:5" x14ac:dyDescent="0.25">
      <c r="B140" s="909"/>
      <c r="C140" s="914"/>
      <c r="D140" s="915"/>
      <c r="E140" s="916"/>
    </row>
    <row r="141" spans="2:5" x14ac:dyDescent="0.25">
      <c r="B141" s="909"/>
      <c r="C141" s="914"/>
      <c r="D141" s="915"/>
      <c r="E141" s="916"/>
    </row>
    <row r="142" spans="2:5" x14ac:dyDescent="0.25">
      <c r="B142" s="909"/>
      <c r="C142" s="914"/>
      <c r="D142" s="915"/>
      <c r="E142" s="916"/>
    </row>
    <row r="143" spans="2:5" x14ac:dyDescent="0.25">
      <c r="B143" s="909"/>
      <c r="C143" s="914"/>
      <c r="D143" s="915"/>
      <c r="E143" s="916"/>
    </row>
    <row r="144" spans="2:5" x14ac:dyDescent="0.25">
      <c r="B144" s="909"/>
      <c r="C144" s="914"/>
      <c r="D144" s="915"/>
      <c r="E144" s="916"/>
    </row>
    <row r="145" spans="2:5" x14ac:dyDescent="0.25">
      <c r="B145" s="909"/>
      <c r="C145" s="914"/>
      <c r="D145" s="915"/>
      <c r="E145" s="916"/>
    </row>
    <row r="146" spans="2:5" x14ac:dyDescent="0.25">
      <c r="B146" s="909"/>
      <c r="C146" s="914"/>
      <c r="D146" s="915"/>
      <c r="E146" s="916"/>
    </row>
    <row r="147" spans="2:5" x14ac:dyDescent="0.25">
      <c r="B147" s="909"/>
      <c r="C147" s="914"/>
      <c r="D147" s="915"/>
      <c r="E147" s="916"/>
    </row>
    <row r="148" spans="2:5" x14ac:dyDescent="0.25">
      <c r="B148" s="909"/>
      <c r="C148" s="914"/>
      <c r="D148" s="915"/>
      <c r="E148" s="916"/>
    </row>
    <row r="149" spans="2:5" x14ac:dyDescent="0.25">
      <c r="B149" s="909"/>
      <c r="C149" s="914"/>
      <c r="D149" s="915"/>
      <c r="E149" s="916"/>
    </row>
    <row r="150" spans="2:5" x14ac:dyDescent="0.25">
      <c r="B150" s="910"/>
      <c r="C150" s="917"/>
      <c r="D150" s="918"/>
      <c r="E150" s="919"/>
    </row>
  </sheetData>
  <sortState xmlns:xlrd2="http://schemas.microsoft.com/office/spreadsheetml/2017/richdata2" ref="A9:E55">
    <sortCondition ref="A9:A55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2023-12-29T18:39:18Z</cp:lastPrinted>
  <dcterms:created xsi:type="dcterms:W3CDTF">2012-04-19T16:28:10Z</dcterms:created>
  <dcterms:modified xsi:type="dcterms:W3CDTF">2024-01-11T15:53:42Z</dcterms:modified>
</cp:coreProperties>
</file>