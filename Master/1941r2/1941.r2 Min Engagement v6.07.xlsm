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1941\"/>
    </mc:Choice>
  </mc:AlternateContent>
  <xr:revisionPtr revIDLastSave="0" documentId="13_ncr:1_{F16F7686-6AF3-44BA-A3DE-27577DE507B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V15" i="1"/>
  <c r="IU15" i="1"/>
  <c r="IE15" i="1" s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R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W12" i="1"/>
  <c r="IU12" i="1"/>
  <c r="IE12" i="1" s="1"/>
  <c r="IN12" i="1"/>
  <c r="IK12" i="1"/>
  <c r="IR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K13" i="1"/>
  <c r="IN13" i="1"/>
  <c r="IR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V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K10" i="1" l="1"/>
  <c r="IR11" i="1"/>
  <c r="IW10" i="1"/>
  <c r="IV11" i="1"/>
  <c r="IR10" i="1"/>
  <c r="IW11" i="1"/>
  <c r="IU10" i="1"/>
  <c r="IE10" i="1" s="1"/>
  <c r="IN11" i="1"/>
  <c r="IK11" i="1"/>
  <c r="JA9" i="1" a="1"/>
  <c r="JA9" i="1" s="1"/>
  <c r="IF85" i="1"/>
  <c r="IF129" i="1"/>
  <c r="IF73" i="1"/>
  <c r="IF49" i="1"/>
  <c r="IF138" i="1"/>
  <c r="IF150" i="1"/>
  <c r="IF48" i="1"/>
  <c r="IF148" i="1"/>
  <c r="IF127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08" i="1"/>
  <c r="IF92" i="1"/>
  <c r="IF131" i="1"/>
  <c r="IF123" i="1"/>
  <c r="IF141" i="1"/>
  <c r="IF89" i="1"/>
  <c r="IF124" i="1"/>
  <c r="IF107" i="1"/>
  <c r="IF146" i="1"/>
  <c r="IF134" i="1"/>
  <c r="IF84" i="1"/>
  <c r="IF50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55" i="1"/>
  <c r="IF72" i="1"/>
  <c r="IF144" i="1"/>
  <c r="IF120" i="1"/>
  <c r="IF70" i="1"/>
  <c r="IF139" i="1"/>
  <c r="IF126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32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A23" i="1" l="1" a="1"/>
  <c r="JA23" i="1" s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IQ2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15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31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Q3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IQ13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4" i="1" l="1"/>
  <c r="IQ19" i="1"/>
  <c r="IQ11" i="1"/>
  <c r="IQ38" i="1"/>
  <c r="IV20" i="1"/>
  <c r="IQ12" i="1"/>
  <c r="IV17" i="1"/>
  <c r="IQ1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IP2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13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1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31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32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IP12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P3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11" i="1" l="1"/>
  <c r="IP38" i="1"/>
  <c r="IP28" i="1"/>
  <c r="IP19" i="1"/>
  <c r="IU17" i="1"/>
  <c r="IE17" i="1" s="1"/>
  <c r="IP10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IL12" i="1" s="1"/>
  <c r="W17" i="1"/>
  <c r="W18" i="1"/>
  <c r="IL38" i="1" s="1"/>
  <c r="W15" i="1"/>
  <c r="W13" i="1"/>
  <c r="W14" i="1"/>
  <c r="IL23" i="1" s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32" i="1" l="1"/>
  <c r="IL15" i="1"/>
  <c r="IL13" i="1"/>
  <c r="IL11" i="1"/>
  <c r="IL10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IX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IT15" i="1" s="1"/>
  <c r="U22" i="1"/>
  <c r="AK22" i="1"/>
  <c r="T22" i="1"/>
  <c r="AK21" i="1"/>
  <c r="AO21" i="1" s="1"/>
  <c r="IS13" i="1" s="1"/>
  <c r="T21" i="1"/>
  <c r="AL21" i="1"/>
  <c r="AN21" i="1" s="1"/>
  <c r="IT13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Y13" i="1" s="1"/>
  <c r="AK12" i="1"/>
  <c r="U12" i="1"/>
  <c r="AL12" i="1"/>
  <c r="AN12" i="1" s="1"/>
  <c r="IY12" i="1" s="1"/>
  <c r="AL11" i="1"/>
  <c r="AN11" i="1" s="1"/>
  <c r="IY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11" i="1" l="1"/>
  <c r="IT37" i="1"/>
  <c r="IT11" i="1"/>
  <c r="IT38" i="1"/>
  <c r="IY15" i="1"/>
  <c r="IT32" i="1"/>
  <c r="IT20" i="1"/>
  <c r="IY20" i="1"/>
  <c r="IT12" i="1"/>
  <c r="IY17" i="1"/>
  <c r="IT10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IS15" i="1" s="1"/>
  <c r="AP22" i="1"/>
  <c r="AO19" i="1"/>
  <c r="IX19" i="1" s="1"/>
  <c r="IF19" i="1" s="1"/>
  <c r="AP19" i="1"/>
  <c r="AP20" i="1"/>
  <c r="AO20" i="1"/>
  <c r="AO17" i="1"/>
  <c r="IS37" i="1" s="1"/>
  <c r="AP17" i="1"/>
  <c r="AO18" i="1"/>
  <c r="AP18" i="1"/>
  <c r="AP15" i="1"/>
  <c r="AO15" i="1"/>
  <c r="AO16" i="1"/>
  <c r="AP16" i="1"/>
  <c r="AO13" i="1"/>
  <c r="IX13" i="1" s="1"/>
  <c r="IF13" i="1" s="1"/>
  <c r="AP13" i="1"/>
  <c r="AO14" i="1"/>
  <c r="AP14" i="1"/>
  <c r="AP11" i="1"/>
  <c r="AO12" i="1"/>
  <c r="IX12" i="1" s="1"/>
  <c r="IF12" i="1" s="1"/>
  <c r="AP12" i="1"/>
  <c r="AO10" i="1"/>
  <c r="IX10" i="1" s="1"/>
  <c r="AP10" i="1"/>
  <c r="AN10" i="1"/>
  <c r="IY10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11" i="1" l="1"/>
  <c r="IS38" i="1"/>
  <c r="IX15" i="1"/>
  <c r="IF15" i="1" s="1"/>
  <c r="IS32" i="1"/>
  <c r="IS20" i="1"/>
  <c r="IX20" i="1"/>
  <c r="IF20" i="1" s="1"/>
  <c r="IS12" i="1"/>
  <c r="IX17" i="1"/>
  <c r="IF17" i="1" s="1"/>
  <c r="IS10" i="1"/>
  <c r="IT17" i="1"/>
  <c r="IF1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<sst xmlns="http://schemas.openxmlformats.org/spreadsheetml/2006/main" count="734" uniqueCount="391">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</sst>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7.625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3.8125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7.625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>Undefined Element</v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23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90.376697858236483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-4.6500000000000173E-2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-1.8700000000000001E-2</v>
      </c>
      <c r="C9" s="703">
        <v>0.28879999999999995</v>
      </c>
      <c r="D9" s="704">
        <v>-0.50390000000000001</v>
      </c>
      <c r="E9" s="705">
        <v>0.93969262078590843</v>
      </c>
      <c r="F9" s="703">
        <v>0</v>
      </c>
      <c r="G9" s="706">
        <v>-0.34202014332566882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-1.8700000000000001E-2</v>
      </c>
      <c r="O9" s="624">
        <f t="shared" ref="O9:O40" si="3">IF(M9="","",C9)</f>
        <v>0.28879999999999995</v>
      </c>
      <c r="P9" s="625">
        <f t="shared" ref="P9:P40" si="4">IF(M9="","",D9)</f>
        <v>-0.50390000000000001</v>
      </c>
      <c r="Q9" s="583">
        <f>IF(M9="","",IF(DEGREES(ATAN2(N9,O9))&lt;0,DEGREES(ATAN2(N9,O9))+360,IF(DEGREES(ATAN2(N9,O9))&gt;360,DEGREES(ATAN2(N9,O9))-360,DEGREES(ATAN2(N9,O9)))))</f>
        <v>93.704769574668347</v>
      </c>
      <c r="R9" s="624">
        <f>IF(M9="","",SQRT(N9^2+O9^2))</f>
        <v>0.28940478572407879</v>
      </c>
      <c r="S9" s="626">
        <f>IF(M9="","",P9)</f>
        <v>-0.50390000000000001</v>
      </c>
      <c r="T9" s="627">
        <f>IF(M9="","",X9*COS(RADIANS(W9)))</f>
        <v>0.28891670271495989</v>
      </c>
      <c r="U9" s="624">
        <f>IF(M9="","",X9*SIN(RADIANS(W9)))</f>
        <v>1.6800859868335811E-2</v>
      </c>
      <c r="V9" s="628">
        <f>IF(M9="","",Y9)</f>
        <v>-0.50390000000000001</v>
      </c>
      <c r="W9" s="583">
        <f t="shared" ref="W9:W14" si="5">IF(M9="","",IF(Q9-$Q$8&lt;0,360+Q9-$Q$8,Q9-$Q$8))</f>
        <v>3.3280717164318645</v>
      </c>
      <c r="X9" s="629">
        <f>IF(M9="","",R9)</f>
        <v>0.28940478572407879</v>
      </c>
      <c r="Y9" s="630">
        <f>IF(M9="","",S9)</f>
        <v>-0.50390000000000001</v>
      </c>
      <c r="Z9" s="623">
        <f t="shared" ref="Z9:Z40" si="6">IF(M9="","",-E9)</f>
        <v>-0.93969262078590843</v>
      </c>
      <c r="AA9" s="624">
        <f t="shared" ref="AA9:AA40" si="7">IF(M9="","",-F9)</f>
        <v>0</v>
      </c>
      <c r="AB9" s="624">
        <f t="shared" ref="AB9:AB40" si="8">IF(M9="","",-G9)</f>
        <v>0.34202014332566882</v>
      </c>
      <c r="AC9" s="628">
        <f>IF(M9="","",SQRT(Z9^2+AA9^2+AB9^2))</f>
        <v>1</v>
      </c>
      <c r="AD9" s="631">
        <f>IF(M9="","",Z9*(1/SQRT(Z9^2+AA9^2+AB9^2)))</f>
        <v>-0.93969262078590843</v>
      </c>
      <c r="AE9" s="624">
        <f>IF(M9="","",AA9*(1/SQRT(Z9^2+AA9^2+AB9^2)))</f>
        <v>0</v>
      </c>
      <c r="AF9" s="625">
        <f>IF(M9="","",AB9*(1/SQRT(Z9^2+AA9^2+AB9^2)))</f>
        <v>0.34202014332566882</v>
      </c>
      <c r="AG9" s="599">
        <f>IF(M9="","",DEGREES(ATAN2(-AF9,AE9)))</f>
        <v>180</v>
      </c>
      <c r="AH9" s="600">
        <f>IF(M9="","",DEGREES(ACOS(AD9)))</f>
        <v>160.00000000000003</v>
      </c>
      <c r="AI9" s="583">
        <f>IF(M9="","",DEGREES(-ACOS(-AF9)))</f>
        <v>-110</v>
      </c>
      <c r="AJ9" s="601">
        <f>IF(M9="","",DEGREES(ATAN2(-AE9,AD9)))</f>
        <v>-90</v>
      </c>
      <c r="AK9" s="627">
        <f>IF(M9="","",(COS(RADIANS((90-$Q$8)-W9))*AD9)+(-SIN(RADIANS((90-$Q$8)-W9))*AE9))</f>
        <v>-0.93772889140026039</v>
      </c>
      <c r="AL9" s="624">
        <f>IF(M9="","",(SIN(RADIANS((90-$Q$8)-W9))*AD9)+(COS(RADIANS((90-$Q$8)-W9))*AE9))</f>
        <v>6.0718595114906078E-2</v>
      </c>
      <c r="AM9" s="626">
        <f>IF(M9="","",AF9)</f>
        <v>0.34202014332566882</v>
      </c>
      <c r="AN9" s="581">
        <f>IF(M9="","",DEGREES(ATAN2(-AM9,AL9)))</f>
        <v>169.93320341135868</v>
      </c>
      <c r="AO9" s="582">
        <f>IF(ROUND(IF(M9="",0,DEGREES(ACOS(AK9))),4)=90,0,IF(M9="","",DEGREES(ACOS(AK9))))</f>
        <v>159.67358561947361</v>
      </c>
      <c r="AP9" s="781">
        <f>IF(M9="","",DEGREES(ATAN2(AK9,AL9)))</f>
        <v>176.29523042533165</v>
      </c>
      <c r="AQ9" s="584">
        <f t="shared" ref="AQ9:AQ40" si="9">IF(M9="","",DEGREES(ATAN(($AS$5*SIN(RADIANS(90)))/(($X9*2*PI())-($AS$5*COS(RADIANS(90)))))))</f>
        <v>7.8282172427942545</v>
      </c>
      <c r="AS9" s="51">
        <f>IF(M9="","",W9)</f>
        <v>3.3280717164318645</v>
      </c>
      <c r="AT9" s="71">
        <f t="shared" ref="AT9:AT40" si="10">IF(M9="","",Y9+(((AS9-$AS$9)*$AS$6)*-1))</f>
        <v>-0.50390000000000001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37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-1.8700000000000001E-2</v>
      </c>
      <c r="C10" s="708">
        <v>0.92299999999999993</v>
      </c>
      <c r="D10" s="709">
        <v>-0.3267000000000001</v>
      </c>
      <c r="E10" s="710">
        <v>0.96592582628906831</v>
      </c>
      <c r="F10" s="708">
        <v>0</v>
      </c>
      <c r="G10" s="711">
        <v>-0.25881904510252074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-1.8700000000000001E-2</v>
      </c>
      <c r="O10" s="629">
        <f t="shared" si="3"/>
        <v>0.92299999999999993</v>
      </c>
      <c r="P10" s="633">
        <f t="shared" si="4"/>
        <v>-0.3267000000000001</v>
      </c>
      <c r="Q10" s="585">
        <f>IF(M10="","",IF(DEGREES(ATAN2(N10,O10))&lt;0,DEGREES(ATAN2(N10,O10))+360,IF(DEGREES(ATAN2(N10,O10))&gt;360,DEGREES(ATAN2(N10,O10))-360,DEGREES(ATAN2(N10,O10)))))</f>
        <v>91.160654947735779</v>
      </c>
      <c r="R10" s="629">
        <f t="shared" ref="R10:R105" si="79">IF(M10="","",SQRT(N10^2+O10^2))</f>
        <v>0.92318941176770419</v>
      </c>
      <c r="S10" s="634">
        <f t="shared" ref="S10:S105" si="80">IF(M10="","",P10)</f>
        <v>-0.3267000000000001</v>
      </c>
      <c r="T10" s="635">
        <f t="shared" ref="T10:T105" si="81">IF(M10="","",X10*COS(RADIANS(W10)))</f>
        <v>0.92310299592635747</v>
      </c>
      <c r="U10" s="629">
        <f t="shared" ref="U10:U105" si="82">IF(M10="","",X10*SIN(RADIANS(W10)))</f>
        <v>1.2631267227911318E-2</v>
      </c>
      <c r="V10" s="636">
        <f>IF(M10="","",Y10)</f>
        <v>-0.3267000000000001</v>
      </c>
      <c r="W10" s="585">
        <f t="shared" si="5"/>
        <v>0.78395708949929599</v>
      </c>
      <c r="X10" s="629">
        <f t="shared" ref="X10:X105" si="83">IF(M10="","",R10)</f>
        <v>0.92318941176770419</v>
      </c>
      <c r="Y10" s="630">
        <f>IF(M10="","",S10)</f>
        <v>-0.3267000000000001</v>
      </c>
      <c r="Z10" s="632">
        <f t="shared" si="6"/>
        <v>-0.96592582628906831</v>
      </c>
      <c r="AA10" s="629">
        <f t="shared" si="7"/>
        <v>0</v>
      </c>
      <c r="AB10" s="629">
        <f t="shared" si="8"/>
        <v>0.25881904510252074</v>
      </c>
      <c r="AC10" s="636">
        <f t="shared" ref="AC10:AC105" si="84">IF(M10="","",SQRT(Z10^2+AA10^2+AB10^2))</f>
        <v>1</v>
      </c>
      <c r="AD10" s="637">
        <f>IF(M10="","",Z10*(1/SQRT(Z10^2+AA10^2+AB10^2)))</f>
        <v>-0.96592582628906831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0.25881904510252074</v>
      </c>
      <c r="AG10" s="602">
        <f t="shared" ref="AG10:AG105" si="87">IF(M10="","",DEGREES(ATAN2(-AF10,AE10)))</f>
        <v>180</v>
      </c>
      <c r="AH10" s="603">
        <f t="shared" ref="AH10:AH105" si="88">IF(M10="","",DEGREES(ACOS(AD10)))</f>
        <v>165</v>
      </c>
      <c r="AI10" s="585">
        <f t="shared" ref="AI10:AI105" si="89">IF(M10="","",DEGREES(-ACOS(-AF10)))</f>
        <v>-105</v>
      </c>
      <c r="AJ10" s="586">
        <f t="shared" ref="AJ10:AJ105" si="90">IF(M10="","",DEGREES(ATAN2(-AE10,AD10)))</f>
        <v>-90</v>
      </c>
      <c r="AK10" s="635">
        <f>IF(M10="","",(COS(RADIANS((90-$Q$8)-W10))*AD10)+(-SIN(RADIANS((90-$Q$8)-W10))*AE10))</f>
        <v>-0.96572764624508545</v>
      </c>
      <c r="AL10" s="629">
        <f t="shared" ref="AL10:AL105" si="91">IF(M10="","",(SIN(RADIANS((90-$Q$8)-W10))*AD10)+(COS(RADIANS((90-$Q$8)-W10))*AE10))</f>
        <v>1.9565663038768173E-2</v>
      </c>
      <c r="AM10" s="634">
        <f t="shared" ref="AM10:AM105" si="92">IF(M10="","",AF10)</f>
        <v>0.25881904510252074</v>
      </c>
      <c r="AN10" s="581">
        <f t="shared" ref="AN10:AN105" si="93">IF(M10="","",DEGREES(ATAN2(-AM10,AL10)))</f>
        <v>175.67689564092015</v>
      </c>
      <c r="AO10" s="582">
        <f t="shared" ref="AO10:AO54" si="94">IF(ROUND(IF(M10="",0,DEGREES(ACOS(AK10))),4)=90,0,IF(M10="","",DEGREES(ACOS(AK10))))</f>
        <v>164.95619061502393</v>
      </c>
      <c r="AP10" s="585">
        <f t="shared" ref="AP10:AP105" si="95">IF(M10="","",DEGREES(ATAN2(AK10,AL10)))</f>
        <v>178.83934505226424</v>
      </c>
      <c r="AQ10" s="586">
        <f t="shared" si="9"/>
        <v>2.4678756183345145</v>
      </c>
      <c r="AS10" s="52">
        <f>IF($M10="","",IF(AND($W10&lt;($AS$9+180),$W10&gt;($AS$9-180)),$W10,IF($W10&gt;($AS$9+180),$W10-360,IF($W10&lt;($AS$9-180),$W10+360,"Error"))))</f>
        <v>0.78395708949929599</v>
      </c>
      <c r="AT10" s="72">
        <f t="shared" si="10"/>
        <v>-0.32493325373129694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-1.8700000000000001E-2</v>
      </c>
      <c r="C11" s="708">
        <v>1.5591000000000002</v>
      </c>
      <c r="D11" s="709">
        <v>-0.15620000000000009</v>
      </c>
      <c r="E11" s="710">
        <v>0.96592582628906831</v>
      </c>
      <c r="F11" s="708">
        <v>0</v>
      </c>
      <c r="G11" s="711">
        <v>-0.25881904510252074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-1.8700000000000001E-2</v>
      </c>
      <c r="O11" s="629">
        <f t="shared" si="3"/>
        <v>1.5591000000000002</v>
      </c>
      <c r="P11" s="633">
        <f t="shared" si="4"/>
        <v>-0.15620000000000009</v>
      </c>
      <c r="Q11" s="585">
        <f t="shared" ref="Q11:Q73" si="113">IF(M11="","",IF(DEGREES(ATAN2(N11,O11))&lt;0,DEGREES(ATAN2(N11,O11))+360,IF(DEGREES(ATAN2(N11,O11))&gt;360,DEGREES(ATAN2(N11,O11))-360,DEGREES(ATAN2(N11,O11)))))</f>
        <v>90.687178310052914</v>
      </c>
      <c r="R11" s="629">
        <f t="shared" si="79"/>
        <v>1.5592121407941899</v>
      </c>
      <c r="S11" s="634">
        <f t="shared" si="80"/>
        <v>-0.15620000000000009</v>
      </c>
      <c r="T11" s="635">
        <f t="shared" si="81"/>
        <v>1.5591892480735829</v>
      </c>
      <c r="U11" s="629">
        <f t="shared" si="82"/>
        <v>8.4491829034489176E-3</v>
      </c>
      <c r="V11" s="636">
        <f t="shared" ref="V11:V105" si="114">IF(M11="","",Y11)</f>
        <v>-0.15620000000000009</v>
      </c>
      <c r="W11" s="585">
        <f t="shared" si="5"/>
        <v>0.31048045181643147</v>
      </c>
      <c r="X11" s="629">
        <f>IF(M11="","",R11)</f>
        <v>1.5592121407941899</v>
      </c>
      <c r="Y11" s="630">
        <f>IF(M11="","",S11)</f>
        <v>-0.15620000000000009</v>
      </c>
      <c r="Z11" s="632">
        <f t="shared" si="6"/>
        <v>-0.96592582628906831</v>
      </c>
      <c r="AA11" s="629">
        <f t="shared" si="7"/>
        <v>0</v>
      </c>
      <c r="AB11" s="629">
        <f t="shared" si="8"/>
        <v>0.25881904510252074</v>
      </c>
      <c r="AC11" s="636">
        <f t="shared" si="84"/>
        <v>1</v>
      </c>
      <c r="AD11" s="637">
        <f t="shared" ref="AD11:AD105" si="115">IF(M11="","",Z11*(1/SQRT(Z11^2+AA11^2+AB11^2)))</f>
        <v>-0.96592582628906831</v>
      </c>
      <c r="AE11" s="629">
        <f t="shared" si="85"/>
        <v>0</v>
      </c>
      <c r="AF11" s="633">
        <f t="shared" si="86"/>
        <v>0.25881904510252074</v>
      </c>
      <c r="AG11" s="602">
        <f>IF(M11="","",DEGREES(ATAN2(-AF11,AE11)))</f>
        <v>180</v>
      </c>
      <c r="AH11" s="603">
        <f t="shared" si="88"/>
        <v>165</v>
      </c>
      <c r="AI11" s="585">
        <f t="shared" si="89"/>
        <v>-105</v>
      </c>
      <c r="AJ11" s="586">
        <f t="shared" si="90"/>
        <v>-90</v>
      </c>
      <c r="AK11" s="635">
        <f>IF(M11="","",(COS(RADIANS((90-$Q$8)-W11))*AD11)+(-SIN(RADIANS((90-$Q$8)-W11))*AE11))</f>
        <v>-0.96585635550542415</v>
      </c>
      <c r="AL11" s="629">
        <f t="shared" si="91"/>
        <v>1.1584576902027592E-2</v>
      </c>
      <c r="AM11" s="634">
        <f t="shared" si="92"/>
        <v>0.25881904510252074</v>
      </c>
      <c r="AN11" s="581">
        <f>IF(M11="","",DEGREES(ATAN2(-AM11,AL11)))</f>
        <v>177.43718764979272</v>
      </c>
      <c r="AO11" s="582">
        <f>IF(ROUND(IF(M11="",0,DEGREES(ACOS(AK11))),4)=90,0,IF(M11="","",DEGREES(ACOS(AK11))))</f>
        <v>164.98462867716864</v>
      </c>
      <c r="AP11" s="585">
        <f t="shared" si="95"/>
        <v>179.3128216899471</v>
      </c>
      <c r="AQ11" s="586">
        <f t="shared" si="9"/>
        <v>1.461784396152545</v>
      </c>
      <c r="AS11" s="52">
        <f t="shared" ref="AS11:AS42" si="116">IF(G11="","",IF(AND(W11&lt;(AS10+180),W11&gt;(AS10-180)),W11,IF(W11&gt;(AS10+180),W11-360,IF(W11&lt;(AS10-180),W11+360,"Error"))))</f>
        <v>0.31048045181643147</v>
      </c>
      <c r="AT11" s="72">
        <f t="shared" si="10"/>
        <v>-0.1541044505106838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-1.4300000000000002E-2</v>
      </c>
      <c r="C12" s="708">
        <v>2.1749999999999998</v>
      </c>
      <c r="D12" s="709">
        <v>-4.6500000000000173E-2</v>
      </c>
      <c r="E12" s="710">
        <v>0.96592370777744574</v>
      </c>
      <c r="F12" s="708">
        <v>-2.0230288408545306E-3</v>
      </c>
      <c r="G12" s="711">
        <v>-0.25881904510252074</v>
      </c>
      <c r="H12" s="710">
        <v>0.26600000000000001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1.1100000000000001</v>
      </c>
      <c r="N12" s="632">
        <f t="shared" si="2"/>
        <v>-1.4300000000000002E-2</v>
      </c>
      <c r="O12" s="629">
        <f t="shared" si="3"/>
        <v>2.1749999999999998</v>
      </c>
      <c r="P12" s="633">
        <f t="shared" si="4"/>
        <v>-4.6500000000000173E-2</v>
      </c>
      <c r="Q12" s="585">
        <f>IF(M12="","",IF(DEGREES(ATAN2(N12,O12))&lt;0,DEGREES(ATAN2(N12,O12))+360,IF(DEGREES(ATAN2(N12,O12))&gt;360,DEGREES(ATAN2(N12,O12))-360,DEGREES(ATAN2(N12,O12)))))</f>
        <v>90.376697858236483</v>
      </c>
      <c r="R12" s="629">
        <f t="shared" si="79"/>
        <v>2.1750470086873981</v>
      </c>
      <c r="S12" s="634">
        <f t="shared" si="80"/>
        <v>-4.6500000000000173E-2</v>
      </c>
      <c r="T12" s="635">
        <f>IF(M12="","",X12*COS(RADIANS(W12)))</f>
        <v>2.1750470086873981</v>
      </c>
      <c r="U12" s="629">
        <f t="shared" si="82"/>
        <v>0</v>
      </c>
      <c r="V12" s="636">
        <f t="shared" si="114"/>
        <v>-4.6500000000000173E-2</v>
      </c>
      <c r="W12" s="585">
        <f>IF(M12="","",IF(Q12-$Q$8&lt;0,360+Q12-$Q$8,Q12-$Q$8))</f>
        <v>0</v>
      </c>
      <c r="X12" s="629">
        <f t="shared" si="83"/>
        <v>2.1750470086873981</v>
      </c>
      <c r="Y12" s="630">
        <f>IF(M12="","",S12)</f>
        <v>-4.6500000000000173E-2</v>
      </c>
      <c r="Z12" s="632">
        <f t="shared" si="6"/>
        <v>-0.96592370777744574</v>
      </c>
      <c r="AA12" s="629">
        <f t="shared" si="7"/>
        <v>2.0230288408545306E-3</v>
      </c>
      <c r="AB12" s="629">
        <f t="shared" si="8"/>
        <v>0.25881904510252074</v>
      </c>
      <c r="AC12" s="636">
        <f t="shared" si="84"/>
        <v>1</v>
      </c>
      <c r="AD12" s="637">
        <f t="shared" si="115"/>
        <v>-0.96592370777744574</v>
      </c>
      <c r="AE12" s="629">
        <f t="shared" si="85"/>
        <v>2.0230288408545306E-3</v>
      </c>
      <c r="AF12" s="633">
        <f t="shared" si="86"/>
        <v>0.25881904510252074</v>
      </c>
      <c r="AG12" s="602">
        <f t="shared" si="87"/>
        <v>179.55216335067496</v>
      </c>
      <c r="AH12" s="603">
        <f t="shared" si="88"/>
        <v>164.99953102399843</v>
      </c>
      <c r="AI12" s="585">
        <f t="shared" si="89"/>
        <v>-105</v>
      </c>
      <c r="AJ12" s="586">
        <f t="shared" si="90"/>
        <v>-90.11999999999999</v>
      </c>
      <c r="AK12" s="635">
        <f t="shared" ref="AK12:AK105" si="211">IF(M12="","",(COS(RADIANS((90-$Q$8)-W12))*AD12)+(-SIN(RADIANS((90-$Q$8)-W12))*AE12))</f>
        <v>-0.96588953099057318</v>
      </c>
      <c r="AL12" s="629">
        <f>IF(M12="","",(SIN(RADIANS((90-$Q$8)-W12))*AD12)+(COS(RADIANS((90-$Q$8)-W12))*AE12))</f>
        <v>8.373518676760611E-3</v>
      </c>
      <c r="AM12" s="634">
        <f t="shared" si="92"/>
        <v>0.25881904510252074</v>
      </c>
      <c r="AN12" s="581">
        <f>IF(M12="","",DEGREES(ATAN2(-AM12,AL12)))</f>
        <v>178.14696791959909</v>
      </c>
      <c r="AO12" s="582">
        <f t="shared" si="94"/>
        <v>164.99196726992062</v>
      </c>
      <c r="AP12" s="585">
        <f t="shared" si="95"/>
        <v>179.50330214176353</v>
      </c>
      <c r="AQ12" s="586">
        <f t="shared" si="9"/>
        <v>1.0480106291877695</v>
      </c>
      <c r="AS12" s="52">
        <f t="shared" si="116"/>
        <v>0</v>
      </c>
      <c r="AT12" s="72">
        <f>IF(M12="","",Y12+(((AS12-$AS$9)*$AS$6)*-1))</f>
        <v>-4.4188839085811379E-2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5.74E-2</v>
      </c>
      <c r="C13" s="708">
        <v>2.8213000000000004</v>
      </c>
      <c r="D13" s="709">
        <v>-0.21150000000000019</v>
      </c>
      <c r="E13" s="710">
        <v>0.96301793789601642</v>
      </c>
      <c r="F13" s="708">
        <v>-0.12053012758060157</v>
      </c>
      <c r="G13" s="711">
        <v>-0.24097497719868796</v>
      </c>
      <c r="H13" s="710">
        <v>0.26600000000000001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 t="str">
        <f>IF($L12=$JH$22,$JH$29,IF($L12=$JI$22,$JI$29,""))</f>
        <v/>
      </c>
      <c r="M13" s="168">
        <f t="shared" si="1"/>
        <v>1.113</v>
      </c>
      <c r="N13" s="632">
        <f t="shared" si="2"/>
        <v>5.74E-2</v>
      </c>
      <c r="O13" s="629">
        <f t="shared" si="3"/>
        <v>2.8213000000000004</v>
      </c>
      <c r="P13" s="633">
        <f t="shared" si="4"/>
        <v>-0.21150000000000019</v>
      </c>
      <c r="Q13" s="585">
        <f t="shared" si="113"/>
        <v>88.834464933238067</v>
      </c>
      <c r="R13" s="629">
        <f t="shared" si="79"/>
        <v>2.8218838477159194</v>
      </c>
      <c r="S13" s="634">
        <f t="shared" si="80"/>
        <v>-0.21150000000000019</v>
      </c>
      <c r="T13" s="635">
        <f>IF(M13="","",X13*COS(RADIANS(W13)))</f>
        <v>2.8208616436766891</v>
      </c>
      <c r="U13" s="629">
        <f t="shared" si="82"/>
        <v>-7.5947595311831179E-2</v>
      </c>
      <c r="V13" s="636">
        <f t="shared" si="114"/>
        <v>-0.21150000000000019</v>
      </c>
      <c r="W13" s="585">
        <f t="shared" si="5"/>
        <v>358.45776707500158</v>
      </c>
      <c r="X13" s="629">
        <f t="shared" si="83"/>
        <v>2.8218838477159194</v>
      </c>
      <c r="Y13" s="630">
        <f>IF(M13="","",S13)</f>
        <v>-0.21150000000000019</v>
      </c>
      <c r="Z13" s="632">
        <f t="shared" si="6"/>
        <v>-0.96301793789601642</v>
      </c>
      <c r="AA13" s="629">
        <f t="shared" si="7"/>
        <v>0.12053012758060157</v>
      </c>
      <c r="AB13" s="629">
        <f t="shared" si="8"/>
        <v>0.24097497719868796</v>
      </c>
      <c r="AC13" s="636">
        <f t="shared" si="84"/>
        <v>1</v>
      </c>
      <c r="AD13" s="637">
        <f>IF(M13="","",Z13*(1/SQRT(Z13^2+AA13^2+AB13^2)))</f>
        <v>-0.96301793789601642</v>
      </c>
      <c r="AE13" s="629">
        <f t="shared" si="85"/>
        <v>0.12053012758060157</v>
      </c>
      <c r="AF13" s="633">
        <f t="shared" si="86"/>
        <v>0.24097497719868796</v>
      </c>
      <c r="AG13" s="602">
        <f>IF(M13="","",DEGREES(ATAN2(-AF13,AE13)))</f>
        <v>153.42683889953847</v>
      </c>
      <c r="AH13" s="603">
        <f t="shared" si="88"/>
        <v>164.36921513488838</v>
      </c>
      <c r="AI13" s="585">
        <f t="shared" si="89"/>
        <v>-103.94409143929647</v>
      </c>
      <c r="AJ13" s="586">
        <f t="shared" si="90"/>
        <v>-97.133972310803529</v>
      </c>
      <c r="AK13" s="635">
        <f t="shared" si="211"/>
        <v>-0.96527039541826409</v>
      </c>
      <c r="AL13" s="629">
        <f t="shared" si="91"/>
        <v>0.10091642132556976</v>
      </c>
      <c r="AM13" s="634">
        <f t="shared" si="92"/>
        <v>0.24097497719868796</v>
      </c>
      <c r="AN13" s="581">
        <f t="shared" si="93"/>
        <v>157.27685324708838</v>
      </c>
      <c r="AO13" s="582">
        <f t="shared" si="94"/>
        <v>164.85558380885442</v>
      </c>
      <c r="AP13" s="585">
        <f t="shared" si="95"/>
        <v>174.03156275595842</v>
      </c>
      <c r="AQ13" s="586">
        <f t="shared" si="9"/>
        <v>0.80782048241117144</v>
      </c>
      <c r="AS13" s="52">
        <f t="shared" si="116"/>
        <v>-1.5422329249984159</v>
      </c>
      <c r="AT13" s="72">
        <f t="shared" si="10"/>
        <v>-0.20811784399900693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0.17009999999999997</v>
      </c>
      <c r="C14" s="708">
        <v>3.3033999999999999</v>
      </c>
      <c r="D14" s="709">
        <v>-0.63500000000000001</v>
      </c>
      <c r="E14" s="710">
        <v>0.92572695573999531</v>
      </c>
      <c r="F14" s="708">
        <v>-0.27125815977654011</v>
      </c>
      <c r="G14" s="711">
        <v>-0.26353104972850128</v>
      </c>
      <c r="H14" s="710">
        <v>0.26600000000000001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1.1160000000000001</v>
      </c>
      <c r="N14" s="632">
        <f t="shared" si="2"/>
        <v>0.17009999999999997</v>
      </c>
      <c r="O14" s="629">
        <f t="shared" si="3"/>
        <v>3.3033999999999999</v>
      </c>
      <c r="P14" s="633">
        <f t="shared" si="4"/>
        <v>-0.63500000000000001</v>
      </c>
      <c r="Q14" s="585">
        <f t="shared" si="113"/>
        <v>87.052306100340815</v>
      </c>
      <c r="R14" s="629">
        <f t="shared" si="79"/>
        <v>3.3077765296343706</v>
      </c>
      <c r="S14" s="634">
        <f t="shared" si="80"/>
        <v>-0.63500000000000001</v>
      </c>
      <c r="T14" s="635">
        <f t="shared" si="81"/>
        <v>3.3022102700826164</v>
      </c>
      <c r="U14" s="629">
        <f t="shared" si="82"/>
        <v>-0.19181476001834685</v>
      </c>
      <c r="V14" s="636">
        <f t="shared" si="114"/>
        <v>-0.63500000000000001</v>
      </c>
      <c r="W14" s="585">
        <f t="shared" si="5"/>
        <v>356.67560824210437</v>
      </c>
      <c r="X14" s="629">
        <f t="shared" si="83"/>
        <v>3.3077765296343706</v>
      </c>
      <c r="Y14" s="630">
        <f t="shared" ref="Y14:Y75" si="223">IF(M14="","",S14)</f>
        <v>-0.63500000000000001</v>
      </c>
      <c r="Z14" s="632">
        <f t="shared" si="6"/>
        <v>-0.92572695573999531</v>
      </c>
      <c r="AA14" s="629">
        <f t="shared" si="7"/>
        <v>0.27125815977654011</v>
      </c>
      <c r="AB14" s="629">
        <f t="shared" si="8"/>
        <v>0.26353104972850128</v>
      </c>
      <c r="AC14" s="636">
        <f t="shared" si="84"/>
        <v>1</v>
      </c>
      <c r="AD14" s="637">
        <f>IF(M14="","",Z14*(1/SQRT(Z14^2+AA14^2+AB14^2)))</f>
        <v>-0.92572695573999531</v>
      </c>
      <c r="AE14" s="629">
        <f t="shared" si="85"/>
        <v>0.27125815977654011</v>
      </c>
      <c r="AF14" s="633">
        <f t="shared" si="86"/>
        <v>0.26353104972850128</v>
      </c>
      <c r="AG14" s="602">
        <f t="shared" si="87"/>
        <v>134.17219723232776</v>
      </c>
      <c r="AH14" s="603">
        <f t="shared" si="88"/>
        <v>157.7782302206858</v>
      </c>
      <c r="AI14" s="585">
        <f t="shared" si="89"/>
        <v>-105.27968579169958</v>
      </c>
      <c r="AJ14" s="586">
        <f t="shared" si="90"/>
        <v>-106.33173370325403</v>
      </c>
      <c r="AK14" s="635">
        <f>IF(M14="","",(COS(RADIANS((90-$Q$8)-W14))*AD14)+(-SIN(RADIANS((90-$Q$8)-W14))*AE14))</f>
        <v>-0.93845137685665092</v>
      </c>
      <c r="AL14" s="629">
        <f t="shared" si="91"/>
        <v>0.22329442246695341</v>
      </c>
      <c r="AM14" s="634">
        <f t="shared" si="92"/>
        <v>0.26353104972850128</v>
      </c>
      <c r="AN14" s="581">
        <f t="shared" si="93"/>
        <v>139.72481607536793</v>
      </c>
      <c r="AO14" s="582">
        <f t="shared" si="94"/>
        <v>159.7930907733701</v>
      </c>
      <c r="AP14" s="585">
        <f>IF(M14="","",DEGREES(ATAN2(AK14,AL14)))</f>
        <v>166.61596019640515</v>
      </c>
      <c r="AQ14" s="586">
        <f t="shared" si="9"/>
        <v>0.68916889259854264</v>
      </c>
      <c r="AS14" s="52">
        <f t="shared" si="116"/>
        <v>-3.3243917578956257</v>
      </c>
      <c r="AT14" s="72">
        <f t="shared" si="10"/>
        <v>-0.6303802336983837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0.24830000000000002</v>
      </c>
      <c r="C15" s="708">
        <v>3.5495999999999999</v>
      </c>
      <c r="D15" s="709">
        <v>-1.2388000000000001</v>
      </c>
      <c r="E15" s="710">
        <v>0.87665239996612421</v>
      </c>
      <c r="F15" s="708">
        <v>-0.42842880748993534</v>
      </c>
      <c r="G15" s="711">
        <v>-0.21892767423600543</v>
      </c>
      <c r="H15" s="710">
        <v>0.26600000000000001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 t="str">
        <f>IF($L14=$JH$22,$JH$29,IF($L14=$JI$22,$JI$29,""))</f>
        <v/>
      </c>
      <c r="M15" s="168">
        <f t="shared" si="1"/>
        <v>1.119</v>
      </c>
      <c r="N15" s="632">
        <f t="shared" si="2"/>
        <v>0.24830000000000002</v>
      </c>
      <c r="O15" s="629">
        <f t="shared" si="3"/>
        <v>3.5495999999999999</v>
      </c>
      <c r="P15" s="633">
        <f t="shared" si="4"/>
        <v>-1.2388000000000001</v>
      </c>
      <c r="Q15" s="585">
        <f t="shared" si="113"/>
        <v>85.998589864606544</v>
      </c>
      <c r="R15" s="629">
        <f t="shared" si="79"/>
        <v>3.5582738863106083</v>
      </c>
      <c r="S15" s="634">
        <f t="shared" si="80"/>
        <v>-1.2388000000000001</v>
      </c>
      <c r="T15" s="635">
        <f t="shared" si="81"/>
        <v>3.5478908176136232</v>
      </c>
      <c r="U15" s="629">
        <f t="shared" si="82"/>
        <v>-0.27163172917193629</v>
      </c>
      <c r="V15" s="636">
        <f t="shared" si="114"/>
        <v>-1.2388000000000001</v>
      </c>
      <c r="W15" s="585">
        <f t="shared" ref="W15:W78" si="224">IF(M15="","",IF(Q15-$Q$8&lt;0,360+Q15-$Q$8,Q15-$Q$8))</f>
        <v>355.62189200637005</v>
      </c>
      <c r="X15" s="629">
        <f>IF(M15="","",R15)</f>
        <v>3.5582738863106083</v>
      </c>
      <c r="Y15" s="630">
        <f>IF(M15="","",S15)</f>
        <v>-1.2388000000000001</v>
      </c>
      <c r="Z15" s="632">
        <f t="shared" si="6"/>
        <v>-0.87665239996612421</v>
      </c>
      <c r="AA15" s="629">
        <f t="shared" si="7"/>
        <v>0.42842880748993534</v>
      </c>
      <c r="AB15" s="629">
        <f t="shared" si="8"/>
        <v>0.21892767423600543</v>
      </c>
      <c r="AC15" s="636">
        <f t="shared" si="84"/>
        <v>1</v>
      </c>
      <c r="AD15" s="637">
        <f t="shared" si="115"/>
        <v>-0.87665239996612421</v>
      </c>
      <c r="AE15" s="629">
        <f t="shared" si="85"/>
        <v>0.42842880748993534</v>
      </c>
      <c r="AF15" s="633">
        <f t="shared" si="86"/>
        <v>0.21892767423600543</v>
      </c>
      <c r="AG15" s="602">
        <f t="shared" si="87"/>
        <v>117.06709112554486</v>
      </c>
      <c r="AH15" s="603">
        <f t="shared" si="88"/>
        <v>151.24114393017589</v>
      </c>
      <c r="AI15" s="585">
        <f t="shared" si="89"/>
        <v>-102.64605795894262</v>
      </c>
      <c r="AJ15" s="586">
        <f t="shared" si="90"/>
        <v>-116.04522303995238</v>
      </c>
      <c r="AK15" s="635">
        <f t="shared" si="211"/>
        <v>-0.9044116149125988</v>
      </c>
      <c r="AL15" s="629">
        <f t="shared" si="91"/>
        <v>0.36621073750615007</v>
      </c>
      <c r="AM15" s="634">
        <f t="shared" si="92"/>
        <v>0.21892767423600543</v>
      </c>
      <c r="AN15" s="581">
        <f>IF(M15="","",DEGREES(ATAN2(-AM15,AL15)))</f>
        <v>120.87177700012946</v>
      </c>
      <c r="AO15" s="582">
        <f t="shared" si="94"/>
        <v>154.74415370531639</v>
      </c>
      <c r="AP15" s="585">
        <f t="shared" si="95"/>
        <v>157.95618709544112</v>
      </c>
      <c r="AQ15" s="586">
        <f t="shared" si="9"/>
        <v>0.64065659208259895</v>
      </c>
      <c r="AS15" s="52">
        <f t="shared" si="116"/>
        <v>-4.3781079936299534</v>
      </c>
      <c r="AT15" s="72">
        <f t="shared" si="10"/>
        <v>-1.2334484863124573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0.27660000000000012</v>
      </c>
      <c r="C16" s="708">
        <v>3.6284999999999998</v>
      </c>
      <c r="D16" s="709">
        <v>-1.8855000000000002</v>
      </c>
      <c r="E16" s="710">
        <v>0.8264382731914669</v>
      </c>
      <c r="F16" s="708">
        <v>-0.52186993764263145</v>
      </c>
      <c r="G16" s="711">
        <v>-0.21130913087034967</v>
      </c>
      <c r="H16" s="710">
        <v>0.26600000000000001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1.1220000000000001</v>
      </c>
      <c r="N16" s="632">
        <f t="shared" si="2"/>
        <v>0.27660000000000012</v>
      </c>
      <c r="O16" s="629">
        <f t="shared" si="3"/>
        <v>3.6284999999999998</v>
      </c>
      <c r="P16" s="633">
        <f t="shared" si="4"/>
        <v>-1.8855000000000002</v>
      </c>
      <c r="Q16" s="585">
        <f>IF(M16="","",IF(DEGREES(ATAN2(N16,O16))&lt;0,DEGREES(ATAN2(N16,O16))+360,IF(DEGREES(ATAN2(N16,O16))&gt;360,DEGREES(ATAN2(N16,O16))-360,DEGREES(ATAN2(N16,O16)))))</f>
        <v>85.640782236310173</v>
      </c>
      <c r="R16" s="629">
        <f t="shared" si="79"/>
        <v>3.6390273164679594</v>
      </c>
      <c r="S16" s="634">
        <f t="shared" si="80"/>
        <v>-1.8855000000000002</v>
      </c>
      <c r="T16" s="635">
        <f t="shared" si="81"/>
        <v>3.6266030520233605</v>
      </c>
      <c r="U16" s="629">
        <f t="shared" si="82"/>
        <v>-0.30044985114798206</v>
      </c>
      <c r="V16" s="636">
        <f t="shared" si="114"/>
        <v>-1.8855000000000002</v>
      </c>
      <c r="W16" s="585">
        <f>IF(M16="","",IF(Q16-$Q$8&lt;0,360+Q16-$Q$8,Q16-$Q$8))</f>
        <v>355.26408437807373</v>
      </c>
      <c r="X16" s="629">
        <f t="shared" si="83"/>
        <v>3.6390273164679594</v>
      </c>
      <c r="Y16" s="630">
        <f t="shared" si="223"/>
        <v>-1.8855000000000002</v>
      </c>
      <c r="Z16" s="632">
        <f t="shared" si="6"/>
        <v>-0.8264382731914669</v>
      </c>
      <c r="AA16" s="629">
        <f t="shared" si="7"/>
        <v>0.52186993764263145</v>
      </c>
      <c r="AB16" s="629">
        <f t="shared" si="8"/>
        <v>0.21130913087034967</v>
      </c>
      <c r="AC16" s="636">
        <f t="shared" si="84"/>
        <v>1</v>
      </c>
      <c r="AD16" s="637">
        <f t="shared" si="115"/>
        <v>-0.8264382731914669</v>
      </c>
      <c r="AE16" s="629">
        <f t="shared" si="85"/>
        <v>0.52186993764263145</v>
      </c>
      <c r="AF16" s="633">
        <f t="shared" si="86"/>
        <v>0.21130913087034967</v>
      </c>
      <c r="AG16" s="602">
        <f t="shared" si="87"/>
        <v>112.04340173138708</v>
      </c>
      <c r="AH16" s="603">
        <f t="shared" si="88"/>
        <v>145.73458219391034</v>
      </c>
      <c r="AI16" s="585">
        <f t="shared" si="89"/>
        <v>-102.19908169044881</v>
      </c>
      <c r="AJ16" s="586">
        <f t="shared" si="90"/>
        <v>-122.27113034755786</v>
      </c>
      <c r="AK16" s="635">
        <f t="shared" si="211"/>
        <v>-0.86371445600410124</v>
      </c>
      <c r="AL16" s="629">
        <f t="shared" si="91"/>
        <v>0.45754321074665411</v>
      </c>
      <c r="AM16" s="634">
        <f t="shared" si="92"/>
        <v>0.21130913087034967</v>
      </c>
      <c r="AN16" s="581">
        <f t="shared" si="93"/>
        <v>114.78911083894211</v>
      </c>
      <c r="AO16" s="582">
        <f t="shared" si="94"/>
        <v>149.73623553330242</v>
      </c>
      <c r="AP16" s="585">
        <f t="shared" si="95"/>
        <v>152.08808741613191</v>
      </c>
      <c r="AQ16" s="586">
        <f t="shared" si="9"/>
        <v>0.62644096707700159</v>
      </c>
      <c r="AS16" s="52">
        <f t="shared" si="116"/>
        <v>-4.7359156219262672</v>
      </c>
      <c r="AT16" s="72">
        <f t="shared" si="10"/>
        <v>-1.8799000087928071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0.90569999999999995</v>
      </c>
      <c r="C17" s="708">
        <v>1.9710999999999999</v>
      </c>
      <c r="D17" s="709">
        <v>0.14909999999999982</v>
      </c>
      <c r="E17" s="710">
        <v>0</v>
      </c>
      <c r="F17" s="708">
        <v>0</v>
      </c>
      <c r="G17" s="711">
        <v>1</v>
      </c>
      <c r="H17" s="710">
        <v>0.19500000000000001</v>
      </c>
      <c r="I17" s="708">
        <v>0.438</v>
      </c>
      <c r="J17" s="570">
        <v>1.21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Undefined</v>
      </c>
      <c r="M17" s="168">
        <f t="shared" si="1"/>
        <v>1.21</v>
      </c>
      <c r="N17" s="632">
        <f t="shared" si="2"/>
        <v>0.90569999999999995</v>
      </c>
      <c r="O17" s="629">
        <f t="shared" si="3"/>
        <v>1.9710999999999999</v>
      </c>
      <c r="P17" s="633">
        <f t="shared" si="4"/>
        <v>0.14909999999999982</v>
      </c>
      <c r="Q17" s="585">
        <f>IF(M17="","",IF(DEGREES(ATAN2(N17,O17))&lt;0,DEGREES(ATAN2(N17,O17))+360,IF(DEGREES(ATAN2(N17,O17))&gt;360,DEGREES(ATAN2(N17,O17))-360,DEGREES(ATAN2(N17,O17)))))</f>
        <v>65.321709747811937</v>
      </c>
      <c r="R17" s="629">
        <f>IF(M17="","",SQRT(N17^2+O17^2))</f>
        <v>2.1692228331824279</v>
      </c>
      <c r="S17" s="634">
        <f>IF(M17="","",P17)</f>
        <v>0.14909999999999982</v>
      </c>
      <c r="T17" s="635">
        <f>IF(M17="","",X17*COS(RADIANS(W17)))</f>
        <v>1.9651028106189745</v>
      </c>
      <c r="U17" s="629">
        <f>IF(M17="","",X17*SIN(RADIANS(W17)))</f>
        <v>-0.9186395613609325</v>
      </c>
      <c r="V17" s="636">
        <f>IF(M17="","",Y17)</f>
        <v>0.14909999999999982</v>
      </c>
      <c r="W17" s="585">
        <f t="shared" si="224"/>
        <v>334.94501188957548</v>
      </c>
      <c r="X17" s="629">
        <f>IF(M17="","",R17)</f>
        <v>2.1692228331824279</v>
      </c>
      <c r="Y17" s="630">
        <f t="shared" si="223"/>
        <v>0.14909999999999982</v>
      </c>
      <c r="Z17" s="632">
        <f t="shared" si="6"/>
        <v>0</v>
      </c>
      <c r="AA17" s="629">
        <f t="shared" si="7"/>
        <v>0</v>
      </c>
      <c r="AB17" s="629">
        <f t="shared" si="8"/>
        <v>-1</v>
      </c>
      <c r="AC17" s="636">
        <f>IF(M17="","",SQRT(Z17^2+AA17^2+AB17^2))</f>
        <v>1</v>
      </c>
      <c r="AD17" s="637">
        <f>IF(M17="","",Z17*(1/SQRT(Z17^2+AA17^2+AB17^2)))</f>
        <v>0</v>
      </c>
      <c r="AE17" s="629">
        <f>IF(M17="","",AA17*(1/SQRT(Z17^2+AA17^2+AB17^2)))</f>
        <v>0</v>
      </c>
      <c r="AF17" s="633">
        <f>IF(M17="","",AB17*(1/SQRT(Z17^2+AA17^2+AB17^2)))</f>
        <v>-1</v>
      </c>
      <c r="AG17" s="602">
        <f>IF(M17="","",DEGREES(ATAN2(-AF17,AE17)))</f>
        <v>0</v>
      </c>
      <c r="AH17" s="603">
        <f>IF(M17="","",DEGREES(ACOS(AD17)))</f>
        <v>90</v>
      </c>
      <c r="AI17" s="585">
        <f>IF(M17="","",DEGREES(-ACOS(-AF17)))</f>
        <v>0</v>
      </c>
      <c r="AJ17" s="586" t="e">
        <f>IF(M17="","",DEGREES(ATAN2(-AE17,AD17)))</f>
        <v>#DIV/0!</v>
      </c>
      <c r="AK17" s="635">
        <f>IF(M17="","",(COS(RADIANS((90-$Q$8)-W17))*AD17)+(-SIN(RADIANS((90-$Q$8)-W17))*AE17))</f>
        <v>0</v>
      </c>
      <c r="AL17" s="629">
        <f>IF(M17="","",(SIN(RADIANS((90-$Q$8)-W17))*AD17)+(COS(RADIANS((90-$Q$8)-W17))*AE17))</f>
        <v>0</v>
      </c>
      <c r="AM17" s="634">
        <f>IF(M17="","",AF17)</f>
        <v>-1</v>
      </c>
      <c r="AN17" s="581">
        <f>IF(M17="","",DEGREES(ATAN2(-AM17,AL17)))</f>
        <v>0</v>
      </c>
      <c r="AO17" s="582">
        <f t="shared" si="94"/>
        <v>0</v>
      </c>
      <c r="AP17" s="585" t="e">
        <f>IF(M17="","",DEGREES(ATAN2(AK17,AL17)))</f>
        <v>#DIV/0!</v>
      </c>
      <c r="AQ17" s="586">
        <f t="shared" si="9"/>
        <v>1.0508238168963744</v>
      </c>
      <c r="AS17" s="52">
        <f t="shared" si="116"/>
        <v>-25.054988110424517</v>
      </c>
      <c r="AT17" s="72">
        <f t="shared" si="10"/>
        <v>0.16881045821309454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1.1100000000000001</v>
      </c>
      <c r="II17" s="734" cm="1">
        <f t="array" ref="II17">IFERROR(ROUND(VALUE(IF($IH17&lt;1,$IH17+LARGE((IF($M$9:$M$150="",0,$M$9:$M$150)-MOD(IF($M$9:$M$150="",0,$M$9:$M$150),1)),1),$IH17)),4),"")</f>
        <v>1.1100000000000001</v>
      </c>
      <c r="IJ17" s="533">
        <f t="shared" si="112"/>
        <v>1313</v>
      </c>
      <c r="IK17" s="533" t="str">
        <f t="shared" si="66"/>
        <v>Undefined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25.054988110424517</v>
      </c>
      <c r="IM17" s="759">
        <v>7.7529858935399099E-2</v>
      </c>
      <c r="IN17" s="5">
        <f t="shared" ref="IN17:IN80" si="226">IF(ISNUMBER($II17),(($IO17*12)/60)/$AS$3,"")</f>
        <v>0</v>
      </c>
      <c r="IO17" s="771">
        <v>0</v>
      </c>
      <c r="IP17" s="9">
        <f t="shared" ref="IP17:IP80" si="227">IF(ISNUMBER($II17),(INDEX($X$9:$X$150,MATCH($II17,$M$9:$M$150,0))*-1),"")</f>
        <v>-2.1750470086873981</v>
      </c>
      <c r="IQ17" s="5">
        <f t="shared" ref="IQ17:IQ80" si="228">IF(ISNUMBER($II17),INDEX($Y$9:$Y$150,MATCH($II17,$M$9:$M$150,0)),"")</f>
        <v>-4.6500000000000173E-2</v>
      </c>
      <c r="IR17" s="5">
        <f t="shared" si="71"/>
        <v>0.26600000000000001</v>
      </c>
      <c r="IS17" s="5">
        <f t="shared" ref="IS17:IS80" si="229">IF(ISNUMBER($II17),$IR17*COS(RADIANS(INDEX($AO$9:$AO$150,MATCH($II17,$M$9:$M$150,0)))),"")</f>
        <v>-0.25692661524349247</v>
      </c>
      <c r="IT17" s="727">
        <f t="shared" ref="IT17:IT80" si="230">IF(ISNUMBER($II17),(-1*INDEX($AN$9:$AN$150,MATCH($II17,$M$9:$M$150,0))),"")</f>
        <v>-178.14696791959909</v>
      </c>
      <c r="IU17" s="9">
        <f t="shared" ref="IU17:IU80" si="231">IF(ISNUMBER($II17),-$X17,"")</f>
        <v>-2.1692228331824279</v>
      </c>
      <c r="IV17" s="5">
        <f t="shared" ref="IV17:IV80" si="232">IF(ISNUMBER($II17),$Y17,"")</f>
        <v>0.14909999999999982</v>
      </c>
      <c r="IW17" s="5">
        <f t="shared" si="76"/>
        <v>0.19500000000000001</v>
      </c>
      <c r="IX17" s="5">
        <f t="shared" ref="IX17:IX80" si="233">IF(ISNUMBER($II17),$IW17*COS(RADIANS($AO17)),"")</f>
        <v>0.19500000000000001</v>
      </c>
      <c r="IY17" s="762">
        <f t="shared" ref="IY17:IY80" si="234">IF(ISNUMBER($II17),(-1*$AN17),"")</f>
        <v>0</v>
      </c>
    </row>
    <row r="18" spans="1:269" ht="15" customHeight="1" x14ac:dyDescent="0.25">
      <c r="A18" s="79"/>
      <c r="B18" s="707">
        <v>1.0684894307497743</v>
      </c>
      <c r="C18" s="708">
        <v>2.6836916669367801</v>
      </c>
      <c r="D18" s="709">
        <v>-2.9385482417289666E-2</v>
      </c>
      <c r="E18" s="710">
        <v>0.13644903246305903</v>
      </c>
      <c r="F18" s="708">
        <v>0.33840320519826184</v>
      </c>
      <c r="G18" s="711">
        <v>0.93105581586252839</v>
      </c>
      <c r="H18" s="710">
        <v>0.19500000000000001</v>
      </c>
      <c r="I18" s="708">
        <v>0.438</v>
      </c>
      <c r="J18" s="570">
        <v>1.2130000000000001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Undefined</v>
      </c>
      <c r="L18" s="779" t="s">
        <v>331</v>
      </c>
      <c r="M18" s="168">
        <f t="shared" si="1"/>
        <v>1.2130000000000001</v>
      </c>
      <c r="N18" s="632">
        <f t="shared" si="2"/>
        <v>1.0684894307497743</v>
      </c>
      <c r="O18" s="629">
        <f t="shared" si="3"/>
        <v>2.6836916669367801</v>
      </c>
      <c r="P18" s="633">
        <f t="shared" si="4"/>
        <v>-2.9385482417289666E-2</v>
      </c>
      <c r="Q18" s="585">
        <f t="shared" si="113"/>
        <v>68.290438568862569</v>
      </c>
      <c r="R18" s="629">
        <f>IF(M18="","",SQRT(N18^2+O18^2))</f>
        <v>2.8885758821277121</v>
      </c>
      <c r="S18" s="634">
        <f>IF(M18="","",P18)</f>
        <v>-2.9385482417289666E-2</v>
      </c>
      <c r="T18" s="635">
        <f>IF(M18="","",X18*COS(RADIANS(W18)))</f>
        <v>2.6766088059131627</v>
      </c>
      <c r="U18" s="629">
        <f>IF(M18="","",X18*SIN(RADIANS(W18)))</f>
        <v>-1.0861104579728544</v>
      </c>
      <c r="V18" s="636">
        <f>IF(M18="","",Y18)</f>
        <v>-2.9385482417289666E-2</v>
      </c>
      <c r="W18" s="585">
        <f t="shared" si="224"/>
        <v>337.91374071062609</v>
      </c>
      <c r="X18" s="629">
        <f>IF(M18="","",R18)</f>
        <v>2.8885758821277121</v>
      </c>
      <c r="Y18" s="630">
        <f t="shared" si="223"/>
        <v>-2.9385482417289666E-2</v>
      </c>
      <c r="Z18" s="632">
        <f t="shared" si="6"/>
        <v>-0.13644903246305903</v>
      </c>
      <c r="AA18" s="629">
        <f t="shared" si="7"/>
        <v>-0.33840320519826184</v>
      </c>
      <c r="AB18" s="629">
        <f t="shared" si="8"/>
        <v>-0.93105581586252839</v>
      </c>
      <c r="AC18" s="636">
        <f>IF(M18="","",SQRT(Z18^2+AA18^2+AB18^2))</f>
        <v>1</v>
      </c>
      <c r="AD18" s="637">
        <f>IF(M18="","",Z18*(1/SQRT(Z18^2+AA18^2+AB18^2)))</f>
        <v>-0.13644903246305903</v>
      </c>
      <c r="AE18" s="629">
        <f>IF(M18="","",AA18*(1/SQRT(Z18^2+AA18^2+AB18^2)))</f>
        <v>-0.33840320519826184</v>
      </c>
      <c r="AF18" s="633">
        <f>IF(M18="","",AB18*(1/SQRT(Z18^2+AA18^2+AB18^2)))</f>
        <v>-0.93105581586252839</v>
      </c>
      <c r="AG18" s="602">
        <f>IF(M18="","",DEGREES(ATAN2(-AF18,AE18)))</f>
        <v>-19.974271402590393</v>
      </c>
      <c r="AH18" s="603">
        <f>IF(M18="","",DEGREES(ACOS(AD18)))</f>
        <v>97.842418764148434</v>
      </c>
      <c r="AI18" s="585">
        <f>IF(M18="","",DEGREES(-ACOS(-AF18)))</f>
        <v>-21.399999999999981</v>
      </c>
      <c r="AJ18" s="586">
        <f>IF(M18="","",DEGREES(ATAN2(-AE18,AD18)))</f>
        <v>-21.960000000000012</v>
      </c>
      <c r="AK18" s="635">
        <f>IF(M18="","",(COS(RADIANS((90-$Q$8)-W18))*AD18)+(-SIN(RADIANS((90-$Q$8)-W18))*AE18))</f>
        <v>-1.5948631728912033E-3</v>
      </c>
      <c r="AL18" s="629">
        <f>IF(M18="","",(SIN(RADIANS((90-$Q$8)-W18))*AD18)+(COS(RADIANS((90-$Q$8)-W18))*AE18))</f>
        <v>-0.36487329877646785</v>
      </c>
      <c r="AM18" s="634">
        <f>IF(M18="","",AF18)</f>
        <v>-0.93105581586252839</v>
      </c>
      <c r="AN18" s="581">
        <f>IF(M18="","",DEGREES(ATAN2(-AM18,AL18)))</f>
        <v>-21.399814060521496</v>
      </c>
      <c r="AO18" s="582">
        <f t="shared" si="94"/>
        <v>90.091378967445962</v>
      </c>
      <c r="AP18" s="585">
        <f>IF(M18="","",DEGREES(ATAN2(AK18,AL18)))</f>
        <v>-90.250438568862535</v>
      </c>
      <c r="AQ18" s="586">
        <f t="shared" si="9"/>
        <v>0.78917174356030317</v>
      </c>
      <c r="AS18" s="52">
        <f t="shared" si="116"/>
        <v>-22.086259289373913</v>
      </c>
      <c r="AT18" s="72">
        <f t="shared" si="10"/>
        <v>-1.1736641441035651E-2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1.2130000000000001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1.113</v>
      </c>
      <c r="II18" s="734" cm="1">
        <f t="array" ref="II18">IFERROR(ROUND(VALUE(IF($IH18&lt;1,$IH18+LARGE((IF($M$9:$M$150="",0,$M$9:$M$150)-MOD(IF($M$9:$M$150="",0,$M$9:$M$150),1)),1),$IH18)),4),"")</f>
        <v>1.113</v>
      </c>
      <c r="IJ18" s="533">
        <f t="shared" si="112"/>
        <v>1313</v>
      </c>
      <c r="IK18" s="533" t="str">
        <f t="shared" si="66"/>
        <v>Undefined</v>
      </c>
      <c r="IL18" s="727">
        <f t="shared" si="225"/>
        <v>20.544026364375497</v>
      </c>
      <c r="IM18" s="759">
        <v>1.1735880848708299E-3</v>
      </c>
      <c r="IN18" s="5">
        <f t="shared" si="226"/>
        <v>0</v>
      </c>
      <c r="IO18" s="771">
        <v>0</v>
      </c>
      <c r="IP18" s="9">
        <f t="shared" si="227"/>
        <v>-2.8218838477159194</v>
      </c>
      <c r="IQ18" s="5">
        <f t="shared" si="228"/>
        <v>-0.21150000000000019</v>
      </c>
      <c r="IR18" s="5">
        <f t="shared" si="71"/>
        <v>0.26600000000000001</v>
      </c>
      <c r="IS18" s="5">
        <f t="shared" si="229"/>
        <v>-0.25676192518125834</v>
      </c>
      <c r="IT18" s="727">
        <f t="shared" si="230"/>
        <v>-157.27685324708838</v>
      </c>
      <c r="IU18" s="9">
        <f t="shared" si="231"/>
        <v>-2.8885758821277121</v>
      </c>
      <c r="IV18" s="5">
        <f t="shared" si="232"/>
        <v>-2.9385482417289666E-2</v>
      </c>
      <c r="IW18" s="5">
        <f t="shared" si="76"/>
        <v>0.19500000000000001</v>
      </c>
      <c r="IX18" s="5">
        <f t="shared" si="233"/>
        <v>-3.1099831871382654E-4</v>
      </c>
      <c r="IY18" s="762">
        <f t="shared" si="234"/>
        <v>21.399814060521496</v>
      </c>
    </row>
    <row r="19" spans="1:269" ht="15" customHeight="1" thickBot="1" x14ac:dyDescent="0.3">
      <c r="A19" s="79"/>
      <c r="B19" s="707">
        <v>1.229171635695343</v>
      </c>
      <c r="C19" s="708">
        <v>3.1958442753136076</v>
      </c>
      <c r="D19" s="709">
        <v>-0.48968120241248619</v>
      </c>
      <c r="E19" s="710">
        <v>0.23102670039948545</v>
      </c>
      <c r="F19" s="708">
        <v>0.59408417451541695</v>
      </c>
      <c r="G19" s="711">
        <v>0.77051324277578914</v>
      </c>
      <c r="H19" s="710">
        <v>0.19500000000000001</v>
      </c>
      <c r="I19" s="708">
        <v>0.438</v>
      </c>
      <c r="J19" s="570">
        <v>1.216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Undefined</v>
      </c>
      <c r="L19" s="775" t="s">
        <v>366</v>
      </c>
      <c r="M19" s="168">
        <f t="shared" si="1"/>
        <v>1.216</v>
      </c>
      <c r="N19" s="632">
        <f t="shared" si="2"/>
        <v>1.229171635695343</v>
      </c>
      <c r="O19" s="629">
        <f t="shared" si="3"/>
        <v>3.1958442753136076</v>
      </c>
      <c r="P19" s="633">
        <f t="shared" si="4"/>
        <v>-0.48968120241248619</v>
      </c>
      <c r="Q19" s="585">
        <f t="shared" si="113"/>
        <v>68.962477096016642</v>
      </c>
      <c r="R19" s="629">
        <f>IF(M19="","",SQRT(N19^2+O19^2))</f>
        <v>3.4240741145677211</v>
      </c>
      <c r="S19" s="634">
        <f>IF(M19="","",P19)</f>
        <v>-0.48968120241248619</v>
      </c>
      <c r="T19" s="635">
        <f>IF(M19="","",X19*COS(RADIANS(W19)))</f>
        <v>3.1876939287858543</v>
      </c>
      <c r="U19" s="629">
        <f>IF(M19="","",X19*SIN(RADIANS(W19)))</f>
        <v>-1.2501563735927304</v>
      </c>
      <c r="V19" s="636">
        <f>IF(M19="","",Y19)</f>
        <v>-0.48968120241248619</v>
      </c>
      <c r="W19" s="585">
        <f t="shared" si="224"/>
        <v>338.58577923778017</v>
      </c>
      <c r="X19" s="629">
        <f>IF(M19="","",R19)</f>
        <v>3.4240741145677211</v>
      </c>
      <c r="Y19" s="630">
        <f t="shared" si="223"/>
        <v>-0.48968120241248619</v>
      </c>
      <c r="Z19" s="632">
        <f t="shared" si="6"/>
        <v>-0.23102670039948545</v>
      </c>
      <c r="AA19" s="629">
        <f t="shared" si="7"/>
        <v>-0.59408417451541695</v>
      </c>
      <c r="AB19" s="629">
        <f t="shared" si="8"/>
        <v>-0.77051324277578914</v>
      </c>
      <c r="AC19" s="636">
        <f>IF(M19="","",SQRT(Z19^2+AA19^2+AB19^2))</f>
        <v>1</v>
      </c>
      <c r="AD19" s="637">
        <f>IF(M19="","",Z19*(1/SQRT(Z19^2+AA19^2+AB19^2)))</f>
        <v>-0.23102670039948545</v>
      </c>
      <c r="AE19" s="629">
        <f>IF(M19="","",AA19*(1/SQRT(Z19^2+AA19^2+AB19^2)))</f>
        <v>-0.59408417451541695</v>
      </c>
      <c r="AF19" s="633">
        <f>IF(M19="","",AB19*(1/SQRT(Z19^2+AA19^2+AB19^2)))</f>
        <v>-0.77051324277578914</v>
      </c>
      <c r="AG19" s="602">
        <f>IF(M19="","",DEGREES(ATAN2(-AF19,AE19)))</f>
        <v>-37.63308435827355</v>
      </c>
      <c r="AH19" s="603">
        <f>IF(M19="","",DEGREES(ACOS(AD19)))</f>
        <v>103.35752541808722</v>
      </c>
      <c r="AI19" s="585">
        <f>IF(M19="","",DEGREES(-ACOS(-AF19)))</f>
        <v>-39.6</v>
      </c>
      <c r="AJ19" s="586">
        <f>IF(M19="","",DEGREES(ATAN2(-AE19,AD19)))</f>
        <v>-21.249999999999993</v>
      </c>
      <c r="AK19" s="635">
        <f>IF(M19="","",(COS(RADIANS((90-$Q$8)-W19))*AD19)+(-SIN(RADIANS((90-$Q$8)-W19))*AE19))</f>
        <v>-2.3638335840977243E-3</v>
      </c>
      <c r="AL19" s="629">
        <f>IF(M19="","",(SIN(RADIANS((90-$Q$8)-W19))*AD19)+(COS(RADIANS((90-$Q$8)-W19))*AE19))</f>
        <v>-0.63741960669399289</v>
      </c>
      <c r="AM19" s="634">
        <f>IF(M19="","",AF19)</f>
        <v>-0.77051324277578914</v>
      </c>
      <c r="AN19" s="581">
        <f>IF(M19="","",DEGREES(ATAN2(-AM19,AL19)))</f>
        <v>-39.599806500056118</v>
      </c>
      <c r="AO19" s="582">
        <f t="shared" si="94"/>
        <v>90.135437813971478</v>
      </c>
      <c r="AP19" s="585">
        <f>IF(M19="","",DEGREES(ATAN2(AK19,AL19)))</f>
        <v>-90.212477096016627</v>
      </c>
      <c r="AQ19" s="586">
        <f t="shared" si="9"/>
        <v>0.66576363496241719</v>
      </c>
      <c r="AS19" s="52">
        <f t="shared" si="116"/>
        <v>-21.414220762219827</v>
      </c>
      <c r="AT19" s="72">
        <f t="shared" si="10"/>
        <v>-0.47249905485786697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1.216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1.1160000000000001</v>
      </c>
      <c r="II19" s="734" cm="1">
        <f t="array" ref="II19">IFERROR(ROUND(VALUE(IF($IH19&lt;1,$IH19+LARGE((IF($M$9:$M$150="",0,$M$9:$M$150)-MOD(IF($M$9:$M$150="",0,$M$9:$M$150),1)),1),$IH19)),4),"")</f>
        <v>1.1160000000000001</v>
      </c>
      <c r="IJ19" s="533">
        <f t="shared" si="112"/>
        <v>1313</v>
      </c>
      <c r="IK19" s="533" t="str">
        <f t="shared" si="66"/>
        <v>Undefined</v>
      </c>
      <c r="IL19" s="727">
        <f t="shared" si="225"/>
        <v>18.089829004324201</v>
      </c>
      <c r="IM19" s="759">
        <v>3.8151203946562898E-3</v>
      </c>
      <c r="IN19" s="5">
        <f t="shared" si="226"/>
        <v>0.06</v>
      </c>
      <c r="IO19" s="771">
        <v>30</v>
      </c>
      <c r="IP19" s="9">
        <f t="shared" si="227"/>
        <v>-3.3077765296343706</v>
      </c>
      <c r="IQ19" s="5">
        <f t="shared" si="228"/>
        <v>-0.63500000000000001</v>
      </c>
      <c r="IR19" s="5">
        <f t="shared" si="71"/>
        <v>0.26600000000000001</v>
      </c>
      <c r="IS19" s="5">
        <f t="shared" si="229"/>
        <v>-0.24962806624386916</v>
      </c>
      <c r="IT19" s="727">
        <f t="shared" si="230"/>
        <v>-139.72481607536793</v>
      </c>
      <c r="IU19" s="9">
        <f t="shared" si="231"/>
        <v>-3.4240741145677211</v>
      </c>
      <c r="IV19" s="5">
        <f t="shared" si="232"/>
        <v>-0.48968120241248619</v>
      </c>
      <c r="IW19" s="5">
        <f t="shared" si="76"/>
        <v>0.19500000000000001</v>
      </c>
      <c r="IX19" s="5">
        <f t="shared" si="233"/>
        <v>-4.6094754889906359E-4</v>
      </c>
      <c r="IY19" s="762">
        <f t="shared" si="234"/>
        <v>39.599806500056118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2.1767049324731897</v>
      </c>
      <c r="C20" s="708">
        <v>1.0141622672814388</v>
      </c>
      <c r="D20" s="709">
        <v>-6.7300000000000124E-2</v>
      </c>
      <c r="E20" s="710">
        <v>0.38705885397932255</v>
      </c>
      <c r="F20" s="708">
        <v>-0.88511793352704415</v>
      </c>
      <c r="G20" s="711">
        <v>-0.25836347904653356</v>
      </c>
      <c r="H20" s="710">
        <v>0.26600000000000001</v>
      </c>
      <c r="I20" s="708">
        <v>0.52</v>
      </c>
      <c r="J20" s="570">
        <v>2.1110000000000002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0</v>
      </c>
      <c r="M20" s="168">
        <f t="shared" si="1"/>
        <v>2.1110000000000002</v>
      </c>
      <c r="N20" s="632">
        <f t="shared" si="2"/>
        <v>2.1767049324731897</v>
      </c>
      <c r="O20" s="629">
        <f t="shared" si="3"/>
        <v>1.0141622672814388</v>
      </c>
      <c r="P20" s="633">
        <f t="shared" si="4"/>
        <v>-6.7300000000000124E-2</v>
      </c>
      <c r="Q20" s="585">
        <f t="shared" si="113"/>
        <v>24.981578098195971</v>
      </c>
      <c r="R20" s="629">
        <f>IF(M20="","",SQRT(N20^2+O20^2))</f>
        <v>2.4013682490260719</v>
      </c>
      <c r="S20" s="634">
        <f>IF(M20="","",P20)</f>
        <v>-6.7300000000000124E-2</v>
      </c>
      <c r="T20" s="635">
        <f>IF(M20="","",X20*COS(RADIANS(W20)))</f>
        <v>0.99982944833690834</v>
      </c>
      <c r="U20" s="629">
        <f>IF(M20="","",X20*SIN(RADIANS(W20)))</f>
        <v>-2.1833255693251195</v>
      </c>
      <c r="V20" s="636">
        <f>IF(M20="","",Y20)</f>
        <v>-6.7300000000000124E-2</v>
      </c>
      <c r="W20" s="585">
        <f t="shared" si="224"/>
        <v>294.60488023995953</v>
      </c>
      <c r="X20" s="629">
        <f>IF(M20="","",R20)</f>
        <v>2.4013682490260719</v>
      </c>
      <c r="Y20" s="630">
        <f t="shared" si="223"/>
        <v>-6.7300000000000124E-2</v>
      </c>
      <c r="Z20" s="632">
        <f t="shared" si="6"/>
        <v>-0.38705885397932255</v>
      </c>
      <c r="AA20" s="629">
        <f t="shared" si="7"/>
        <v>0.88511793352704415</v>
      </c>
      <c r="AB20" s="629">
        <f t="shared" si="8"/>
        <v>0.25836347904653356</v>
      </c>
      <c r="AC20" s="636">
        <f>IF(M20="","",SQRT(Z20^2+AA20^2+AB20^2))</f>
        <v>1</v>
      </c>
      <c r="AD20" s="637">
        <f>IF(M20="","",Z20*(1/SQRT(Z20^2+AA20^2+AB20^2)))</f>
        <v>-0.38705885397932255</v>
      </c>
      <c r="AE20" s="629">
        <f>IF(M20="","",AA20*(1/SQRT(Z20^2+AA20^2+AB20^2)))</f>
        <v>0.88511793352704415</v>
      </c>
      <c r="AF20" s="633">
        <f>IF(M20="","",AB20*(1/SQRT(Z20^2+AA20^2+AB20^2)))</f>
        <v>0.25836347904653356</v>
      </c>
      <c r="AG20" s="602">
        <f>IF(M20="","",DEGREES(ATAN2(-AF20,AE20)))</f>
        <v>106.2723789310658</v>
      </c>
      <c r="AH20" s="603">
        <f>IF(M20="","",DEGREES(ACOS(AD20)))</f>
        <v>112.7716160477718</v>
      </c>
      <c r="AI20" s="585">
        <f>IF(M20="","",DEGREES(-ACOS(-AF20)))</f>
        <v>-104.97297891468853</v>
      </c>
      <c r="AJ20" s="586">
        <f>IF(M20="","",DEGREES(ATAN2(-AE20,AD20)))</f>
        <v>-156.38041604025227</v>
      </c>
      <c r="AK20" s="635">
        <f>IF(M20="","",(COS(RADIANS((90-$Q$8)-W20))*AD20)+(-SIN(RADIANS((90-$Q$8)-W20))*AE20))</f>
        <v>-0.96577484839837224</v>
      </c>
      <c r="AL20" s="629">
        <f>IF(M20="","",(SIN(RADIANS((90-$Q$8)-W20))*AD20)+(COS(RADIANS((90-$Q$8)-W20))*AE20))</f>
        <v>2.2962031619015999E-2</v>
      </c>
      <c r="AM20" s="634">
        <f>IF(M20="","",AF20)</f>
        <v>0.25836347904653356</v>
      </c>
      <c r="AN20" s="581">
        <f>IF(M20="","",DEGREES(ATAN2(-AM20,AL20)))</f>
        <v>174.92118664582335</v>
      </c>
      <c r="AO20" s="582">
        <f t="shared" si="94"/>
        <v>164.96661373673771</v>
      </c>
      <c r="AP20" s="585">
        <f>IF(M20="","",DEGREES(ATAN2(AK20,AL20)))</f>
        <v>178.63800586155173</v>
      </c>
      <c r="AQ20" s="586">
        <f t="shared" si="9"/>
        <v>0.94925800873494826</v>
      </c>
      <c r="AS20" s="52">
        <f t="shared" si="116"/>
        <v>-65.395119760040473</v>
      </c>
      <c r="AT20" s="72">
        <f t="shared" si="10"/>
        <v>-1.9575561474672112E-2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2.1110000000000002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2.7636296433160816</v>
      </c>
      <c r="C21" s="708">
        <v>1.1846839192848946</v>
      </c>
      <c r="D21" s="709">
        <v>-0.3287000000000001</v>
      </c>
      <c r="E21" s="710">
        <v>0.26495744008229721</v>
      </c>
      <c r="F21" s="708">
        <v>-0.93653229417165462</v>
      </c>
      <c r="G21" s="711">
        <v>-0.22957529683877861</v>
      </c>
      <c r="H21" s="710">
        <v>0.26600000000000001</v>
      </c>
      <c r="I21" s="708">
        <v>0.52</v>
      </c>
      <c r="J21" s="570">
        <v>2.1139999999999999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2.1139999999999999</v>
      </c>
      <c r="N21" s="632">
        <f t="shared" si="2"/>
        <v>2.7636296433160816</v>
      </c>
      <c r="O21" s="629">
        <f t="shared" si="3"/>
        <v>1.1846839192848946</v>
      </c>
      <c r="P21" s="633">
        <f t="shared" si="4"/>
        <v>-0.3287000000000001</v>
      </c>
      <c r="Q21" s="585">
        <f t="shared" si="113"/>
        <v>23.203340683730012</v>
      </c>
      <c r="R21" s="629">
        <f>IF(M21="","",SQRT(N21^2+O21^2))</f>
        <v>3.0068463203209421</v>
      </c>
      <c r="S21" s="634">
        <f>IF(M21="","",P21)</f>
        <v>-0.3287000000000001</v>
      </c>
      <c r="T21" s="635">
        <f>IF(M21="","",X21*COS(RADIANS(W21)))</f>
        <v>1.1664886369864529</v>
      </c>
      <c r="U21" s="629">
        <f>IF(M21="","",X21*SIN(RADIANS(W21)))</f>
        <v>-2.771358701757872</v>
      </c>
      <c r="V21" s="636">
        <f>IF(M21="","",Y21)</f>
        <v>-0.3287000000000001</v>
      </c>
      <c r="W21" s="585">
        <f t="shared" si="224"/>
        <v>292.82664282549354</v>
      </c>
      <c r="X21" s="629">
        <f>IF(M21="","",R21)</f>
        <v>3.0068463203209421</v>
      </c>
      <c r="Y21" s="630">
        <f t="shared" si="223"/>
        <v>-0.3287000000000001</v>
      </c>
      <c r="Z21" s="632">
        <f t="shared" si="6"/>
        <v>-0.26495744008229721</v>
      </c>
      <c r="AA21" s="629">
        <f t="shared" si="7"/>
        <v>0.93653229417165462</v>
      </c>
      <c r="AB21" s="629">
        <f t="shared" si="8"/>
        <v>0.22957529683877861</v>
      </c>
      <c r="AC21" s="636">
        <f>IF(M21="","",SQRT(Z21^2+AA21^2+AB21^2))</f>
        <v>1</v>
      </c>
      <c r="AD21" s="637">
        <f>IF(M21="","",Z21*(1/SQRT(Z21^2+AA21^2+AB21^2)))</f>
        <v>-0.26495744008229721</v>
      </c>
      <c r="AE21" s="629">
        <f>IF(M21="","",AA21*(1/SQRT(Z21^2+AA21^2+AB21^2)))</f>
        <v>0.93653229417165462</v>
      </c>
      <c r="AF21" s="633">
        <f>IF(M21="","",AB21*(1/SQRT(Z21^2+AA21^2+AB21^2)))</f>
        <v>0.22957529683877861</v>
      </c>
      <c r="AG21" s="602">
        <f>IF(M21="","",DEGREES(ATAN2(-AF21,AE21)))</f>
        <v>103.77350810573294</v>
      </c>
      <c r="AH21" s="603">
        <f>IF(M21="","",DEGREES(ACOS(AD21)))</f>
        <v>105.36442389667538</v>
      </c>
      <c r="AI21" s="585">
        <f>IF(M21="","",DEGREES(-ACOS(-AF21)))</f>
        <v>-103.27206899440382</v>
      </c>
      <c r="AJ21" s="586">
        <f>IF(M21="","",DEGREES(ATAN2(-AE21,AD21)))</f>
        <v>-164.2030863394404</v>
      </c>
      <c r="AK21" s="635">
        <f>IF(M21="","",(COS(RADIANS((90-$Q$8)-W21))*AD21)+(-SIN(RADIANS((90-$Q$8)-W21))*AE21))</f>
        <v>-0.96517045418743785</v>
      </c>
      <c r="AL21" s="629">
        <f>IF(M21="","",(SIN(RADIANS((90-$Q$8)-W21))*AD21)+(COS(RADIANS((90-$Q$8)-W21))*AE21))</f>
        <v>0.12546384915584943</v>
      </c>
      <c r="AM21" s="634">
        <f>IF(M21="","",AF21)</f>
        <v>0.22957529683877861</v>
      </c>
      <c r="AN21" s="581">
        <f>IF(M21="","",DEGREES(ATAN2(-AM21,AL21)))</f>
        <v>151.34321309455854</v>
      </c>
      <c r="AO21" s="582">
        <f>IF(ROUND(IF(M21="",0,DEGREES(ACOS(AK21))),4)=90,0,IF(M21="","",DEGREES(ACOS(AK21))))</f>
        <v>164.83368100743266</v>
      </c>
      <c r="AP21" s="585">
        <f>IF(M21="","",DEGREES(ATAN2(AK21,AL21)))</f>
        <v>172.59357297682959</v>
      </c>
      <c r="AQ21" s="586">
        <f t="shared" si="9"/>
        <v>0.75813438382424791</v>
      </c>
      <c r="AS21" s="52">
        <f t="shared" si="116"/>
        <v>-67.173357174506464</v>
      </c>
      <c r="AT21" s="72">
        <f t="shared" si="10"/>
        <v>-0.27974067438129291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2.1139999999999999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3.1842292923435767</v>
      </c>
      <c r="C22" s="708">
        <v>1.2589998343902611</v>
      </c>
      <c r="D22" s="709">
        <v>-0.82630000000000015</v>
      </c>
      <c r="E22" s="710">
        <v>0.11106198361473053</v>
      </c>
      <c r="F22" s="708">
        <v>-0.96510186347785809</v>
      </c>
      <c r="G22" s="711">
        <v>-0.23715739268917432</v>
      </c>
      <c r="H22" s="710">
        <v>0.26600000000000001</v>
      </c>
      <c r="I22" s="708">
        <v>0.52</v>
      </c>
      <c r="J22" s="570">
        <v>2.117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>
        <f>IF($L21=$JH$22,$JH$30,IF($L21=$JI$22,$JI$30,""))</f>
        <v>0</v>
      </c>
      <c r="M22" s="168">
        <f t="shared" si="1"/>
        <v>2.117</v>
      </c>
      <c r="N22" s="632">
        <f t="shared" si="2"/>
        <v>3.1842292923435767</v>
      </c>
      <c r="O22" s="629">
        <f t="shared" si="3"/>
        <v>1.2589998343902611</v>
      </c>
      <c r="P22" s="633">
        <f t="shared" si="4"/>
        <v>-0.82630000000000015</v>
      </c>
      <c r="Q22" s="585">
        <f t="shared" si="113"/>
        <v>21.573150974885113</v>
      </c>
      <c r="R22" s="629">
        <f t="shared" si="79"/>
        <v>3.424090648509992</v>
      </c>
      <c r="S22" s="634">
        <f t="shared" si="80"/>
        <v>-0.82630000000000015</v>
      </c>
      <c r="T22" s="635">
        <f t="shared" si="81"/>
        <v>1.2380376838583158</v>
      </c>
      <c r="U22" s="629">
        <f t="shared" si="82"/>
        <v>-3.1924378557084419</v>
      </c>
      <c r="V22" s="636">
        <f t="shared" si="114"/>
        <v>-0.82630000000000015</v>
      </c>
      <c r="W22" s="585">
        <f t="shared" si="224"/>
        <v>291.19645311664863</v>
      </c>
      <c r="X22" s="629">
        <f t="shared" si="83"/>
        <v>3.424090648509992</v>
      </c>
      <c r="Y22" s="630">
        <f t="shared" si="223"/>
        <v>-0.82630000000000015</v>
      </c>
      <c r="Z22" s="632">
        <f t="shared" si="6"/>
        <v>-0.11106198361473053</v>
      </c>
      <c r="AA22" s="629">
        <f t="shared" si="7"/>
        <v>0.96510186347785809</v>
      </c>
      <c r="AB22" s="629">
        <f t="shared" si="8"/>
        <v>0.23715739268917432</v>
      </c>
      <c r="AC22" s="636">
        <f t="shared" si="84"/>
        <v>1</v>
      </c>
      <c r="AD22" s="637">
        <f t="shared" si="115"/>
        <v>-0.11106198361473053</v>
      </c>
      <c r="AE22" s="629">
        <f t="shared" si="85"/>
        <v>0.96510186347785809</v>
      </c>
      <c r="AF22" s="633">
        <f t="shared" si="86"/>
        <v>0.23715739268917432</v>
      </c>
      <c r="AG22" s="602">
        <f t="shared" si="87"/>
        <v>103.80591452790131</v>
      </c>
      <c r="AH22" s="603">
        <f t="shared" si="88"/>
        <v>96.376537880214727</v>
      </c>
      <c r="AI22" s="585">
        <f t="shared" si="89"/>
        <v>-103.7188278870988</v>
      </c>
      <c r="AJ22" s="586">
        <f t="shared" si="90"/>
        <v>-173.43539340538311</v>
      </c>
      <c r="AK22" s="635">
        <f t="shared" si="211"/>
        <v>-0.93833165432045107</v>
      </c>
      <c r="AL22" s="629">
        <f t="shared" si="91"/>
        <v>0.25157519272201428</v>
      </c>
      <c r="AM22" s="634">
        <f t="shared" si="92"/>
        <v>0.23715739268917432</v>
      </c>
      <c r="AN22" s="581">
        <f t="shared" si="93"/>
        <v>133.31024244464547</v>
      </c>
      <c r="AO22" s="582">
        <f t="shared" si="94"/>
        <v>159.77324090741698</v>
      </c>
      <c r="AP22" s="585">
        <f t="shared" si="95"/>
        <v>164.99145561973177</v>
      </c>
      <c r="AQ22" s="586">
        <f t="shared" si="9"/>
        <v>0.66576042047196182</v>
      </c>
      <c r="AS22" s="52">
        <f t="shared" si="116"/>
        <v>-68.803546883351373</v>
      </c>
      <c r="AT22" s="72">
        <f t="shared" si="10"/>
        <v>-0.77620859819459509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2.117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3.3408109577664167</v>
      </c>
      <c r="C23" s="708">
        <v>1.2769565059473666</v>
      </c>
      <c r="D23" s="709">
        <v>-1.4614000000000003</v>
      </c>
      <c r="E23" s="710">
        <v>-3.9311600685384571E-2</v>
      </c>
      <c r="F23" s="708">
        <v>-0.98313499841231822</v>
      </c>
      <c r="G23" s="711">
        <v>-0.17860619515673043</v>
      </c>
      <c r="H23" s="710">
        <v>0.26600000000000001</v>
      </c>
      <c r="I23" s="708">
        <v>0.52</v>
      </c>
      <c r="J23" s="570">
        <v>2.12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2.12</v>
      </c>
      <c r="N23" s="632">
        <f t="shared" si="2"/>
        <v>3.3408109577664167</v>
      </c>
      <c r="O23" s="629">
        <f t="shared" si="3"/>
        <v>1.2769565059473666</v>
      </c>
      <c r="P23" s="633">
        <f t="shared" si="4"/>
        <v>-1.4614000000000003</v>
      </c>
      <c r="Q23" s="585">
        <f t="shared" si="113"/>
        <v>20.918330989322548</v>
      </c>
      <c r="R23" s="629">
        <f t="shared" si="79"/>
        <v>3.5765396368016766</v>
      </c>
      <c r="S23" s="634">
        <f t="shared" si="80"/>
        <v>-1.4614000000000003</v>
      </c>
      <c r="T23" s="635">
        <f t="shared" si="81"/>
        <v>1.2549645101172928</v>
      </c>
      <c r="U23" s="629">
        <f t="shared" si="82"/>
        <v>-3.3491341943791282</v>
      </c>
      <c r="V23" s="636">
        <f t="shared" si="114"/>
        <v>-1.4614000000000003</v>
      </c>
      <c r="W23" s="585">
        <f t="shared" si="224"/>
        <v>290.54163313108609</v>
      </c>
      <c r="X23" s="629">
        <f t="shared" si="83"/>
        <v>3.5765396368016766</v>
      </c>
      <c r="Y23" s="630">
        <f t="shared" si="223"/>
        <v>-1.4614000000000003</v>
      </c>
      <c r="Z23" s="632">
        <f t="shared" si="6"/>
        <v>3.9311600685384571E-2</v>
      </c>
      <c r="AA23" s="629">
        <f t="shared" si="7"/>
        <v>0.98313499841231822</v>
      </c>
      <c r="AB23" s="629">
        <f t="shared" si="8"/>
        <v>0.17860619515673043</v>
      </c>
      <c r="AC23" s="636">
        <f t="shared" si="84"/>
        <v>1</v>
      </c>
      <c r="AD23" s="637">
        <f t="shared" si="115"/>
        <v>3.9311600685384571E-2</v>
      </c>
      <c r="AE23" s="629">
        <f t="shared" si="85"/>
        <v>0.98313499841231822</v>
      </c>
      <c r="AF23" s="633">
        <f t="shared" si="86"/>
        <v>0.17860619515673043</v>
      </c>
      <c r="AG23" s="602">
        <f t="shared" si="87"/>
        <v>100.29663113259238</v>
      </c>
      <c r="AH23" s="603">
        <f t="shared" si="88"/>
        <v>87.747030649996361</v>
      </c>
      <c r="AI23" s="585">
        <f t="shared" si="89"/>
        <v>-100.28858513676252</v>
      </c>
      <c r="AJ23" s="586">
        <f t="shared" si="90"/>
        <v>177.71019287485632</v>
      </c>
      <c r="AK23" s="635">
        <f t="shared" si="211"/>
        <v>-0.90430116812500416</v>
      </c>
      <c r="AL23" s="629">
        <f t="shared" si="91"/>
        <v>0.38773602409292457</v>
      </c>
      <c r="AM23" s="634">
        <f t="shared" si="92"/>
        <v>0.17860619515673043</v>
      </c>
      <c r="AN23" s="581">
        <f t="shared" si="93"/>
        <v>114.73262381748881</v>
      </c>
      <c r="AO23" s="582">
        <f t="shared" si="94"/>
        <v>154.72932601017854</v>
      </c>
      <c r="AP23" s="585">
        <f t="shared" si="95"/>
        <v>156.79186188553373</v>
      </c>
      <c r="AQ23" s="586">
        <f t="shared" si="9"/>
        <v>0.637384964547136</v>
      </c>
      <c r="AS23" s="52">
        <f t="shared" si="116"/>
        <v>-69.458366868913913</v>
      </c>
      <c r="AT23" s="72">
        <f t="shared" si="10"/>
        <v>-1.41085386209351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Undefined</v>
      </c>
      <c r="JB23" s="859" cm="1">
        <f t="array" ref="JB23">IF($JA23="","",COUNT(IF(IF($II$9:$II$150&lt;&gt;"",$IK$9:$IK$150,"")=$JA23,$IG$9:$IG$150,"")))</f>
        <v>15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3</v>
      </c>
      <c r="JG23" s="801">
        <v>12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0</v>
      </c>
      <c r="JI23" s="801">
        <v>0</v>
      </c>
    </row>
    <row r="24" spans="1:269" ht="15" customHeight="1" x14ac:dyDescent="0.25">
      <c r="A24" s="79"/>
      <c r="B24" s="707">
        <v>3.4053933345339473</v>
      </c>
      <c r="C24" s="708">
        <v>1.282797448598743</v>
      </c>
      <c r="D24" s="709">
        <v>-2.1055000000000001</v>
      </c>
      <c r="E24" s="710">
        <v>-0.12370688185368521</v>
      </c>
      <c r="F24" s="708">
        <v>-0.9695592083998047</v>
      </c>
      <c r="G24" s="711">
        <v>-0.21130913087034967</v>
      </c>
      <c r="H24" s="710">
        <v>0.26600000000000001</v>
      </c>
      <c r="I24" s="708">
        <v>0.52</v>
      </c>
      <c r="J24" s="570">
        <v>2.1230000000000002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2.1230000000000002</v>
      </c>
      <c r="N24" s="632">
        <f t="shared" si="2"/>
        <v>3.4053933345339473</v>
      </c>
      <c r="O24" s="629">
        <f t="shared" si="3"/>
        <v>1.282797448598743</v>
      </c>
      <c r="P24" s="633">
        <f t="shared" si="4"/>
        <v>-2.1055000000000001</v>
      </c>
      <c r="Q24" s="585">
        <f t="shared" si="113"/>
        <v>20.641182185510687</v>
      </c>
      <c r="R24" s="629">
        <f t="shared" si="79"/>
        <v>3.6389934126100973</v>
      </c>
      <c r="S24" s="634">
        <f t="shared" si="80"/>
        <v>-2.1055000000000001</v>
      </c>
      <c r="T24" s="635">
        <f t="shared" si="81"/>
        <v>1.2603807251378945</v>
      </c>
      <c r="U24" s="629">
        <f t="shared" si="82"/>
        <v>-3.4137535770351901</v>
      </c>
      <c r="V24" s="636">
        <f t="shared" si="114"/>
        <v>-2.1055000000000001</v>
      </c>
      <c r="W24" s="585">
        <f t="shared" si="224"/>
        <v>290.2644843272742</v>
      </c>
      <c r="X24" s="629">
        <f t="shared" si="83"/>
        <v>3.6389934126100973</v>
      </c>
      <c r="Y24" s="630">
        <f t="shared" si="223"/>
        <v>-2.1055000000000001</v>
      </c>
      <c r="Z24" s="632">
        <f t="shared" si="6"/>
        <v>0.12370688185368521</v>
      </c>
      <c r="AA24" s="629">
        <f t="shared" si="7"/>
        <v>0.9695592083998047</v>
      </c>
      <c r="AB24" s="629">
        <f t="shared" si="8"/>
        <v>0.21130913087034967</v>
      </c>
      <c r="AC24" s="636">
        <f t="shared" si="84"/>
        <v>1</v>
      </c>
      <c r="AD24" s="637">
        <f t="shared" si="115"/>
        <v>0.12370688185368521</v>
      </c>
      <c r="AE24" s="629">
        <f t="shared" si="85"/>
        <v>0.9695592083998047</v>
      </c>
      <c r="AF24" s="633">
        <f t="shared" si="86"/>
        <v>0.21130913087034967</v>
      </c>
      <c r="AG24" s="602">
        <f t="shared" si="87"/>
        <v>102.29498121304449</v>
      </c>
      <c r="AH24" s="603">
        <f t="shared" si="88"/>
        <v>82.893914024272348</v>
      </c>
      <c r="AI24" s="585">
        <f t="shared" si="89"/>
        <v>-102.19908169044881</v>
      </c>
      <c r="AJ24" s="586">
        <f t="shared" si="90"/>
        <v>172.72886965244211</v>
      </c>
      <c r="AK24" s="635">
        <f>IF(M24="","",(COS(RADIANS((90-$Q$8)-W24))*AD24)+(-SIN(RADIANS((90-$Q$8)-W24))*AE24))</f>
        <v>-0.86371126213452576</v>
      </c>
      <c r="AL24" s="629">
        <f t="shared" si="91"/>
        <v>0.45754923983414314</v>
      </c>
      <c r="AM24" s="634">
        <f t="shared" si="92"/>
        <v>0.21130913087034967</v>
      </c>
      <c r="AN24" s="581">
        <f t="shared" si="93"/>
        <v>114.78882345757953</v>
      </c>
      <c r="AO24" s="582">
        <f t="shared" si="94"/>
        <v>149.73587243612872</v>
      </c>
      <c r="AP24" s="585">
        <f t="shared" si="95"/>
        <v>152.08768746693141</v>
      </c>
      <c r="AQ24" s="586">
        <f t="shared" si="9"/>
        <v>0.62644680305154754</v>
      </c>
      <c r="AS24" s="52">
        <f t="shared" si="116"/>
        <v>-69.735515672725796</v>
      </c>
      <c r="AT24" s="72">
        <f t="shared" si="10"/>
        <v>-2.0547613976464185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2.1230000000000002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3.0873735718533304</v>
      </c>
      <c r="C25" s="708">
        <v>0.18020460446103181</v>
      </c>
      <c r="D25" s="709">
        <v>-0.15520068103033979</v>
      </c>
      <c r="E25" s="710">
        <v>0.46107292278745637</v>
      </c>
      <c r="F25" s="708">
        <v>2.4970816901116678E-2</v>
      </c>
      <c r="G25" s="711">
        <v>0.88701083317822182</v>
      </c>
      <c r="H25" s="710">
        <v>0.19500000000000001</v>
      </c>
      <c r="I25" s="708">
        <v>0.438</v>
      </c>
      <c r="J25" s="570">
        <v>2.214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Undefined</v>
      </c>
      <c r="L25" s="320"/>
      <c r="M25" s="168">
        <f t="shared" si="1"/>
        <v>2.214</v>
      </c>
      <c r="N25" s="632">
        <f t="shared" si="2"/>
        <v>3.0873735718533304</v>
      </c>
      <c r="O25" s="629">
        <f t="shared" si="3"/>
        <v>0.18020460446103181</v>
      </c>
      <c r="P25" s="633">
        <f t="shared" si="4"/>
        <v>-0.15520068103033979</v>
      </c>
      <c r="Q25" s="585">
        <f t="shared" si="113"/>
        <v>3.3404645544075167</v>
      </c>
      <c r="R25" s="629">
        <f>IF(M25="","",SQRT(N25^2+O25^2))</f>
        <v>3.0926282142616737</v>
      </c>
      <c r="S25" s="634">
        <f>IF(M25="","",P25)</f>
        <v>-0.15520068103033979</v>
      </c>
      <c r="T25" s="635">
        <f>IF(M25="","",X25*COS(RADIANS(W25)))</f>
        <v>0.15990255439818316</v>
      </c>
      <c r="U25" s="629">
        <f>IF(M25="","",X25*SIN(RADIANS(W25)))</f>
        <v>-3.0884916131898894</v>
      </c>
      <c r="V25" s="636">
        <f>IF(M25="","",Y25)</f>
        <v>-0.15520068103033979</v>
      </c>
      <c r="W25" s="585">
        <f t="shared" si="224"/>
        <v>272.96376669617104</v>
      </c>
      <c r="X25" s="629">
        <f>IF(M25="","",R25)</f>
        <v>3.0926282142616737</v>
      </c>
      <c r="Y25" s="630">
        <f t="shared" si="223"/>
        <v>-0.15520068103033979</v>
      </c>
      <c r="Z25" s="632">
        <f t="shared" si="6"/>
        <v>-0.46107292278745637</v>
      </c>
      <c r="AA25" s="629">
        <f t="shared" si="7"/>
        <v>-2.4970816901116678E-2</v>
      </c>
      <c r="AB25" s="629">
        <f t="shared" si="8"/>
        <v>-0.88701083317822182</v>
      </c>
      <c r="AC25" s="636">
        <f>IF(M25="","",SQRT(Z25^2+AA25^2+AB25^2))</f>
        <v>1</v>
      </c>
      <c r="AD25" s="637">
        <f>IF(M25="","",Z25*(1/SQRT(Z25^2+AA25^2+AB25^2)))</f>
        <v>-0.46107292278745637</v>
      </c>
      <c r="AE25" s="629">
        <f>IF(M25="","",AA25*(1/SQRT(Z25^2+AA25^2+AB25^2)))</f>
        <v>-2.4970816901116678E-2</v>
      </c>
      <c r="AF25" s="633">
        <f>IF(M25="","",AB25*(1/SQRT(Z25^2+AA25^2+AB25^2)))</f>
        <v>-0.88701083317822182</v>
      </c>
      <c r="AG25" s="602">
        <f>IF(M25="","",DEGREES(ATAN2(-AF25,AE25)))</f>
        <v>-1.6125447278431848</v>
      </c>
      <c r="AH25" s="603">
        <f>IF(M25="","",DEGREES(ACOS(AD25)))</f>
        <v>117.45636294369629</v>
      </c>
      <c r="AI25" s="585">
        <f>IF(M25="","",DEGREES(-ACOS(-AF25)))</f>
        <v>-27.499999999999982</v>
      </c>
      <c r="AJ25" s="586">
        <f>IF(M25="","",DEGREES(ATAN2(-AE25,AD25)))</f>
        <v>-86.90000000000002</v>
      </c>
      <c r="AK25" s="635">
        <f>IF(M25="","",(COS(RADIANS((90-$Q$8)-W25))*AD25)+(-SIN(RADIANS((90-$Q$8)-W25))*AE25))</f>
        <v>-1.9379062387361798E-3</v>
      </c>
      <c r="AL25" s="629">
        <f>IF(M25="","",(SIN(RADIANS((90-$Q$8)-W25))*AD25)+(COS(RADIANS((90-$Q$8)-W25))*AE25))</f>
        <v>-0.46174454663145365</v>
      </c>
      <c r="AM25" s="634">
        <f>IF(M25="","",AF25)</f>
        <v>-0.88701083317822182</v>
      </c>
      <c r="AN25" s="581">
        <f>IF(M25="","",DEGREES(ATAN2(-AM25,AL25)))</f>
        <v>-27.499793326777791</v>
      </c>
      <c r="AO25" s="582">
        <f>IF(ROUND(IF(M25="",0,DEGREES(ACOS(AK25))),4)=90,0,IF(M25="","",DEGREES(ACOS(AK25))))</f>
        <v>90.111033918069353</v>
      </c>
      <c r="AP25" s="585">
        <f>IF(M25="","",DEGREES(ATAN2(AK25,AL25)))</f>
        <v>-90.240464554407509</v>
      </c>
      <c r="AQ25" s="586">
        <f t="shared" si="9"/>
        <v>0.73710795550856245</v>
      </c>
      <c r="AS25" s="52">
        <f t="shared" si="116"/>
        <v>-87.036233303828965</v>
      </c>
      <c r="AT25" s="72">
        <f t="shared" si="10"/>
        <v>-9.2447691432936435E-2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2.214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2.1139999999999999</v>
      </c>
      <c r="II25" s="734" cm="1">
        <f t="array" ref="II25">IFERROR(ROUND(VALUE(IF($IH25&lt;1,$IH25+LARGE((IF($M$9:$M$150="",0,$M$9:$M$150)-MOD(IF($M$9:$M$150="",0,$M$9:$M$150),1)),1),$IH25)),4),"")</f>
        <v>2.1139999999999999</v>
      </c>
      <c r="IJ25" s="533">
        <f t="shared" si="112"/>
        <v>1313</v>
      </c>
      <c r="IK25" s="533" t="str">
        <f t="shared" si="66"/>
        <v>Undefined</v>
      </c>
      <c r="IL25" s="727">
        <f t="shared" si="225"/>
        <v>19.862876129322501</v>
      </c>
      <c r="IM25" s="759">
        <v>1.5830932446524099E-3</v>
      </c>
      <c r="IN25" s="5">
        <f t="shared" si="226"/>
        <v>0</v>
      </c>
      <c r="IO25" s="771">
        <v>0</v>
      </c>
      <c r="IP25" s="9">
        <f t="shared" si="227"/>
        <v>-3.0068463203209421</v>
      </c>
      <c r="IQ25" s="5">
        <f t="shared" si="228"/>
        <v>-0.3287000000000001</v>
      </c>
      <c r="IR25" s="5">
        <f t="shared" si="71"/>
        <v>0.26600000000000001</v>
      </c>
      <c r="IS25" s="5">
        <f t="shared" si="229"/>
        <v>-0.25673534081385851</v>
      </c>
      <c r="IT25" s="727">
        <f t="shared" si="230"/>
        <v>-151.34321309455854</v>
      </c>
      <c r="IU25" s="9">
        <f t="shared" si="231"/>
        <v>-3.0926282142616737</v>
      </c>
      <c r="IV25" s="5">
        <f t="shared" si="232"/>
        <v>-0.15520068103033979</v>
      </c>
      <c r="IW25" s="5">
        <f t="shared" si="76"/>
        <v>0.19500000000000001</v>
      </c>
      <c r="IX25" s="5">
        <f t="shared" si="233"/>
        <v>-3.7789171655356008E-4</v>
      </c>
      <c r="IY25" s="762">
        <f t="shared" si="234"/>
        <v>27.499793326777791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3.5492863030439934</v>
      </c>
      <c r="C26" s="708">
        <v>0.21961650575922823</v>
      </c>
      <c r="D26" s="709">
        <v>-0.69552441518718189</v>
      </c>
      <c r="E26" s="710">
        <v>0.71933448945372447</v>
      </c>
      <c r="F26" s="708">
        <v>4.1854471996546801E-2</v>
      </c>
      <c r="G26" s="711">
        <v>0.69340182827581287</v>
      </c>
      <c r="H26" s="710">
        <v>0.19500000000000001</v>
      </c>
      <c r="I26" s="708">
        <v>0.438</v>
      </c>
      <c r="J26" s="570">
        <v>2.2170000000000001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Undefined</v>
      </c>
      <c r="L26" s="320"/>
      <c r="M26" s="168">
        <f t="shared" si="1"/>
        <v>2.2170000000000001</v>
      </c>
      <c r="N26" s="632">
        <f t="shared" si="2"/>
        <v>3.5492863030439934</v>
      </c>
      <c r="O26" s="629">
        <f t="shared" si="3"/>
        <v>0.21961650575922823</v>
      </c>
      <c r="P26" s="633">
        <f t="shared" si="4"/>
        <v>-0.69552441518718189</v>
      </c>
      <c r="Q26" s="585">
        <f t="shared" si="113"/>
        <v>3.5407334786635269</v>
      </c>
      <c r="R26" s="629">
        <f>IF(M26="","",SQRT(N26^2+O26^2))</f>
        <v>3.5560743342311607</v>
      </c>
      <c r="S26" s="634">
        <f>IF(M26="","",P26)</f>
        <v>-0.69552441518718189</v>
      </c>
      <c r="T26" s="635">
        <f>IF(M26="","",X26*COS(RADIANS(W26)))</f>
        <v>0.19627672606047417</v>
      </c>
      <c r="U26" s="629">
        <f>IF(M26="","",X26*SIN(RADIANS(W26)))</f>
        <v>-3.5506534775143255</v>
      </c>
      <c r="V26" s="636">
        <f>IF(M26="","",Y26)</f>
        <v>-0.69552441518718189</v>
      </c>
      <c r="W26" s="585">
        <f t="shared" si="224"/>
        <v>273.16403562042706</v>
      </c>
      <c r="X26" s="629">
        <f>IF(M26="","",R26)</f>
        <v>3.5560743342311607</v>
      </c>
      <c r="Y26" s="630">
        <f t="shared" si="223"/>
        <v>-0.69552441518718189</v>
      </c>
      <c r="Z26" s="632">
        <f t="shared" si="6"/>
        <v>-0.71933448945372447</v>
      </c>
      <c r="AA26" s="629">
        <f t="shared" si="7"/>
        <v>-4.1854471996546801E-2</v>
      </c>
      <c r="AB26" s="629">
        <f t="shared" si="8"/>
        <v>-0.69340182827581287</v>
      </c>
      <c r="AC26" s="636">
        <f>IF(M26="","",SQRT(Z26^2+AA26^2+AB26^2))</f>
        <v>1</v>
      </c>
      <c r="AD26" s="637">
        <f>IF(M26="","",Z26*(1/SQRT(Z26^2+AA26^2+AB26^2)))</f>
        <v>-0.71933448945372447</v>
      </c>
      <c r="AE26" s="629">
        <f>IF(M26="","",AA26*(1/SQRT(Z26^2+AA26^2+AB26^2)))</f>
        <v>-4.1854471996546801E-2</v>
      </c>
      <c r="AF26" s="633">
        <f>IF(M26="","",AB26*(1/SQRT(Z26^2+AA26^2+AB26^2)))</f>
        <v>-0.69340182827581287</v>
      </c>
      <c r="AG26" s="602">
        <f>IF(M26="","",DEGREES(ATAN2(-AF26,AE26)))</f>
        <v>-3.4542431409574665</v>
      </c>
      <c r="AH26" s="603">
        <f>IF(M26="","",DEGREES(ACOS(AD26)))</f>
        <v>135.99956195721495</v>
      </c>
      <c r="AI26" s="585">
        <f>IF(M26="","",DEGREES(-ACOS(-AF26)))</f>
        <v>-46.100000000000009</v>
      </c>
      <c r="AJ26" s="586">
        <f>IF(M26="","",DEGREES(ATAN2(-AE26,AD26)))</f>
        <v>-86.670000000000016</v>
      </c>
      <c r="AK26" s="635">
        <f>IF(M26="","",(COS(RADIANS((90-$Q$8)-W26))*AD26)+(-SIN(RADIANS((90-$Q$8)-W26))*AE26))</f>
        <v>-2.6501760035564162E-3</v>
      </c>
      <c r="AL26" s="629">
        <f>IF(M26="","",(SIN(RADIANS((90-$Q$8)-W26))*AD26)+(COS(RADIANS((90-$Q$8)-W26))*AE26))</f>
        <v>-0.72054623801037943</v>
      </c>
      <c r="AM26" s="634">
        <f>IF(M26="","",AF26)</f>
        <v>-0.69340182827581287</v>
      </c>
      <c r="AN26" s="581">
        <f>IF(M26="","",DEGREES(ATAN2(-AM26,AL26)))</f>
        <v>-46.09980637329501</v>
      </c>
      <c r="AO26" s="582">
        <f t="shared" si="94"/>
        <v>90.151844077715438</v>
      </c>
      <c r="AP26" s="585">
        <f>IF(M26="","",DEGREES(ATAN2(AK26,AL26)))</f>
        <v>-90.210733478663514</v>
      </c>
      <c r="AQ26" s="586">
        <f t="shared" si="9"/>
        <v>0.64105282676311304</v>
      </c>
      <c r="AS26" s="52">
        <f t="shared" si="116"/>
        <v>-86.835964379572943</v>
      </c>
      <c r="AT26" s="72">
        <f t="shared" si="10"/>
        <v>-0.63291050123162296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2.2170000000000001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2.117</v>
      </c>
      <c r="II26" s="734" cm="1">
        <f t="array" ref="II26">IFERROR(ROUND(VALUE(IF($IH26&lt;1,$IH26+LARGE((IF($M$9:$M$150="",0,$M$9:$M$150)-MOD(IF($M$9:$M$150="",0,$M$9:$M$150),1)),1),$IH26)),4),"")</f>
        <v>2.117</v>
      </c>
      <c r="IJ26" s="533">
        <f t="shared" si="112"/>
        <v>1313</v>
      </c>
      <c r="IK26" s="533" t="str">
        <f t="shared" si="66"/>
        <v>Undefined</v>
      </c>
      <c r="IL26" s="727">
        <f t="shared" si="225"/>
        <v>18.032417496221569</v>
      </c>
      <c r="IM26" s="759">
        <v>4.2243050618999698E-3</v>
      </c>
      <c r="IN26" s="5">
        <f t="shared" si="226"/>
        <v>0.06</v>
      </c>
      <c r="IO26" s="771">
        <v>30</v>
      </c>
      <c r="IP26" s="9">
        <f t="shared" si="227"/>
        <v>-3.424090648509992</v>
      </c>
      <c r="IQ26" s="5">
        <f t="shared" si="228"/>
        <v>-0.82630000000000015</v>
      </c>
      <c r="IR26" s="5">
        <f t="shared" si="71"/>
        <v>0.26600000000000001</v>
      </c>
      <c r="IS26" s="5">
        <f t="shared" si="229"/>
        <v>-0.24959622004923998</v>
      </c>
      <c r="IT26" s="727">
        <f t="shared" si="230"/>
        <v>-133.31024244464547</v>
      </c>
      <c r="IU26" s="9">
        <f t="shared" si="231"/>
        <v>-3.5560743342311607</v>
      </c>
      <c r="IV26" s="5">
        <f t="shared" si="232"/>
        <v>-0.69552441518718189</v>
      </c>
      <c r="IW26" s="5">
        <f t="shared" si="76"/>
        <v>0.19500000000000001</v>
      </c>
      <c r="IX26" s="5">
        <f t="shared" si="233"/>
        <v>-5.1678432069354079E-4</v>
      </c>
      <c r="IY26" s="762">
        <f t="shared" si="234"/>
        <v>46.09980637329501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0.60598932433719654</v>
      </c>
      <c r="C27" s="708">
        <v>-0.3283053249492302</v>
      </c>
      <c r="D27" s="709">
        <v>-0.38940000000000002</v>
      </c>
      <c r="E27" s="710">
        <v>-0.46984631039295466</v>
      </c>
      <c r="F27" s="708">
        <v>-0.81379768134937347</v>
      </c>
      <c r="G27" s="711">
        <v>-0.34202014332566866</v>
      </c>
      <c r="H27" s="710">
        <v>0.26600000000000001</v>
      </c>
      <c r="I27" s="708">
        <v>0.52</v>
      </c>
      <c r="J27" s="570">
        <v>3.1030000000000002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843"/>
      <c r="M27" s="168">
        <f t="shared" si="1"/>
        <v>3.1030000000000002</v>
      </c>
      <c r="N27" s="632">
        <f t="shared" si="2"/>
        <v>0.60598932433719654</v>
      </c>
      <c r="O27" s="629">
        <f t="shared" si="3"/>
        <v>-0.3283053249492302</v>
      </c>
      <c r="P27" s="633">
        <f t="shared" si="4"/>
        <v>-0.38940000000000002</v>
      </c>
      <c r="Q27" s="585">
        <f t="shared" si="113"/>
        <v>331.55260453194711</v>
      </c>
      <c r="R27" s="629">
        <f t="shared" si="79"/>
        <v>0.68920784064074003</v>
      </c>
      <c r="S27" s="634">
        <f t="shared" si="80"/>
        <v>-0.38940000000000002</v>
      </c>
      <c r="T27" s="635">
        <f t="shared" si="81"/>
        <v>-0.33228234894047248</v>
      </c>
      <c r="U27" s="629">
        <f t="shared" si="82"/>
        <v>-0.60381776073851434</v>
      </c>
      <c r="V27" s="636">
        <f t="shared" si="114"/>
        <v>-0.38940000000000002</v>
      </c>
      <c r="W27" s="585">
        <f t="shared" si="224"/>
        <v>241.17590667371064</v>
      </c>
      <c r="X27" s="629">
        <f t="shared" si="83"/>
        <v>0.68920784064074003</v>
      </c>
      <c r="Y27" s="630">
        <f t="shared" si="223"/>
        <v>-0.38940000000000002</v>
      </c>
      <c r="Z27" s="632">
        <f t="shared" si="6"/>
        <v>0.46984631039295466</v>
      </c>
      <c r="AA27" s="629">
        <f t="shared" si="7"/>
        <v>0.81379768134937347</v>
      </c>
      <c r="AB27" s="629">
        <f t="shared" si="8"/>
        <v>0.34202014332566866</v>
      </c>
      <c r="AC27" s="636">
        <f t="shared" si="84"/>
        <v>1</v>
      </c>
      <c r="AD27" s="637">
        <f t="shared" si="115"/>
        <v>0.46984631039295466</v>
      </c>
      <c r="AE27" s="629">
        <f t="shared" si="85"/>
        <v>0.81379768134937347</v>
      </c>
      <c r="AF27" s="633">
        <f t="shared" si="86"/>
        <v>0.34202014332566866</v>
      </c>
      <c r="AG27" s="602">
        <f t="shared" si="87"/>
        <v>112.79587725885847</v>
      </c>
      <c r="AH27" s="603">
        <f t="shared" si="88"/>
        <v>61.975679326395266</v>
      </c>
      <c r="AI27" s="585">
        <f t="shared" si="89"/>
        <v>-110</v>
      </c>
      <c r="AJ27" s="586">
        <f t="shared" si="90"/>
        <v>149.99999999999994</v>
      </c>
      <c r="AK27" s="635">
        <f t="shared" si="211"/>
        <v>-0.93934763144302347</v>
      </c>
      <c r="AL27" s="629">
        <f t="shared" si="91"/>
        <v>2.5460731762281807E-2</v>
      </c>
      <c r="AM27" s="634">
        <f t="shared" si="92"/>
        <v>0.34202014332566866</v>
      </c>
      <c r="AN27" s="581">
        <f t="shared" si="93"/>
        <v>175.74262883398615</v>
      </c>
      <c r="AO27" s="582">
        <f t="shared" si="94"/>
        <v>159.94228666633566</v>
      </c>
      <c r="AP27" s="585">
        <f t="shared" si="95"/>
        <v>178.44739546805286</v>
      </c>
      <c r="AQ27" s="586">
        <f t="shared" si="9"/>
        <v>3.3040816777713538</v>
      </c>
      <c r="AS27" s="52">
        <f t="shared" si="116"/>
        <v>-118.82409332628936</v>
      </c>
      <c r="AT27" s="72">
        <f t="shared" si="10"/>
        <v>-0.30457210760922138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1.1682996190144326</v>
      </c>
      <c r="C28" s="708">
        <v>-0.6529553249492307</v>
      </c>
      <c r="D28" s="709">
        <v>-0.21540000000000012</v>
      </c>
      <c r="E28" s="710">
        <v>-0.48296291314453466</v>
      </c>
      <c r="F28" s="708">
        <v>-0.83651630373780761</v>
      </c>
      <c r="G28" s="711">
        <v>-0.25881904510252079</v>
      </c>
      <c r="H28" s="710">
        <v>0.26600000000000001</v>
      </c>
      <c r="I28" s="708">
        <v>0.52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843"/>
      <c r="M28" s="168">
        <f t="shared" si="1"/>
        <v>3.1059999999999999</v>
      </c>
      <c r="N28" s="632">
        <f t="shared" si="2"/>
        <v>1.1682996190144326</v>
      </c>
      <c r="O28" s="629">
        <f t="shared" si="3"/>
        <v>-0.6529553249492307</v>
      </c>
      <c r="P28" s="633">
        <f t="shared" si="4"/>
        <v>-0.21540000000000012</v>
      </c>
      <c r="Q28" s="585">
        <f t="shared" si="113"/>
        <v>330.79944926623494</v>
      </c>
      <c r="R28" s="629">
        <f t="shared" si="79"/>
        <v>1.3383850926279863</v>
      </c>
      <c r="S28" s="634">
        <f t="shared" si="80"/>
        <v>-0.21540000000000012</v>
      </c>
      <c r="T28" s="635">
        <f t="shared" si="81"/>
        <v>-0.66062228107134846</v>
      </c>
      <c r="U28" s="629">
        <f t="shared" si="82"/>
        <v>-1.1639814680315628</v>
      </c>
      <c r="V28" s="636">
        <f t="shared" si="114"/>
        <v>-0.21540000000000012</v>
      </c>
      <c r="W28" s="585">
        <f t="shared" si="224"/>
        <v>240.42275140799848</v>
      </c>
      <c r="X28" s="629">
        <f t="shared" si="83"/>
        <v>1.3383850926279863</v>
      </c>
      <c r="Y28" s="630">
        <f t="shared" si="223"/>
        <v>-0.21540000000000012</v>
      </c>
      <c r="Z28" s="632">
        <f t="shared" si="6"/>
        <v>0.48296291314453466</v>
      </c>
      <c r="AA28" s="629">
        <f t="shared" si="7"/>
        <v>0.83651630373780761</v>
      </c>
      <c r="AB28" s="629">
        <f t="shared" si="8"/>
        <v>0.25881904510252079</v>
      </c>
      <c r="AC28" s="636">
        <f t="shared" si="84"/>
        <v>1</v>
      </c>
      <c r="AD28" s="637">
        <f t="shared" si="115"/>
        <v>0.48296291314453466</v>
      </c>
      <c r="AE28" s="629">
        <f t="shared" si="85"/>
        <v>0.83651630373780761</v>
      </c>
      <c r="AF28" s="633">
        <f t="shared" si="86"/>
        <v>0.25881904510252079</v>
      </c>
      <c r="AG28" s="602">
        <f t="shared" si="87"/>
        <v>107.19212373402098</v>
      </c>
      <c r="AH28" s="603">
        <f t="shared" si="88"/>
        <v>61.120905982572367</v>
      </c>
      <c r="AI28" s="585">
        <f t="shared" si="89"/>
        <v>-105.00000000000001</v>
      </c>
      <c r="AJ28" s="586">
        <f t="shared" si="90"/>
        <v>149.99999999999994</v>
      </c>
      <c r="AK28" s="635">
        <f t="shared" si="211"/>
        <v>-0.96583180130074953</v>
      </c>
      <c r="AL28" s="629">
        <f t="shared" si="91"/>
        <v>1.3477146892747538E-2</v>
      </c>
      <c r="AM28" s="634">
        <f t="shared" si="92"/>
        <v>0.25881904510252079</v>
      </c>
      <c r="AN28" s="581">
        <f t="shared" si="93"/>
        <v>177.01920368989383</v>
      </c>
      <c r="AO28" s="582">
        <f t="shared" si="94"/>
        <v>164.97919941300901</v>
      </c>
      <c r="AP28" s="585">
        <f t="shared" si="95"/>
        <v>179.20055073376506</v>
      </c>
      <c r="AQ28" s="586">
        <f t="shared" si="9"/>
        <v>1.7028397780419382</v>
      </c>
      <c r="AS28" s="52">
        <f t="shared" si="116"/>
        <v>-119.57724859200152</v>
      </c>
      <c r="AT28" s="72">
        <f t="shared" si="10"/>
        <v>-0.13004908311914359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1.7136358157774934</v>
      </c>
      <c r="C29" s="708">
        <v>-0.96780532494923099</v>
      </c>
      <c r="D29" s="709">
        <v>-8.9000000000000093E-2</v>
      </c>
      <c r="E29" s="710">
        <v>-0.48296291314453466</v>
      </c>
      <c r="F29" s="708">
        <v>-0.83651630373780772</v>
      </c>
      <c r="G29" s="711">
        <v>-0.25881904510252074</v>
      </c>
      <c r="H29" s="710">
        <v>0.26600000000000001</v>
      </c>
      <c r="I29" s="708">
        <v>0.52</v>
      </c>
      <c r="J29" s="570">
        <v>3.109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3.109</v>
      </c>
      <c r="N29" s="632">
        <f t="shared" si="2"/>
        <v>1.7136358157774934</v>
      </c>
      <c r="O29" s="629">
        <f t="shared" si="3"/>
        <v>-0.96780532494923099</v>
      </c>
      <c r="P29" s="633">
        <f t="shared" si="4"/>
        <v>-8.9000000000000093E-2</v>
      </c>
      <c r="Q29" s="585">
        <f t="shared" si="113"/>
        <v>330.5436629667488</v>
      </c>
      <c r="R29" s="629">
        <f>IF(M29="","",SQRT(N29^2+O29^2))</f>
        <v>1.9680434080872002</v>
      </c>
      <c r="S29" s="634">
        <f>IF(M29="","",P29)</f>
        <v>-8.9000000000000093E-2</v>
      </c>
      <c r="T29" s="635">
        <f>IF(M29="","",X29*COS(RADIANS(W29)))</f>
        <v>-0.97905082760270901</v>
      </c>
      <c r="U29" s="629">
        <f>IF(M29="","",X29*SIN(RADIANS(W29)))</f>
        <v>-1.707235875058257</v>
      </c>
      <c r="V29" s="636">
        <f>IF(M29="","",Y29)</f>
        <v>-8.9000000000000093E-2</v>
      </c>
      <c r="W29" s="585">
        <f t="shared" si="224"/>
        <v>240.16696510851233</v>
      </c>
      <c r="X29" s="629">
        <f>IF(M29="","",R29)</f>
        <v>1.9680434080872002</v>
      </c>
      <c r="Y29" s="630">
        <f t="shared" si="223"/>
        <v>-8.9000000000000093E-2</v>
      </c>
      <c r="Z29" s="632">
        <f t="shared" si="6"/>
        <v>0.48296291314453466</v>
      </c>
      <c r="AA29" s="629">
        <f t="shared" si="7"/>
        <v>0.83651630373780772</v>
      </c>
      <c r="AB29" s="629">
        <f t="shared" si="8"/>
        <v>0.25881904510252074</v>
      </c>
      <c r="AC29" s="636">
        <f>IF(M29="","",SQRT(Z29^2+AA29^2+AB29^2))</f>
        <v>1</v>
      </c>
      <c r="AD29" s="637">
        <f>IF(M29="","",Z29*(1/SQRT(Z29^2+AA29^2+AB29^2)))</f>
        <v>0.48296291314453466</v>
      </c>
      <c r="AE29" s="629">
        <f>IF(M29="","",AA29*(1/SQRT(Z29^2+AA29^2+AB29^2)))</f>
        <v>0.83651630373780772</v>
      </c>
      <c r="AF29" s="633">
        <f>IF(M29="","",AB29*(1/SQRT(Z29^2+AA29^2+AB29^2)))</f>
        <v>0.25881904510252074</v>
      </c>
      <c r="AG29" s="602">
        <f>IF(M29="","",DEGREES(ATAN2(-AF29,AE29)))</f>
        <v>107.19212373402098</v>
      </c>
      <c r="AH29" s="603">
        <f>IF(M29="","",DEGREES(ACOS(AD29)))</f>
        <v>61.120905982572367</v>
      </c>
      <c r="AI29" s="585">
        <f>IF(M29="","",DEGREES(-ACOS(-AF29)))</f>
        <v>-105</v>
      </c>
      <c r="AJ29" s="586">
        <f>IF(M29="","",DEGREES(ATAN2(-AE29,AD29)))</f>
        <v>149.99999999999994</v>
      </c>
      <c r="AK29" s="635">
        <f>IF(M29="","",(COS(RADIANS((90-$Q$8)-W29))*AD29)+(-SIN(RADIANS((90-$Q$8)-W29))*AE29))</f>
        <v>-0.96588234276230966</v>
      </c>
      <c r="AL29" s="629">
        <f>IF(M29="","",(SIN(RADIANS((90-$Q$8)-W29))*AD29)+(COS(RADIANS((90-$Q$8)-W29))*AE29))</f>
        <v>9.1652513447060824E-3</v>
      </c>
      <c r="AM29" s="634">
        <f>IF(M29="","",AF29)</f>
        <v>0.25881904510252074</v>
      </c>
      <c r="AN29" s="581">
        <f>IF(M29="","",DEGREES(ATAN2(-AM29,AL29)))</f>
        <v>177.97190009251125</v>
      </c>
      <c r="AO29" s="582">
        <f t="shared" si="94"/>
        <v>164.99037689832542</v>
      </c>
      <c r="AP29" s="585">
        <f>IF(M29="","",DEGREES(ATAN2(AK29,AL29)))</f>
        <v>179.45633703325117</v>
      </c>
      <c r="AQ29" s="586">
        <f t="shared" si="9"/>
        <v>1.158214341650865</v>
      </c>
      <c r="AS29" s="52">
        <f t="shared" si="116"/>
        <v>-119.83303489148767</v>
      </c>
      <c r="AT29" s="72">
        <f t="shared" si="10"/>
        <v>-3.471453744500419E-3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2.2500159834358073</v>
      </c>
      <c r="C30" s="708">
        <v>-1.3273676223927191</v>
      </c>
      <c r="D30" s="709">
        <v>-0.12109999999999997</v>
      </c>
      <c r="E30" s="710">
        <v>-0.55421526475028904</v>
      </c>
      <c r="F30" s="708">
        <v>-0.79394297044420459</v>
      </c>
      <c r="G30" s="711">
        <v>-0.24999999999999997</v>
      </c>
      <c r="H30" s="710">
        <v>0.26600000000000001</v>
      </c>
      <c r="I30" s="708">
        <v>0.52</v>
      </c>
      <c r="J30" s="570">
        <v>3.1120000000000001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3.1120000000000001</v>
      </c>
      <c r="N30" s="632">
        <f t="shared" si="2"/>
        <v>2.2500159834358073</v>
      </c>
      <c r="O30" s="629">
        <f t="shared" si="3"/>
        <v>-1.3273676223927191</v>
      </c>
      <c r="P30" s="633">
        <f t="shared" si="4"/>
        <v>-0.12109999999999997</v>
      </c>
      <c r="Q30" s="585">
        <f t="shared" si="113"/>
        <v>329.4620738691105</v>
      </c>
      <c r="R30" s="629">
        <f>IF(M30="","",SQRT(N30^2+O30^2))</f>
        <v>2.6123699452208338</v>
      </c>
      <c r="S30" s="634">
        <f>IF(M30="","",P30)</f>
        <v>-0.12109999999999997</v>
      </c>
      <c r="T30" s="635">
        <f>IF(M30="","",X30*COS(RADIANS(W30)))</f>
        <v>-1.342131823177918</v>
      </c>
      <c r="U30" s="629">
        <f>IF(M30="","",X30*SIN(RADIANS(W30)))</f>
        <v>-2.2412404823905487</v>
      </c>
      <c r="V30" s="636">
        <f>IF(M30="","",Y30)</f>
        <v>-0.12109999999999997</v>
      </c>
      <c r="W30" s="585">
        <f t="shared" si="224"/>
        <v>239.08537601087403</v>
      </c>
      <c r="X30" s="629">
        <f>IF(M30="","",R30)</f>
        <v>2.6123699452208338</v>
      </c>
      <c r="Y30" s="630">
        <f t="shared" si="223"/>
        <v>-0.12109999999999997</v>
      </c>
      <c r="Z30" s="632">
        <f t="shared" si="6"/>
        <v>0.55421526475028904</v>
      </c>
      <c r="AA30" s="629">
        <f t="shared" si="7"/>
        <v>0.79394297044420459</v>
      </c>
      <c r="AB30" s="629">
        <f t="shared" si="8"/>
        <v>0.24999999999999997</v>
      </c>
      <c r="AC30" s="636">
        <f>IF(M30="","",SQRT(Z30^2+AA30^2+AB30^2))</f>
        <v>1</v>
      </c>
      <c r="AD30" s="637">
        <f>IF(M30="","",Z30*(1/SQRT(Z30^2+AA30^2+AB30^2)))</f>
        <v>0.55421526475028904</v>
      </c>
      <c r="AE30" s="629">
        <f>IF(M30="","",AA30*(1/SQRT(Z30^2+AA30^2+AB30^2)))</f>
        <v>0.79394297044420459</v>
      </c>
      <c r="AF30" s="633">
        <f>IF(M30="","",AB30*(1/SQRT(Z30^2+AA30^2+AB30^2)))</f>
        <v>0.24999999999999997</v>
      </c>
      <c r="AG30" s="602">
        <f>IF(M30="","",DEGREES(ATAN2(-AF30,AE30)))</f>
        <v>107.4783848125597</v>
      </c>
      <c r="AH30" s="603">
        <f>IF(M30="","",DEGREES(ACOS(AD30)))</f>
        <v>56.343318836571498</v>
      </c>
      <c r="AI30" s="585">
        <f>IF(M30="","",DEGREES(-ACOS(-AF30)))</f>
        <v>-104.47751218592992</v>
      </c>
      <c r="AJ30" s="586">
        <f>IF(M30="","",DEGREES(ATAN2(-AE30,AD30)))</f>
        <v>145.08286919916236</v>
      </c>
      <c r="AK30" s="635">
        <f>IF(M30="","",(COS(RADIANS((90-$Q$8)-W30))*AD30)+(-SIN(RADIANS((90-$Q$8)-W30))*AE30))</f>
        <v>-0.96541907332657984</v>
      </c>
      <c r="AL30" s="629">
        <f>IF(M30="","",(SIN(RADIANS((90-$Q$8)-W30))*AD30)+(COS(RADIANS((90-$Q$8)-W30))*AE30))</f>
        <v>7.3932488509775074E-2</v>
      </c>
      <c r="AM30" s="634">
        <f>IF(M30="","",AF30)</f>
        <v>0.24999999999999997</v>
      </c>
      <c r="AN30" s="581">
        <f>IF(M30="","",DEGREES(ATAN2(-AM30,AL30)))</f>
        <v>163.52547340251849</v>
      </c>
      <c r="AO30" s="582">
        <f>IF(ROUND(IF(M30="",0,DEGREES(ACOS(AK30))),4)=90,0,IF(M30="","",DEGREES(ACOS(AK30))))</f>
        <v>164.88822495020554</v>
      </c>
      <c r="AP30" s="585">
        <f>IF(M30="","",DEGREES(ATAN2(AK30,AL30)))</f>
        <v>175.62079533005192</v>
      </c>
      <c r="AQ30" s="586">
        <f t="shared" si="9"/>
        <v>0.87259860604358419</v>
      </c>
      <c r="AS30" s="52">
        <f t="shared" si="116"/>
        <v>-120.91462398912597</v>
      </c>
      <c r="AT30" s="72">
        <f t="shared" si="10"/>
        <v>-3.4820350204473688E-2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3.1120000000000001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15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2.6705818793058951</v>
      </c>
      <c r="C31" s="708">
        <v>-1.6929261228150052</v>
      </c>
      <c r="D31" s="709">
        <v>-0.46320000000000011</v>
      </c>
      <c r="E31" s="710">
        <v>-0.66537635155151043</v>
      </c>
      <c r="F31" s="708">
        <v>-0.68947041369524242</v>
      </c>
      <c r="G31" s="711">
        <v>-0.28619025041903889</v>
      </c>
      <c r="H31" s="710">
        <v>0.26600000000000001</v>
      </c>
      <c r="I31" s="708">
        <v>0.52</v>
      </c>
      <c r="J31" s="570">
        <v>3.1150000000000002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3.1150000000000002</v>
      </c>
      <c r="N31" s="632">
        <f t="shared" si="2"/>
        <v>2.6705818793058951</v>
      </c>
      <c r="O31" s="629">
        <f t="shared" si="3"/>
        <v>-1.6929261228150052</v>
      </c>
      <c r="P31" s="633">
        <f t="shared" si="4"/>
        <v>-0.46320000000000011</v>
      </c>
      <c r="Q31" s="585">
        <f t="shared" si="113"/>
        <v>327.62871215642406</v>
      </c>
      <c r="R31" s="629">
        <f>IF(M31="","",SQRT(N31^2+O31^2))</f>
        <v>3.1619624335824188</v>
      </c>
      <c r="S31" s="634">
        <f>IF(M31="","",P31)</f>
        <v>-0.46320000000000011</v>
      </c>
      <c r="T31" s="635">
        <f>IF(M31="","",X31*COS(RADIANS(W31)))</f>
        <v>-1.710447463037521</v>
      </c>
      <c r="U31" s="629">
        <f>IF(M31="","",X31*SIN(RADIANS(W31)))</f>
        <v>-2.6593938985368379</v>
      </c>
      <c r="V31" s="636">
        <f>IF(M31="","",Y31)</f>
        <v>-0.46320000000000011</v>
      </c>
      <c r="W31" s="585">
        <f t="shared" si="224"/>
        <v>237.25201429818759</v>
      </c>
      <c r="X31" s="629">
        <f>IF(M31="","",R31)</f>
        <v>3.1619624335824188</v>
      </c>
      <c r="Y31" s="630">
        <f t="shared" si="223"/>
        <v>-0.46320000000000011</v>
      </c>
      <c r="Z31" s="632">
        <f t="shared" si="6"/>
        <v>0.66537635155151043</v>
      </c>
      <c r="AA31" s="629">
        <f t="shared" si="7"/>
        <v>0.68947041369524242</v>
      </c>
      <c r="AB31" s="629">
        <f t="shared" si="8"/>
        <v>0.28619025041903889</v>
      </c>
      <c r="AC31" s="636">
        <f>IF(M31="","",SQRT(Z31^2+AA31^2+AB31^2))</f>
        <v>1</v>
      </c>
      <c r="AD31" s="637">
        <f>IF(M31="","",Z31*(1/SQRT(Z31^2+AA31^2+AB31^2)))</f>
        <v>0.66537635155151043</v>
      </c>
      <c r="AE31" s="629">
        <f>IF(M31="","",AA31*(1/SQRT(Z31^2+AA31^2+AB31^2)))</f>
        <v>0.68947041369524242</v>
      </c>
      <c r="AF31" s="633">
        <f>IF(M31="","",AB31*(1/SQRT(Z31^2+AA31^2+AB31^2)))</f>
        <v>0.28619025041903889</v>
      </c>
      <c r="AG31" s="602">
        <f>IF(M31="","",DEGREES(ATAN2(-AF31,AE31)))</f>
        <v>112.54270545491194</v>
      </c>
      <c r="AH31" s="603">
        <f>IF(M31="","",DEGREES(ACOS(AD31)))</f>
        <v>48.288795463346794</v>
      </c>
      <c r="AI31" s="585">
        <f>IF(M31="","",DEGREES(-ACOS(-AF31)))</f>
        <v>-106.63000871073126</v>
      </c>
      <c r="AJ31" s="586">
        <f>IF(M31="","",DEGREES(ATAN2(-AE31,AD31)))</f>
        <v>136.01881822037518</v>
      </c>
      <c r="AK31" s="635">
        <f>IF(M31="","",(COS(RADIANS((90-$Q$8)-W31))*AD31)+(-SIN(RADIANS((90-$Q$8)-W31))*AE31))</f>
        <v>-0.93856908882203216</v>
      </c>
      <c r="AL31" s="629">
        <f>IF(M31="","",(SIN(RADIANS((90-$Q$8)-W31))*AD31)+(COS(RADIANS((90-$Q$8)-W31))*AE31))</f>
        <v>0.19282947407714524</v>
      </c>
      <c r="AM31" s="634">
        <f>IF(M31="","",AF31)</f>
        <v>0.28619025041903889</v>
      </c>
      <c r="AN31" s="581">
        <f>IF(M31="","",DEGREES(ATAN2(-AM31,AL31)))</f>
        <v>146.02866985304627</v>
      </c>
      <c r="AO31" s="582">
        <f t="shared" si="94"/>
        <v>159.81262552162914</v>
      </c>
      <c r="AP31" s="585">
        <f>IF(M31="","",DEGREES(ATAN2(AK31,AL31)))</f>
        <v>168.39010606395112</v>
      </c>
      <c r="AQ31" s="586">
        <f t="shared" si="9"/>
        <v>0.72094667877911334</v>
      </c>
      <c r="AS31" s="52">
        <f t="shared" si="116"/>
        <v>-122.74798570181241</v>
      </c>
      <c r="AT31" s="72">
        <f t="shared" si="10"/>
        <v>-0.37564718234844158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3.1150000000000002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2.9131154530831425</v>
      </c>
      <c r="C32" s="708">
        <v>-1.9478456504915569</v>
      </c>
      <c r="D32" s="709">
        <v>-1.0192000000000001</v>
      </c>
      <c r="E32" s="710">
        <v>-0.78358324780828048</v>
      </c>
      <c r="F32" s="708">
        <v>-0.56417955548295273</v>
      </c>
      <c r="G32" s="711">
        <v>-0.26018978252284414</v>
      </c>
      <c r="H32" s="710">
        <v>0.26600000000000001</v>
      </c>
      <c r="I32" s="708">
        <v>0.52</v>
      </c>
      <c r="J32" s="570">
        <v>3.1179999999999999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3.1179999999999999</v>
      </c>
      <c r="N32" s="632">
        <f t="shared" si="2"/>
        <v>2.9131154530831425</v>
      </c>
      <c r="O32" s="629">
        <f t="shared" si="3"/>
        <v>-1.9478456504915569</v>
      </c>
      <c r="P32" s="633">
        <f t="shared" si="4"/>
        <v>-1.0192000000000001</v>
      </c>
      <c r="Q32" s="585">
        <f t="shared" si="113"/>
        <v>326.23145524563154</v>
      </c>
      <c r="R32" s="629">
        <f t="shared" si="79"/>
        <v>3.5043322218549253</v>
      </c>
      <c r="S32" s="634">
        <f t="shared" si="80"/>
        <v>-1.0192000000000001</v>
      </c>
      <c r="T32" s="635">
        <f t="shared" si="81"/>
        <v>-1.9669560352996933</v>
      </c>
      <c r="U32" s="629">
        <f t="shared" si="82"/>
        <v>-2.9002462440849381</v>
      </c>
      <c r="V32" s="636">
        <f t="shared" si="114"/>
        <v>-1.0192000000000001</v>
      </c>
      <c r="W32" s="585">
        <f t="shared" si="224"/>
        <v>235.85475738739507</v>
      </c>
      <c r="X32" s="629">
        <f t="shared" si="83"/>
        <v>3.5043322218549253</v>
      </c>
      <c r="Y32" s="630">
        <f t="shared" si="223"/>
        <v>-1.0192000000000001</v>
      </c>
      <c r="Z32" s="632">
        <f t="shared" si="6"/>
        <v>0.78358324780828048</v>
      </c>
      <c r="AA32" s="629">
        <f t="shared" si="7"/>
        <v>0.56417955548295273</v>
      </c>
      <c r="AB32" s="629">
        <f t="shared" si="8"/>
        <v>0.26018978252284414</v>
      </c>
      <c r="AC32" s="636">
        <f t="shared" si="84"/>
        <v>1</v>
      </c>
      <c r="AD32" s="637">
        <f t="shared" si="115"/>
        <v>0.78358324780828048</v>
      </c>
      <c r="AE32" s="629">
        <f t="shared" si="85"/>
        <v>0.56417955548295273</v>
      </c>
      <c r="AF32" s="633">
        <f t="shared" si="86"/>
        <v>0.26018978252284414</v>
      </c>
      <c r="AG32" s="602">
        <f t="shared" si="87"/>
        <v>114.75832851682084</v>
      </c>
      <c r="AH32" s="603">
        <f t="shared" si="88"/>
        <v>38.410164784975983</v>
      </c>
      <c r="AI32" s="585">
        <f t="shared" si="89"/>
        <v>-105.08132346257936</v>
      </c>
      <c r="AJ32" s="586">
        <f t="shared" si="90"/>
        <v>125.75386881358379</v>
      </c>
      <c r="AK32" s="635">
        <f t="shared" si="211"/>
        <v>-0.90454306320150057</v>
      </c>
      <c r="AL32" s="629">
        <f t="shared" si="91"/>
        <v>0.33779153909587711</v>
      </c>
      <c r="AM32" s="634">
        <f t="shared" si="92"/>
        <v>0.26018978252284414</v>
      </c>
      <c r="AN32" s="581">
        <f t="shared" si="93"/>
        <v>127.60588515722245</v>
      </c>
      <c r="AO32" s="582">
        <f t="shared" si="94"/>
        <v>154.76181150085449</v>
      </c>
      <c r="AP32" s="585">
        <f t="shared" si="95"/>
        <v>159.5224135679523</v>
      </c>
      <c r="AQ32" s="586">
        <f t="shared" si="9"/>
        <v>0.65051728264864406</v>
      </c>
      <c r="AS32" s="52">
        <f t="shared" si="116"/>
        <v>-124.14524261260493</v>
      </c>
      <c r="AT32" s="72">
        <f t="shared" si="10"/>
        <v>-0.93067686504928004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3.1179999999999999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3.0041076013019317</v>
      </c>
      <c r="C33" s="708">
        <v>-2.0538426266867766</v>
      </c>
      <c r="D33" s="709">
        <v>-1.6608000000000001</v>
      </c>
      <c r="E33" s="710">
        <v>-0.86517176006565333</v>
      </c>
      <c r="F33" s="708">
        <v>-0.4547815704222381</v>
      </c>
      <c r="G33" s="711">
        <v>-0.21130913087034969</v>
      </c>
      <c r="H33" s="710">
        <v>0.26600000000000001</v>
      </c>
      <c r="I33" s="708">
        <v>0.52</v>
      </c>
      <c r="J33" s="570">
        <v>3.121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3.121</v>
      </c>
      <c r="N33" s="632">
        <f t="shared" si="2"/>
        <v>3.0041076013019317</v>
      </c>
      <c r="O33" s="629">
        <f t="shared" si="3"/>
        <v>-2.0538426266867766</v>
      </c>
      <c r="P33" s="633">
        <f t="shared" si="4"/>
        <v>-1.6608000000000001</v>
      </c>
      <c r="Q33" s="585">
        <f t="shared" si="113"/>
        <v>325.64043825298961</v>
      </c>
      <c r="R33" s="629">
        <f t="shared" si="79"/>
        <v>3.63908395278203</v>
      </c>
      <c r="S33" s="634">
        <f t="shared" si="80"/>
        <v>-1.6608000000000001</v>
      </c>
      <c r="T33" s="635">
        <f t="shared" si="81"/>
        <v>-2.0735489549093016</v>
      </c>
      <c r="U33" s="629">
        <f t="shared" si="82"/>
        <v>-2.9905395411179949</v>
      </c>
      <c r="V33" s="636">
        <f t="shared" si="114"/>
        <v>-1.6608000000000001</v>
      </c>
      <c r="W33" s="585">
        <f t="shared" si="224"/>
        <v>235.26374039475314</v>
      </c>
      <c r="X33" s="629">
        <f t="shared" si="83"/>
        <v>3.63908395278203</v>
      </c>
      <c r="Y33" s="630">
        <f t="shared" si="223"/>
        <v>-1.6608000000000001</v>
      </c>
      <c r="Z33" s="632">
        <f t="shared" si="6"/>
        <v>0.86517176006565333</v>
      </c>
      <c r="AA33" s="629">
        <f t="shared" si="7"/>
        <v>0.4547815704222381</v>
      </c>
      <c r="AB33" s="629">
        <f t="shared" si="8"/>
        <v>0.21130913087034969</v>
      </c>
      <c r="AC33" s="636">
        <f t="shared" si="84"/>
        <v>1</v>
      </c>
      <c r="AD33" s="637">
        <f t="shared" si="115"/>
        <v>0.86517176006565333</v>
      </c>
      <c r="AE33" s="629">
        <f t="shared" si="85"/>
        <v>0.4547815704222381</v>
      </c>
      <c r="AF33" s="633">
        <f t="shared" si="86"/>
        <v>0.21130913087034969</v>
      </c>
      <c r="AG33" s="602">
        <f t="shared" si="87"/>
        <v>114.92140600212215</v>
      </c>
      <c r="AH33" s="603">
        <f t="shared" si="88"/>
        <v>30.097676205196151</v>
      </c>
      <c r="AI33" s="585">
        <f t="shared" si="89"/>
        <v>-102.19908169044881</v>
      </c>
      <c r="AJ33" s="586">
        <f t="shared" si="90"/>
        <v>117.7288696524421</v>
      </c>
      <c r="AK33" s="635">
        <f t="shared" si="211"/>
        <v>-0.86371720291395082</v>
      </c>
      <c r="AL33" s="629">
        <f t="shared" si="91"/>
        <v>0.45753802530644228</v>
      </c>
      <c r="AM33" s="634">
        <f t="shared" si="92"/>
        <v>0.21130913087034969</v>
      </c>
      <c r="AN33" s="581">
        <f t="shared" si="93"/>
        <v>114.78935801216376</v>
      </c>
      <c r="AO33" s="582">
        <f t="shared" si="94"/>
        <v>149.73654782071864</v>
      </c>
      <c r="AP33" s="585">
        <f t="shared" si="95"/>
        <v>152.0884313994525</v>
      </c>
      <c r="AQ33" s="586">
        <f t="shared" si="9"/>
        <v>0.6264312183379025</v>
      </c>
      <c r="AS33" s="52">
        <f t="shared" si="116"/>
        <v>-124.73625960524686</v>
      </c>
      <c r="AT33" s="72">
        <f t="shared" si="10"/>
        <v>-1.5718664365821675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3.121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1.606162951087408</v>
      </c>
      <c r="C34" s="708">
        <v>-2.1176857232379716</v>
      </c>
      <c r="D34" s="709">
        <v>6.7835091622141797E-2</v>
      </c>
      <c r="E34" s="710">
        <v>0.1554001893790854</v>
      </c>
      <c r="F34" s="708">
        <v>-0.2069736196927644</v>
      </c>
      <c r="G34" s="711">
        <v>0.96592582628906831</v>
      </c>
      <c r="H34" s="710">
        <v>0.19500000000000001</v>
      </c>
      <c r="I34" s="708">
        <v>0.438</v>
      </c>
      <c r="J34" s="570">
        <v>3.2120000000000002</v>
      </c>
      <c r="K34" s="865" t="str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Undefined</v>
      </c>
      <c r="L34" s="320"/>
      <c r="M34" s="168">
        <f t="shared" si="1"/>
        <v>3.2120000000000002</v>
      </c>
      <c r="N34" s="632">
        <f t="shared" si="2"/>
        <v>1.606162951087408</v>
      </c>
      <c r="O34" s="629">
        <f t="shared" si="3"/>
        <v>-2.1176857232379716</v>
      </c>
      <c r="P34" s="633">
        <f t="shared" si="4"/>
        <v>6.7835091622141797E-2</v>
      </c>
      <c r="Q34" s="585">
        <f t="shared" si="113"/>
        <v>307.17857092304411</v>
      </c>
      <c r="R34" s="629">
        <f>IF(M34="","",SQRT(N34^2+O34^2))</f>
        <v>2.6578849199789936</v>
      </c>
      <c r="S34" s="634">
        <f>IF(M34="","",P34)</f>
        <v>6.7835091622141797E-2</v>
      </c>
      <c r="T34" s="635">
        <f>IF(M34="","",X34*COS(RADIANS(W34)))</f>
        <v>-2.128199785914795</v>
      </c>
      <c r="U34" s="629">
        <f>IF(M34="","",X34*SIN(RADIANS(W34)))</f>
        <v>-1.5922053633510858</v>
      </c>
      <c r="V34" s="636">
        <f>IF(M34="","",Y34)</f>
        <v>6.7835091622141797E-2</v>
      </c>
      <c r="W34" s="585">
        <f t="shared" si="224"/>
        <v>216.80187306480764</v>
      </c>
      <c r="X34" s="629">
        <f>IF(M34="","",R34)</f>
        <v>2.6578849199789936</v>
      </c>
      <c r="Y34" s="630">
        <f t="shared" si="223"/>
        <v>6.7835091622141797E-2</v>
      </c>
      <c r="Z34" s="632">
        <f t="shared" si="6"/>
        <v>-0.1554001893790854</v>
      </c>
      <c r="AA34" s="629">
        <f t="shared" si="7"/>
        <v>0.2069736196927644</v>
      </c>
      <c r="AB34" s="629">
        <f t="shared" si="8"/>
        <v>-0.96592582628906831</v>
      </c>
      <c r="AC34" s="636">
        <f>IF(M34="","",SQRT(Z34^2+AA34^2+AB34^2))</f>
        <v>1</v>
      </c>
      <c r="AD34" s="637">
        <f>IF(M34="","",Z34*(1/SQRT(Z34^2+AA34^2+AB34^2)))</f>
        <v>-0.1554001893790854</v>
      </c>
      <c r="AE34" s="629">
        <f>IF(M34="","",AA34*(1/SQRT(Z34^2+AA34^2+AB34^2)))</f>
        <v>0.2069736196927644</v>
      </c>
      <c r="AF34" s="633">
        <f>IF(M34="","",AB34*(1/SQRT(Z34^2+AA34^2+AB34^2)))</f>
        <v>-0.96592582628906831</v>
      </c>
      <c r="AG34" s="602">
        <f>IF(M34="","",DEGREES(ATAN2(-AF34,AE34)))</f>
        <v>12.094162388671229</v>
      </c>
      <c r="AH34" s="603">
        <f>IF(M34="","",DEGREES(ACOS(AD34)))</f>
        <v>98.940006654745432</v>
      </c>
      <c r="AI34" s="585">
        <f>IF(M34="","",DEGREES(-ACOS(-AF34)))</f>
        <v>-14.999999999999982</v>
      </c>
      <c r="AJ34" s="586">
        <f>IF(M34="","",DEGREES(ATAN2(-AE34,AD34)))</f>
        <v>-143.10000000000008</v>
      </c>
      <c r="AK34" s="635">
        <f>IF(M34="","",(COS(RADIANS((90-$Q$8)-W34))*AD34)+(-SIN(RADIANS((90-$Q$8)-W34))*AE34))</f>
        <v>-1.258368013327571E-3</v>
      </c>
      <c r="AL34" s="629">
        <f>IF(M34="","",(SIN(RADIANS((90-$Q$8)-W34))*AD34)+(COS(RADIANS((90-$Q$8)-W34))*AE34))</f>
        <v>-0.25881598601655909</v>
      </c>
      <c r="AM34" s="634">
        <f>IF(M34="","",AF34)</f>
        <v>-0.96592582628906831</v>
      </c>
      <c r="AN34" s="581">
        <f>IF(M34="","",DEGREES(ATAN2(-AM34,AL34)))</f>
        <v>-14.999830699424114</v>
      </c>
      <c r="AO34" s="582">
        <f t="shared" si="94"/>
        <v>90.072099195265992</v>
      </c>
      <c r="AP34" s="585">
        <f>IF(M34="","",DEGREES(ATAN2(AK34,AL34)))</f>
        <v>-90.278570923044171</v>
      </c>
      <c r="AQ34" s="586">
        <f t="shared" si="9"/>
        <v>0.85765803468377977</v>
      </c>
      <c r="AS34" s="52">
        <f t="shared" si="116"/>
        <v>-143.19812693519236</v>
      </c>
      <c r="AT34" s="72">
        <f t="shared" si="10"/>
        <v>0.1695893962413253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Nose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3.2120000000000002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3.1120000000000001</v>
      </c>
      <c r="II34" s="734" cm="1">
        <f t="array" ref="II34">IFERROR(ROUND(VALUE(IF($IH34&lt;1,$IH34+LARGE((IF($M$9:$M$150="",0,$M$9:$M$150)-MOD(IF($M$9:$M$150="",0,$M$9:$M$150),1)),1),$IH34)),4),"")</f>
        <v>3.1120000000000001</v>
      </c>
      <c r="IJ34" s="533">
        <f t="shared" si="112"/>
        <v>1313</v>
      </c>
      <c r="IK34" s="533" t="str">
        <f t="shared" si="66"/>
        <v>Undefined</v>
      </c>
      <c r="IL34" s="727">
        <f t="shared" si="225"/>
        <v>22.283502946066392</v>
      </c>
      <c r="IM34" s="759">
        <v>9.9868145700831592E-4</v>
      </c>
      <c r="IN34" s="5">
        <f t="shared" si="226"/>
        <v>0</v>
      </c>
      <c r="IO34" s="771">
        <v>0</v>
      </c>
      <c r="IP34" s="9">
        <f t="shared" si="227"/>
        <v>-2.6123699452208338</v>
      </c>
      <c r="IQ34" s="5">
        <f t="shared" si="228"/>
        <v>-0.12109999999999997</v>
      </c>
      <c r="IR34" s="5">
        <f t="shared" si="71"/>
        <v>0.26600000000000001</v>
      </c>
      <c r="IS34" s="5">
        <f t="shared" si="229"/>
        <v>-0.2568014735048702</v>
      </c>
      <c r="IT34" s="727">
        <f t="shared" si="230"/>
        <v>-163.52547340251849</v>
      </c>
      <c r="IU34" s="9">
        <f t="shared" si="231"/>
        <v>-2.6578849199789936</v>
      </c>
      <c r="IV34" s="5">
        <f t="shared" si="232"/>
        <v>6.7835091622141797E-2</v>
      </c>
      <c r="IW34" s="5">
        <f t="shared" si="76"/>
        <v>0.19500000000000001</v>
      </c>
      <c r="IX34" s="5">
        <f t="shared" si="233"/>
        <v>-2.4538176259884543E-4</v>
      </c>
      <c r="IY34" s="762">
        <f t="shared" si="234"/>
        <v>14.999830699424114</v>
      </c>
      <c r="JG34" s="470"/>
    </row>
    <row r="35" spans="1:267" ht="15" customHeight="1" x14ac:dyDescent="0.25">
      <c r="A35" s="79"/>
      <c r="B35" s="707">
        <v>2.04028883464763</v>
      </c>
      <c r="C35" s="708">
        <v>-2.5438081419883711</v>
      </c>
      <c r="D35" s="709">
        <v>-0.30538625048163992</v>
      </c>
      <c r="E35" s="710">
        <v>0.34094090806504174</v>
      </c>
      <c r="F35" s="708">
        <v>-0.42846794620990886</v>
      </c>
      <c r="G35" s="711">
        <v>0.83676431345896174</v>
      </c>
      <c r="H35" s="710">
        <v>0.19500000000000001</v>
      </c>
      <c r="I35" s="708">
        <v>0.438</v>
      </c>
      <c r="J35" s="570">
        <v>3.2149999999999999</v>
      </c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Undefined</v>
      </c>
      <c r="L35" s="320"/>
      <c r="M35" s="168">
        <f t="shared" si="1"/>
        <v>3.2149999999999999</v>
      </c>
      <c r="N35" s="632">
        <f t="shared" si="2"/>
        <v>2.04028883464763</v>
      </c>
      <c r="O35" s="629">
        <f t="shared" si="3"/>
        <v>-2.5438081419883711</v>
      </c>
      <c r="P35" s="633">
        <f t="shared" si="4"/>
        <v>-0.30538625048163992</v>
      </c>
      <c r="Q35" s="585">
        <f t="shared" si="113"/>
        <v>308.7317335159363</v>
      </c>
      <c r="R35" s="629">
        <f>IF(M35="","",SQRT(N35^2+O35^2))</f>
        <v>3.2609413352641154</v>
      </c>
      <c r="S35" s="634">
        <f>IF(M35="","",P35)</f>
        <v>-0.30538625048163992</v>
      </c>
      <c r="T35" s="635">
        <f>IF(M35="","",X35*COS(RADIANS(W35)))</f>
        <v>-2.5571671862470269</v>
      </c>
      <c r="U35" s="629">
        <f>IF(M35="","",X35*SIN(RADIANS(W35)))</f>
        <v>-2.0235202923656526</v>
      </c>
      <c r="V35" s="636">
        <f>IF(M35="","",Y35)</f>
        <v>-0.30538625048163992</v>
      </c>
      <c r="W35" s="585">
        <f t="shared" si="224"/>
        <v>218.35503565769983</v>
      </c>
      <c r="X35" s="629">
        <f>IF(M35="","",R35)</f>
        <v>3.2609413352641154</v>
      </c>
      <c r="Y35" s="630">
        <f t="shared" si="223"/>
        <v>-0.30538625048163992</v>
      </c>
      <c r="Z35" s="632">
        <f t="shared" si="6"/>
        <v>-0.34094090806504174</v>
      </c>
      <c r="AA35" s="629">
        <f t="shared" si="7"/>
        <v>0.42846794620990886</v>
      </c>
      <c r="AB35" s="629">
        <f t="shared" si="8"/>
        <v>-0.83676431345896174</v>
      </c>
      <c r="AC35" s="636">
        <f>IF(M35="","",SQRT(Z35^2+AA35^2+AB35^2))</f>
        <v>1</v>
      </c>
      <c r="AD35" s="637">
        <f>IF(M35="","",Z35*(1/SQRT(Z35^2+AA35^2+AB35^2)))</f>
        <v>-0.34094090806504174</v>
      </c>
      <c r="AE35" s="629">
        <f>IF(M35="","",AA35*(1/SQRT(Z35^2+AA35^2+AB35^2)))</f>
        <v>0.42846794620990886</v>
      </c>
      <c r="AF35" s="633">
        <f>IF(M35="","",AB35*(1/SQRT(Z35^2+AA35^2+AB35^2)))</f>
        <v>-0.83676431345896174</v>
      </c>
      <c r="AG35" s="602">
        <f>IF(M35="","",DEGREES(ATAN2(-AF35,AE35)))</f>
        <v>27.114866947225465</v>
      </c>
      <c r="AH35" s="603">
        <f>IF(M35="","",DEGREES(ACOS(AD35)))</f>
        <v>109.93420963524527</v>
      </c>
      <c r="AI35" s="585">
        <f>IF(M35="","",DEGREES(-ACOS(-AF35)))</f>
        <v>-33.199999999999989</v>
      </c>
      <c r="AJ35" s="586">
        <f>IF(M35="","",DEGREES(ATAN2(-AE35,AD35)))</f>
        <v>-141.49000000000007</v>
      </c>
      <c r="AK35" s="635">
        <f>IF(M35="","",(COS(RADIANS((90-$Q$8)-W35))*AD35)+(-SIN(RADIANS((90-$Q$8)-W35))*AE35))</f>
        <v>-2.1190533877410989E-3</v>
      </c>
      <c r="AL35" s="629">
        <f>IF(M35="","",(SIN(RADIANS((90-$Q$8)-W35))*AD35)+(COS(RADIANS((90-$Q$8)-W35))*AE35))</f>
        <v>-0.547559123140408</v>
      </c>
      <c r="AM35" s="634">
        <f>IF(M35="","",AF35)</f>
        <v>-0.83676431345896174</v>
      </c>
      <c r="AN35" s="581">
        <f>IF(M35="","",DEGREES(ATAN2(-AM35,AL35)))</f>
        <v>-33.19980341611506</v>
      </c>
      <c r="AO35" s="582">
        <f t="shared" si="94"/>
        <v>90.121412906545743</v>
      </c>
      <c r="AP35" s="585">
        <f>IF(M35="","",DEGREES(ATAN2(AK35,AL35)))</f>
        <v>-90.22173351593635</v>
      </c>
      <c r="AQ35" s="586">
        <f t="shared" si="9"/>
        <v>0.69906608950805771</v>
      </c>
      <c r="AS35" s="52">
        <f t="shared" si="116"/>
        <v>-141.64496434230017</v>
      </c>
      <c r="AT35" s="72">
        <f t="shared" si="10"/>
        <v>-0.20471053099640935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3.2149999999999999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3.1150000000000002</v>
      </c>
      <c r="II35" s="734" cm="1">
        <f t="array" ref="II35">IFERROR(ROUND(VALUE(IF($IH35&lt;1,$IH35+LARGE((IF($M$9:$M$150="",0,$M$9:$M$150)-MOD(IF($M$9:$M$150="",0,$M$9:$M$150),1)),1),$IH35)),4),"")</f>
        <v>3.1150000000000002</v>
      </c>
      <c r="IJ35" s="533">
        <f t="shared" si="112"/>
        <v>1313</v>
      </c>
      <c r="IK35" s="533" t="str">
        <f t="shared" si="66"/>
        <v>Undefined</v>
      </c>
      <c r="IL35" s="727">
        <f t="shared" si="225"/>
        <v>18.89697864048776</v>
      </c>
      <c r="IM35" s="759">
        <v>3.5285083500539399E-3</v>
      </c>
      <c r="IN35" s="5">
        <f t="shared" si="226"/>
        <v>0.04</v>
      </c>
      <c r="IO35" s="771">
        <v>20</v>
      </c>
      <c r="IP35" s="9">
        <f t="shared" si="227"/>
        <v>-3.1619624335824188</v>
      </c>
      <c r="IQ35" s="5">
        <f t="shared" si="228"/>
        <v>-0.46320000000000011</v>
      </c>
      <c r="IR35" s="5">
        <f t="shared" si="71"/>
        <v>0.26600000000000001</v>
      </c>
      <c r="IS35" s="5">
        <f t="shared" si="229"/>
        <v>-0.24965937762666057</v>
      </c>
      <c r="IT35" s="727">
        <f t="shared" si="230"/>
        <v>-146.02866985304627</v>
      </c>
      <c r="IU35" s="9">
        <f t="shared" si="231"/>
        <v>-3.2609413352641154</v>
      </c>
      <c r="IV35" s="5">
        <f t="shared" si="232"/>
        <v>-0.30538625048163992</v>
      </c>
      <c r="IW35" s="5">
        <f t="shared" si="76"/>
        <v>0.19500000000000001</v>
      </c>
      <c r="IX35" s="5">
        <f t="shared" si="233"/>
        <v>-4.1321541060951029E-4</v>
      </c>
      <c r="IY35" s="762">
        <f t="shared" si="234"/>
        <v>33.19980341611506</v>
      </c>
    </row>
    <row r="36" spans="1:267" ht="15" customHeight="1" x14ac:dyDescent="0.25">
      <c r="A36" s="79"/>
      <c r="B36" s="707">
        <v>2.2715793592409184</v>
      </c>
      <c r="C36" s="708">
        <v>-2.8470518544845662</v>
      </c>
      <c r="D36" s="709">
        <v>-0.9085040667364469</v>
      </c>
      <c r="E36" s="710">
        <v>0.48925553190955245</v>
      </c>
      <c r="F36" s="708">
        <v>-0.61772969193307758</v>
      </c>
      <c r="G36" s="711">
        <v>0.61566147532565818</v>
      </c>
      <c r="H36" s="710">
        <v>0.19500000000000001</v>
      </c>
      <c r="I36" s="708">
        <v>0.438</v>
      </c>
      <c r="J36" s="570">
        <v>3.218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Undefined</v>
      </c>
      <c r="L36" s="320"/>
      <c r="M36" s="168">
        <f t="shared" si="1"/>
        <v>3.218</v>
      </c>
      <c r="N36" s="632">
        <f t="shared" si="2"/>
        <v>2.2715793592409184</v>
      </c>
      <c r="O36" s="629">
        <f t="shared" si="3"/>
        <v>-2.8470518544845662</v>
      </c>
      <c r="P36" s="633">
        <f t="shared" si="4"/>
        <v>-0.9085040667364469</v>
      </c>
      <c r="Q36" s="585">
        <f t="shared" si="113"/>
        <v>308.58534203152061</v>
      </c>
      <c r="R36" s="629">
        <f>IF(M36="","",SQRT(N36^2+O36^2))</f>
        <v>3.6422214440439213</v>
      </c>
      <c r="S36" s="634">
        <f>IF(M36="","",P36)</f>
        <v>-0.9085040667364469</v>
      </c>
      <c r="T36" s="635">
        <f>IF(M36="","",X36*COS(RADIANS(W36)))</f>
        <v>-2.861924980691632</v>
      </c>
      <c r="U36" s="629">
        <f>IF(M36="","",X36*SIN(RADIANS(W36)))</f>
        <v>-2.2528121209605096</v>
      </c>
      <c r="V36" s="636">
        <f>IF(M36="","",Y36)</f>
        <v>-0.9085040667364469</v>
      </c>
      <c r="W36" s="585">
        <f t="shared" si="224"/>
        <v>218.20864417328414</v>
      </c>
      <c r="X36" s="629">
        <f>IF(M36="","",R36)</f>
        <v>3.6422214440439213</v>
      </c>
      <c r="Y36" s="630">
        <f t="shared" si="223"/>
        <v>-0.9085040667364469</v>
      </c>
      <c r="Z36" s="632">
        <f t="shared" si="6"/>
        <v>-0.48925553190955245</v>
      </c>
      <c r="AA36" s="629">
        <f t="shared" si="7"/>
        <v>0.61772969193307758</v>
      </c>
      <c r="AB36" s="629">
        <f t="shared" si="8"/>
        <v>-0.61566147532565818</v>
      </c>
      <c r="AC36" s="636">
        <f>IF(M36="","",SQRT(Z36^2+AA36^2+AB36^2))</f>
        <v>1</v>
      </c>
      <c r="AD36" s="637">
        <f>IF(M36="","",Z36*(1/SQRT(Z36^2+AA36^2+AB36^2)))</f>
        <v>-0.48925553190955245</v>
      </c>
      <c r="AE36" s="629">
        <f>IF(M36="","",AA36*(1/SQRT(Z36^2+AA36^2+AB36^2)))</f>
        <v>0.61772969193307758</v>
      </c>
      <c r="AF36" s="633">
        <f>IF(M36="","",AB36*(1/SQRT(Z36^2+AA36^2+AB36^2)))</f>
        <v>-0.61566147532565818</v>
      </c>
      <c r="AG36" s="602">
        <f>IF(M36="","",DEGREES(ATAN2(-AF36,AE36)))</f>
        <v>45.096076552842405</v>
      </c>
      <c r="AH36" s="603">
        <f>IF(M36="","",DEGREES(ACOS(AD36)))</f>
        <v>119.29166158647287</v>
      </c>
      <c r="AI36" s="585">
        <f>IF(M36="","",DEGREES(-ACOS(-AF36)))</f>
        <v>-52</v>
      </c>
      <c r="AJ36" s="586">
        <f>IF(M36="","",DEGREES(ATAN2(-AE36,AD36)))</f>
        <v>-141.62000000000003</v>
      </c>
      <c r="AK36" s="635">
        <f>IF(M36="","",(COS(RADIANS((90-$Q$8)-W36))*AD36)+(-SIN(RADIANS((90-$Q$8)-W36))*AE36))</f>
        <v>-2.8241413937989956E-3</v>
      </c>
      <c r="AL36" s="629">
        <f>IF(M36="","",(SIN(RADIANS((90-$Q$8)-W36))*AD36)+(COS(RADIANS((90-$Q$8)-W36))*AE36))</f>
        <v>-0.78800569288884059</v>
      </c>
      <c r="AM36" s="634">
        <f>IF(M36="","",AF36)</f>
        <v>-0.61566147532565818</v>
      </c>
      <c r="AN36" s="581">
        <f>IF(M36="","",DEGREES(ATAN2(-AM36,AL36)))</f>
        <v>-51.999821483455996</v>
      </c>
      <c r="AO36" s="582">
        <f t="shared" si="94"/>
        <v>90.161811597708834</v>
      </c>
      <c r="AP36" s="585">
        <f>IF(M36="","",DEGREES(ATAN2(AK36,AL36)))</f>
        <v>-90.205342031520644</v>
      </c>
      <c r="AQ36" s="586">
        <f t="shared" si="9"/>
        <v>0.62589163937953574</v>
      </c>
      <c r="AS36" s="52">
        <f t="shared" si="116"/>
        <v>-141.79135582671586</v>
      </c>
      <c r="AT36" s="72">
        <f t="shared" si="10"/>
        <v>-0.80772668649814983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3.218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3.1179999999999999</v>
      </c>
      <c r="II36" s="734" cm="1">
        <f t="array" ref="II36">IFERROR(ROUND(VALUE(IF($IH36&lt;1,$IH36+LARGE((IF($M$9:$M$150="",0,$M$9:$M$150)-MOD(IF($M$9:$M$150="",0,$M$9:$M$150),1)),1),$IH36)),4),"")</f>
        <v>3.1179999999999999</v>
      </c>
      <c r="IJ36" s="533">
        <f t="shared" si="112"/>
        <v>1313</v>
      </c>
      <c r="IK36" s="533" t="str">
        <f t="shared" si="66"/>
        <v>Undefined</v>
      </c>
      <c r="IL36" s="727">
        <f t="shared" si="225"/>
        <v>17.646113214110926</v>
      </c>
      <c r="IM36" s="759">
        <v>6.1858380006661997E-3</v>
      </c>
      <c r="IN36" s="5">
        <f t="shared" si="226"/>
        <v>0.12</v>
      </c>
      <c r="IO36" s="771">
        <v>60</v>
      </c>
      <c r="IP36" s="9">
        <f t="shared" si="227"/>
        <v>-3.5043322218549253</v>
      </c>
      <c r="IQ36" s="5">
        <f t="shared" si="228"/>
        <v>-1.0192000000000001</v>
      </c>
      <c r="IR36" s="5">
        <f t="shared" si="71"/>
        <v>0.26600000000000001</v>
      </c>
      <c r="IS36" s="5">
        <f t="shared" si="229"/>
        <v>-0.24060845481159918</v>
      </c>
      <c r="IT36" s="727">
        <f t="shared" si="230"/>
        <v>-127.60588515722245</v>
      </c>
      <c r="IU36" s="9">
        <f t="shared" si="231"/>
        <v>-3.6422214440439213</v>
      </c>
      <c r="IV36" s="5">
        <f t="shared" si="232"/>
        <v>-0.9085040667364469</v>
      </c>
      <c r="IW36" s="5">
        <f t="shared" si="76"/>
        <v>0.19500000000000001</v>
      </c>
      <c r="IX36" s="5">
        <f t="shared" si="233"/>
        <v>-5.5070757179077987E-4</v>
      </c>
      <c r="IY36" s="762">
        <f t="shared" si="234"/>
        <v>51.999821483455996</v>
      </c>
    </row>
    <row r="37" spans="1:267" ht="15" customHeight="1" x14ac:dyDescent="0.25">
      <c r="A37" s="79"/>
      <c r="B37" s="707">
        <v>1.4299999999999997E-2</v>
      </c>
      <c r="C37" s="708">
        <v>-2.1749999999999998</v>
      </c>
      <c r="D37" s="709">
        <v>-4.6500000000000173E-2</v>
      </c>
      <c r="E37" s="710">
        <v>-0.96592370777744574</v>
      </c>
      <c r="F37" s="708">
        <v>2.0230288408547618E-3</v>
      </c>
      <c r="G37" s="711">
        <v>-0.25881904510252074</v>
      </c>
      <c r="H37" s="710">
        <v>0.26600000000000001</v>
      </c>
      <c r="I37" s="708">
        <v>0.52</v>
      </c>
      <c r="J37" s="570">
        <v>4.1100000000000003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4.1100000000000003</v>
      </c>
      <c r="N37" s="632">
        <f t="shared" si="2"/>
        <v>1.4299999999999997E-2</v>
      </c>
      <c r="O37" s="629">
        <f t="shared" si="3"/>
        <v>-2.1749999999999998</v>
      </c>
      <c r="P37" s="633">
        <f t="shared" si="4"/>
        <v>-4.6500000000000173E-2</v>
      </c>
      <c r="Q37" s="585">
        <f t="shared" si="113"/>
        <v>270.37669785823647</v>
      </c>
      <c r="R37" s="629">
        <f t="shared" si="79"/>
        <v>2.1750470086873981</v>
      </c>
      <c r="S37" s="634">
        <f t="shared" si="80"/>
        <v>-4.6500000000000173E-2</v>
      </c>
      <c r="T37" s="635">
        <f t="shared" si="81"/>
        <v>-2.1750470086873981</v>
      </c>
      <c r="U37" s="629">
        <f t="shared" si="82"/>
        <v>2.6647554820469818E-16</v>
      </c>
      <c r="V37" s="636">
        <f t="shared" si="114"/>
        <v>-4.6500000000000173E-2</v>
      </c>
      <c r="W37" s="585">
        <f t="shared" si="224"/>
        <v>180</v>
      </c>
      <c r="X37" s="629">
        <f t="shared" si="83"/>
        <v>2.1750470086873981</v>
      </c>
      <c r="Y37" s="630">
        <f t="shared" si="223"/>
        <v>-4.6500000000000173E-2</v>
      </c>
      <c r="Z37" s="632">
        <f t="shared" si="6"/>
        <v>0.96592370777744574</v>
      </c>
      <c r="AA37" s="629">
        <f t="shared" si="7"/>
        <v>-2.0230288408547618E-3</v>
      </c>
      <c r="AB37" s="629">
        <f t="shared" si="8"/>
        <v>0.25881904510252074</v>
      </c>
      <c r="AC37" s="636">
        <f t="shared" si="84"/>
        <v>1</v>
      </c>
      <c r="AD37" s="637">
        <f t="shared" si="115"/>
        <v>0.96592370777744574</v>
      </c>
      <c r="AE37" s="629">
        <f t="shared" si="85"/>
        <v>-2.0230288408547618E-3</v>
      </c>
      <c r="AF37" s="633">
        <f t="shared" si="86"/>
        <v>0.25881904510252074</v>
      </c>
      <c r="AG37" s="602">
        <f t="shared" si="87"/>
        <v>-179.5521633506749</v>
      </c>
      <c r="AH37" s="603">
        <f t="shared" si="88"/>
        <v>15.000468976001549</v>
      </c>
      <c r="AI37" s="585">
        <f t="shared" si="89"/>
        <v>-105</v>
      </c>
      <c r="AJ37" s="586">
        <f t="shared" si="90"/>
        <v>89.88</v>
      </c>
      <c r="AK37" s="635">
        <f t="shared" si="211"/>
        <v>-0.96588953099057318</v>
      </c>
      <c r="AL37" s="629">
        <f t="shared" si="91"/>
        <v>8.3735186767604757E-3</v>
      </c>
      <c r="AM37" s="634">
        <f t="shared" si="92"/>
        <v>0.25881904510252074</v>
      </c>
      <c r="AN37" s="581">
        <f t="shared" si="93"/>
        <v>178.14696791959912</v>
      </c>
      <c r="AO37" s="582">
        <f t="shared" si="94"/>
        <v>164.99196726992062</v>
      </c>
      <c r="AP37" s="585">
        <f t="shared" si="95"/>
        <v>179.50330214176353</v>
      </c>
      <c r="AQ37" s="586">
        <f t="shared" si="9"/>
        <v>1.0480106291877695</v>
      </c>
      <c r="AS37" s="52">
        <f t="shared" si="116"/>
        <v>-180</v>
      </c>
      <c r="AT37" s="72">
        <f t="shared" si="10"/>
        <v>8.0811160914188607E-2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4.1100000000000003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-5.7400000000000083E-2</v>
      </c>
      <c r="C38" s="708">
        <v>-2.8213000000000004</v>
      </c>
      <c r="D38" s="709">
        <v>-0.21150000000000019</v>
      </c>
      <c r="E38" s="710">
        <v>-0.96301793789601642</v>
      </c>
      <c r="F38" s="708">
        <v>0.12053012758060157</v>
      </c>
      <c r="G38" s="711">
        <v>-0.24097497719868796</v>
      </c>
      <c r="H38" s="710">
        <v>0.26600000000000001</v>
      </c>
      <c r="I38" s="708">
        <v>0.52</v>
      </c>
      <c r="J38" s="570">
        <v>4.1130000000000004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4.1130000000000004</v>
      </c>
      <c r="N38" s="632">
        <f t="shared" si="2"/>
        <v>-5.7400000000000083E-2</v>
      </c>
      <c r="O38" s="629">
        <f t="shared" si="3"/>
        <v>-2.8213000000000004</v>
      </c>
      <c r="P38" s="633">
        <f t="shared" si="4"/>
        <v>-0.21150000000000019</v>
      </c>
      <c r="Q38" s="585">
        <f t="shared" si="113"/>
        <v>268.83446493323805</v>
      </c>
      <c r="R38" s="629">
        <f t="shared" si="79"/>
        <v>2.8218838477159194</v>
      </c>
      <c r="S38" s="634">
        <f t="shared" si="80"/>
        <v>-0.21150000000000019</v>
      </c>
      <c r="T38" s="635">
        <f t="shared" si="81"/>
        <v>-2.8208616436766891</v>
      </c>
      <c r="U38" s="629">
        <f t="shared" si="82"/>
        <v>7.5947595311830832E-2</v>
      </c>
      <c r="V38" s="636">
        <f t="shared" si="114"/>
        <v>-0.21150000000000019</v>
      </c>
      <c r="W38" s="585">
        <f t="shared" si="224"/>
        <v>178.45776707500158</v>
      </c>
      <c r="X38" s="629">
        <f t="shared" si="83"/>
        <v>2.8218838477159194</v>
      </c>
      <c r="Y38" s="630">
        <f t="shared" si="223"/>
        <v>-0.21150000000000019</v>
      </c>
      <c r="Z38" s="632">
        <f t="shared" si="6"/>
        <v>0.96301793789601642</v>
      </c>
      <c r="AA38" s="629">
        <f t="shared" si="7"/>
        <v>-0.12053012758060157</v>
      </c>
      <c r="AB38" s="629">
        <f t="shared" si="8"/>
        <v>0.24097497719868796</v>
      </c>
      <c r="AC38" s="636">
        <f t="shared" si="84"/>
        <v>1</v>
      </c>
      <c r="AD38" s="637">
        <f t="shared" si="115"/>
        <v>0.96301793789601642</v>
      </c>
      <c r="AE38" s="629">
        <f t="shared" si="85"/>
        <v>-0.12053012758060157</v>
      </c>
      <c r="AF38" s="633">
        <f t="shared" si="86"/>
        <v>0.24097497719868796</v>
      </c>
      <c r="AG38" s="602">
        <f t="shared" si="87"/>
        <v>-153.42683889953847</v>
      </c>
      <c r="AH38" s="603">
        <f t="shared" si="88"/>
        <v>15.630784865111627</v>
      </c>
      <c r="AI38" s="585">
        <f t="shared" si="89"/>
        <v>-103.94409143929647</v>
      </c>
      <c r="AJ38" s="586">
        <f t="shared" si="90"/>
        <v>82.866027689196471</v>
      </c>
      <c r="AK38" s="635">
        <f t="shared" si="211"/>
        <v>-0.96527039541826409</v>
      </c>
      <c r="AL38" s="629">
        <f t="shared" si="91"/>
        <v>0.10091642132556987</v>
      </c>
      <c r="AM38" s="634">
        <f t="shared" si="92"/>
        <v>0.24097497719868796</v>
      </c>
      <c r="AN38" s="581">
        <f t="shared" si="93"/>
        <v>157.27685324708838</v>
      </c>
      <c r="AO38" s="582">
        <f t="shared" si="94"/>
        <v>164.85558380885442</v>
      </c>
      <c r="AP38" s="585">
        <f t="shared" si="95"/>
        <v>174.03156275595839</v>
      </c>
      <c r="AQ38" s="586">
        <f t="shared" si="9"/>
        <v>0.80782048241117144</v>
      </c>
      <c r="AS38" s="52">
        <f t="shared" si="116"/>
        <v>-181.54223292499842</v>
      </c>
      <c r="AT38" s="72">
        <f t="shared" si="10"/>
        <v>-8.311784399900693E-2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4.1130000000000004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-0.17010000000000022</v>
      </c>
      <c r="C39" s="708">
        <v>-3.3033999999999999</v>
      </c>
      <c r="D39" s="709">
        <v>-0.6349999999999999</v>
      </c>
      <c r="E39" s="710">
        <v>-0.92572695573999519</v>
      </c>
      <c r="F39" s="708">
        <v>0.27125815977654061</v>
      </c>
      <c r="G39" s="711">
        <v>-0.26353104972850117</v>
      </c>
      <c r="H39" s="710">
        <v>0.26600000000000001</v>
      </c>
      <c r="I39" s="708">
        <v>0.52</v>
      </c>
      <c r="J39" s="570">
        <v>4.1159999999999997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4.1159999999999997</v>
      </c>
      <c r="N39" s="632">
        <f t="shared" si="2"/>
        <v>-0.17010000000000022</v>
      </c>
      <c r="O39" s="629">
        <f t="shared" si="3"/>
        <v>-3.3033999999999999</v>
      </c>
      <c r="P39" s="633">
        <f t="shared" si="4"/>
        <v>-0.6349999999999999</v>
      </c>
      <c r="Q39" s="585">
        <f t="shared" si="113"/>
        <v>267.05230610034084</v>
      </c>
      <c r="R39" s="629">
        <f t="shared" si="79"/>
        <v>3.3077765296343706</v>
      </c>
      <c r="S39" s="634">
        <f t="shared" si="80"/>
        <v>-0.6349999999999999</v>
      </c>
      <c r="T39" s="635">
        <f t="shared" si="81"/>
        <v>-3.3022102700826164</v>
      </c>
      <c r="U39" s="629">
        <f t="shared" si="82"/>
        <v>0.19181476001834646</v>
      </c>
      <c r="V39" s="636">
        <f t="shared" si="114"/>
        <v>-0.6349999999999999</v>
      </c>
      <c r="W39" s="585">
        <f t="shared" si="224"/>
        <v>176.67560824210437</v>
      </c>
      <c r="X39" s="629">
        <f t="shared" si="83"/>
        <v>3.3077765296343706</v>
      </c>
      <c r="Y39" s="630">
        <f t="shared" si="223"/>
        <v>-0.6349999999999999</v>
      </c>
      <c r="Z39" s="632">
        <f t="shared" si="6"/>
        <v>0.92572695573999519</v>
      </c>
      <c r="AA39" s="629">
        <f t="shared" si="7"/>
        <v>-0.27125815977654061</v>
      </c>
      <c r="AB39" s="629">
        <f t="shared" si="8"/>
        <v>0.26353104972850117</v>
      </c>
      <c r="AC39" s="636">
        <f t="shared" si="84"/>
        <v>1</v>
      </c>
      <c r="AD39" s="637">
        <f t="shared" si="115"/>
        <v>0.92572695573999519</v>
      </c>
      <c r="AE39" s="629">
        <f t="shared" si="85"/>
        <v>-0.27125815977654061</v>
      </c>
      <c r="AF39" s="633">
        <f t="shared" si="86"/>
        <v>0.26353104972850117</v>
      </c>
      <c r="AG39" s="602">
        <f t="shared" si="87"/>
        <v>-134.17219723232768</v>
      </c>
      <c r="AH39" s="603">
        <f t="shared" si="88"/>
        <v>22.221769779314204</v>
      </c>
      <c r="AI39" s="585">
        <f t="shared" si="89"/>
        <v>-105.27968579169958</v>
      </c>
      <c r="AJ39" s="586">
        <f t="shared" si="90"/>
        <v>73.668266296745941</v>
      </c>
      <c r="AK39" s="635">
        <f t="shared" si="211"/>
        <v>-0.93845137685665081</v>
      </c>
      <c r="AL39" s="629">
        <f t="shared" si="91"/>
        <v>0.22329442246695402</v>
      </c>
      <c r="AM39" s="634">
        <f t="shared" si="92"/>
        <v>0.26353104972850117</v>
      </c>
      <c r="AN39" s="581">
        <f t="shared" si="93"/>
        <v>139.72481607536781</v>
      </c>
      <c r="AO39" s="582">
        <f t="shared" si="94"/>
        <v>159.7930907733701</v>
      </c>
      <c r="AP39" s="585">
        <f t="shared" si="95"/>
        <v>166.6159601964051</v>
      </c>
      <c r="AQ39" s="586">
        <f t="shared" si="9"/>
        <v>0.68916889259854264</v>
      </c>
      <c r="AS39" s="52">
        <f t="shared" si="116"/>
        <v>-183.32439175789563</v>
      </c>
      <c r="AT39" s="72">
        <f t="shared" si="10"/>
        <v>-0.50538023369838359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4.1159999999999997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-0.24830000000000019</v>
      </c>
      <c r="C40" s="708">
        <v>-3.5495999999999999</v>
      </c>
      <c r="D40" s="709">
        <v>-1.2388000000000001</v>
      </c>
      <c r="E40" s="710">
        <v>-0.87665239996612432</v>
      </c>
      <c r="F40" s="708">
        <v>0.42842880748993534</v>
      </c>
      <c r="G40" s="711">
        <v>-0.21892767423600545</v>
      </c>
      <c r="H40" s="710">
        <v>0.26600000000000001</v>
      </c>
      <c r="I40" s="708">
        <v>0.52</v>
      </c>
      <c r="J40" s="570">
        <v>4.1189999999999998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4.1189999999999998</v>
      </c>
      <c r="N40" s="632">
        <f t="shared" si="2"/>
        <v>-0.24830000000000019</v>
      </c>
      <c r="O40" s="629">
        <f t="shared" si="3"/>
        <v>-3.5495999999999999</v>
      </c>
      <c r="P40" s="633">
        <f t="shared" si="4"/>
        <v>-1.2388000000000001</v>
      </c>
      <c r="Q40" s="585">
        <f t="shared" si="113"/>
        <v>265.99858986460652</v>
      </c>
      <c r="R40" s="629">
        <f t="shared" si="79"/>
        <v>3.5582738863106083</v>
      </c>
      <c r="S40" s="634">
        <f t="shared" si="80"/>
        <v>-1.2388000000000001</v>
      </c>
      <c r="T40" s="635">
        <f t="shared" si="81"/>
        <v>-3.5478908176136232</v>
      </c>
      <c r="U40" s="629">
        <f t="shared" si="82"/>
        <v>0.27163172917193434</v>
      </c>
      <c r="V40" s="636">
        <f t="shared" si="114"/>
        <v>-1.2388000000000001</v>
      </c>
      <c r="W40" s="585">
        <f t="shared" si="224"/>
        <v>175.62189200637005</v>
      </c>
      <c r="X40" s="629">
        <f t="shared" si="83"/>
        <v>3.5582738863106083</v>
      </c>
      <c r="Y40" s="630">
        <f t="shared" si="223"/>
        <v>-1.2388000000000001</v>
      </c>
      <c r="Z40" s="632">
        <f t="shared" si="6"/>
        <v>0.87665239996612432</v>
      </c>
      <c r="AA40" s="629">
        <f t="shared" si="7"/>
        <v>-0.42842880748993534</v>
      </c>
      <c r="AB40" s="629">
        <f t="shared" si="8"/>
        <v>0.21892767423600545</v>
      </c>
      <c r="AC40" s="636">
        <f t="shared" si="84"/>
        <v>1</v>
      </c>
      <c r="AD40" s="637">
        <f t="shared" si="115"/>
        <v>0.87665239996612432</v>
      </c>
      <c r="AE40" s="629">
        <f t="shared" si="85"/>
        <v>-0.42842880748993534</v>
      </c>
      <c r="AF40" s="633">
        <f t="shared" si="86"/>
        <v>0.21892767423600545</v>
      </c>
      <c r="AG40" s="602">
        <f t="shared" si="87"/>
        <v>-117.06709112554486</v>
      </c>
      <c r="AH40" s="603">
        <f t="shared" si="88"/>
        <v>28.758856069824088</v>
      </c>
      <c r="AI40" s="585">
        <f t="shared" si="89"/>
        <v>-102.64605795894262</v>
      </c>
      <c r="AJ40" s="586">
        <f t="shared" si="90"/>
        <v>63.954776960047624</v>
      </c>
      <c r="AK40" s="635">
        <f t="shared" si="211"/>
        <v>-0.9044116149125988</v>
      </c>
      <c r="AL40" s="629">
        <f t="shared" si="91"/>
        <v>0.36621073750615063</v>
      </c>
      <c r="AM40" s="634">
        <f t="shared" si="92"/>
        <v>0.21892767423600545</v>
      </c>
      <c r="AN40" s="581">
        <f t="shared" si="93"/>
        <v>120.8717770001294</v>
      </c>
      <c r="AO40" s="582">
        <f t="shared" si="94"/>
        <v>154.74415370531639</v>
      </c>
      <c r="AP40" s="585">
        <f t="shared" si="95"/>
        <v>157.95618709544109</v>
      </c>
      <c r="AQ40" s="586">
        <f t="shared" si="9"/>
        <v>0.64065659208259895</v>
      </c>
      <c r="AS40" s="52">
        <f t="shared" si="116"/>
        <v>-184.37810799362995</v>
      </c>
      <c r="AT40" s="72">
        <f t="shared" si="10"/>
        <v>-1.1084484863124573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4.1189999999999998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-0.27660000000000018</v>
      </c>
      <c r="C41" s="708">
        <v>-3.6284999999999998</v>
      </c>
      <c r="D41" s="709">
        <v>-1.8855000000000002</v>
      </c>
      <c r="E41" s="710">
        <v>-0.8264382731914669</v>
      </c>
      <c r="F41" s="708">
        <v>0.52186993764263145</v>
      </c>
      <c r="G41" s="711">
        <v>-0.21130913087034964</v>
      </c>
      <c r="H41" s="710">
        <v>0.26600000000000001</v>
      </c>
      <c r="I41" s="708">
        <v>0.52</v>
      </c>
      <c r="J41" s="570">
        <v>4.1219999999999999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4.1219999999999999</v>
      </c>
      <c r="N41" s="632">
        <f t="shared" ref="N41:N72" si="240">IF(M41="","",B41)</f>
        <v>-0.27660000000000018</v>
      </c>
      <c r="O41" s="629">
        <f t="shared" ref="O41:O72" si="241">IF(M41="","",C41)</f>
        <v>-3.6284999999999998</v>
      </c>
      <c r="P41" s="633">
        <f t="shared" ref="P41:P72" si="242">IF(M41="","",D41)</f>
        <v>-1.8855000000000002</v>
      </c>
      <c r="Q41" s="585">
        <f t="shared" si="113"/>
        <v>265.6407822363102</v>
      </c>
      <c r="R41" s="629">
        <f t="shared" si="79"/>
        <v>3.6390273164679594</v>
      </c>
      <c r="S41" s="634">
        <f t="shared" si="80"/>
        <v>-1.8855000000000002</v>
      </c>
      <c r="T41" s="635">
        <f t="shared" si="81"/>
        <v>-3.6266030520233605</v>
      </c>
      <c r="U41" s="629">
        <f t="shared" si="82"/>
        <v>0.30044985114798317</v>
      </c>
      <c r="V41" s="636">
        <f t="shared" si="114"/>
        <v>-1.8855000000000002</v>
      </c>
      <c r="W41" s="585">
        <f t="shared" si="224"/>
        <v>175.26408437807373</v>
      </c>
      <c r="X41" s="629">
        <f t="shared" si="83"/>
        <v>3.6390273164679594</v>
      </c>
      <c r="Y41" s="630">
        <f t="shared" si="223"/>
        <v>-1.8855000000000002</v>
      </c>
      <c r="Z41" s="632">
        <f t="shared" ref="Z41:Z72" si="243">IF(M41="","",-E41)</f>
        <v>0.8264382731914669</v>
      </c>
      <c r="AA41" s="629">
        <f t="shared" ref="AA41:AA72" si="244">IF(M41="","",-F41)</f>
        <v>-0.52186993764263145</v>
      </c>
      <c r="AB41" s="629">
        <f t="shared" ref="AB41:AB72" si="245">IF(M41="","",-G41)</f>
        <v>0.21130913087034964</v>
      </c>
      <c r="AC41" s="636">
        <f t="shared" si="84"/>
        <v>1</v>
      </c>
      <c r="AD41" s="637">
        <f t="shared" si="115"/>
        <v>0.8264382731914669</v>
      </c>
      <c r="AE41" s="629">
        <f t="shared" si="85"/>
        <v>-0.52186993764263145</v>
      </c>
      <c r="AF41" s="633">
        <f t="shared" si="86"/>
        <v>0.21130913087034964</v>
      </c>
      <c r="AG41" s="602">
        <f t="shared" si="87"/>
        <v>-112.04340173138708</v>
      </c>
      <c r="AH41" s="603">
        <f t="shared" si="88"/>
        <v>34.265417806089637</v>
      </c>
      <c r="AI41" s="585">
        <f t="shared" si="89"/>
        <v>-102.19908169044881</v>
      </c>
      <c r="AJ41" s="586">
        <f t="shared" si="90"/>
        <v>57.72886965244215</v>
      </c>
      <c r="AK41" s="635">
        <f t="shared" si="211"/>
        <v>-0.86371445600410146</v>
      </c>
      <c r="AL41" s="629">
        <f t="shared" si="91"/>
        <v>0.45754321074665383</v>
      </c>
      <c r="AM41" s="634">
        <f t="shared" si="92"/>
        <v>0.21130913087034964</v>
      </c>
      <c r="AN41" s="581">
        <f t="shared" si="93"/>
        <v>114.78911083894211</v>
      </c>
      <c r="AO41" s="582">
        <f t="shared" si="94"/>
        <v>149.73623553330248</v>
      </c>
      <c r="AP41" s="585">
        <f t="shared" si="95"/>
        <v>152.08808741613194</v>
      </c>
      <c r="AQ41" s="586">
        <f t="shared" ref="AQ41:AQ72" si="246">IF(M41="","",DEGREES(ATAN(($AS$5*SIN(RADIANS(90)))/(($X41*2*PI())-($AS$5*COS(RADIANS(90)))))))</f>
        <v>0.62644096707700159</v>
      </c>
      <c r="AS41" s="52">
        <f t="shared" si="116"/>
        <v>-184.73591562192627</v>
      </c>
      <c r="AT41" s="72">
        <f t="shared" ref="AT41:AT72" si="247">IF(M41="","",Y41+(((AS41-$AS$9)*$AS$6)*-1))</f>
        <v>-1.7549000087928071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4.1219999999999999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-1.0684894307497745</v>
      </c>
      <c r="C42" s="708">
        <v>-2.6836916669367801</v>
      </c>
      <c r="D42" s="709">
        <v>-2.9385482417289666E-2</v>
      </c>
      <c r="E42" s="710">
        <v>-0.13644903246305892</v>
      </c>
      <c r="F42" s="708">
        <v>-0.33840320519826184</v>
      </c>
      <c r="G42" s="711">
        <v>0.93105581586252839</v>
      </c>
      <c r="H42" s="710">
        <v>0.19500000000000001</v>
      </c>
      <c r="I42" s="708">
        <v>0.438</v>
      </c>
      <c r="J42" s="570">
        <v>4.2130000000000001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Undefined</v>
      </c>
      <c r="L42" s="320"/>
      <c r="M42" s="168">
        <f t="shared" si="239"/>
        <v>4.2130000000000001</v>
      </c>
      <c r="N42" s="632">
        <f t="shared" si="240"/>
        <v>-1.0684894307497745</v>
      </c>
      <c r="O42" s="629">
        <f t="shared" si="241"/>
        <v>-2.6836916669367801</v>
      </c>
      <c r="P42" s="633">
        <f t="shared" si="242"/>
        <v>-2.9385482417289666E-2</v>
      </c>
      <c r="Q42" s="585">
        <f t="shared" si="113"/>
        <v>248.29043856886256</v>
      </c>
      <c r="R42" s="629">
        <f t="shared" ref="R42:R47" si="385">IF(M42="","",SQRT(N42^2+O42^2))</f>
        <v>2.8885758821277121</v>
      </c>
      <c r="S42" s="634">
        <f t="shared" ref="S42:S47" si="386">IF(M42="","",P42)</f>
        <v>-2.9385482417289666E-2</v>
      </c>
      <c r="T42" s="635">
        <f t="shared" ref="T42:T47" si="387">IF(M42="","",X42*COS(RADIANS(W42)))</f>
        <v>-2.6766088059131636</v>
      </c>
      <c r="U42" s="629">
        <f t="shared" ref="U42:U47" si="388">IF(M42="","",X42*SIN(RADIANS(W42)))</f>
        <v>1.0861104579728529</v>
      </c>
      <c r="V42" s="636">
        <f t="shared" ref="V42:V47" si="389">IF(M42="","",Y42)</f>
        <v>-2.9385482417289666E-2</v>
      </c>
      <c r="W42" s="585">
        <f t="shared" si="224"/>
        <v>157.91374071062609</v>
      </c>
      <c r="X42" s="629">
        <f t="shared" ref="X42:X47" si="390">IF(M42="","",R42)</f>
        <v>2.8885758821277121</v>
      </c>
      <c r="Y42" s="630">
        <f t="shared" si="223"/>
        <v>-2.9385482417289666E-2</v>
      </c>
      <c r="Z42" s="632">
        <f t="shared" si="243"/>
        <v>0.13644903246305892</v>
      </c>
      <c r="AA42" s="629">
        <f t="shared" si="244"/>
        <v>0.33840320519826184</v>
      </c>
      <c r="AB42" s="629">
        <f t="shared" si="245"/>
        <v>-0.93105581586252839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0.13644903246305892</v>
      </c>
      <c r="AE42" s="629">
        <f t="shared" ref="AE42:AE47" si="393">IF(M42="","",AA42*(1/SQRT(Z42^2+AA42^2+AB42^2)))</f>
        <v>0.33840320519826184</v>
      </c>
      <c r="AF42" s="633">
        <f t="shared" ref="AF42:AF47" si="394">IF(M42="","",AB42*(1/SQRT(Z42^2+AA42^2+AB42^2)))</f>
        <v>-0.93105581586252839</v>
      </c>
      <c r="AG42" s="602">
        <f t="shared" ref="AG42:AG47" si="395">IF(M42="","",DEGREES(ATAN2(-AF42,AE42)))</f>
        <v>19.974271402590393</v>
      </c>
      <c r="AH42" s="603">
        <f t="shared" ref="AH42:AH47" si="396">IF(M42="","",DEGREES(ACOS(AD42)))</f>
        <v>82.157581235851566</v>
      </c>
      <c r="AI42" s="585">
        <f t="shared" ref="AI42:AI47" si="397">IF(M42="","",DEGREES(-ACOS(-AF42)))</f>
        <v>-21.399999999999981</v>
      </c>
      <c r="AJ42" s="586">
        <f t="shared" ref="AJ42:AJ47" si="398">IF(M42="","",DEGREES(ATAN2(-AE42,AD42)))</f>
        <v>158.04</v>
      </c>
      <c r="AK42" s="635">
        <f t="shared" ref="AK42:AK47" si="399">IF(M42="","",(COS(RADIANS((90-$Q$8)-W42))*AD42)+(-SIN(RADIANS((90-$Q$8)-W42))*AE42))</f>
        <v>-1.5948631728913143E-3</v>
      </c>
      <c r="AL42" s="629">
        <f t="shared" ref="AL42:AL47" si="400">IF(M42="","",(SIN(RADIANS((90-$Q$8)-W42))*AD42)+(COS(RADIANS((90-$Q$8)-W42))*AE42))</f>
        <v>-0.36487329877646785</v>
      </c>
      <c r="AM42" s="634">
        <f t="shared" ref="AM42:AM47" si="401">IF(M42="","",AF42)</f>
        <v>-0.93105581586252839</v>
      </c>
      <c r="AN42" s="581">
        <f t="shared" ref="AN42:AN47" si="402">IF(M42="","",DEGREES(ATAN2(-AM42,AL42)))</f>
        <v>-21.399814060521496</v>
      </c>
      <c r="AO42" s="582">
        <f t="shared" si="94"/>
        <v>90.091378967445962</v>
      </c>
      <c r="AP42" s="585">
        <f t="shared" ref="AP42:AP47" si="403">IF(M42="","",DEGREES(ATAN2(AK42,AL42)))</f>
        <v>-90.250438568862549</v>
      </c>
      <c r="AQ42" s="586">
        <f t="shared" si="246"/>
        <v>0.78917174356030317</v>
      </c>
      <c r="AS42" s="52">
        <f t="shared" si="116"/>
        <v>-202.08625928937391</v>
      </c>
      <c r="AT42" s="72">
        <f t="shared" si="247"/>
        <v>0.11326335855896436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4.2130000000000001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4.1130000000000004</v>
      </c>
      <c r="II42" s="734" cm="1">
        <f t="array" ref="II42">IFERROR(ROUND(VALUE(IF($IH42&lt;1,$IH42+LARGE((IF($M$9:$M$150="",0,$M$9:$M$150)-MOD(IF($M$9:$M$150="",0,$M$9:$M$150),1)),1),$IH42)),4),"")</f>
        <v>4.1130000000000004</v>
      </c>
      <c r="IJ42" s="533">
        <f t="shared" si="112"/>
        <v>1313</v>
      </c>
      <c r="IK42" s="533" t="str">
        <f t="shared" si="382"/>
        <v>Undefined</v>
      </c>
      <c r="IL42" s="727">
        <f t="shared" si="225"/>
        <v>20.544026364375497</v>
      </c>
      <c r="IM42" s="759">
        <v>1.1735880848708299E-3</v>
      </c>
      <c r="IN42" s="5">
        <f t="shared" si="226"/>
        <v>0</v>
      </c>
      <c r="IO42" s="771">
        <v>0</v>
      </c>
      <c r="IP42" s="9">
        <f t="shared" si="227"/>
        <v>-2.8218838477159194</v>
      </c>
      <c r="IQ42" s="5">
        <f t="shared" si="228"/>
        <v>-0.21150000000000019</v>
      </c>
      <c r="IR42" s="5">
        <f t="shared" si="383"/>
        <v>0.26600000000000001</v>
      </c>
      <c r="IS42" s="5">
        <f t="shared" si="229"/>
        <v>-0.25676192518125834</v>
      </c>
      <c r="IT42" s="727">
        <f t="shared" si="230"/>
        <v>-157.27685324708838</v>
      </c>
      <c r="IU42" s="9">
        <f t="shared" si="231"/>
        <v>-2.8885758821277121</v>
      </c>
      <c r="IV42" s="5">
        <f t="shared" si="232"/>
        <v>-2.9385482417289666E-2</v>
      </c>
      <c r="IW42" s="5">
        <f t="shared" si="384"/>
        <v>0.19500000000000001</v>
      </c>
      <c r="IX42" s="5">
        <f t="shared" si="233"/>
        <v>-3.1099831871382654E-4</v>
      </c>
      <c r="IY42" s="762">
        <f t="shared" si="234"/>
        <v>21.399814060521496</v>
      </c>
    </row>
    <row r="43" spans="1:267" ht="15" customHeight="1" x14ac:dyDescent="0.25">
      <c r="A43" s="79"/>
      <c r="B43" s="707">
        <v>-1.2291716356953433</v>
      </c>
      <c r="C43" s="708">
        <v>-3.1958442753136072</v>
      </c>
      <c r="D43" s="709">
        <v>-0.48968120241248619</v>
      </c>
      <c r="E43" s="710">
        <v>-0.23102670039948561</v>
      </c>
      <c r="F43" s="708">
        <v>-0.59408417451541662</v>
      </c>
      <c r="G43" s="711">
        <v>0.77051324277578925</v>
      </c>
      <c r="H43" s="710">
        <v>0.19500000000000001</v>
      </c>
      <c r="I43" s="708">
        <v>0.438</v>
      </c>
      <c r="J43" s="570">
        <v>4.2160000000000002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Undefined</v>
      </c>
      <c r="L43" s="320"/>
      <c r="M43" s="168">
        <f t="shared" si="239"/>
        <v>4.2160000000000002</v>
      </c>
      <c r="N43" s="632">
        <f t="shared" si="240"/>
        <v>-1.2291716356953433</v>
      </c>
      <c r="O43" s="629">
        <f t="shared" si="241"/>
        <v>-3.1958442753136072</v>
      </c>
      <c r="P43" s="633">
        <f t="shared" si="242"/>
        <v>-0.48968120241248619</v>
      </c>
      <c r="Q43" s="585">
        <f t="shared" si="113"/>
        <v>248.96247709601664</v>
      </c>
      <c r="R43" s="629">
        <f t="shared" si="385"/>
        <v>3.4240741145677207</v>
      </c>
      <c r="S43" s="634">
        <f t="shared" si="386"/>
        <v>-0.48968120241248619</v>
      </c>
      <c r="T43" s="635">
        <f t="shared" si="387"/>
        <v>-3.1876939287858543</v>
      </c>
      <c r="U43" s="629">
        <f t="shared" si="388"/>
        <v>1.2501563735927299</v>
      </c>
      <c r="V43" s="636">
        <f t="shared" si="389"/>
        <v>-0.48968120241248619</v>
      </c>
      <c r="W43" s="585">
        <f t="shared" si="224"/>
        <v>158.58577923778017</v>
      </c>
      <c r="X43" s="629">
        <f t="shared" si="390"/>
        <v>3.4240741145677207</v>
      </c>
      <c r="Y43" s="630">
        <f t="shared" si="223"/>
        <v>-0.48968120241248619</v>
      </c>
      <c r="Z43" s="632">
        <f t="shared" si="243"/>
        <v>0.23102670039948561</v>
      </c>
      <c r="AA43" s="629">
        <f t="shared" si="244"/>
        <v>0.59408417451541662</v>
      </c>
      <c r="AB43" s="629">
        <f t="shared" si="245"/>
        <v>-0.77051324277578925</v>
      </c>
      <c r="AC43" s="636">
        <f t="shared" si="391"/>
        <v>1</v>
      </c>
      <c r="AD43" s="637">
        <f t="shared" si="392"/>
        <v>0.23102670039948561</v>
      </c>
      <c r="AE43" s="629">
        <f t="shared" si="393"/>
        <v>0.59408417451541662</v>
      </c>
      <c r="AF43" s="633">
        <f t="shared" si="394"/>
        <v>-0.77051324277578925</v>
      </c>
      <c r="AG43" s="602">
        <f t="shared" si="395"/>
        <v>37.633084358273528</v>
      </c>
      <c r="AH43" s="603">
        <f t="shared" si="396"/>
        <v>76.642474581912765</v>
      </c>
      <c r="AI43" s="585">
        <f t="shared" si="397"/>
        <v>-39.599999999999994</v>
      </c>
      <c r="AJ43" s="586">
        <f t="shared" si="398"/>
        <v>158.74999999999997</v>
      </c>
      <c r="AK43" s="635">
        <f t="shared" si="399"/>
        <v>-2.3638335840981128E-3</v>
      </c>
      <c r="AL43" s="629">
        <f t="shared" si="400"/>
        <v>-0.63741960669399278</v>
      </c>
      <c r="AM43" s="634">
        <f t="shared" si="401"/>
        <v>-0.77051324277578925</v>
      </c>
      <c r="AN43" s="581">
        <f t="shared" si="402"/>
        <v>-39.599806500056111</v>
      </c>
      <c r="AO43" s="582">
        <f t="shared" si="94"/>
        <v>90.135437813971492</v>
      </c>
      <c r="AP43" s="585">
        <f t="shared" si="403"/>
        <v>-90.212477096016656</v>
      </c>
      <c r="AQ43" s="586">
        <f t="shared" si="246"/>
        <v>0.66576363496241731</v>
      </c>
      <c r="AS43" s="52">
        <f t="shared" ref="AS43:AS74" si="406">IF(G43="","",IF(AND(W43&lt;(AS42+180),W43&gt;(AS42-180)),W43,IF(W43&gt;(AS42+180),W43-360,IF(W43&lt;(AS42-180),W43+360,"Error"))))</f>
        <v>-201.41422076221983</v>
      </c>
      <c r="AT43" s="72">
        <f t="shared" si="247"/>
        <v>-0.34749905485786697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4.2160000000000002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4.1159999999999997</v>
      </c>
      <c r="II43" s="734" cm="1">
        <f t="array" ref="II43">IFERROR(ROUND(VALUE(IF($IH43&lt;1,$IH43+LARGE((IF($M$9:$M$150="",0,$M$9:$M$150)-MOD(IF($M$9:$M$150="",0,$M$9:$M$150),1)),1),$IH43)),4),"")</f>
        <v>4.1159999999999997</v>
      </c>
      <c r="IJ43" s="533">
        <f t="shared" si="112"/>
        <v>1313</v>
      </c>
      <c r="IK43" s="533" t="str">
        <f t="shared" si="382"/>
        <v>Undefined</v>
      </c>
      <c r="IL43" s="727">
        <f t="shared" si="225"/>
        <v>18.089829004324201</v>
      </c>
      <c r="IM43" s="759">
        <v>3.8151203946562898E-3</v>
      </c>
      <c r="IN43" s="5">
        <f t="shared" si="226"/>
        <v>0.06</v>
      </c>
      <c r="IO43" s="771">
        <v>30</v>
      </c>
      <c r="IP43" s="9">
        <f t="shared" si="227"/>
        <v>-3.3077765296343706</v>
      </c>
      <c r="IQ43" s="5">
        <f t="shared" si="228"/>
        <v>-0.6349999999999999</v>
      </c>
      <c r="IR43" s="5">
        <f t="shared" si="383"/>
        <v>0.26600000000000001</v>
      </c>
      <c r="IS43" s="5">
        <f t="shared" si="229"/>
        <v>-0.24962806624386916</v>
      </c>
      <c r="IT43" s="727">
        <f t="shared" si="230"/>
        <v>-139.72481607536781</v>
      </c>
      <c r="IU43" s="9">
        <f t="shared" si="231"/>
        <v>-3.4240741145677207</v>
      </c>
      <c r="IV43" s="5">
        <f t="shared" si="232"/>
        <v>-0.48968120241248619</v>
      </c>
      <c r="IW43" s="5">
        <f t="shared" si="384"/>
        <v>0.19500000000000001</v>
      </c>
      <c r="IX43" s="5">
        <f t="shared" si="233"/>
        <v>-4.6094754889915022E-4</v>
      </c>
      <c r="IY43" s="762">
        <f t="shared" si="234"/>
        <v>39.599806500056111</v>
      </c>
    </row>
    <row r="44" spans="1:267" ht="15" customHeight="1" x14ac:dyDescent="0.25">
      <c r="A44" s="79"/>
      <c r="B44" s="707">
        <v>-0.4351502336616529</v>
      </c>
      <c r="C44" s="708">
        <v>-0.22357784354956559</v>
      </c>
      <c r="D44" s="709">
        <v>-0.45029999999999998</v>
      </c>
      <c r="E44" s="710">
        <v>-0.3971312619671028</v>
      </c>
      <c r="F44" s="708">
        <v>0.85165073963914661</v>
      </c>
      <c r="G44" s="711">
        <v>-0.34202014332566877</v>
      </c>
      <c r="H44" s="710">
        <v>0.26600000000000001</v>
      </c>
      <c r="I44" s="708">
        <v>0.52</v>
      </c>
      <c r="J44" s="570">
        <v>5.1020000000000003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5.1020000000000003</v>
      </c>
      <c r="N44" s="632">
        <f t="shared" si="240"/>
        <v>-0.4351502336616529</v>
      </c>
      <c r="O44" s="629">
        <f t="shared" si="241"/>
        <v>-0.22357784354956559</v>
      </c>
      <c r="P44" s="633">
        <f t="shared" si="242"/>
        <v>-0.45029999999999998</v>
      </c>
      <c r="Q44" s="585">
        <f t="shared" si="113"/>
        <v>207.19385439022591</v>
      </c>
      <c r="R44" s="629">
        <f t="shared" si="385"/>
        <v>0.48922671429723164</v>
      </c>
      <c r="S44" s="634">
        <f t="shared" si="386"/>
        <v>-0.45029999999999998</v>
      </c>
      <c r="T44" s="635">
        <f t="shared" si="387"/>
        <v>-0.22071208551425769</v>
      </c>
      <c r="U44" s="629">
        <f t="shared" si="388"/>
        <v>0.43661075718540432</v>
      </c>
      <c r="V44" s="636">
        <f t="shared" si="389"/>
        <v>-0.45029999999999998</v>
      </c>
      <c r="W44" s="585">
        <f t="shared" si="224"/>
        <v>116.81715653198943</v>
      </c>
      <c r="X44" s="629">
        <f t="shared" si="390"/>
        <v>0.48922671429723164</v>
      </c>
      <c r="Y44" s="630">
        <f t="shared" si="223"/>
        <v>-0.45029999999999998</v>
      </c>
      <c r="Z44" s="632">
        <f t="shared" si="243"/>
        <v>0.3971312619671028</v>
      </c>
      <c r="AA44" s="629">
        <f t="shared" si="244"/>
        <v>-0.85165073963914661</v>
      </c>
      <c r="AB44" s="629">
        <f t="shared" si="245"/>
        <v>0.34202014332566877</v>
      </c>
      <c r="AC44" s="636">
        <f t="shared" si="391"/>
        <v>1</v>
      </c>
      <c r="AD44" s="637">
        <f t="shared" si="392"/>
        <v>0.3971312619671028</v>
      </c>
      <c r="AE44" s="629">
        <f t="shared" si="393"/>
        <v>-0.85165073963914661</v>
      </c>
      <c r="AF44" s="633">
        <f t="shared" si="394"/>
        <v>0.34202014332566877</v>
      </c>
      <c r="AG44" s="602">
        <f t="shared" si="395"/>
        <v>-111.8802326724052</v>
      </c>
      <c r="AH44" s="603">
        <f t="shared" si="396"/>
        <v>66.601038130144104</v>
      </c>
      <c r="AI44" s="585">
        <f t="shared" si="397"/>
        <v>-110</v>
      </c>
      <c r="AJ44" s="586">
        <f t="shared" si="398"/>
        <v>24.999999999999993</v>
      </c>
      <c r="AK44" s="635">
        <f t="shared" si="399"/>
        <v>-0.93900385257726326</v>
      </c>
      <c r="AL44" s="629">
        <f t="shared" si="400"/>
        <v>3.5972022525100622E-2</v>
      </c>
      <c r="AM44" s="634">
        <f t="shared" si="401"/>
        <v>0.34202014332566877</v>
      </c>
      <c r="AN44" s="581">
        <f t="shared" si="402"/>
        <v>173.99598087034457</v>
      </c>
      <c r="AO44" s="582">
        <f t="shared" si="94"/>
        <v>159.88493378554821</v>
      </c>
      <c r="AP44" s="585">
        <f t="shared" si="403"/>
        <v>177.80614560977409</v>
      </c>
      <c r="AQ44" s="586">
        <f t="shared" si="246"/>
        <v>4.6496235162782682</v>
      </c>
      <c r="AS44" s="52">
        <f t="shared" si="406"/>
        <v>-243.18284346801056</v>
      </c>
      <c r="AT44" s="72">
        <f t="shared" si="247"/>
        <v>-0.27911186445524827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5.1020000000000003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-1.0226189412188096</v>
      </c>
      <c r="C45" s="708">
        <v>-0.49751900080988704</v>
      </c>
      <c r="D45" s="709">
        <v>-0.26930000000000009</v>
      </c>
      <c r="E45" s="710">
        <v>-0.40821789367673467</v>
      </c>
      <c r="F45" s="708">
        <v>0.87542609806559324</v>
      </c>
      <c r="G45" s="711">
        <v>-0.25881904510252079</v>
      </c>
      <c r="H45" s="710">
        <v>0.26600000000000001</v>
      </c>
      <c r="I45" s="708">
        <v>0.52</v>
      </c>
      <c r="J45" s="570">
        <v>5.1050000000000004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5.1050000000000004</v>
      </c>
      <c r="N45" s="632">
        <f t="shared" si="240"/>
        <v>-1.0226189412188096</v>
      </c>
      <c r="O45" s="629">
        <f t="shared" si="241"/>
        <v>-0.49751900080988704</v>
      </c>
      <c r="P45" s="633">
        <f t="shared" si="242"/>
        <v>-0.26930000000000009</v>
      </c>
      <c r="Q45" s="585">
        <f t="shared" si="113"/>
        <v>205.94359598665767</v>
      </c>
      <c r="R45" s="629">
        <f t="shared" si="385"/>
        <v>1.1372223419834608</v>
      </c>
      <c r="S45" s="634">
        <f t="shared" si="386"/>
        <v>-0.26930000000000009</v>
      </c>
      <c r="T45" s="635">
        <f t="shared" si="387"/>
        <v>-0.49078496769882718</v>
      </c>
      <c r="U45" s="629">
        <f t="shared" si="388"/>
        <v>1.0258678134083399</v>
      </c>
      <c r="V45" s="636">
        <f t="shared" si="389"/>
        <v>-0.26930000000000009</v>
      </c>
      <c r="W45" s="585">
        <f t="shared" si="224"/>
        <v>115.56689812842119</v>
      </c>
      <c r="X45" s="629">
        <f t="shared" si="390"/>
        <v>1.1372223419834608</v>
      </c>
      <c r="Y45" s="630">
        <f t="shared" si="223"/>
        <v>-0.26930000000000009</v>
      </c>
      <c r="Z45" s="632">
        <f t="shared" si="243"/>
        <v>0.40821789367673467</v>
      </c>
      <c r="AA45" s="629">
        <f t="shared" si="244"/>
        <v>-0.87542609806559324</v>
      </c>
      <c r="AB45" s="629">
        <f t="shared" si="245"/>
        <v>0.25881904510252079</v>
      </c>
      <c r="AC45" s="636">
        <f t="shared" si="391"/>
        <v>1</v>
      </c>
      <c r="AD45" s="637">
        <f t="shared" si="392"/>
        <v>0.40821789367673467</v>
      </c>
      <c r="AE45" s="629">
        <f t="shared" si="393"/>
        <v>-0.87542609806559324</v>
      </c>
      <c r="AF45" s="633">
        <f t="shared" si="394"/>
        <v>0.25881904510252079</v>
      </c>
      <c r="AG45" s="602">
        <f t="shared" si="395"/>
        <v>-106.4702729203279</v>
      </c>
      <c r="AH45" s="603">
        <f t="shared" si="396"/>
        <v>65.907065269236924</v>
      </c>
      <c r="AI45" s="585">
        <f t="shared" si="397"/>
        <v>-105.00000000000001</v>
      </c>
      <c r="AJ45" s="586">
        <f t="shared" si="398"/>
        <v>24.999999999999986</v>
      </c>
      <c r="AK45" s="635">
        <f t="shared" si="399"/>
        <v>-0.96579483848189285</v>
      </c>
      <c r="AL45" s="629">
        <f t="shared" si="400"/>
        <v>1.590697500953614E-2</v>
      </c>
      <c r="AM45" s="634">
        <f t="shared" si="401"/>
        <v>0.25881904510252079</v>
      </c>
      <c r="AN45" s="581">
        <f t="shared" si="402"/>
        <v>176.48303479348192</v>
      </c>
      <c r="AO45" s="582">
        <f t="shared" si="94"/>
        <v>164.97103005119095</v>
      </c>
      <c r="AP45" s="585">
        <f t="shared" si="403"/>
        <v>179.05640401334233</v>
      </c>
      <c r="AQ45" s="586">
        <f t="shared" si="246"/>
        <v>2.003827219169537</v>
      </c>
      <c r="AS45" s="52">
        <f t="shared" si="406"/>
        <v>-244.4331018715788</v>
      </c>
      <c r="AT45" s="72">
        <f t="shared" si="247"/>
        <v>-9.7243629452770458E-2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5.1050000000000004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-1.588698785001901</v>
      </c>
      <c r="C46" s="708">
        <v>-0.76148636709312778</v>
      </c>
      <c r="D46" s="709">
        <v>-0.11579999999999992</v>
      </c>
      <c r="E46" s="710">
        <v>-0.40821789367673467</v>
      </c>
      <c r="F46" s="708">
        <v>0.87542609806559324</v>
      </c>
      <c r="G46" s="711">
        <v>-0.25881904510252079</v>
      </c>
      <c r="H46" s="710">
        <v>0.26600000000000001</v>
      </c>
      <c r="I46" s="708">
        <v>0.52</v>
      </c>
      <c r="J46" s="570">
        <v>5.1079999999999997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5.1079999999999997</v>
      </c>
      <c r="N46" s="632">
        <f t="shared" si="240"/>
        <v>-1.588698785001901</v>
      </c>
      <c r="O46" s="629">
        <f t="shared" si="241"/>
        <v>-0.76148636709312778</v>
      </c>
      <c r="P46" s="633">
        <f t="shared" si="242"/>
        <v>-0.11579999999999992</v>
      </c>
      <c r="Q46" s="585">
        <f t="shared" si="113"/>
        <v>205.60907585059988</v>
      </c>
      <c r="R46" s="629">
        <f t="shared" si="385"/>
        <v>1.761767668205773</v>
      </c>
      <c r="S46" s="634">
        <f t="shared" si="386"/>
        <v>-0.11579999999999992</v>
      </c>
      <c r="T46" s="635">
        <f t="shared" si="387"/>
        <v>-0.7510248970608786</v>
      </c>
      <c r="U46" s="629">
        <f t="shared" si="388"/>
        <v>1.5936708947363956</v>
      </c>
      <c r="V46" s="636">
        <f t="shared" si="389"/>
        <v>-0.11579999999999992</v>
      </c>
      <c r="W46" s="585">
        <f t="shared" si="224"/>
        <v>115.2323779923634</v>
      </c>
      <c r="X46" s="629">
        <f t="shared" si="390"/>
        <v>1.761767668205773</v>
      </c>
      <c r="Y46" s="630">
        <f t="shared" si="223"/>
        <v>-0.11579999999999992</v>
      </c>
      <c r="Z46" s="632">
        <f t="shared" si="243"/>
        <v>0.40821789367673467</v>
      </c>
      <c r="AA46" s="629">
        <f t="shared" si="244"/>
        <v>-0.87542609806559324</v>
      </c>
      <c r="AB46" s="629">
        <f t="shared" si="245"/>
        <v>0.25881904510252079</v>
      </c>
      <c r="AC46" s="636">
        <f t="shared" si="391"/>
        <v>1</v>
      </c>
      <c r="AD46" s="637">
        <f t="shared" si="392"/>
        <v>0.40821789367673467</v>
      </c>
      <c r="AE46" s="629">
        <f t="shared" si="393"/>
        <v>-0.87542609806559324</v>
      </c>
      <c r="AF46" s="633">
        <f t="shared" si="394"/>
        <v>0.25881904510252079</v>
      </c>
      <c r="AG46" s="602">
        <f t="shared" si="395"/>
        <v>-106.4702729203279</v>
      </c>
      <c r="AH46" s="603">
        <f t="shared" si="396"/>
        <v>65.907065269236924</v>
      </c>
      <c r="AI46" s="585">
        <f t="shared" si="397"/>
        <v>-105.00000000000001</v>
      </c>
      <c r="AJ46" s="586">
        <f t="shared" si="398"/>
        <v>24.999999999999986</v>
      </c>
      <c r="AK46" s="635">
        <f t="shared" si="399"/>
        <v>-0.96587124959959147</v>
      </c>
      <c r="AL46" s="629">
        <f t="shared" si="400"/>
        <v>1.0267964216098879E-2</v>
      </c>
      <c r="AM46" s="634">
        <f t="shared" si="401"/>
        <v>0.25881904510252079</v>
      </c>
      <c r="AN46" s="581">
        <f t="shared" si="402"/>
        <v>177.72813218689291</v>
      </c>
      <c r="AO46" s="582">
        <f t="shared" si="94"/>
        <v>164.98792289600615</v>
      </c>
      <c r="AP46" s="585">
        <f t="shared" si="403"/>
        <v>179.39092414940012</v>
      </c>
      <c r="AQ46" s="586">
        <f t="shared" si="246"/>
        <v>1.2937796458562074</v>
      </c>
      <c r="AS46" s="52">
        <f t="shared" si="406"/>
        <v>-244.76762200763659</v>
      </c>
      <c r="AT46" s="72">
        <f t="shared" si="247"/>
        <v>5.6488676197269841E-2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5.1079999999999997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-2.1767049324731897</v>
      </c>
      <c r="C47" s="708">
        <v>-1.0141622672814385</v>
      </c>
      <c r="D47" s="709">
        <v>-6.7300000000000124E-2</v>
      </c>
      <c r="E47" s="710">
        <v>-0.38705885397932255</v>
      </c>
      <c r="F47" s="708">
        <v>0.88511793352704415</v>
      </c>
      <c r="G47" s="711">
        <v>-0.25836347904653356</v>
      </c>
      <c r="H47" s="710">
        <v>0.26600000000000001</v>
      </c>
      <c r="I47" s="708">
        <v>0.52</v>
      </c>
      <c r="J47" s="570">
        <v>5.1109999999999998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5.1109999999999998</v>
      </c>
      <c r="N47" s="632">
        <f t="shared" si="240"/>
        <v>-2.1767049324731897</v>
      </c>
      <c r="O47" s="629">
        <f t="shared" si="241"/>
        <v>-1.0141622672814385</v>
      </c>
      <c r="P47" s="633">
        <f t="shared" si="242"/>
        <v>-6.7300000000000124E-2</v>
      </c>
      <c r="Q47" s="585">
        <f t="shared" si="113"/>
        <v>204.98157809819597</v>
      </c>
      <c r="R47" s="629">
        <f t="shared" si="385"/>
        <v>2.4013682490260715</v>
      </c>
      <c r="S47" s="634">
        <f t="shared" si="386"/>
        <v>-6.7300000000000124E-2</v>
      </c>
      <c r="T47" s="635">
        <f t="shared" si="387"/>
        <v>-0.99982944833690746</v>
      </c>
      <c r="U47" s="629">
        <f t="shared" si="388"/>
        <v>2.183325569325119</v>
      </c>
      <c r="V47" s="636">
        <f t="shared" si="389"/>
        <v>-6.7300000000000124E-2</v>
      </c>
      <c r="W47" s="585">
        <f t="shared" si="224"/>
        <v>114.60488023995948</v>
      </c>
      <c r="X47" s="629">
        <f t="shared" si="390"/>
        <v>2.4013682490260715</v>
      </c>
      <c r="Y47" s="630">
        <f t="shared" si="223"/>
        <v>-6.7300000000000124E-2</v>
      </c>
      <c r="Z47" s="632">
        <f t="shared" si="243"/>
        <v>0.38705885397932255</v>
      </c>
      <c r="AA47" s="629">
        <f t="shared" si="244"/>
        <v>-0.88511793352704415</v>
      </c>
      <c r="AB47" s="629">
        <f t="shared" si="245"/>
        <v>0.25836347904653356</v>
      </c>
      <c r="AC47" s="636">
        <f t="shared" si="391"/>
        <v>1</v>
      </c>
      <c r="AD47" s="637">
        <f t="shared" si="392"/>
        <v>0.38705885397932255</v>
      </c>
      <c r="AE47" s="629">
        <f t="shared" si="393"/>
        <v>-0.88511793352704415</v>
      </c>
      <c r="AF47" s="633">
        <f t="shared" si="394"/>
        <v>0.25836347904653356</v>
      </c>
      <c r="AG47" s="602">
        <f t="shared" si="395"/>
        <v>-106.2723789310658</v>
      </c>
      <c r="AH47" s="603">
        <f t="shared" si="396"/>
        <v>67.228383952228199</v>
      </c>
      <c r="AI47" s="585">
        <f t="shared" si="397"/>
        <v>-104.97297891468853</v>
      </c>
      <c r="AJ47" s="586">
        <f t="shared" si="398"/>
        <v>23.619583959747729</v>
      </c>
      <c r="AK47" s="635">
        <f t="shared" si="399"/>
        <v>-0.96577484839837224</v>
      </c>
      <c r="AL47" s="629">
        <f t="shared" si="400"/>
        <v>2.2962031619015666E-2</v>
      </c>
      <c r="AM47" s="634">
        <f t="shared" si="401"/>
        <v>0.25836347904653356</v>
      </c>
      <c r="AN47" s="581">
        <f t="shared" si="402"/>
        <v>174.92118664582344</v>
      </c>
      <c r="AO47" s="582">
        <f t="shared" si="94"/>
        <v>164.96661373673771</v>
      </c>
      <c r="AP47" s="585">
        <f t="shared" si="403"/>
        <v>178.63800586155176</v>
      </c>
      <c r="AQ47" s="586">
        <f t="shared" si="246"/>
        <v>0.94925800873494848</v>
      </c>
      <c r="AS47" s="52">
        <f t="shared" si="406"/>
        <v>-245.39511976004053</v>
      </c>
      <c r="AT47" s="72">
        <f t="shared" si="247"/>
        <v>0.10542443852532792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5.1109999999999998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-2.7636296433160816</v>
      </c>
      <c r="C48" s="708">
        <v>-1.1846839192848946</v>
      </c>
      <c r="D48" s="709">
        <v>-0.3287000000000001</v>
      </c>
      <c r="E48" s="710">
        <v>-0.26495744008229766</v>
      </c>
      <c r="F48" s="708">
        <v>0.93653229417165451</v>
      </c>
      <c r="G48" s="711">
        <v>-0.22957529683877859</v>
      </c>
      <c r="H48" s="710">
        <v>0.26600000000000001</v>
      </c>
      <c r="I48" s="708">
        <v>0.52</v>
      </c>
      <c r="J48" s="570">
        <v>5.1139999999999999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5.1139999999999999</v>
      </c>
      <c r="N48" s="632">
        <f t="shared" si="240"/>
        <v>-2.7636296433160816</v>
      </c>
      <c r="O48" s="629">
        <f t="shared" si="241"/>
        <v>-1.1846839192848946</v>
      </c>
      <c r="P48" s="633">
        <f t="shared" si="242"/>
        <v>-0.3287000000000001</v>
      </c>
      <c r="Q48" s="585">
        <f t="shared" si="113"/>
        <v>203.20334068373</v>
      </c>
      <c r="R48" s="629">
        <f t="shared" si="79"/>
        <v>3.0068463203209421</v>
      </c>
      <c r="S48" s="634">
        <f t="shared" si="80"/>
        <v>-0.3287000000000001</v>
      </c>
      <c r="T48" s="635">
        <f t="shared" si="81"/>
        <v>-1.1664886369864524</v>
      </c>
      <c r="U48" s="629">
        <f t="shared" si="82"/>
        <v>2.771358701757872</v>
      </c>
      <c r="V48" s="636">
        <f t="shared" si="114"/>
        <v>-0.3287000000000001</v>
      </c>
      <c r="W48" s="585">
        <f t="shared" si="224"/>
        <v>112.82664282549352</v>
      </c>
      <c r="X48" s="629">
        <f t="shared" si="83"/>
        <v>3.0068463203209421</v>
      </c>
      <c r="Y48" s="630">
        <f t="shared" si="223"/>
        <v>-0.3287000000000001</v>
      </c>
      <c r="Z48" s="632">
        <f t="shared" si="243"/>
        <v>0.26495744008229766</v>
      </c>
      <c r="AA48" s="629">
        <f t="shared" si="244"/>
        <v>-0.93653229417165451</v>
      </c>
      <c r="AB48" s="629">
        <f t="shared" si="245"/>
        <v>0.22957529683877859</v>
      </c>
      <c r="AC48" s="636">
        <f t="shared" si="84"/>
        <v>1</v>
      </c>
      <c r="AD48" s="637">
        <f t="shared" si="115"/>
        <v>0.26495744008229766</v>
      </c>
      <c r="AE48" s="629">
        <f t="shared" si="85"/>
        <v>-0.93653229417165451</v>
      </c>
      <c r="AF48" s="633">
        <f t="shared" si="86"/>
        <v>0.22957529683877859</v>
      </c>
      <c r="AG48" s="602">
        <f t="shared" si="87"/>
        <v>-103.77350810573294</v>
      </c>
      <c r="AH48" s="603">
        <f t="shared" si="88"/>
        <v>74.635576103324595</v>
      </c>
      <c r="AI48" s="585">
        <f t="shared" si="89"/>
        <v>-103.27206899440382</v>
      </c>
      <c r="AJ48" s="586">
        <f t="shared" si="90"/>
        <v>15.796913660559623</v>
      </c>
      <c r="AK48" s="635">
        <f t="shared" si="211"/>
        <v>-0.96517045418743785</v>
      </c>
      <c r="AL48" s="629">
        <f t="shared" si="91"/>
        <v>0.12546384915584907</v>
      </c>
      <c r="AM48" s="634">
        <f t="shared" si="92"/>
        <v>0.22957529683877859</v>
      </c>
      <c r="AN48" s="581">
        <f t="shared" si="93"/>
        <v>151.34321309455862</v>
      </c>
      <c r="AO48" s="582">
        <f t="shared" si="94"/>
        <v>164.83368100743266</v>
      </c>
      <c r="AP48" s="585">
        <f t="shared" si="95"/>
        <v>172.59357297682962</v>
      </c>
      <c r="AQ48" s="586">
        <f t="shared" si="246"/>
        <v>0.75813438382424791</v>
      </c>
      <c r="AS48" s="52">
        <f t="shared" si="406"/>
        <v>-247.17335717450646</v>
      </c>
      <c r="AT48" s="72">
        <f t="shared" si="247"/>
        <v>-0.15474067438129294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5.1139999999999999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-3.1842292923435767</v>
      </c>
      <c r="C49" s="708">
        <v>-1.2589998343902609</v>
      </c>
      <c r="D49" s="709">
        <v>-0.82630000000000015</v>
      </c>
      <c r="E49" s="710">
        <v>-0.1270388561450953</v>
      </c>
      <c r="F49" s="708">
        <v>0.95888558714694827</v>
      </c>
      <c r="G49" s="711">
        <v>-0.25377068347466386</v>
      </c>
      <c r="H49" s="710">
        <v>0.26600000000000001</v>
      </c>
      <c r="I49" s="708">
        <v>0.52</v>
      </c>
      <c r="J49" s="570">
        <v>5.117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5.117</v>
      </c>
      <c r="N49" s="632">
        <f t="shared" si="240"/>
        <v>-3.1842292923435767</v>
      </c>
      <c r="O49" s="629">
        <f t="shared" si="241"/>
        <v>-1.2589998343902609</v>
      </c>
      <c r="P49" s="633">
        <f t="shared" si="242"/>
        <v>-0.82630000000000015</v>
      </c>
      <c r="Q49" s="585">
        <f t="shared" si="113"/>
        <v>201.57315097488512</v>
      </c>
      <c r="R49" s="629">
        <f t="shared" si="79"/>
        <v>3.424090648509992</v>
      </c>
      <c r="S49" s="634">
        <f t="shared" si="80"/>
        <v>-0.82630000000000015</v>
      </c>
      <c r="T49" s="635">
        <f t="shared" si="81"/>
        <v>-1.2380376838583163</v>
      </c>
      <c r="U49" s="629">
        <f t="shared" si="82"/>
        <v>3.1924378557084419</v>
      </c>
      <c r="V49" s="636">
        <f t="shared" si="114"/>
        <v>-0.82630000000000015</v>
      </c>
      <c r="W49" s="585">
        <f t="shared" si="224"/>
        <v>111.19645311664864</v>
      </c>
      <c r="X49" s="629">
        <f t="shared" si="83"/>
        <v>3.424090648509992</v>
      </c>
      <c r="Y49" s="630">
        <f t="shared" si="223"/>
        <v>-0.82630000000000015</v>
      </c>
      <c r="Z49" s="632">
        <f t="shared" si="243"/>
        <v>0.1270388561450953</v>
      </c>
      <c r="AA49" s="629">
        <f t="shared" si="244"/>
        <v>-0.95888558714694827</v>
      </c>
      <c r="AB49" s="629">
        <f t="shared" si="245"/>
        <v>0.25377068347466386</v>
      </c>
      <c r="AC49" s="636">
        <f t="shared" si="84"/>
        <v>1</v>
      </c>
      <c r="AD49" s="637">
        <f t="shared" si="115"/>
        <v>0.1270388561450953</v>
      </c>
      <c r="AE49" s="629">
        <f t="shared" si="85"/>
        <v>-0.95888558714694827</v>
      </c>
      <c r="AF49" s="633">
        <f t="shared" si="86"/>
        <v>0.25377068347466386</v>
      </c>
      <c r="AG49" s="602">
        <f t="shared" si="87"/>
        <v>-104.82357782752963</v>
      </c>
      <c r="AH49" s="603">
        <f t="shared" si="88"/>
        <v>82.701487562122168</v>
      </c>
      <c r="AI49" s="585">
        <f t="shared" si="89"/>
        <v>-104.70075458515328</v>
      </c>
      <c r="AJ49" s="586">
        <f t="shared" si="90"/>
        <v>7.5469339622682678</v>
      </c>
      <c r="AK49" s="635">
        <f t="shared" si="211"/>
        <v>-0.93842535239113656</v>
      </c>
      <c r="AL49" s="629">
        <f t="shared" si="91"/>
        <v>0.23443186259203974</v>
      </c>
      <c r="AM49" s="634">
        <f t="shared" si="92"/>
        <v>0.25377068347466386</v>
      </c>
      <c r="AN49" s="581">
        <f t="shared" si="93"/>
        <v>137.26843104526958</v>
      </c>
      <c r="AO49" s="582">
        <f t="shared" si="94"/>
        <v>159.78877435650068</v>
      </c>
      <c r="AP49" s="585">
        <f t="shared" si="95"/>
        <v>165.97378298738315</v>
      </c>
      <c r="AQ49" s="586">
        <f t="shared" si="246"/>
        <v>0.66576042047196182</v>
      </c>
      <c r="AS49" s="52">
        <f t="shared" si="406"/>
        <v>-248.80354688335137</v>
      </c>
      <c r="AT49" s="72">
        <f t="shared" si="247"/>
        <v>-0.65120859819459509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5.117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-3.3408109577664167</v>
      </c>
      <c r="C50" s="708">
        <v>-1.2769565059473664</v>
      </c>
      <c r="D50" s="709">
        <v>-1.4614000000000003</v>
      </c>
      <c r="E50" s="710">
        <v>3.9311600685384571E-2</v>
      </c>
      <c r="F50" s="708">
        <v>0.98313499841231822</v>
      </c>
      <c r="G50" s="711">
        <v>-0.17860619515673043</v>
      </c>
      <c r="H50" s="710">
        <v>0.26600000000000001</v>
      </c>
      <c r="I50" s="708">
        <v>0.52</v>
      </c>
      <c r="J50" s="570">
        <v>5.12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5.12</v>
      </c>
      <c r="N50" s="632">
        <f t="shared" si="240"/>
        <v>-3.3408109577664167</v>
      </c>
      <c r="O50" s="629">
        <f t="shared" si="241"/>
        <v>-1.2769565059473664</v>
      </c>
      <c r="P50" s="633">
        <f t="shared" si="242"/>
        <v>-1.4614000000000003</v>
      </c>
      <c r="Q50" s="585">
        <f t="shared" si="113"/>
        <v>200.91833098932253</v>
      </c>
      <c r="R50" s="629">
        <f t="shared" si="79"/>
        <v>3.5765396368016766</v>
      </c>
      <c r="S50" s="634">
        <f t="shared" si="80"/>
        <v>-1.4614000000000003</v>
      </c>
      <c r="T50" s="635">
        <f t="shared" si="81"/>
        <v>-1.2549645101172904</v>
      </c>
      <c r="U50" s="629">
        <f t="shared" si="82"/>
        <v>3.3491341943791295</v>
      </c>
      <c r="V50" s="636">
        <f t="shared" si="114"/>
        <v>-1.4614000000000003</v>
      </c>
      <c r="W50" s="585">
        <f t="shared" si="224"/>
        <v>110.54163313108604</v>
      </c>
      <c r="X50" s="629">
        <f t="shared" si="83"/>
        <v>3.5765396368016766</v>
      </c>
      <c r="Y50" s="630">
        <f t="shared" si="223"/>
        <v>-1.4614000000000003</v>
      </c>
      <c r="Z50" s="632">
        <f t="shared" si="243"/>
        <v>-3.9311600685384571E-2</v>
      </c>
      <c r="AA50" s="629">
        <f t="shared" si="244"/>
        <v>-0.98313499841231822</v>
      </c>
      <c r="AB50" s="629">
        <f t="shared" si="245"/>
        <v>0.17860619515673043</v>
      </c>
      <c r="AC50" s="636">
        <f t="shared" si="84"/>
        <v>1</v>
      </c>
      <c r="AD50" s="637">
        <f t="shared" si="115"/>
        <v>-3.9311600685384571E-2</v>
      </c>
      <c r="AE50" s="629">
        <f t="shared" si="85"/>
        <v>-0.98313499841231822</v>
      </c>
      <c r="AF50" s="633">
        <f t="shared" si="86"/>
        <v>0.17860619515673043</v>
      </c>
      <c r="AG50" s="602">
        <f t="shared" si="87"/>
        <v>-100.29663113259238</v>
      </c>
      <c r="AH50" s="603">
        <f t="shared" si="88"/>
        <v>92.252969350003639</v>
      </c>
      <c r="AI50" s="585">
        <f t="shared" si="89"/>
        <v>-100.28858513676252</v>
      </c>
      <c r="AJ50" s="586">
        <f t="shared" si="90"/>
        <v>-2.2898071251436951</v>
      </c>
      <c r="AK50" s="635">
        <f t="shared" si="211"/>
        <v>-0.90430116812500427</v>
      </c>
      <c r="AL50" s="629">
        <f t="shared" si="91"/>
        <v>0.38773602409292424</v>
      </c>
      <c r="AM50" s="634">
        <f t="shared" si="92"/>
        <v>0.17860619515673043</v>
      </c>
      <c r="AN50" s="581">
        <f t="shared" si="93"/>
        <v>114.73262381748884</v>
      </c>
      <c r="AO50" s="582">
        <f t="shared" si="94"/>
        <v>154.72932601017857</v>
      </c>
      <c r="AP50" s="585">
        <f t="shared" si="95"/>
        <v>156.79186188553376</v>
      </c>
      <c r="AQ50" s="586">
        <f t="shared" si="246"/>
        <v>0.637384964547136</v>
      </c>
      <c r="AS50" s="52">
        <f t="shared" si="406"/>
        <v>-249.45836686891397</v>
      </c>
      <c r="AT50" s="72">
        <f t="shared" si="247"/>
        <v>-1.28585386209351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5.12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1313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-3.4053933345339478</v>
      </c>
      <c r="C51" s="708">
        <v>-1.2827974485987428</v>
      </c>
      <c r="D51" s="709">
        <v>-2.1055000000000001</v>
      </c>
      <c r="E51" s="710">
        <v>0.12370688185368521</v>
      </c>
      <c r="F51" s="708">
        <v>0.9695592083998047</v>
      </c>
      <c r="G51" s="711">
        <v>-0.21130913087034967</v>
      </c>
      <c r="H51" s="710">
        <v>0.26600000000000001</v>
      </c>
      <c r="I51" s="708">
        <v>0.52</v>
      </c>
      <c r="J51" s="570">
        <v>5.1230000000000002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5.1230000000000002</v>
      </c>
      <c r="N51" s="632">
        <f t="shared" si="240"/>
        <v>-3.4053933345339478</v>
      </c>
      <c r="O51" s="629">
        <f t="shared" si="241"/>
        <v>-1.2827974485987428</v>
      </c>
      <c r="P51" s="633">
        <f t="shared" si="242"/>
        <v>-2.1055000000000001</v>
      </c>
      <c r="Q51" s="585">
        <f t="shared" si="113"/>
        <v>200.6411821855107</v>
      </c>
      <c r="R51" s="629">
        <f t="shared" si="79"/>
        <v>3.6389934126100978</v>
      </c>
      <c r="S51" s="634">
        <f t="shared" si="80"/>
        <v>-2.1055000000000001</v>
      </c>
      <c r="T51" s="635">
        <f t="shared" si="81"/>
        <v>-1.2603807251378951</v>
      </c>
      <c r="U51" s="629">
        <f t="shared" si="82"/>
        <v>3.4137535770351906</v>
      </c>
      <c r="V51" s="636">
        <f t="shared" si="114"/>
        <v>-2.1055000000000001</v>
      </c>
      <c r="W51" s="585">
        <f t="shared" si="224"/>
        <v>110.26448432727422</v>
      </c>
      <c r="X51" s="629">
        <f t="shared" si="83"/>
        <v>3.6389934126100978</v>
      </c>
      <c r="Y51" s="630">
        <f t="shared" si="223"/>
        <v>-2.1055000000000001</v>
      </c>
      <c r="Z51" s="632">
        <f t="shared" si="243"/>
        <v>-0.12370688185368521</v>
      </c>
      <c r="AA51" s="629">
        <f t="shared" si="244"/>
        <v>-0.9695592083998047</v>
      </c>
      <c r="AB51" s="629">
        <f t="shared" si="245"/>
        <v>0.21130913087034967</v>
      </c>
      <c r="AC51" s="636">
        <f t="shared" si="84"/>
        <v>1</v>
      </c>
      <c r="AD51" s="637">
        <f t="shared" si="115"/>
        <v>-0.12370688185368521</v>
      </c>
      <c r="AE51" s="629">
        <f t="shared" si="85"/>
        <v>-0.9695592083998047</v>
      </c>
      <c r="AF51" s="633">
        <f t="shared" si="86"/>
        <v>0.21130913087034967</v>
      </c>
      <c r="AG51" s="602">
        <f t="shared" si="87"/>
        <v>-102.29498121304449</v>
      </c>
      <c r="AH51" s="603">
        <f t="shared" si="88"/>
        <v>97.106085975727652</v>
      </c>
      <c r="AI51" s="585">
        <f t="shared" si="89"/>
        <v>-102.19908169044881</v>
      </c>
      <c r="AJ51" s="586">
        <f t="shared" si="90"/>
        <v>-7.2711303475578832</v>
      </c>
      <c r="AK51" s="635">
        <f t="shared" si="211"/>
        <v>-0.86371126213452554</v>
      </c>
      <c r="AL51" s="629">
        <f t="shared" si="91"/>
        <v>0.45754923983414342</v>
      </c>
      <c r="AM51" s="634">
        <f t="shared" si="92"/>
        <v>0.21130913087034967</v>
      </c>
      <c r="AN51" s="581">
        <f t="shared" si="93"/>
        <v>114.78882345757953</v>
      </c>
      <c r="AO51" s="582">
        <f t="shared" si="94"/>
        <v>149.73587243612869</v>
      </c>
      <c r="AP51" s="585">
        <f t="shared" si="95"/>
        <v>152.08768746693141</v>
      </c>
      <c r="AQ51" s="586">
        <f t="shared" si="246"/>
        <v>0.62644680305154743</v>
      </c>
      <c r="AS51" s="52">
        <f t="shared" si="406"/>
        <v>-249.7355156727258</v>
      </c>
      <c r="AT51" s="72">
        <f t="shared" si="247"/>
        <v>-1.9297613976464185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5.1230000000000002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-2.4072245116399098</v>
      </c>
      <c r="C52" s="708">
        <v>-2.2516098818471861E-2</v>
      </c>
      <c r="D52" s="709">
        <v>0.12795571034188835</v>
      </c>
      <c r="E52" s="710">
        <v>-5.9305853282993003E-2</v>
      </c>
      <c r="F52" s="708">
        <v>-2.4842123024992771E-4</v>
      </c>
      <c r="G52" s="711">
        <v>0.99823982792376531</v>
      </c>
      <c r="H52" s="710">
        <v>0.19500000000000001</v>
      </c>
      <c r="I52" s="708">
        <v>0.438</v>
      </c>
      <c r="J52" s="570">
        <v>5.2110000000000003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Undefined</v>
      </c>
      <c r="L52" s="320"/>
      <c r="M52" s="168">
        <f t="shared" si="239"/>
        <v>5.2110000000000003</v>
      </c>
      <c r="N52" s="632">
        <f t="shared" si="240"/>
        <v>-2.4072245116399098</v>
      </c>
      <c r="O52" s="629">
        <f t="shared" si="241"/>
        <v>-2.2516098818471861E-2</v>
      </c>
      <c r="P52" s="633">
        <f t="shared" si="242"/>
        <v>0.12795571034188835</v>
      </c>
      <c r="Q52" s="585">
        <f t="shared" si="113"/>
        <v>180.53590340520273</v>
      </c>
      <c r="R52" s="629">
        <f t="shared" si="79"/>
        <v>2.4073298120835056</v>
      </c>
      <c r="S52" s="634">
        <f t="shared" si="80"/>
        <v>0.12795571034188835</v>
      </c>
      <c r="T52" s="635">
        <f t="shared" si="81"/>
        <v>-6.6891448118663738E-3</v>
      </c>
      <c r="U52" s="629">
        <f t="shared" si="82"/>
        <v>2.40732051864468</v>
      </c>
      <c r="V52" s="636">
        <f t="shared" si="114"/>
        <v>0.12795571034188835</v>
      </c>
      <c r="W52" s="585">
        <f t="shared" si="224"/>
        <v>90.159205546966248</v>
      </c>
      <c r="X52" s="629">
        <f t="shared" si="83"/>
        <v>2.4073298120835056</v>
      </c>
      <c r="Y52" s="630">
        <f t="shared" si="223"/>
        <v>0.12795571034188835</v>
      </c>
      <c r="Z52" s="632">
        <f t="shared" si="243"/>
        <v>5.9305853282993003E-2</v>
      </c>
      <c r="AA52" s="629">
        <f t="shared" si="244"/>
        <v>2.4842123024992771E-4</v>
      </c>
      <c r="AB52" s="629">
        <f t="shared" si="245"/>
        <v>-0.99823982792376531</v>
      </c>
      <c r="AC52" s="636">
        <f t="shared" si="84"/>
        <v>1</v>
      </c>
      <c r="AD52" s="637">
        <f t="shared" si="115"/>
        <v>5.9305853282993003E-2</v>
      </c>
      <c r="AE52" s="629">
        <f t="shared" si="85"/>
        <v>2.4842123024992771E-4</v>
      </c>
      <c r="AF52" s="633">
        <f t="shared" si="86"/>
        <v>-0.99823982792376531</v>
      </c>
      <c r="AG52" s="602">
        <f t="shared" si="87"/>
        <v>1.425858530463729E-2</v>
      </c>
      <c r="AH52" s="603">
        <f t="shared" si="88"/>
        <v>86.600029863155044</v>
      </c>
      <c r="AI52" s="585">
        <f t="shared" si="89"/>
        <v>-3.3999999999999537</v>
      </c>
      <c r="AJ52" s="586">
        <f t="shared" si="90"/>
        <v>90.239999999999981</v>
      </c>
      <c r="AK52" s="635">
        <f t="shared" si="211"/>
        <v>-3.062857339544126E-4</v>
      </c>
      <c r="AL52" s="629">
        <f t="shared" si="91"/>
        <v>-5.9305582669599552E-2</v>
      </c>
      <c r="AM52" s="634">
        <f t="shared" si="92"/>
        <v>-0.99823982792376531</v>
      </c>
      <c r="AN52" s="581">
        <f t="shared" si="93"/>
        <v>-3.3999547641645891</v>
      </c>
      <c r="AO52" s="582">
        <f t="shared" si="94"/>
        <v>90.017548880155033</v>
      </c>
      <c r="AP52" s="585">
        <f t="shared" si="95"/>
        <v>-90.295903405202736</v>
      </c>
      <c r="AQ52" s="586">
        <f t="shared" si="246"/>
        <v>0.94690767444131119</v>
      </c>
      <c r="AS52" s="52">
        <f t="shared" si="406"/>
        <v>-269.84079445303377</v>
      </c>
      <c r="AT52" s="72">
        <f t="shared" si="247"/>
        <v>0.31765631184846171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5.2110000000000003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5.1109999999999998</v>
      </c>
      <c r="II52" s="734" cm="1">
        <f t="array" ref="II52">IFERROR(ROUND(VALUE(IF($IH52&lt;1,$IH52+LARGE((IF($M$9:$M$150="",0,$M$9:$M$150)-MOD(IF($M$9:$M$150="",0,$M$9:$M$150),1)),1),$IH52)),4),"")</f>
        <v>5.1109999999999998</v>
      </c>
      <c r="IJ52" s="533">
        <f t="shared" si="112"/>
        <v>1313</v>
      </c>
      <c r="IK52" s="533" t="str">
        <f t="shared" si="382"/>
        <v>Undefined</v>
      </c>
      <c r="IL52" s="727">
        <f t="shared" si="225"/>
        <v>24.445674692993236</v>
      </c>
      <c r="IM52" s="759">
        <v>7.7408134195919005E-4</v>
      </c>
      <c r="IN52" s="5">
        <f t="shared" si="226"/>
        <v>0</v>
      </c>
      <c r="IO52" s="771">
        <v>0</v>
      </c>
      <c r="IP52" s="9">
        <f t="shared" si="227"/>
        <v>-2.4013682490260715</v>
      </c>
      <c r="IQ52" s="5">
        <f t="shared" si="228"/>
        <v>-6.7300000000000124E-2</v>
      </c>
      <c r="IR52" s="5">
        <f t="shared" si="383"/>
        <v>0.26600000000000001</v>
      </c>
      <c r="IS52" s="5">
        <f t="shared" si="229"/>
        <v>-0.25689610967396698</v>
      </c>
      <c r="IT52" s="727">
        <f t="shared" si="230"/>
        <v>-174.92118664582344</v>
      </c>
      <c r="IU52" s="9">
        <f t="shared" si="231"/>
        <v>-2.4073298120835056</v>
      </c>
      <c r="IV52" s="5">
        <f t="shared" si="232"/>
        <v>0.12795571034188835</v>
      </c>
      <c r="IW52" s="5">
        <f t="shared" si="384"/>
        <v>0.19500000000000001</v>
      </c>
      <c r="IX52" s="5">
        <f t="shared" si="233"/>
        <v>-5.9725718121100794E-5</v>
      </c>
      <c r="IY52" s="762">
        <f t="shared" si="234"/>
        <v>3.3999547641645891</v>
      </c>
    </row>
    <row r="53" spans="1:259" ht="15" customHeight="1" x14ac:dyDescent="0.25">
      <c r="A53" s="79"/>
      <c r="B53" s="707">
        <v>-3.0873735718533308</v>
      </c>
      <c r="C53" s="708">
        <v>-0.18020460446103168</v>
      </c>
      <c r="D53" s="709">
        <v>-0.15560068103033989</v>
      </c>
      <c r="E53" s="710">
        <v>-0.46107292278745637</v>
      </c>
      <c r="F53" s="708">
        <v>-2.4970816901116678E-2</v>
      </c>
      <c r="G53" s="711">
        <v>0.88701083317822182</v>
      </c>
      <c r="H53" s="710">
        <v>0.19500000000000001</v>
      </c>
      <c r="I53" s="708">
        <v>0.438</v>
      </c>
      <c r="J53" s="570">
        <v>5.2140000000000004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Undefined</v>
      </c>
      <c r="L53" s="320"/>
      <c r="M53" s="168">
        <f t="shared" si="239"/>
        <v>5.2140000000000004</v>
      </c>
      <c r="N53" s="632">
        <f t="shared" si="240"/>
        <v>-3.0873735718533308</v>
      </c>
      <c r="O53" s="629">
        <f t="shared" si="241"/>
        <v>-0.18020460446103168</v>
      </c>
      <c r="P53" s="633">
        <f t="shared" si="242"/>
        <v>-0.15560068103033989</v>
      </c>
      <c r="Q53" s="585">
        <f t="shared" si="113"/>
        <v>183.34046455440753</v>
      </c>
      <c r="R53" s="629">
        <f t="shared" ref="R53:R58" si="410">IF(M53="","",SQRT(N53^2+O53^2))</f>
        <v>3.0926282142616741</v>
      </c>
      <c r="S53" s="634">
        <f t="shared" ref="S53:S58" si="411">IF(M53="","",P53)</f>
        <v>-0.15560068103033989</v>
      </c>
      <c r="T53" s="635">
        <f t="shared" ref="T53:T58" si="412">IF(M53="","",X53*COS(RADIANS(W53)))</f>
        <v>-0.15990255439818357</v>
      </c>
      <c r="U53" s="629">
        <f t="shared" ref="U53:U58" si="413">IF(M53="","",X53*SIN(RADIANS(W53)))</f>
        <v>3.0884916131898899</v>
      </c>
      <c r="V53" s="636">
        <f t="shared" ref="V53:V58" si="414">IF(M53="","",Y53)</f>
        <v>-0.15560068103033989</v>
      </c>
      <c r="W53" s="585">
        <f t="shared" si="224"/>
        <v>92.963766696171049</v>
      </c>
      <c r="X53" s="629">
        <f t="shared" ref="X53:X58" si="415">IF(M53="","",R53)</f>
        <v>3.0926282142616741</v>
      </c>
      <c r="Y53" s="630">
        <f t="shared" si="223"/>
        <v>-0.15560068103033989</v>
      </c>
      <c r="Z53" s="632">
        <f t="shared" si="243"/>
        <v>0.46107292278745637</v>
      </c>
      <c r="AA53" s="629">
        <f t="shared" si="244"/>
        <v>2.4970816901116678E-2</v>
      </c>
      <c r="AB53" s="629">
        <f t="shared" si="245"/>
        <v>-0.88701083317822182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0.46107292278745637</v>
      </c>
      <c r="AE53" s="629">
        <f t="shared" ref="AE53:AE58" si="418">IF(M53="","",AA53*(1/SQRT(Z53^2+AA53^2+AB53^2)))</f>
        <v>2.4970816901116678E-2</v>
      </c>
      <c r="AF53" s="633">
        <f t="shared" ref="AF53:AF58" si="419">IF(M53="","",AB53*(1/SQRT(Z53^2+AA53^2+AB53^2)))</f>
        <v>-0.88701083317822182</v>
      </c>
      <c r="AG53" s="602">
        <f t="shared" ref="AG53:AG58" si="420">IF(M53="","",DEGREES(ATAN2(-AF53,AE53)))</f>
        <v>1.6125447278431848</v>
      </c>
      <c r="AH53" s="603">
        <f t="shared" ref="AH53:AH58" si="421">IF(M53="","",DEGREES(ACOS(AD53)))</f>
        <v>62.543637056303716</v>
      </c>
      <c r="AI53" s="585">
        <f t="shared" ref="AI53:AI58" si="422">IF(M53="","",DEGREES(-ACOS(-AF53)))</f>
        <v>-27.499999999999982</v>
      </c>
      <c r="AJ53" s="586">
        <f t="shared" ref="AJ53:AJ58" si="423">IF(M53="","",DEGREES(ATAN2(-AE53,AD53)))</f>
        <v>93.09999999999998</v>
      </c>
      <c r="AK53" s="635">
        <f t="shared" ref="AK53:AK58" si="424">IF(M53="","",(COS(RADIANS((90-$Q$8)-W53))*AD53)+(-SIN(RADIANS((90-$Q$8)-W53))*AE53))</f>
        <v>-1.9379062387363359E-3</v>
      </c>
      <c r="AL53" s="629">
        <f t="shared" ref="AL53:AL58" si="425">IF(M53="","",(SIN(RADIANS((90-$Q$8)-W53))*AD53)+(COS(RADIANS((90-$Q$8)-W53))*AE53))</f>
        <v>-0.46174454663145365</v>
      </c>
      <c r="AM53" s="634">
        <f t="shared" ref="AM53:AM58" si="426">IF(M53="","",AF53)</f>
        <v>-0.88701083317822182</v>
      </c>
      <c r="AN53" s="581">
        <f t="shared" ref="AN53:AN58" si="427">IF(M53="","",DEGREES(ATAN2(-AM53,AL53)))</f>
        <v>-27.499793326777791</v>
      </c>
      <c r="AO53" s="582">
        <f t="shared" si="94"/>
        <v>90.111033918069353</v>
      </c>
      <c r="AP53" s="585">
        <f t="shared" ref="AP53:AP58" si="428">IF(M53="","",DEGREES(ATAN2(AK53,AL53)))</f>
        <v>-90.240464554407538</v>
      </c>
      <c r="AQ53" s="586">
        <f t="shared" si="246"/>
        <v>0.73710795550856234</v>
      </c>
      <c r="AS53" s="52">
        <f t="shared" si="406"/>
        <v>-267.03623330382896</v>
      </c>
      <c r="AT53" s="72">
        <f t="shared" si="247"/>
        <v>3.215230856706347E-2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5.2140000000000004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5.1139999999999999</v>
      </c>
      <c r="II53" s="734" cm="1">
        <f t="array" ref="II53">IFERROR(ROUND(VALUE(IF($IH53&lt;1,$IH53+LARGE((IF($M$9:$M$150="",0,$M$9:$M$150)-MOD(IF($M$9:$M$150="",0,$M$9:$M$150),1)),1),$IH53)),4),"")</f>
        <v>5.1139999999999999</v>
      </c>
      <c r="IJ53" s="533">
        <f t="shared" si="112"/>
        <v>1313</v>
      </c>
      <c r="IK53" s="533" t="str">
        <f t="shared" si="382"/>
        <v>Undefined</v>
      </c>
      <c r="IL53" s="727">
        <f t="shared" si="225"/>
        <v>19.862876129322473</v>
      </c>
      <c r="IM53" s="759">
        <v>1.95989762375733E-3</v>
      </c>
      <c r="IN53" s="5">
        <f t="shared" si="226"/>
        <v>0.02</v>
      </c>
      <c r="IO53" s="771">
        <v>10</v>
      </c>
      <c r="IP53" s="9">
        <f t="shared" si="227"/>
        <v>-3.0068463203209421</v>
      </c>
      <c r="IQ53" s="5">
        <f t="shared" si="228"/>
        <v>-0.3287000000000001</v>
      </c>
      <c r="IR53" s="5">
        <f t="shared" si="383"/>
        <v>0.26600000000000001</v>
      </c>
      <c r="IS53" s="5">
        <f t="shared" si="229"/>
        <v>-0.25673534081385851</v>
      </c>
      <c r="IT53" s="727">
        <f t="shared" si="230"/>
        <v>-151.34321309455862</v>
      </c>
      <c r="IU53" s="9">
        <f t="shared" si="231"/>
        <v>-3.0926282142616741</v>
      </c>
      <c r="IV53" s="5">
        <f t="shared" si="232"/>
        <v>-0.15560068103033989</v>
      </c>
      <c r="IW53" s="5">
        <f t="shared" si="384"/>
        <v>0.19500000000000001</v>
      </c>
      <c r="IX53" s="5">
        <f t="shared" si="233"/>
        <v>-3.7789171655356008E-4</v>
      </c>
      <c r="IY53" s="762">
        <f t="shared" si="234"/>
        <v>27.499793326777791</v>
      </c>
    </row>
    <row r="54" spans="1:259" ht="15" customHeight="1" x14ac:dyDescent="0.25">
      <c r="A54" s="79"/>
      <c r="B54" s="707">
        <v>-3.5492863030439934</v>
      </c>
      <c r="C54" s="708">
        <v>-0.21961650575922767</v>
      </c>
      <c r="D54" s="709">
        <v>-0.69552441518718189</v>
      </c>
      <c r="E54" s="710">
        <v>-0.71933448945372447</v>
      </c>
      <c r="F54" s="708">
        <v>-4.1854471996546801E-2</v>
      </c>
      <c r="G54" s="711">
        <v>0.69340182827581287</v>
      </c>
      <c r="H54" s="710">
        <v>0.19500000000000001</v>
      </c>
      <c r="I54" s="708">
        <v>0.438</v>
      </c>
      <c r="J54" s="570">
        <v>5.2169999999999996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Undefined</v>
      </c>
      <c r="L54" s="320"/>
      <c r="M54" s="168">
        <f t="shared" si="239"/>
        <v>5.2169999999999996</v>
      </c>
      <c r="N54" s="632">
        <f t="shared" si="240"/>
        <v>-3.5492863030439934</v>
      </c>
      <c r="O54" s="629">
        <f t="shared" si="241"/>
        <v>-0.21961650575922767</v>
      </c>
      <c r="P54" s="633">
        <f t="shared" si="242"/>
        <v>-0.69552441518718189</v>
      </c>
      <c r="Q54" s="585">
        <f t="shared" si="113"/>
        <v>183.54073347866353</v>
      </c>
      <c r="R54" s="629">
        <f t="shared" si="410"/>
        <v>3.5560743342311607</v>
      </c>
      <c r="S54" s="634">
        <f t="shared" si="411"/>
        <v>-0.69552441518718189</v>
      </c>
      <c r="T54" s="635">
        <f t="shared" si="412"/>
        <v>-0.19627672606047458</v>
      </c>
      <c r="U54" s="629">
        <f t="shared" si="413"/>
        <v>3.5506534775143255</v>
      </c>
      <c r="V54" s="636">
        <f t="shared" si="414"/>
        <v>-0.69552441518718189</v>
      </c>
      <c r="W54" s="585">
        <f t="shared" si="224"/>
        <v>93.164035620427043</v>
      </c>
      <c r="X54" s="629">
        <f t="shared" si="415"/>
        <v>3.5560743342311607</v>
      </c>
      <c r="Y54" s="630">
        <f t="shared" si="223"/>
        <v>-0.69552441518718189</v>
      </c>
      <c r="Z54" s="632">
        <f t="shared" si="243"/>
        <v>0.71933448945372447</v>
      </c>
      <c r="AA54" s="629">
        <f t="shared" si="244"/>
        <v>4.1854471996546801E-2</v>
      </c>
      <c r="AB54" s="629">
        <f t="shared" si="245"/>
        <v>-0.69340182827581287</v>
      </c>
      <c r="AC54" s="636">
        <f t="shared" si="416"/>
        <v>1</v>
      </c>
      <c r="AD54" s="637">
        <f t="shared" si="417"/>
        <v>0.71933448945372447</v>
      </c>
      <c r="AE54" s="629">
        <f t="shared" si="418"/>
        <v>4.1854471996546801E-2</v>
      </c>
      <c r="AF54" s="633">
        <f t="shared" si="419"/>
        <v>-0.69340182827581287</v>
      </c>
      <c r="AG54" s="602">
        <f t="shared" si="420"/>
        <v>3.4542431409574665</v>
      </c>
      <c r="AH54" s="603">
        <f t="shared" si="421"/>
        <v>44.000438042785056</v>
      </c>
      <c r="AI54" s="585">
        <f t="shared" si="422"/>
        <v>-46.100000000000009</v>
      </c>
      <c r="AJ54" s="586">
        <f t="shared" si="423"/>
        <v>93.329999999999984</v>
      </c>
      <c r="AK54" s="635">
        <f t="shared" si="424"/>
        <v>-2.650176003556666E-3</v>
      </c>
      <c r="AL54" s="629">
        <f t="shared" si="425"/>
        <v>-0.72054623801037943</v>
      </c>
      <c r="AM54" s="634">
        <f t="shared" si="426"/>
        <v>-0.69340182827581287</v>
      </c>
      <c r="AN54" s="581">
        <f t="shared" si="427"/>
        <v>-46.09980637329501</v>
      </c>
      <c r="AO54" s="582">
        <f t="shared" si="94"/>
        <v>90.151844077715452</v>
      </c>
      <c r="AP54" s="585">
        <f t="shared" si="428"/>
        <v>-90.210733478663528</v>
      </c>
      <c r="AQ54" s="586">
        <f t="shared" si="246"/>
        <v>0.64105282676311304</v>
      </c>
      <c r="AS54" s="52">
        <f t="shared" si="406"/>
        <v>-266.83596437957294</v>
      </c>
      <c r="AT54" s="72">
        <f t="shared" si="247"/>
        <v>-0.50791050123162296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5.2169999999999996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5.117</v>
      </c>
      <c r="II54" s="734" cm="1">
        <f t="array" ref="II54">IFERROR(ROUND(VALUE(IF($IH54&lt;1,$IH54+LARGE((IF($M$9:$M$150="",0,$M$9:$M$150)-MOD(IF($M$9:$M$150="",0,$M$9:$M$150),1)),1),$IH54)),4),"")</f>
        <v>5.117</v>
      </c>
      <c r="IJ54" s="533">
        <f t="shared" si="112"/>
        <v>1313</v>
      </c>
      <c r="IK54" s="533" t="str">
        <f t="shared" si="382"/>
        <v>Undefined</v>
      </c>
      <c r="IL54" s="727">
        <f t="shared" si="225"/>
        <v>18.032417496221598</v>
      </c>
      <c r="IM54" s="759">
        <v>3.15557845436641E-3</v>
      </c>
      <c r="IN54" s="5">
        <f t="shared" si="226"/>
        <v>0.04</v>
      </c>
      <c r="IO54" s="771">
        <v>20</v>
      </c>
      <c r="IP54" s="9">
        <f t="shared" si="227"/>
        <v>-3.424090648509992</v>
      </c>
      <c r="IQ54" s="5">
        <f t="shared" si="228"/>
        <v>-0.82630000000000015</v>
      </c>
      <c r="IR54" s="5">
        <f t="shared" si="383"/>
        <v>0.26600000000000001</v>
      </c>
      <c r="IS54" s="5">
        <f t="shared" si="229"/>
        <v>-0.24962114373604233</v>
      </c>
      <c r="IT54" s="727">
        <f t="shared" si="230"/>
        <v>-137.26843104526958</v>
      </c>
      <c r="IU54" s="9">
        <f t="shared" si="231"/>
        <v>-3.5560743342311607</v>
      </c>
      <c r="IV54" s="5">
        <f t="shared" si="232"/>
        <v>-0.69552441518718189</v>
      </c>
      <c r="IW54" s="5">
        <f t="shared" si="384"/>
        <v>0.19500000000000001</v>
      </c>
      <c r="IX54" s="5">
        <f t="shared" si="233"/>
        <v>-5.1678432069358416E-4</v>
      </c>
      <c r="IY54" s="762">
        <f t="shared" si="234"/>
        <v>46.09980637329501</v>
      </c>
    </row>
    <row r="55" spans="1:259" ht="15" customHeight="1" x14ac:dyDescent="0.25">
      <c r="A55" s="79"/>
      <c r="B55" s="707">
        <v>-2.1257094083552963</v>
      </c>
      <c r="C55" s="708">
        <v>1.518388826213984</v>
      </c>
      <c r="D55" s="709">
        <v>-0.12109999999999994</v>
      </c>
      <c r="E55" s="710">
        <v>0.62130299763409758</v>
      </c>
      <c r="F55" s="708">
        <v>0.74261873470232675</v>
      </c>
      <c r="G55" s="711">
        <v>-0.25000000000000006</v>
      </c>
      <c r="H55" s="710">
        <v>0.26600000000000001</v>
      </c>
      <c r="I55" s="708">
        <v>0.52</v>
      </c>
      <c r="J55" s="570">
        <v>6.1120000000000001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6.1120000000000001</v>
      </c>
      <c r="N55" s="632">
        <f t="shared" si="240"/>
        <v>-2.1257094083552963</v>
      </c>
      <c r="O55" s="629">
        <f t="shared" si="241"/>
        <v>1.518388826213984</v>
      </c>
      <c r="P55" s="633">
        <f t="shared" si="242"/>
        <v>-0.12109999999999994</v>
      </c>
      <c r="Q55" s="585">
        <f t="shared" si="113"/>
        <v>144.4618766756634</v>
      </c>
      <c r="R55" s="629">
        <f t="shared" si="410"/>
        <v>2.6123064744286233</v>
      </c>
      <c r="S55" s="634">
        <f t="shared" si="411"/>
        <v>-0.12109999999999994</v>
      </c>
      <c r="T55" s="635">
        <f t="shared" si="412"/>
        <v>1.5323316361636876</v>
      </c>
      <c r="U55" s="629">
        <f t="shared" si="413"/>
        <v>2.1156807115331984</v>
      </c>
      <c r="V55" s="636">
        <f t="shared" si="414"/>
        <v>-0.12109999999999994</v>
      </c>
      <c r="W55" s="585">
        <f t="shared" si="224"/>
        <v>54.085178817426922</v>
      </c>
      <c r="X55" s="629">
        <f t="shared" si="415"/>
        <v>2.6123064744286233</v>
      </c>
      <c r="Y55" s="630">
        <f t="shared" si="223"/>
        <v>-0.12109999999999994</v>
      </c>
      <c r="Z55" s="632">
        <f t="shared" si="243"/>
        <v>-0.62130299763409758</v>
      </c>
      <c r="AA55" s="629">
        <f t="shared" si="244"/>
        <v>-0.74261873470232675</v>
      </c>
      <c r="AB55" s="629">
        <f t="shared" si="245"/>
        <v>0.25000000000000006</v>
      </c>
      <c r="AC55" s="636">
        <f t="shared" si="416"/>
        <v>1</v>
      </c>
      <c r="AD55" s="637">
        <f t="shared" si="417"/>
        <v>-0.62130299763409758</v>
      </c>
      <c r="AE55" s="629">
        <f t="shared" si="418"/>
        <v>-0.74261873470232675</v>
      </c>
      <c r="AF55" s="633">
        <f t="shared" si="419"/>
        <v>0.25000000000000006</v>
      </c>
      <c r="AG55" s="602">
        <f t="shared" si="420"/>
        <v>-108.60562624051143</v>
      </c>
      <c r="AH55" s="603">
        <f t="shared" si="421"/>
        <v>128.41134882205662</v>
      </c>
      <c r="AI55" s="585">
        <f t="shared" si="422"/>
        <v>-104.47751218592994</v>
      </c>
      <c r="AJ55" s="586">
        <f t="shared" si="423"/>
        <v>-39.917130800837612</v>
      </c>
      <c r="AK55" s="635">
        <f t="shared" si="424"/>
        <v>-0.96541932777245321</v>
      </c>
      <c r="AL55" s="629">
        <f t="shared" si="425"/>
        <v>7.3929165850730172E-2</v>
      </c>
      <c r="AM55" s="634">
        <f t="shared" si="426"/>
        <v>0.25000000000000006</v>
      </c>
      <c r="AN55" s="581">
        <f t="shared" si="427"/>
        <v>163.52617366070675</v>
      </c>
      <c r="AO55" s="582">
        <f>IF(ROUND(IF(M55="",0,DEGREES(ACOS(AK55))),4)=90,0,IF(M55="","",DEGREES(ACOS(AK55))))</f>
        <v>164.88828087094848</v>
      </c>
      <c r="AP55" s="585">
        <f t="shared" si="428"/>
        <v>175.62099252349898</v>
      </c>
      <c r="AQ55" s="586">
        <f t="shared" si="246"/>
        <v>0.87261980415389417</v>
      </c>
      <c r="AS55" s="52">
        <f t="shared" si="406"/>
        <v>-305.91482118257306</v>
      </c>
      <c r="AT55" s="72">
        <f t="shared" si="247"/>
        <v>9.3652008957642377E-2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6.1120000000000001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-2.5128144013972586</v>
      </c>
      <c r="C56" s="708">
        <v>1.9192109992059263</v>
      </c>
      <c r="D56" s="709">
        <v>-0.46320000000000011</v>
      </c>
      <c r="E56" s="710">
        <v>0.72293569965938798</v>
      </c>
      <c r="F56" s="708">
        <v>0.62885540048812416</v>
      </c>
      <c r="G56" s="711">
        <v>-0.28619025041903878</v>
      </c>
      <c r="H56" s="710">
        <v>0.26600000000000001</v>
      </c>
      <c r="I56" s="708">
        <v>0.52</v>
      </c>
      <c r="J56" s="570">
        <v>6.1150000000000002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6.1150000000000002</v>
      </c>
      <c r="N56" s="632">
        <f t="shared" si="240"/>
        <v>-2.5128144013972586</v>
      </c>
      <c r="O56" s="629">
        <f t="shared" si="241"/>
        <v>1.9192109992059263</v>
      </c>
      <c r="P56" s="633">
        <f t="shared" si="242"/>
        <v>-0.46320000000000011</v>
      </c>
      <c r="Q56" s="585">
        <f t="shared" si="113"/>
        <v>142.62851252605631</v>
      </c>
      <c r="R56" s="629">
        <f t="shared" si="410"/>
        <v>3.1618992829219708</v>
      </c>
      <c r="S56" s="634">
        <f t="shared" si="411"/>
        <v>-0.46320000000000011</v>
      </c>
      <c r="T56" s="635">
        <f t="shared" si="412"/>
        <v>1.9356901953827945</v>
      </c>
      <c r="U56" s="629">
        <f t="shared" si="413"/>
        <v>2.5001421045295387</v>
      </c>
      <c r="V56" s="636">
        <f t="shared" si="414"/>
        <v>-0.46320000000000011</v>
      </c>
      <c r="W56" s="585">
        <f t="shared" si="224"/>
        <v>52.251814667819829</v>
      </c>
      <c r="X56" s="629">
        <f t="shared" si="415"/>
        <v>3.1618992829219708</v>
      </c>
      <c r="Y56" s="630">
        <f t="shared" si="223"/>
        <v>-0.46320000000000011</v>
      </c>
      <c r="Z56" s="632">
        <f t="shared" si="243"/>
        <v>-0.72293569965938798</v>
      </c>
      <c r="AA56" s="629">
        <f t="shared" si="244"/>
        <v>-0.62885540048812416</v>
      </c>
      <c r="AB56" s="629">
        <f t="shared" si="245"/>
        <v>0.28619025041903878</v>
      </c>
      <c r="AC56" s="636">
        <f t="shared" si="416"/>
        <v>1</v>
      </c>
      <c r="AD56" s="637">
        <f t="shared" si="417"/>
        <v>-0.72293569965938798</v>
      </c>
      <c r="AE56" s="629">
        <f t="shared" si="418"/>
        <v>-0.62885540048812416</v>
      </c>
      <c r="AF56" s="633">
        <f t="shared" si="419"/>
        <v>0.28619025041903878</v>
      </c>
      <c r="AG56" s="602">
        <f t="shared" si="420"/>
        <v>-114.47014273379881</v>
      </c>
      <c r="AH56" s="603">
        <f t="shared" si="421"/>
        <v>136.29739218355775</v>
      </c>
      <c r="AI56" s="585">
        <f t="shared" si="422"/>
        <v>-106.63000871073126</v>
      </c>
      <c r="AJ56" s="586">
        <f t="shared" si="423"/>
        <v>-48.981181779624805</v>
      </c>
      <c r="AK56" s="635">
        <f t="shared" si="424"/>
        <v>-0.93856976067417786</v>
      </c>
      <c r="AL56" s="629">
        <f t="shared" si="425"/>
        <v>0.19282620390679361</v>
      </c>
      <c r="AM56" s="634">
        <f t="shared" si="426"/>
        <v>0.28619025041903878</v>
      </c>
      <c r="AN56" s="581">
        <f t="shared" si="427"/>
        <v>146.02912013226401</v>
      </c>
      <c r="AO56" s="582">
        <f t="shared" ref="AO56:AO119" si="461">IF(ROUND(IF(M56="",0,DEGREES(ACOS(AK56))),4)=90,0,IF(M56="","",DEGREES(ACOS(AK56))))</f>
        <v>159.81273707003561</v>
      </c>
      <c r="AP56" s="585">
        <f t="shared" si="428"/>
        <v>168.3903056943189</v>
      </c>
      <c r="AQ56" s="586">
        <f t="shared" si="246"/>
        <v>0.7209610762817571</v>
      </c>
      <c r="AS56" s="52">
        <f t="shared" si="406"/>
        <v>-307.74818533218019</v>
      </c>
      <c r="AT56" s="72">
        <f t="shared" si="247"/>
        <v>-0.24717482149401954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6.1150000000000002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-2.7322073609278643</v>
      </c>
      <c r="C57" s="708">
        <v>2.1942986748811588</v>
      </c>
      <c r="D57" s="709">
        <v>-1.0192000000000001</v>
      </c>
      <c r="E57" s="710">
        <v>0.82977296518127952</v>
      </c>
      <c r="F57" s="708">
        <v>0.49373890197652259</v>
      </c>
      <c r="G57" s="711">
        <v>-0.26018978252284414</v>
      </c>
      <c r="H57" s="710">
        <v>0.26600000000000001</v>
      </c>
      <c r="I57" s="708">
        <v>0.52</v>
      </c>
      <c r="J57" s="570">
        <v>6.1180000000000003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6.1180000000000003</v>
      </c>
      <c r="N57" s="632">
        <f t="shared" si="240"/>
        <v>-2.7322073609278643</v>
      </c>
      <c r="O57" s="629">
        <f t="shared" si="241"/>
        <v>2.1942986748811588</v>
      </c>
      <c r="P57" s="633">
        <f t="shared" si="242"/>
        <v>-1.0192000000000001</v>
      </c>
      <c r="Q57" s="585">
        <f t="shared" si="113"/>
        <v>141.231249995311</v>
      </c>
      <c r="R57" s="629">
        <f t="shared" si="410"/>
        <v>3.5042693586100961</v>
      </c>
      <c r="S57" s="634">
        <f t="shared" si="411"/>
        <v>-1.0192000000000001</v>
      </c>
      <c r="T57" s="635">
        <f t="shared" si="412"/>
        <v>2.2122143401542136</v>
      </c>
      <c r="U57" s="629">
        <f t="shared" si="413"/>
        <v>2.7177217390508672</v>
      </c>
      <c r="V57" s="636">
        <f t="shared" si="414"/>
        <v>-1.0192000000000001</v>
      </c>
      <c r="W57" s="585">
        <f t="shared" si="224"/>
        <v>50.854552137074521</v>
      </c>
      <c r="X57" s="629">
        <f t="shared" si="415"/>
        <v>3.5042693586100961</v>
      </c>
      <c r="Y57" s="630">
        <f t="shared" si="223"/>
        <v>-1.0192000000000001</v>
      </c>
      <c r="Z57" s="632">
        <f t="shared" si="243"/>
        <v>-0.82977296518127952</v>
      </c>
      <c r="AA57" s="629">
        <f t="shared" si="244"/>
        <v>-0.49373890197652259</v>
      </c>
      <c r="AB57" s="629">
        <f t="shared" si="245"/>
        <v>0.26018978252284414</v>
      </c>
      <c r="AC57" s="636">
        <f t="shared" si="416"/>
        <v>1</v>
      </c>
      <c r="AD57" s="637">
        <f t="shared" si="417"/>
        <v>-0.82977296518127952</v>
      </c>
      <c r="AE57" s="629">
        <f t="shared" si="418"/>
        <v>-0.49373890197652259</v>
      </c>
      <c r="AF57" s="633">
        <f t="shared" si="419"/>
        <v>0.26018978252284414</v>
      </c>
      <c r="AG57" s="602">
        <f t="shared" si="420"/>
        <v>-117.78826612920845</v>
      </c>
      <c r="AH57" s="603">
        <f t="shared" si="421"/>
        <v>146.07542309892276</v>
      </c>
      <c r="AI57" s="585">
        <f t="shared" si="422"/>
        <v>-105.08132346257936</v>
      </c>
      <c r="AJ57" s="586">
        <f t="shared" si="423"/>
        <v>-59.246131186416179</v>
      </c>
      <c r="AK57" s="635">
        <f t="shared" si="424"/>
        <v>-0.90454427326426123</v>
      </c>
      <c r="AL57" s="629">
        <f t="shared" si="425"/>
        <v>0.3377882987546264</v>
      </c>
      <c r="AM57" s="634">
        <f t="shared" si="426"/>
        <v>0.26018978252284414</v>
      </c>
      <c r="AN57" s="581">
        <f t="shared" si="427"/>
        <v>127.60615086724982</v>
      </c>
      <c r="AO57" s="582">
        <f t="shared" si="461"/>
        <v>154.76197410540317</v>
      </c>
      <c r="AP57" s="585">
        <f t="shared" si="428"/>
        <v>159.52261881827283</v>
      </c>
      <c r="AQ57" s="586">
        <f t="shared" si="246"/>
        <v>0.65052895130442745</v>
      </c>
      <c r="AS57" s="52">
        <f t="shared" si="406"/>
        <v>-309.14544786292549</v>
      </c>
      <c r="AT57" s="72">
        <f t="shared" si="247"/>
        <v>-0.80220450029211299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6.1180000000000003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-2.8136150113621001</v>
      </c>
      <c r="C58" s="708">
        <v>2.3078227888428069</v>
      </c>
      <c r="D58" s="709">
        <v>-1.6608000000000001</v>
      </c>
      <c r="E58" s="710">
        <v>0.90151634587420415</v>
      </c>
      <c r="F58" s="708">
        <v>0.37764630189165077</v>
      </c>
      <c r="G58" s="711">
        <v>-0.21130913087034964</v>
      </c>
      <c r="H58" s="710">
        <v>0.26600000000000001</v>
      </c>
      <c r="I58" s="708">
        <v>0.52</v>
      </c>
      <c r="J58" s="570">
        <v>6.1210000000000004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6.1210000000000004</v>
      </c>
      <c r="N58" s="632">
        <f t="shared" si="240"/>
        <v>-2.8136150113621001</v>
      </c>
      <c r="O58" s="629">
        <f t="shared" si="241"/>
        <v>2.3078227888428069</v>
      </c>
      <c r="P58" s="633">
        <f t="shared" si="242"/>
        <v>-1.6608000000000001</v>
      </c>
      <c r="Q58" s="585">
        <f t="shared" si="113"/>
        <v>140.64023040403848</v>
      </c>
      <c r="R58" s="629">
        <f t="shared" si="410"/>
        <v>3.6390212223706997</v>
      </c>
      <c r="S58" s="634">
        <f t="shared" si="411"/>
        <v>-1.6608000000000001</v>
      </c>
      <c r="T58" s="635">
        <f t="shared" si="412"/>
        <v>2.3262712208914742</v>
      </c>
      <c r="U58" s="629">
        <f t="shared" si="413"/>
        <v>2.7983812577482059</v>
      </c>
      <c r="V58" s="636">
        <f t="shared" si="414"/>
        <v>-1.6608000000000001</v>
      </c>
      <c r="W58" s="585">
        <f t="shared" si="224"/>
        <v>50.263532545801993</v>
      </c>
      <c r="X58" s="629">
        <f t="shared" si="415"/>
        <v>3.6390212223706997</v>
      </c>
      <c r="Y58" s="630">
        <f t="shared" si="223"/>
        <v>-1.6608000000000001</v>
      </c>
      <c r="Z58" s="632">
        <f t="shared" si="243"/>
        <v>-0.90151634587420415</v>
      </c>
      <c r="AA58" s="629">
        <f t="shared" si="244"/>
        <v>-0.37764630189165077</v>
      </c>
      <c r="AB58" s="629">
        <f t="shared" si="245"/>
        <v>0.21130913087034964</v>
      </c>
      <c r="AC58" s="636">
        <f t="shared" si="416"/>
        <v>1</v>
      </c>
      <c r="AD58" s="637">
        <f t="shared" si="417"/>
        <v>-0.90151634587420415</v>
      </c>
      <c r="AE58" s="629">
        <f t="shared" si="418"/>
        <v>-0.37764630189165077</v>
      </c>
      <c r="AF58" s="633">
        <f t="shared" si="419"/>
        <v>0.21130913087034964</v>
      </c>
      <c r="AG58" s="602">
        <f t="shared" si="420"/>
        <v>-119.22886460782965</v>
      </c>
      <c r="AH58" s="603">
        <f t="shared" si="421"/>
        <v>154.35810554108943</v>
      </c>
      <c r="AI58" s="585">
        <f t="shared" si="422"/>
        <v>-102.19908169044881</v>
      </c>
      <c r="AJ58" s="586">
        <f t="shared" si="423"/>
        <v>-67.271130347557872</v>
      </c>
      <c r="AK58" s="635">
        <f t="shared" si="424"/>
        <v>-0.86371886269541909</v>
      </c>
      <c r="AL58" s="629">
        <f t="shared" si="425"/>
        <v>0.45753489204097808</v>
      </c>
      <c r="AM58" s="634">
        <f t="shared" si="426"/>
        <v>0.21130913087034964</v>
      </c>
      <c r="AN58" s="581">
        <f t="shared" si="427"/>
        <v>114.78950736706766</v>
      </c>
      <c r="AO58" s="582">
        <f t="shared" si="461"/>
        <v>149.73673651739168</v>
      </c>
      <c r="AP58" s="585">
        <f t="shared" si="428"/>
        <v>152.08863924840364</v>
      </c>
      <c r="AQ58" s="586">
        <f t="shared" si="246"/>
        <v>0.62644201606454974</v>
      </c>
      <c r="AS58" s="52">
        <f t="shared" si="406"/>
        <v>-309.73646745419802</v>
      </c>
      <c r="AT58" s="72">
        <f t="shared" si="247"/>
        <v>-1.443394070020396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6.1210000000000004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1313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-1.8107605576929104</v>
      </c>
      <c r="C59" s="708">
        <v>2.7119214969521592</v>
      </c>
      <c r="D59" s="709">
        <v>-0.30538625048163992</v>
      </c>
      <c r="E59" s="710">
        <v>-0.30230008288149213</v>
      </c>
      <c r="F59" s="708">
        <v>0.45655245439203984</v>
      </c>
      <c r="G59" s="711">
        <v>0.83676431345896163</v>
      </c>
      <c r="H59" s="710">
        <v>0.19500000000000001</v>
      </c>
      <c r="I59" s="708">
        <v>0.438</v>
      </c>
      <c r="J59" s="570">
        <v>6.2149999999999999</v>
      </c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Undefined</v>
      </c>
      <c r="L59" s="320"/>
      <c r="M59" s="168">
        <f t="shared" si="239"/>
        <v>6.2149999999999999</v>
      </c>
      <c r="N59" s="632">
        <f t="shared" si="240"/>
        <v>-1.8107605576929104</v>
      </c>
      <c r="O59" s="629">
        <f t="shared" si="241"/>
        <v>2.7119214969521592</v>
      </c>
      <c r="P59" s="633">
        <f t="shared" si="242"/>
        <v>-0.30538625048163992</v>
      </c>
      <c r="Q59" s="585">
        <f t="shared" si="113"/>
        <v>123.73119101608849</v>
      </c>
      <c r="R59" s="629">
        <f t="shared" si="79"/>
        <v>3.2608851563536518</v>
      </c>
      <c r="S59" s="634">
        <f t="shared" si="80"/>
        <v>-0.30538625048163992</v>
      </c>
      <c r="T59" s="635">
        <f t="shared" si="81"/>
        <v>2.7237678579743325</v>
      </c>
      <c r="U59" s="629">
        <f t="shared" si="82"/>
        <v>1.7928917030299112</v>
      </c>
      <c r="V59" s="636">
        <f t="shared" si="114"/>
        <v>-0.30538625048163992</v>
      </c>
      <c r="W59" s="585">
        <f t="shared" si="224"/>
        <v>33.354493157852005</v>
      </c>
      <c r="X59" s="629">
        <f t="shared" si="83"/>
        <v>3.2608851563536518</v>
      </c>
      <c r="Y59" s="630">
        <f t="shared" si="223"/>
        <v>-0.30538625048163992</v>
      </c>
      <c r="Z59" s="632">
        <f t="shared" si="243"/>
        <v>0.30230008288149213</v>
      </c>
      <c r="AA59" s="629">
        <f t="shared" si="244"/>
        <v>-0.45655245439203984</v>
      </c>
      <c r="AB59" s="629">
        <f t="shared" si="245"/>
        <v>-0.83676431345896163</v>
      </c>
      <c r="AC59" s="636">
        <f t="shared" si="84"/>
        <v>1</v>
      </c>
      <c r="AD59" s="637">
        <f t="shared" si="115"/>
        <v>0.30230008288149213</v>
      </c>
      <c r="AE59" s="629">
        <f t="shared" si="85"/>
        <v>-0.45655245439203984</v>
      </c>
      <c r="AF59" s="633">
        <f t="shared" si="86"/>
        <v>-0.83676431345896163</v>
      </c>
      <c r="AG59" s="602">
        <f t="shared" si="87"/>
        <v>-28.617612774617459</v>
      </c>
      <c r="AH59" s="603">
        <f t="shared" si="88"/>
        <v>72.404196064803656</v>
      </c>
      <c r="AI59" s="585">
        <f t="shared" si="89"/>
        <v>-33.199999999999996</v>
      </c>
      <c r="AJ59" s="586">
        <f t="shared" si="90"/>
        <v>33.510000000000012</v>
      </c>
      <c r="AK59" s="635">
        <f t="shared" si="211"/>
        <v>-2.1138688741700884E-3</v>
      </c>
      <c r="AL59" s="629">
        <f t="shared" si="91"/>
        <v>-0.54755914317992671</v>
      </c>
      <c r="AM59" s="634">
        <f t="shared" si="92"/>
        <v>-0.83676431345896163</v>
      </c>
      <c r="AN59" s="581">
        <f t="shared" si="93"/>
        <v>-33.199804376875285</v>
      </c>
      <c r="AO59" s="582">
        <f t="shared" si="461"/>
        <v>90.121115855133979</v>
      </c>
      <c r="AP59" s="585">
        <f t="shared" si="95"/>
        <v>-90.221191016088468</v>
      </c>
      <c r="AQ59" s="586">
        <f t="shared" si="246"/>
        <v>0.69907813190508628</v>
      </c>
      <c r="AS59" s="52">
        <f t="shared" si="406"/>
        <v>-326.645506842148</v>
      </c>
      <c r="AT59" s="72">
        <f t="shared" si="247"/>
        <v>-7.6237932038181688E-2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6.2149999999999999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0.115</v>
      </c>
      <c r="II59" s="734" cm="1">
        <f t="array" ref="II59">IFERROR(ROUND(VALUE(IF($IH59&lt;1,$IH59+LARGE((IF($M$9:$M$150="",0,$M$9:$M$150)-MOD(IF($M$9:$M$150="",0,$M$9:$M$150),1)),1),$IH59)),4),"")</f>
        <v>6.1150000000000002</v>
      </c>
      <c r="IJ59" s="533">
        <f t="shared" si="112"/>
        <v>1313</v>
      </c>
      <c r="IK59" s="533" t="str">
        <f>IF(ISNUMBER($II59),INDEX($K$9:$K$150,MATCH($IG59,$M$9:$M$150,0)),"")</f>
        <v>Undefined</v>
      </c>
      <c r="IL59" s="727">
        <f t="shared" si="225"/>
        <v>18.897321509967824</v>
      </c>
      <c r="IM59" s="759">
        <v>3.52593670447087E-3</v>
      </c>
      <c r="IN59" s="5">
        <f t="shared" si="226"/>
        <v>0.04</v>
      </c>
      <c r="IO59" s="771">
        <v>20</v>
      </c>
      <c r="IP59" s="9">
        <f t="shared" si="227"/>
        <v>-3.1618992829219708</v>
      </c>
      <c r="IQ59" s="5">
        <f t="shared" si="228"/>
        <v>-0.46320000000000011</v>
      </c>
      <c r="IR59" s="5">
        <f t="shared" si="383"/>
        <v>0.26600000000000001</v>
      </c>
      <c r="IS59" s="5">
        <f t="shared" si="229"/>
        <v>-0.24965955633933135</v>
      </c>
      <c r="IT59" s="727">
        <f t="shared" si="230"/>
        <v>-146.02912013226401</v>
      </c>
      <c r="IU59" s="9">
        <f t="shared" si="231"/>
        <v>-3.2608851563536518</v>
      </c>
      <c r="IV59" s="5">
        <f t="shared" si="232"/>
        <v>-0.30538625048163992</v>
      </c>
      <c r="IW59" s="5">
        <f t="shared" si="384"/>
        <v>0.19500000000000001</v>
      </c>
      <c r="IX59" s="5">
        <f t="shared" si="233"/>
        <v>-4.122044304631411E-4</v>
      </c>
      <c r="IY59" s="762">
        <f t="shared" si="234"/>
        <v>33.199804376875285</v>
      </c>
    </row>
    <row r="60" spans="1:259" ht="15" customHeight="1" x14ac:dyDescent="0.25">
      <c r="A60" s="79"/>
      <c r="B60" s="707">
        <v>-2.0147415210154396</v>
      </c>
      <c r="C60" s="708">
        <v>3.0341695730319493</v>
      </c>
      <c r="D60" s="709">
        <v>-0.9085040667364469</v>
      </c>
      <c r="E60" s="710">
        <v>-0.43355507678264393</v>
      </c>
      <c r="F60" s="708">
        <v>0.6580204732345567</v>
      </c>
      <c r="G60" s="711">
        <v>0.61566147532565807</v>
      </c>
      <c r="H60" s="710">
        <v>0.19500000000000001</v>
      </c>
      <c r="I60" s="708">
        <v>0.438</v>
      </c>
      <c r="J60" s="570">
        <v>6.218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Undefined</v>
      </c>
      <c r="L60" s="320"/>
      <c r="M60" s="168">
        <f t="shared" si="239"/>
        <v>6.218</v>
      </c>
      <c r="N60" s="632">
        <f t="shared" si="240"/>
        <v>-2.0147415210154396</v>
      </c>
      <c r="O60" s="629">
        <f t="shared" si="241"/>
        <v>3.0341695730319493</v>
      </c>
      <c r="P60" s="633">
        <f t="shared" si="242"/>
        <v>-0.9085040667364469</v>
      </c>
      <c r="Q60" s="585">
        <f t="shared" si="113"/>
        <v>123.58485406683874</v>
      </c>
      <c r="R60" s="629">
        <f t="shared" si="79"/>
        <v>3.6421653441897015</v>
      </c>
      <c r="S60" s="634">
        <f t="shared" si="80"/>
        <v>-0.9085040667364469</v>
      </c>
      <c r="T60" s="635">
        <f t="shared" si="81"/>
        <v>3.0473500566293357</v>
      </c>
      <c r="U60" s="629">
        <f t="shared" si="82"/>
        <v>1.9947496150589106</v>
      </c>
      <c r="V60" s="636">
        <f t="shared" si="114"/>
        <v>-0.9085040667364469</v>
      </c>
      <c r="W60" s="585">
        <f t="shared" si="224"/>
        <v>33.208156208602261</v>
      </c>
      <c r="X60" s="629">
        <f t="shared" si="83"/>
        <v>3.6421653441897015</v>
      </c>
      <c r="Y60" s="630">
        <f t="shared" si="223"/>
        <v>-0.9085040667364469</v>
      </c>
      <c r="Z60" s="632">
        <f t="shared" si="243"/>
        <v>0.43355507678264393</v>
      </c>
      <c r="AA60" s="629">
        <f t="shared" si="244"/>
        <v>-0.6580204732345567</v>
      </c>
      <c r="AB60" s="629">
        <f t="shared" si="245"/>
        <v>-0.61566147532565807</v>
      </c>
      <c r="AC60" s="636">
        <f t="shared" si="84"/>
        <v>1</v>
      </c>
      <c r="AD60" s="637">
        <f t="shared" si="115"/>
        <v>0.43355507678264393</v>
      </c>
      <c r="AE60" s="629">
        <f t="shared" si="85"/>
        <v>-0.6580204732345567</v>
      </c>
      <c r="AF60" s="633">
        <f t="shared" si="86"/>
        <v>-0.61566147532565807</v>
      </c>
      <c r="AG60" s="602">
        <f t="shared" si="87"/>
        <v>-46.904790768476552</v>
      </c>
      <c r="AH60" s="603">
        <f t="shared" si="88"/>
        <v>64.306613244616315</v>
      </c>
      <c r="AI60" s="585">
        <f t="shared" si="89"/>
        <v>-52.000000000000014</v>
      </c>
      <c r="AJ60" s="586">
        <f t="shared" si="90"/>
        <v>33.379999999999988</v>
      </c>
      <c r="AK60" s="635">
        <f t="shared" si="211"/>
        <v>-2.8174302720306854E-3</v>
      </c>
      <c r="AL60" s="629">
        <f t="shared" si="91"/>
        <v>-0.78800571691231813</v>
      </c>
      <c r="AM60" s="634">
        <f t="shared" si="92"/>
        <v>-0.61566147532565807</v>
      </c>
      <c r="AN60" s="581">
        <f t="shared" si="93"/>
        <v>-51.999822330886218</v>
      </c>
      <c r="AO60" s="582">
        <f t="shared" si="461"/>
        <v>90.161427077225923</v>
      </c>
      <c r="AP60" s="585">
        <f t="shared" si="95"/>
        <v>-90.204854066838749</v>
      </c>
      <c r="AQ60" s="586">
        <f t="shared" si="246"/>
        <v>0.62590127914958404</v>
      </c>
      <c r="AS60" s="52">
        <f t="shared" si="406"/>
        <v>-326.79184379139775</v>
      </c>
      <c r="AT60" s="72">
        <f t="shared" si="247"/>
        <v>-0.67925412541156516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6.218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0.11799999999999999</v>
      </c>
      <c r="II60" s="734" cm="1">
        <f t="array" ref="II60">IFERROR(ROUND(VALUE(IF($IH60&lt;1,$IH60+LARGE((IF($M$9:$M$150="",0,$M$9:$M$150)-MOD(IF($M$9:$M$150="",0,$M$9:$M$150),1)),1),$IH60)),4),"")</f>
        <v>6.1180000000000003</v>
      </c>
      <c r="IJ60" s="533">
        <f t="shared" si="112"/>
        <v>1313</v>
      </c>
      <c r="IK60" s="533" t="str">
        <f t="shared" si="382"/>
        <v>Undefined</v>
      </c>
      <c r="IL60" s="727">
        <f t="shared" si="225"/>
        <v>17.646395928472259</v>
      </c>
      <c r="IM60" s="759">
        <v>6.1837458302919802E-3</v>
      </c>
      <c r="IN60" s="5">
        <f t="shared" si="226"/>
        <v>0.12</v>
      </c>
      <c r="IO60" s="771">
        <v>60</v>
      </c>
      <c r="IP60" s="9">
        <f t="shared" si="227"/>
        <v>-3.5042693586100961</v>
      </c>
      <c r="IQ60" s="5">
        <f t="shared" si="228"/>
        <v>-1.0192000000000001</v>
      </c>
      <c r="IR60" s="5">
        <f t="shared" si="383"/>
        <v>0.26600000000000001</v>
      </c>
      <c r="IS60" s="5">
        <f t="shared" si="229"/>
        <v>-0.2406087766882935</v>
      </c>
      <c r="IT60" s="727">
        <f t="shared" si="230"/>
        <v>-127.60615086724982</v>
      </c>
      <c r="IU60" s="9">
        <f t="shared" si="231"/>
        <v>-3.6421653441897015</v>
      </c>
      <c r="IV60" s="5">
        <f t="shared" si="232"/>
        <v>-0.9085040667364469</v>
      </c>
      <c r="IW60" s="5">
        <f t="shared" si="384"/>
        <v>0.19500000000000001</v>
      </c>
      <c r="IX60" s="5">
        <f t="shared" si="233"/>
        <v>-5.4939890304597013E-4</v>
      </c>
      <c r="IY60" s="762">
        <f t="shared" si="234"/>
        <v>51.999822330886218</v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-0.93969262078590843</v>
      </c>
      <c r="F154" s="170">
        <f t="shared" si="929"/>
        <v>0</v>
      </c>
      <c r="G154" s="170">
        <f t="shared" si="929"/>
        <v>0.34202014332566882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-0.96592582628906831</v>
      </c>
      <c r="F155" s="170">
        <f t="shared" si="929"/>
        <v>0</v>
      </c>
      <c r="G155" s="170">
        <f t="shared" si="929"/>
        <v>0.25881904510252074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-1.8700000000000001E-2</v>
      </c>
      <c r="AM155">
        <v>0.28879999999999995</v>
      </c>
      <c r="AN155">
        <v>-0.50390000000000001</v>
      </c>
      <c r="AO155">
        <v>0.93969262078590843</v>
      </c>
      <c r="AP155">
        <v>0</v>
      </c>
      <c r="AQ155">
        <v>-0.34202014332566882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-0.96592582628906831</v>
      </c>
      <c r="F156" s="170">
        <f t="shared" si="929"/>
        <v>0</v>
      </c>
      <c r="G156" s="170">
        <f t="shared" si="929"/>
        <v>0.25881904510252074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-1.8700000000000001E-2</v>
      </c>
      <c r="AM156">
        <v>0.92299999999999993</v>
      </c>
      <c r="AN156">
        <v>-0.3267000000000001</v>
      </c>
      <c r="AO156">
        <v>0.96592582628906831</v>
      </c>
      <c r="AP156">
        <v>0</v>
      </c>
      <c r="AQ156">
        <v>-0.25881904510252074</v>
      </c>
      <c r="AR156">
        <v>0.26600000000000001</v>
      </c>
      <c r="AS156">
        <v>0.52</v>
      </c>
      <c r="AT156">
        <v>1.1040000000000001</v>
      </c>
    </row>
    <row r="157" spans="1:259" x14ac:dyDescent="0.25">
      <c r="E157" s="170">
        <f t="shared" si="929"/>
        <v>-0.96592370777744574</v>
      </c>
      <c r="F157" s="170">
        <f t="shared" si="929"/>
        <v>2.0230288408545306E-3</v>
      </c>
      <c r="G157" s="170">
        <f t="shared" si="929"/>
        <v>0.25881904510252074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-1.8700000000000001E-2</v>
      </c>
      <c r="AM157">
        <v>1.5591000000000002</v>
      </c>
      <c r="AN157">
        <v>-0.15620000000000009</v>
      </c>
      <c r="AO157">
        <v>0.96592582628906831</v>
      </c>
      <c r="AP157">
        <v>0</v>
      </c>
      <c r="AQ157">
        <v>-0.25881904510252074</v>
      </c>
      <c r="AR157">
        <v>0.26600000000000001</v>
      </c>
      <c r="AS157">
        <v>0.52</v>
      </c>
      <c r="AT157">
        <v>1.107</v>
      </c>
    </row>
    <row r="158" spans="1:259" x14ac:dyDescent="0.25">
      <c r="E158" s="170">
        <f t="shared" si="929"/>
        <v>-0.96301793789601642</v>
      </c>
      <c r="F158" s="170">
        <f t="shared" si="929"/>
        <v>0.12053012758060157</v>
      </c>
      <c r="G158" s="170">
        <f t="shared" si="929"/>
        <v>0.24097497719868796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-1.4300000000000002E-2</v>
      </c>
      <c r="AM158">
        <v>2.1749999999999998</v>
      </c>
      <c r="AN158">
        <v>-4.6500000000000173E-2</v>
      </c>
      <c r="AO158">
        <v>0.96592370777744574</v>
      </c>
      <c r="AP158">
        <v>-2.0230288408545306E-3</v>
      </c>
      <c r="AQ158">
        <v>-0.25881904510252074</v>
      </c>
      <c r="AR158">
        <v>0.26600000000000001</v>
      </c>
      <c r="AS158">
        <v>0.52</v>
      </c>
      <c r="AT158">
        <v>1.1100000000000001</v>
      </c>
    </row>
    <row r="159" spans="1:259" x14ac:dyDescent="0.25">
      <c r="E159" s="170">
        <f t="shared" si="929"/>
        <v>-0.92572695573999531</v>
      </c>
      <c r="F159" s="170">
        <f t="shared" si="929"/>
        <v>0.27125815977654011</v>
      </c>
      <c r="G159" s="170">
        <f t="shared" si="929"/>
        <v>0.26353104972850128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5.74E-2</v>
      </c>
      <c r="AM159">
        <v>2.8213000000000004</v>
      </c>
      <c r="AN159">
        <v>-0.21150000000000019</v>
      </c>
      <c r="AO159">
        <v>0.96301793789601642</v>
      </c>
      <c r="AP159">
        <v>-0.12053012758060157</v>
      </c>
      <c r="AQ159">
        <v>-0.24097497719868796</v>
      </c>
      <c r="AR159">
        <v>0.26600000000000001</v>
      </c>
      <c r="AS159">
        <v>0.52</v>
      </c>
      <c r="AT159">
        <v>1.113</v>
      </c>
    </row>
    <row r="160" spans="1:259" x14ac:dyDescent="0.25">
      <c r="E160" s="170">
        <f t="shared" si="929"/>
        <v>-0.87665239996612421</v>
      </c>
      <c r="F160" s="170">
        <f t="shared" si="929"/>
        <v>0.42842880748993534</v>
      </c>
      <c r="G160" s="170">
        <f t="shared" si="929"/>
        <v>0.21892767423600543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0.17009999999999997</v>
      </c>
      <c r="AM160">
        <v>3.3033999999999999</v>
      </c>
      <c r="AN160">
        <v>-0.63500000000000001</v>
      </c>
      <c r="AO160">
        <v>0.92572695573999531</v>
      </c>
      <c r="AP160">
        <v>-0.27125815977654011</v>
      </c>
      <c r="AQ160">
        <v>-0.26353104972850128</v>
      </c>
      <c r="AR160">
        <v>0.26600000000000001</v>
      </c>
      <c r="AS160">
        <v>0.52</v>
      </c>
      <c r="AT160">
        <v>1.1160000000000001</v>
      </c>
    </row>
    <row r="161" spans="5:46" x14ac:dyDescent="0.25">
      <c r="E161" s="170">
        <f t="shared" si="929"/>
        <v>-0.8264382731914669</v>
      </c>
      <c r="F161" s="170">
        <f t="shared" si="929"/>
        <v>0.52186993764263145</v>
      </c>
      <c r="G161" s="170">
        <f t="shared" si="929"/>
        <v>0.21130913087034967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0.24830000000000002</v>
      </c>
      <c r="AM161">
        <v>3.5495999999999999</v>
      </c>
      <c r="AN161">
        <v>-1.2388000000000001</v>
      </c>
      <c r="AO161">
        <v>0.87665239996612421</v>
      </c>
      <c r="AP161">
        <v>-0.42842880748993534</v>
      </c>
      <c r="AQ161">
        <v>-0.21892767423600543</v>
      </c>
      <c r="AR161">
        <v>0.26600000000000001</v>
      </c>
      <c r="AS161">
        <v>0.52</v>
      </c>
      <c r="AT161">
        <v>1.119</v>
      </c>
    </row>
    <row r="162" spans="5:46" x14ac:dyDescent="0.25">
      <c r="E162" s="170">
        <f t="shared" si="929"/>
        <v>0</v>
      </c>
      <c r="F162" s="170">
        <f t="shared" si="929"/>
        <v>0</v>
      </c>
      <c r="G162" s="170">
        <f t="shared" si="929"/>
        <v>-1</v>
      </c>
      <c r="H162" s="139"/>
      <c r="I162" s="86"/>
      <c r="J162" s="79">
        <f t="shared" si="930"/>
        <v>1.21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0.27660000000000012</v>
      </c>
      <c r="AM162">
        <v>3.6284999999999998</v>
      </c>
      <c r="AN162">
        <v>-1.8855000000000002</v>
      </c>
      <c r="AO162">
        <v>0.8264382731914669</v>
      </c>
      <c r="AP162">
        <v>-0.52186993764263145</v>
      </c>
      <c r="AQ162">
        <v>-0.21130913087034967</v>
      </c>
      <c r="AR162">
        <v>0.26600000000000001</v>
      </c>
      <c r="AS162">
        <v>0.52</v>
      </c>
      <c r="AT162">
        <v>1.1220000000000001</v>
      </c>
    </row>
    <row r="163" spans="5:46" x14ac:dyDescent="0.25">
      <c r="E163" s="170">
        <f t="shared" si="929"/>
        <v>-0.13644903246305903</v>
      </c>
      <c r="F163" s="170">
        <f t="shared" si="929"/>
        <v>-0.33840320519826184</v>
      </c>
      <c r="G163" s="170">
        <f t="shared" si="929"/>
        <v>-0.93105581586252839</v>
      </c>
      <c r="H163" s="139"/>
      <c r="I163" s="86"/>
      <c r="J163" s="79">
        <f t="shared" si="930"/>
        <v>1.2130000000000001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0.90569999999999995</v>
      </c>
      <c r="AM163">
        <v>1.9710999999999999</v>
      </c>
      <c r="AN163">
        <v>0.14909999999999982</v>
      </c>
      <c r="AO163">
        <v>0</v>
      </c>
      <c r="AP163">
        <v>0</v>
      </c>
      <c r="AQ163">
        <v>1</v>
      </c>
      <c r="AR163">
        <v>0.19500000000000001</v>
      </c>
      <c r="AS163">
        <v>0.438</v>
      </c>
      <c r="AT163">
        <v>1.21</v>
      </c>
    </row>
    <row r="164" spans="5:46" x14ac:dyDescent="0.25">
      <c r="E164" s="170">
        <f t="shared" si="929"/>
        <v>-0.23102670039948545</v>
      </c>
      <c r="F164" s="170">
        <f t="shared" si="929"/>
        <v>-0.59408417451541695</v>
      </c>
      <c r="G164" s="170">
        <f t="shared" si="929"/>
        <v>-0.77051324277578914</v>
      </c>
      <c r="H164" s="139"/>
      <c r="I164" s="86"/>
      <c r="J164" s="79">
        <f t="shared" si="930"/>
        <v>1.216</v>
      </c>
      <c r="AL164">
        <v>1.0684894307497743</v>
      </c>
      <c r="AM164">
        <v>2.6836916669367801</v>
      </c>
      <c r="AN164">
        <v>-2.9385482417289666E-2</v>
      </c>
      <c r="AO164">
        <v>0.13644903246305903</v>
      </c>
      <c r="AP164">
        <v>0.33840320519826184</v>
      </c>
      <c r="AQ164">
        <v>0.93105581586252839</v>
      </c>
      <c r="AR164">
        <v>0.19500000000000001</v>
      </c>
      <c r="AS164">
        <v>0.438</v>
      </c>
      <c r="AT164">
        <v>1.2130000000000001</v>
      </c>
    </row>
    <row r="165" spans="5:46" x14ac:dyDescent="0.25">
      <c r="E165" s="170">
        <f t="shared" si="929"/>
        <v>-0.38705885397932255</v>
      </c>
      <c r="F165" s="170">
        <f t="shared" si="929"/>
        <v>0.88511793352704415</v>
      </c>
      <c r="G165" s="170">
        <f t="shared" si="929"/>
        <v>0.25836347904653356</v>
      </c>
      <c r="H165" s="139"/>
      <c r="I165" s="86"/>
      <c r="J165" s="79">
        <f t="shared" si="930"/>
        <v>2.1110000000000002</v>
      </c>
      <c r="AL165">
        <v>1.229171635695343</v>
      </c>
      <c r="AM165">
        <v>3.1958442753136076</v>
      </c>
      <c r="AN165">
        <v>-0.48968120241248619</v>
      </c>
      <c r="AO165">
        <v>0.23102670039948545</v>
      </c>
      <c r="AP165">
        <v>0.59408417451541695</v>
      </c>
      <c r="AQ165">
        <v>0.77051324277578914</v>
      </c>
      <c r="AR165">
        <v>0.19500000000000001</v>
      </c>
      <c r="AS165">
        <v>0.438</v>
      </c>
      <c r="AT165">
        <v>1.216</v>
      </c>
    </row>
    <row r="166" spans="5:46" x14ac:dyDescent="0.25">
      <c r="E166" s="170">
        <f t="shared" si="929"/>
        <v>-0.26495744008229721</v>
      </c>
      <c r="F166" s="170">
        <f t="shared" si="929"/>
        <v>0.93653229417165462</v>
      </c>
      <c r="G166" s="170">
        <f t="shared" si="929"/>
        <v>0.22957529683877861</v>
      </c>
      <c r="H166" s="139"/>
      <c r="I166" s="86"/>
      <c r="J166" s="79">
        <f t="shared" si="930"/>
        <v>2.1139999999999999</v>
      </c>
      <c r="AL166">
        <v>2.1767049324731897</v>
      </c>
      <c r="AM166">
        <v>1.0141622672814388</v>
      </c>
      <c r="AN166">
        <v>-6.7300000000000124E-2</v>
      </c>
      <c r="AO166">
        <v>0.38705885397932255</v>
      </c>
      <c r="AP166">
        <v>-0.88511793352704415</v>
      </c>
      <c r="AQ166">
        <v>-0.25836347904653356</v>
      </c>
      <c r="AR166">
        <v>0.26600000000000001</v>
      </c>
      <c r="AS166">
        <v>0.52</v>
      </c>
      <c r="AT166">
        <v>2.1110000000000002</v>
      </c>
    </row>
    <row r="167" spans="5:46" x14ac:dyDescent="0.25">
      <c r="E167" s="170">
        <f t="shared" si="929"/>
        <v>-0.11106198361473053</v>
      </c>
      <c r="F167" s="170">
        <f t="shared" si="929"/>
        <v>0.96510186347785809</v>
      </c>
      <c r="G167" s="170">
        <f t="shared" si="929"/>
        <v>0.23715739268917432</v>
      </c>
      <c r="H167" s="139"/>
      <c r="I167" s="86"/>
      <c r="J167" s="79">
        <f t="shared" si="930"/>
        <v>2.117</v>
      </c>
      <c r="AL167">
        <v>2.7636296433160816</v>
      </c>
      <c r="AM167">
        <v>1.1846839192848946</v>
      </c>
      <c r="AN167">
        <v>-0.3287000000000001</v>
      </c>
      <c r="AO167">
        <v>0.26495744008229721</v>
      </c>
      <c r="AP167">
        <v>-0.93653229417165462</v>
      </c>
      <c r="AQ167">
        <v>-0.22957529683877861</v>
      </c>
      <c r="AR167">
        <v>0.26600000000000001</v>
      </c>
      <c r="AS167">
        <v>0.52</v>
      </c>
      <c r="AT167">
        <v>2.1139999999999999</v>
      </c>
    </row>
    <row r="168" spans="5:46" x14ac:dyDescent="0.25">
      <c r="E168" s="170">
        <f t="shared" si="929"/>
        <v>3.9311600685384571E-2</v>
      </c>
      <c r="F168" s="170">
        <f t="shared" si="929"/>
        <v>0.98313499841231822</v>
      </c>
      <c r="G168" s="170">
        <f t="shared" si="929"/>
        <v>0.17860619515673043</v>
      </c>
      <c r="H168" s="139"/>
      <c r="I168" s="86"/>
      <c r="J168" s="79">
        <f t="shared" si="930"/>
        <v>2.12</v>
      </c>
      <c r="AL168">
        <v>3.1842292923435767</v>
      </c>
      <c r="AM168">
        <v>1.2589998343902611</v>
      </c>
      <c r="AN168">
        <v>-0.82630000000000015</v>
      </c>
      <c r="AO168">
        <v>0.11106198361473053</v>
      </c>
      <c r="AP168">
        <v>-0.96510186347785809</v>
      </c>
      <c r="AQ168">
        <v>-0.23715739268917432</v>
      </c>
      <c r="AR168">
        <v>0.26600000000000001</v>
      </c>
      <c r="AS168">
        <v>0.52</v>
      </c>
      <c r="AT168">
        <v>2.117</v>
      </c>
    </row>
    <row r="169" spans="5:46" x14ac:dyDescent="0.25">
      <c r="E169" s="170">
        <f t="shared" si="929"/>
        <v>0.12370688185368521</v>
      </c>
      <c r="F169" s="170">
        <f t="shared" si="929"/>
        <v>0.9695592083998047</v>
      </c>
      <c r="G169" s="170">
        <f t="shared" si="929"/>
        <v>0.21130913087034967</v>
      </c>
      <c r="H169" s="139"/>
      <c r="I169" s="86"/>
      <c r="J169" s="79">
        <f t="shared" si="930"/>
        <v>2.1230000000000002</v>
      </c>
      <c r="AL169">
        <v>3.3408109577664167</v>
      </c>
      <c r="AM169">
        <v>1.2769565059473666</v>
      </c>
      <c r="AN169">
        <v>-1.4614000000000003</v>
      </c>
      <c r="AO169">
        <v>-3.9311600685384571E-2</v>
      </c>
      <c r="AP169">
        <v>-0.98313499841231822</v>
      </c>
      <c r="AQ169">
        <v>-0.17860619515673043</v>
      </c>
      <c r="AR169">
        <v>0.26600000000000001</v>
      </c>
      <c r="AS169">
        <v>0.52</v>
      </c>
      <c r="AT169">
        <v>2.12</v>
      </c>
    </row>
    <row r="170" spans="5:46" x14ac:dyDescent="0.25">
      <c r="E170" s="170">
        <f t="shared" si="929"/>
        <v>-0.46107292278745637</v>
      </c>
      <c r="F170" s="170">
        <f t="shared" si="929"/>
        <v>-2.4970816901116678E-2</v>
      </c>
      <c r="G170" s="170">
        <f t="shared" si="929"/>
        <v>-0.88701083317822182</v>
      </c>
      <c r="H170" s="139"/>
      <c r="I170" s="86"/>
      <c r="J170" s="79">
        <f t="shared" si="930"/>
        <v>2.214</v>
      </c>
      <c r="AL170">
        <v>3.4053933345339473</v>
      </c>
      <c r="AM170">
        <v>1.282797448598743</v>
      </c>
      <c r="AN170">
        <v>-2.1055000000000001</v>
      </c>
      <c r="AO170">
        <v>-0.12370688185368521</v>
      </c>
      <c r="AP170">
        <v>-0.9695592083998047</v>
      </c>
      <c r="AQ170">
        <v>-0.21130913087034967</v>
      </c>
      <c r="AR170">
        <v>0.26600000000000001</v>
      </c>
      <c r="AS170">
        <v>0.52</v>
      </c>
      <c r="AT170">
        <v>2.1230000000000002</v>
      </c>
    </row>
    <row r="171" spans="5:46" x14ac:dyDescent="0.25">
      <c r="E171" s="170">
        <f t="shared" si="929"/>
        <v>-0.71933448945372447</v>
      </c>
      <c r="F171" s="170">
        <f t="shared" si="929"/>
        <v>-4.1854471996546801E-2</v>
      </c>
      <c r="G171" s="170">
        <f t="shared" si="929"/>
        <v>-0.69340182827581287</v>
      </c>
      <c r="H171" s="139"/>
      <c r="I171" s="86"/>
      <c r="J171" s="79">
        <f t="shared" si="930"/>
        <v>2.2170000000000001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L171">
        <v>3.0873735718533304</v>
      </c>
      <c r="AM171">
        <v>0.18020460446103181</v>
      </c>
      <c r="AN171">
        <v>-0.15520068103033979</v>
      </c>
      <c r="AO171">
        <v>0.46107292278745637</v>
      </c>
      <c r="AP171">
        <v>2.4970816901116678E-2</v>
      </c>
      <c r="AQ171">
        <v>0.88701083317822182</v>
      </c>
      <c r="AR171">
        <v>0.19500000000000001</v>
      </c>
      <c r="AS171">
        <v>0.438</v>
      </c>
      <c r="AT171">
        <v>2.214</v>
      </c>
    </row>
    <row r="172" spans="5:46" x14ac:dyDescent="0.25">
      <c r="E172" s="170">
        <f t="shared" si="929"/>
        <v>0.46984631039295466</v>
      </c>
      <c r="F172" s="170">
        <f t="shared" si="929"/>
        <v>0.81379768134937347</v>
      </c>
      <c r="G172" s="170">
        <f t="shared" si="929"/>
        <v>0.34202014332566866</v>
      </c>
      <c r="H172" s="139"/>
      <c r="I172" s="86"/>
      <c r="J172" s="79">
        <f t="shared" si="930"/>
        <v>3.1030000000000002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3.5492863030439934</v>
      </c>
      <c r="AM172">
        <v>0.21961650575922823</v>
      </c>
      <c r="AN172">
        <v>-0.69552441518718189</v>
      </c>
      <c r="AO172">
        <v>0.71933448945372447</v>
      </c>
      <c r="AP172">
        <v>4.1854471996546801E-2</v>
      </c>
      <c r="AQ172">
        <v>0.69340182827581287</v>
      </c>
      <c r="AR172">
        <v>0.19500000000000001</v>
      </c>
      <c r="AS172">
        <v>0.438</v>
      </c>
      <c r="AT172">
        <v>2.2170000000000001</v>
      </c>
    </row>
    <row r="173" spans="5:46" x14ac:dyDescent="0.25">
      <c r="E173" s="170">
        <f t="shared" si="929"/>
        <v>0.48296291314453466</v>
      </c>
      <c r="F173" s="170">
        <f t="shared" si="929"/>
        <v>0.83651630373780761</v>
      </c>
      <c r="G173" s="170">
        <f t="shared" si="929"/>
        <v>0.25881904510252079</v>
      </c>
      <c r="H173" s="139"/>
      <c r="I173" s="86"/>
      <c r="J173" s="79">
        <f t="shared" si="930"/>
        <v>3.1059999999999999</v>
      </c>
      <c r="O173">
        <f>IF($J24="","",IFERROR(INDEX(Settings!$AK$14:$AK$32,MATCH((((ROUND($H24,6)*2)*1000000)+ROUND($I24,6)),Settings!$AI$14:$AI$32,0)),"Undefined"))</f>
        <v>1313</v>
      </c>
      <c r="AL173">
        <v>0.60598932433719654</v>
      </c>
      <c r="AM173">
        <v>-0.3283053249492302</v>
      </c>
      <c r="AN173">
        <v>-0.38940000000000002</v>
      </c>
      <c r="AO173">
        <v>-0.46984631039295466</v>
      </c>
      <c r="AP173">
        <v>-0.81379768134937347</v>
      </c>
      <c r="AQ173">
        <v>-0.34202014332566866</v>
      </c>
      <c r="AR173">
        <v>0.26600000000000001</v>
      </c>
      <c r="AS173">
        <v>0.52</v>
      </c>
      <c r="AT173">
        <v>3.1030000000000002</v>
      </c>
    </row>
    <row r="174" spans="5:46" x14ac:dyDescent="0.25">
      <c r="E174" s="170">
        <f t="shared" ref="E174:G193" si="933">E29*-1</f>
        <v>0.48296291314453466</v>
      </c>
      <c r="F174" s="170">
        <f t="shared" si="933"/>
        <v>0.83651630373780772</v>
      </c>
      <c r="G174" s="170">
        <f t="shared" si="933"/>
        <v>0.25881904510252074</v>
      </c>
      <c r="H174" s="139"/>
      <c r="I174" s="86"/>
      <c r="J174" s="79">
        <f t="shared" si="930"/>
        <v>3.109</v>
      </c>
      <c r="AL174">
        <v>1.1682996190144326</v>
      </c>
      <c r="AM174">
        <v>-0.6529553249492307</v>
      </c>
      <c r="AN174">
        <v>-0.21540000000000012</v>
      </c>
      <c r="AO174">
        <v>-0.48296291314453466</v>
      </c>
      <c r="AP174">
        <v>-0.83651630373780761</v>
      </c>
      <c r="AQ174">
        <v>-0.25881904510252079</v>
      </c>
      <c r="AR174">
        <v>0.26600000000000001</v>
      </c>
      <c r="AS174">
        <v>0.52</v>
      </c>
      <c r="AT174">
        <v>3.1059999999999999</v>
      </c>
    </row>
    <row r="175" spans="5:46" x14ac:dyDescent="0.25">
      <c r="E175" s="170">
        <f t="shared" si="933"/>
        <v>0.55421526475028904</v>
      </c>
      <c r="F175" s="170">
        <f t="shared" si="933"/>
        <v>0.79394297044420459</v>
      </c>
      <c r="G175" s="170">
        <f t="shared" si="933"/>
        <v>0.24999999999999997</v>
      </c>
      <c r="H175" s="139"/>
      <c r="I175" s="86"/>
      <c r="J175" s="79">
        <f t="shared" si="930"/>
        <v>3.1120000000000001</v>
      </c>
      <c r="AL175">
        <v>1.7136358157774934</v>
      </c>
      <c r="AM175">
        <v>-0.96780532494923099</v>
      </c>
      <c r="AN175">
        <v>-8.9000000000000093E-2</v>
      </c>
      <c r="AO175">
        <v>-0.48296291314453466</v>
      </c>
      <c r="AP175">
        <v>-0.83651630373780772</v>
      </c>
      <c r="AQ175">
        <v>-0.25881904510252074</v>
      </c>
      <c r="AR175">
        <v>0.26600000000000001</v>
      </c>
      <c r="AS175">
        <v>0.52</v>
      </c>
      <c r="AT175">
        <v>3.109</v>
      </c>
    </row>
    <row r="176" spans="5:46" x14ac:dyDescent="0.25">
      <c r="E176" s="170">
        <f t="shared" si="933"/>
        <v>0.66537635155151043</v>
      </c>
      <c r="F176" s="170">
        <f t="shared" si="933"/>
        <v>0.68947041369524242</v>
      </c>
      <c r="G176" s="170">
        <f t="shared" si="933"/>
        <v>0.28619025041903889</v>
      </c>
      <c r="H176" s="139"/>
      <c r="I176" s="86"/>
      <c r="J176" s="79">
        <f t="shared" si="930"/>
        <v>3.1150000000000002</v>
      </c>
      <c r="AL176">
        <v>2.2500159834358073</v>
      </c>
      <c r="AM176">
        <v>-1.3273676223927191</v>
      </c>
      <c r="AN176">
        <v>-0.12109999999999997</v>
      </c>
      <c r="AO176">
        <v>-0.55421526475028904</v>
      </c>
      <c r="AP176">
        <v>-0.79394297044420459</v>
      </c>
      <c r="AQ176">
        <v>-0.24999999999999997</v>
      </c>
      <c r="AR176">
        <v>0.26600000000000001</v>
      </c>
      <c r="AS176">
        <v>0.52</v>
      </c>
      <c r="AT176">
        <v>3.1120000000000001</v>
      </c>
    </row>
    <row r="177" spans="5:46" x14ac:dyDescent="0.25">
      <c r="E177" s="170">
        <f t="shared" si="933"/>
        <v>0.78358324780828048</v>
      </c>
      <c r="F177" s="170">
        <f t="shared" si="933"/>
        <v>0.56417955548295273</v>
      </c>
      <c r="G177" s="170">
        <f t="shared" si="933"/>
        <v>0.26018978252284414</v>
      </c>
      <c r="H177" s="139"/>
      <c r="I177" s="86"/>
      <c r="J177" s="79">
        <f t="shared" si="930"/>
        <v>3.1179999999999999</v>
      </c>
      <c r="AL177">
        <v>2.6705818793058951</v>
      </c>
      <c r="AM177">
        <v>-1.6929261228150052</v>
      </c>
      <c r="AN177">
        <v>-0.46320000000000011</v>
      </c>
      <c r="AO177">
        <v>-0.66537635155151043</v>
      </c>
      <c r="AP177">
        <v>-0.68947041369524242</v>
      </c>
      <c r="AQ177">
        <v>-0.28619025041903889</v>
      </c>
      <c r="AR177">
        <v>0.26600000000000001</v>
      </c>
      <c r="AS177">
        <v>0.52</v>
      </c>
      <c r="AT177">
        <v>3.1150000000000002</v>
      </c>
    </row>
    <row r="178" spans="5:46" x14ac:dyDescent="0.25">
      <c r="E178" s="170">
        <f t="shared" si="933"/>
        <v>0.86517176006565333</v>
      </c>
      <c r="F178" s="170">
        <f t="shared" si="933"/>
        <v>0.4547815704222381</v>
      </c>
      <c r="G178" s="170">
        <f t="shared" si="933"/>
        <v>0.21130913087034969</v>
      </c>
      <c r="H178" s="139"/>
      <c r="I178" s="86"/>
      <c r="J178" s="79">
        <f t="shared" si="930"/>
        <v>3.121</v>
      </c>
      <c r="AL178">
        <v>2.9131154530831425</v>
      </c>
      <c r="AM178">
        <v>-1.9478456504915569</v>
      </c>
      <c r="AN178">
        <v>-1.0192000000000001</v>
      </c>
      <c r="AO178">
        <v>-0.78358324780828048</v>
      </c>
      <c r="AP178">
        <v>-0.56417955548295273</v>
      </c>
      <c r="AQ178">
        <v>-0.26018978252284414</v>
      </c>
      <c r="AR178">
        <v>0.26600000000000001</v>
      </c>
      <c r="AS178">
        <v>0.52</v>
      </c>
      <c r="AT178">
        <v>3.1179999999999999</v>
      </c>
    </row>
    <row r="179" spans="5:46" x14ac:dyDescent="0.25">
      <c r="E179" s="170">
        <f t="shared" si="933"/>
        <v>-0.1554001893790854</v>
      </c>
      <c r="F179" s="170">
        <f t="shared" si="933"/>
        <v>0.2069736196927644</v>
      </c>
      <c r="G179" s="170">
        <f t="shared" si="933"/>
        <v>-0.96592582628906831</v>
      </c>
      <c r="H179" s="139"/>
      <c r="I179" s="86"/>
      <c r="J179" s="79">
        <f t="shared" si="930"/>
        <v>3.2120000000000002</v>
      </c>
      <c r="AL179">
        <v>3.0041076013019317</v>
      </c>
      <c r="AM179">
        <v>-2.0538426266867766</v>
      </c>
      <c r="AN179">
        <v>-1.6608000000000001</v>
      </c>
      <c r="AO179">
        <v>-0.86517176006565333</v>
      </c>
      <c r="AP179">
        <v>-0.4547815704222381</v>
      </c>
      <c r="AQ179">
        <v>-0.21130913087034969</v>
      </c>
      <c r="AR179">
        <v>0.26600000000000001</v>
      </c>
      <c r="AS179">
        <v>0.52</v>
      </c>
      <c r="AT179">
        <v>3.121</v>
      </c>
    </row>
    <row r="180" spans="5:46" x14ac:dyDescent="0.25">
      <c r="E180" s="170">
        <f t="shared" si="933"/>
        <v>-0.34094090806504174</v>
      </c>
      <c r="F180" s="170">
        <f t="shared" si="933"/>
        <v>0.42846794620990886</v>
      </c>
      <c r="G180" s="170">
        <f t="shared" si="933"/>
        <v>-0.83676431345896174</v>
      </c>
      <c r="H180" s="139"/>
      <c r="I180" s="86"/>
      <c r="J180" s="79">
        <f t="shared" si="930"/>
        <v>3.2149999999999999</v>
      </c>
      <c r="AL180">
        <v>1.606162951087408</v>
      </c>
      <c r="AM180">
        <v>-2.1176857232379716</v>
      </c>
      <c r="AN180">
        <v>6.7835091622141797E-2</v>
      </c>
      <c r="AO180">
        <v>0.1554001893790854</v>
      </c>
      <c r="AP180">
        <v>-0.2069736196927644</v>
      </c>
      <c r="AQ180">
        <v>0.96592582628906831</v>
      </c>
      <c r="AR180">
        <v>0.19500000000000001</v>
      </c>
      <c r="AS180">
        <v>0.438</v>
      </c>
      <c r="AT180">
        <v>3.2120000000000002</v>
      </c>
    </row>
    <row r="181" spans="5:46" x14ac:dyDescent="0.25">
      <c r="E181" s="170">
        <f t="shared" si="933"/>
        <v>-0.48925553190955245</v>
      </c>
      <c r="F181" s="170">
        <f t="shared" si="933"/>
        <v>0.61772969193307758</v>
      </c>
      <c r="G181" s="170">
        <f t="shared" si="933"/>
        <v>-0.61566147532565818</v>
      </c>
      <c r="H181" s="139"/>
      <c r="I181" s="86"/>
      <c r="J181" s="79">
        <f t="shared" si="930"/>
        <v>3.218</v>
      </c>
      <c r="AL181">
        <v>2.04028883464763</v>
      </c>
      <c r="AM181">
        <v>-2.5438081419883711</v>
      </c>
      <c r="AN181">
        <v>-0.30538625048163992</v>
      </c>
      <c r="AO181">
        <v>0.34094090806504174</v>
      </c>
      <c r="AP181">
        <v>-0.42846794620990886</v>
      </c>
      <c r="AQ181">
        <v>0.83676431345896174</v>
      </c>
      <c r="AR181">
        <v>0.19500000000000001</v>
      </c>
      <c r="AS181">
        <v>0.438</v>
      </c>
      <c r="AT181">
        <v>3.2149999999999999</v>
      </c>
    </row>
    <row r="182" spans="5:46" x14ac:dyDescent="0.25">
      <c r="E182" s="170">
        <f t="shared" si="933"/>
        <v>0.96592370777744574</v>
      </c>
      <c r="F182" s="170">
        <f t="shared" si="933"/>
        <v>-2.0230288408547618E-3</v>
      </c>
      <c r="G182" s="170">
        <f t="shared" si="933"/>
        <v>0.25881904510252074</v>
      </c>
      <c r="H182" s="139"/>
      <c r="I182" s="86"/>
      <c r="J182" s="79">
        <f t="shared" si="930"/>
        <v>4.1100000000000003</v>
      </c>
      <c r="AL182">
        <v>2.2715793592409184</v>
      </c>
      <c r="AM182">
        <v>-2.8470518544845662</v>
      </c>
      <c r="AN182">
        <v>-0.9085040667364469</v>
      </c>
      <c r="AO182">
        <v>0.48925553190955245</v>
      </c>
      <c r="AP182">
        <v>-0.61772969193307758</v>
      </c>
      <c r="AQ182">
        <v>0.61566147532565818</v>
      </c>
      <c r="AR182">
        <v>0.19500000000000001</v>
      </c>
      <c r="AS182">
        <v>0.438</v>
      </c>
      <c r="AT182">
        <v>3.218</v>
      </c>
    </row>
    <row r="183" spans="5:46" x14ac:dyDescent="0.25">
      <c r="E183" s="170">
        <f t="shared" si="933"/>
        <v>0.96301793789601642</v>
      </c>
      <c r="F183" s="170">
        <f t="shared" si="933"/>
        <v>-0.12053012758060157</v>
      </c>
      <c r="G183" s="170">
        <f t="shared" si="933"/>
        <v>0.24097497719868796</v>
      </c>
      <c r="H183" s="139"/>
      <c r="I183" s="86"/>
      <c r="J183" s="79">
        <f t="shared" si="930"/>
        <v>4.1130000000000004</v>
      </c>
      <c r="AL183">
        <v>1.4299999999999997E-2</v>
      </c>
      <c r="AM183">
        <v>-2.1749999999999998</v>
      </c>
      <c r="AN183">
        <v>-4.6500000000000173E-2</v>
      </c>
      <c r="AO183">
        <v>-0.96592370777744574</v>
      </c>
      <c r="AP183">
        <v>2.0230288408547618E-3</v>
      </c>
      <c r="AQ183">
        <v>-0.25881904510252074</v>
      </c>
      <c r="AR183">
        <v>0.26600000000000001</v>
      </c>
      <c r="AS183">
        <v>0.52</v>
      </c>
      <c r="AT183">
        <v>4.1100000000000003</v>
      </c>
    </row>
    <row r="184" spans="5:46" x14ac:dyDescent="0.25">
      <c r="E184" s="170">
        <f t="shared" si="933"/>
        <v>0.92572695573999519</v>
      </c>
      <c r="F184" s="170">
        <f t="shared" si="933"/>
        <v>-0.27125815977654061</v>
      </c>
      <c r="G184" s="170">
        <f t="shared" si="933"/>
        <v>0.26353104972850117</v>
      </c>
      <c r="H184" s="139"/>
      <c r="I184" s="86"/>
      <c r="J184" s="79">
        <f t="shared" si="930"/>
        <v>4.1159999999999997</v>
      </c>
      <c r="AL184">
        <v>-5.7400000000000083E-2</v>
      </c>
      <c r="AM184">
        <v>-2.8213000000000004</v>
      </c>
      <c r="AN184">
        <v>-0.21150000000000019</v>
      </c>
      <c r="AO184">
        <v>-0.96301793789601642</v>
      </c>
      <c r="AP184">
        <v>0.12053012758060157</v>
      </c>
      <c r="AQ184">
        <v>-0.24097497719868796</v>
      </c>
      <c r="AR184">
        <v>0.26600000000000001</v>
      </c>
      <c r="AS184">
        <v>0.52</v>
      </c>
      <c r="AT184">
        <v>4.1130000000000004</v>
      </c>
    </row>
    <row r="185" spans="5:46" x14ac:dyDescent="0.25">
      <c r="E185" s="170">
        <f t="shared" si="933"/>
        <v>0.87665239996612432</v>
      </c>
      <c r="F185" s="170">
        <f t="shared" si="933"/>
        <v>-0.42842880748993534</v>
      </c>
      <c r="G185" s="170">
        <f t="shared" si="933"/>
        <v>0.21892767423600545</v>
      </c>
      <c r="H185" s="139"/>
      <c r="I185" s="86"/>
      <c r="J185" s="79">
        <f t="shared" si="930"/>
        <v>4.1189999999999998</v>
      </c>
      <c r="AL185">
        <v>-0.17010000000000022</v>
      </c>
      <c r="AM185">
        <v>-3.3033999999999999</v>
      </c>
      <c r="AN185">
        <v>-0.6349999999999999</v>
      </c>
      <c r="AO185">
        <v>-0.92572695573999519</v>
      </c>
      <c r="AP185">
        <v>0.27125815977654061</v>
      </c>
      <c r="AQ185">
        <v>-0.26353104972850117</v>
      </c>
      <c r="AR185">
        <v>0.26600000000000001</v>
      </c>
      <c r="AS185">
        <v>0.52</v>
      </c>
      <c r="AT185">
        <v>4.1159999999999997</v>
      </c>
    </row>
    <row r="186" spans="5:46" x14ac:dyDescent="0.25">
      <c r="E186" s="170">
        <f t="shared" si="933"/>
        <v>0.8264382731914669</v>
      </c>
      <c r="F186" s="170">
        <f t="shared" si="933"/>
        <v>-0.52186993764263145</v>
      </c>
      <c r="G186" s="170">
        <f t="shared" si="933"/>
        <v>0.21130913087034964</v>
      </c>
      <c r="H186" s="139"/>
      <c r="I186" s="86"/>
      <c r="J186" s="79">
        <f t="shared" si="930"/>
        <v>4.1219999999999999</v>
      </c>
      <c r="AL186">
        <v>-0.24830000000000019</v>
      </c>
      <c r="AM186">
        <v>-3.5495999999999999</v>
      </c>
      <c r="AN186">
        <v>-1.2388000000000001</v>
      </c>
      <c r="AO186">
        <v>-0.87665239996612432</v>
      </c>
      <c r="AP186">
        <v>0.42842880748993534</v>
      </c>
      <c r="AQ186">
        <v>-0.21892767423600545</v>
      </c>
      <c r="AR186">
        <v>0.26600000000000001</v>
      </c>
      <c r="AS186">
        <v>0.52</v>
      </c>
      <c r="AT186">
        <v>4.1189999999999998</v>
      </c>
    </row>
    <row r="187" spans="5:46" x14ac:dyDescent="0.25">
      <c r="E187" s="170">
        <f t="shared" si="933"/>
        <v>0.13644903246305892</v>
      </c>
      <c r="F187" s="170">
        <f t="shared" si="933"/>
        <v>0.33840320519826184</v>
      </c>
      <c r="G187" s="170">
        <f t="shared" si="933"/>
        <v>-0.93105581586252839</v>
      </c>
      <c r="H187" s="139"/>
      <c r="I187" s="86"/>
      <c r="J187" s="79">
        <f t="shared" si="930"/>
        <v>4.2130000000000001</v>
      </c>
      <c r="AL187">
        <v>-0.27660000000000018</v>
      </c>
      <c r="AM187">
        <v>-3.6284999999999998</v>
      </c>
      <c r="AN187">
        <v>-1.8855000000000002</v>
      </c>
      <c r="AO187">
        <v>-0.8264382731914669</v>
      </c>
      <c r="AP187">
        <v>0.52186993764263145</v>
      </c>
      <c r="AQ187">
        <v>-0.21130913087034964</v>
      </c>
      <c r="AR187">
        <v>0.26600000000000001</v>
      </c>
      <c r="AS187">
        <v>0.52</v>
      </c>
      <c r="AT187">
        <v>4.1219999999999999</v>
      </c>
    </row>
    <row r="188" spans="5:46" x14ac:dyDescent="0.25">
      <c r="E188" s="170">
        <f t="shared" si="933"/>
        <v>0.23102670039948561</v>
      </c>
      <c r="F188" s="170">
        <f t="shared" si="933"/>
        <v>0.59408417451541662</v>
      </c>
      <c r="G188" s="170">
        <f t="shared" si="933"/>
        <v>-0.77051324277578925</v>
      </c>
      <c r="H188" s="139"/>
      <c r="I188" s="86"/>
      <c r="J188" s="79">
        <f t="shared" si="930"/>
        <v>4.2160000000000002</v>
      </c>
      <c r="AL188">
        <v>-1.0684894307497745</v>
      </c>
      <c r="AM188">
        <v>-2.6836916669367801</v>
      </c>
      <c r="AN188">
        <v>-2.9385482417289666E-2</v>
      </c>
      <c r="AO188">
        <v>-0.13644903246305892</v>
      </c>
      <c r="AP188">
        <v>-0.33840320519826184</v>
      </c>
      <c r="AQ188">
        <v>0.93105581586252839</v>
      </c>
      <c r="AR188">
        <v>0.19500000000000001</v>
      </c>
      <c r="AS188">
        <v>0.438</v>
      </c>
      <c r="AT188">
        <v>4.2130000000000001</v>
      </c>
    </row>
    <row r="189" spans="5:46" x14ac:dyDescent="0.25">
      <c r="E189" s="170">
        <f t="shared" si="933"/>
        <v>0.3971312619671028</v>
      </c>
      <c r="F189" s="170">
        <f t="shared" si="933"/>
        <v>-0.85165073963914661</v>
      </c>
      <c r="G189" s="170">
        <f t="shared" si="933"/>
        <v>0.34202014332566877</v>
      </c>
      <c r="H189" s="139"/>
      <c r="I189" s="86"/>
      <c r="J189" s="79">
        <f t="shared" si="930"/>
        <v>5.1020000000000003</v>
      </c>
      <c r="AL189">
        <v>-1.2291716356953433</v>
      </c>
      <c r="AM189">
        <v>-3.1958442753136072</v>
      </c>
      <c r="AN189">
        <v>-0.48968120241248619</v>
      </c>
      <c r="AO189">
        <v>-0.23102670039948561</v>
      </c>
      <c r="AP189">
        <v>-0.59408417451541662</v>
      </c>
      <c r="AQ189">
        <v>0.77051324277578925</v>
      </c>
      <c r="AR189">
        <v>0.19500000000000001</v>
      </c>
      <c r="AS189">
        <v>0.438</v>
      </c>
      <c r="AT189">
        <v>4.2160000000000002</v>
      </c>
    </row>
    <row r="190" spans="5:46" x14ac:dyDescent="0.25">
      <c r="E190" s="170">
        <f t="shared" si="933"/>
        <v>0.40821789367673467</v>
      </c>
      <c r="F190" s="170">
        <f t="shared" si="933"/>
        <v>-0.87542609806559324</v>
      </c>
      <c r="G190" s="170">
        <f t="shared" si="933"/>
        <v>0.25881904510252079</v>
      </c>
      <c r="H190" s="139"/>
      <c r="I190" s="86"/>
      <c r="J190" s="79">
        <f t="shared" si="930"/>
        <v>5.1050000000000004</v>
      </c>
      <c r="AL190">
        <v>-0.4351502336616529</v>
      </c>
      <c r="AM190">
        <v>-0.22357784354956559</v>
      </c>
      <c r="AN190">
        <v>-0.45029999999999998</v>
      </c>
      <c r="AO190">
        <v>-0.3971312619671028</v>
      </c>
      <c r="AP190">
        <v>0.85165073963914661</v>
      </c>
      <c r="AQ190">
        <v>-0.34202014332566877</v>
      </c>
      <c r="AR190">
        <v>0.26600000000000001</v>
      </c>
      <c r="AS190">
        <v>0.52</v>
      </c>
      <c r="AT190">
        <v>5.1020000000000003</v>
      </c>
    </row>
    <row r="191" spans="5:46" x14ac:dyDescent="0.25">
      <c r="E191" s="170">
        <f t="shared" si="933"/>
        <v>0.40821789367673467</v>
      </c>
      <c r="F191" s="170">
        <f t="shared" si="933"/>
        <v>-0.87542609806559324</v>
      </c>
      <c r="G191" s="170">
        <f t="shared" si="933"/>
        <v>0.25881904510252079</v>
      </c>
      <c r="H191" s="139"/>
      <c r="I191" s="86"/>
      <c r="J191" s="79">
        <f t="shared" si="930"/>
        <v>5.1079999999999997</v>
      </c>
      <c r="AL191">
        <v>-1.0226189412188096</v>
      </c>
      <c r="AM191">
        <v>-0.49751900080988704</v>
      </c>
      <c r="AN191">
        <v>-0.26930000000000009</v>
      </c>
      <c r="AO191">
        <v>-0.40821789367673467</v>
      </c>
      <c r="AP191">
        <v>0.87542609806559324</v>
      </c>
      <c r="AQ191">
        <v>-0.25881904510252079</v>
      </c>
      <c r="AR191">
        <v>0.26600000000000001</v>
      </c>
      <c r="AS191">
        <v>0.52</v>
      </c>
      <c r="AT191">
        <v>5.1050000000000004</v>
      </c>
    </row>
    <row r="192" spans="5:46" x14ac:dyDescent="0.25">
      <c r="E192" s="170">
        <f t="shared" si="933"/>
        <v>0.38705885397932255</v>
      </c>
      <c r="F192" s="170">
        <f t="shared" si="933"/>
        <v>-0.88511793352704415</v>
      </c>
      <c r="G192" s="170">
        <f t="shared" si="933"/>
        <v>0.25836347904653356</v>
      </c>
      <c r="H192" s="139"/>
      <c r="I192" s="86"/>
      <c r="J192" s="79">
        <f t="shared" si="930"/>
        <v>5.1109999999999998</v>
      </c>
      <c r="AL192">
        <v>-1.588698785001901</v>
      </c>
      <c r="AM192">
        <v>-0.76148636709312778</v>
      </c>
      <c r="AN192">
        <v>-0.11579999999999992</v>
      </c>
      <c r="AO192">
        <v>-0.40821789367673467</v>
      </c>
      <c r="AP192">
        <v>0.87542609806559324</v>
      </c>
      <c r="AQ192">
        <v>-0.25881904510252079</v>
      </c>
      <c r="AR192">
        <v>0.26600000000000001</v>
      </c>
      <c r="AS192">
        <v>0.52</v>
      </c>
      <c r="AT192">
        <v>5.1079999999999997</v>
      </c>
    </row>
    <row r="193" spans="5:46" x14ac:dyDescent="0.25">
      <c r="E193" s="170">
        <f t="shared" si="933"/>
        <v>0.26495744008229766</v>
      </c>
      <c r="F193" s="170">
        <f t="shared" si="933"/>
        <v>-0.93653229417165451</v>
      </c>
      <c r="G193" s="170">
        <f t="shared" si="933"/>
        <v>0.22957529683877859</v>
      </c>
      <c r="H193" s="139"/>
      <c r="I193" s="86"/>
      <c r="J193" s="79">
        <f t="shared" si="930"/>
        <v>5.1139999999999999</v>
      </c>
      <c r="AL193">
        <v>-2.1767049324731897</v>
      </c>
      <c r="AM193">
        <v>-1.0141622672814385</v>
      </c>
      <c r="AN193">
        <v>-6.7300000000000124E-2</v>
      </c>
      <c r="AO193">
        <v>-0.38705885397932255</v>
      </c>
      <c r="AP193">
        <v>0.88511793352704415</v>
      </c>
      <c r="AQ193">
        <v>-0.25836347904653356</v>
      </c>
      <c r="AR193">
        <v>0.26600000000000001</v>
      </c>
      <c r="AS193">
        <v>0.52</v>
      </c>
      <c r="AT193">
        <v>5.1109999999999998</v>
      </c>
    </row>
    <row r="194" spans="5:46" x14ac:dyDescent="0.25">
      <c r="E194" s="170">
        <f t="shared" ref="E194:G213" si="934">E49*-1</f>
        <v>0.1270388561450953</v>
      </c>
      <c r="F194" s="170">
        <f t="shared" si="934"/>
        <v>-0.95888558714694827</v>
      </c>
      <c r="G194" s="170">
        <f t="shared" si="934"/>
        <v>0.25377068347466386</v>
      </c>
      <c r="H194" s="139"/>
      <c r="I194" s="86"/>
      <c r="J194" s="79">
        <f t="shared" si="930"/>
        <v>5.117</v>
      </c>
      <c r="AL194">
        <v>-2.7636296433160816</v>
      </c>
      <c r="AM194">
        <v>-1.1846839192848946</v>
      </c>
      <c r="AN194">
        <v>-0.3287000000000001</v>
      </c>
      <c r="AO194">
        <v>-0.26495744008229766</v>
      </c>
      <c r="AP194">
        <v>0.93653229417165451</v>
      </c>
      <c r="AQ194">
        <v>-0.22957529683877859</v>
      </c>
      <c r="AR194">
        <v>0.26600000000000001</v>
      </c>
      <c r="AS194">
        <v>0.52</v>
      </c>
      <c r="AT194">
        <v>5.1139999999999999</v>
      </c>
    </row>
    <row r="195" spans="5:46" x14ac:dyDescent="0.25">
      <c r="E195" s="170">
        <f t="shared" si="934"/>
        <v>-3.9311600685384571E-2</v>
      </c>
      <c r="F195" s="170">
        <f t="shared" si="934"/>
        <v>-0.98313499841231822</v>
      </c>
      <c r="G195" s="170">
        <f t="shared" si="934"/>
        <v>0.17860619515673043</v>
      </c>
      <c r="H195" s="139"/>
      <c r="I195" s="86"/>
      <c r="J195" s="79">
        <f t="shared" si="930"/>
        <v>5.12</v>
      </c>
      <c r="AL195">
        <v>-3.1842292923435767</v>
      </c>
      <c r="AM195">
        <v>-1.2589998343902609</v>
      </c>
      <c r="AN195">
        <v>-0.82630000000000015</v>
      </c>
      <c r="AO195">
        <v>-0.1270388561450953</v>
      </c>
      <c r="AP195">
        <v>0.95888558714694827</v>
      </c>
      <c r="AQ195">
        <v>-0.25377068347466386</v>
      </c>
      <c r="AR195">
        <v>0.26600000000000001</v>
      </c>
      <c r="AS195">
        <v>0.52</v>
      </c>
      <c r="AT195">
        <v>5.117</v>
      </c>
    </row>
    <row r="196" spans="5:46" x14ac:dyDescent="0.25">
      <c r="E196" s="170">
        <f t="shared" si="934"/>
        <v>-0.12370688185368521</v>
      </c>
      <c r="F196" s="170">
        <f t="shared" si="934"/>
        <v>-0.9695592083998047</v>
      </c>
      <c r="G196" s="170">
        <f t="shared" si="934"/>
        <v>0.21130913087034967</v>
      </c>
      <c r="H196" s="139"/>
      <c r="I196" s="86"/>
      <c r="J196" s="79">
        <f t="shared" si="930"/>
        <v>5.1230000000000002</v>
      </c>
      <c r="AL196">
        <v>-3.3408109577664167</v>
      </c>
      <c r="AM196">
        <v>-1.2769565059473664</v>
      </c>
      <c r="AN196">
        <v>-1.4614000000000003</v>
      </c>
      <c r="AO196">
        <v>3.9311600685384571E-2</v>
      </c>
      <c r="AP196">
        <v>0.98313499841231822</v>
      </c>
      <c r="AQ196">
        <v>-0.17860619515673043</v>
      </c>
      <c r="AR196">
        <v>0.26600000000000001</v>
      </c>
      <c r="AS196">
        <v>0.52</v>
      </c>
      <c r="AT196">
        <v>5.12</v>
      </c>
    </row>
    <row r="197" spans="5:46" x14ac:dyDescent="0.25">
      <c r="E197" s="170">
        <f t="shared" si="934"/>
        <v>5.9305853282993003E-2</v>
      </c>
      <c r="F197" s="170">
        <f t="shared" si="934"/>
        <v>2.4842123024992771E-4</v>
      </c>
      <c r="G197" s="170">
        <f t="shared" si="934"/>
        <v>-0.99823982792376531</v>
      </c>
      <c r="H197" s="139"/>
      <c r="I197" s="86"/>
      <c r="J197" s="79">
        <f t="shared" si="930"/>
        <v>5.2110000000000003</v>
      </c>
      <c r="AL197">
        <v>-3.4053933345339478</v>
      </c>
      <c r="AM197">
        <v>-1.2827974485987428</v>
      </c>
      <c r="AN197">
        <v>-2.1055000000000001</v>
      </c>
      <c r="AO197">
        <v>0.12370688185368521</v>
      </c>
      <c r="AP197">
        <v>0.9695592083998047</v>
      </c>
      <c r="AQ197">
        <v>-0.21130913087034967</v>
      </c>
      <c r="AR197">
        <v>0.26600000000000001</v>
      </c>
      <c r="AS197">
        <v>0.52</v>
      </c>
      <c r="AT197">
        <v>5.1230000000000002</v>
      </c>
    </row>
    <row r="198" spans="5:46" x14ac:dyDescent="0.25">
      <c r="E198" s="170">
        <f t="shared" si="934"/>
        <v>0.46107292278745637</v>
      </c>
      <c r="F198" s="170">
        <f t="shared" si="934"/>
        <v>2.4970816901116678E-2</v>
      </c>
      <c r="G198" s="170">
        <f t="shared" si="934"/>
        <v>-0.88701083317822182</v>
      </c>
      <c r="H198" s="139"/>
      <c r="I198" s="86"/>
      <c r="J198" s="79">
        <f t="shared" si="930"/>
        <v>5.2140000000000004</v>
      </c>
      <c r="AL198">
        <v>-2.4072245116399098</v>
      </c>
      <c r="AM198">
        <v>-2.2516098818471861E-2</v>
      </c>
      <c r="AN198">
        <v>0.12795571034188835</v>
      </c>
      <c r="AO198">
        <v>-5.9305853282993003E-2</v>
      </c>
      <c r="AP198">
        <v>-2.4842123024992771E-4</v>
      </c>
      <c r="AQ198">
        <v>0.99823982792376531</v>
      </c>
      <c r="AR198">
        <v>0.19500000000000001</v>
      </c>
      <c r="AS198">
        <v>0.438</v>
      </c>
      <c r="AT198">
        <v>5.2110000000000003</v>
      </c>
    </row>
    <row r="199" spans="5:46" x14ac:dyDescent="0.25">
      <c r="E199" s="170">
        <f t="shared" si="934"/>
        <v>0.71933448945372447</v>
      </c>
      <c r="F199" s="170">
        <f t="shared" si="934"/>
        <v>4.1854471996546801E-2</v>
      </c>
      <c r="G199" s="170">
        <f t="shared" si="934"/>
        <v>-0.69340182827581287</v>
      </c>
      <c r="H199" s="139"/>
      <c r="I199" s="86"/>
      <c r="J199" s="79">
        <f t="shared" si="930"/>
        <v>5.2169999999999996</v>
      </c>
      <c r="AL199">
        <v>-3.0873735718533308</v>
      </c>
      <c r="AM199">
        <v>-0.18020460446103168</v>
      </c>
      <c r="AN199">
        <v>-0.15560068103033989</v>
      </c>
      <c r="AO199">
        <v>-0.46107292278745637</v>
      </c>
      <c r="AP199">
        <v>-2.4970816901116678E-2</v>
      </c>
      <c r="AQ199">
        <v>0.88701083317822182</v>
      </c>
      <c r="AR199">
        <v>0.19500000000000001</v>
      </c>
      <c r="AS199">
        <v>0.438</v>
      </c>
      <c r="AT199">
        <v>5.2140000000000004</v>
      </c>
    </row>
    <row r="200" spans="5:46" x14ac:dyDescent="0.25">
      <c r="E200" s="170">
        <f t="shared" si="934"/>
        <v>-0.62130299763409758</v>
      </c>
      <c r="F200" s="170">
        <f t="shared" si="934"/>
        <v>-0.74261873470232675</v>
      </c>
      <c r="G200" s="170">
        <f t="shared" si="934"/>
        <v>0.25000000000000006</v>
      </c>
      <c r="H200" s="139"/>
      <c r="I200" s="86"/>
      <c r="J200" s="79">
        <f t="shared" si="930"/>
        <v>6.1120000000000001</v>
      </c>
      <c r="AL200">
        <v>-3.5492863030439934</v>
      </c>
      <c r="AM200">
        <v>-0.21961650575922767</v>
      </c>
      <c r="AN200">
        <v>-0.69552441518718189</v>
      </c>
      <c r="AO200">
        <v>-0.71933448945372447</v>
      </c>
      <c r="AP200">
        <v>-4.1854471996546801E-2</v>
      </c>
      <c r="AQ200">
        <v>0.69340182827581287</v>
      </c>
      <c r="AR200">
        <v>0.19500000000000001</v>
      </c>
      <c r="AS200">
        <v>0.438</v>
      </c>
      <c r="AT200">
        <v>5.2169999999999996</v>
      </c>
    </row>
    <row r="201" spans="5:46" x14ac:dyDescent="0.25">
      <c r="E201" s="170">
        <f t="shared" si="934"/>
        <v>-0.72293569965938798</v>
      </c>
      <c r="F201" s="170">
        <f t="shared" si="934"/>
        <v>-0.62885540048812416</v>
      </c>
      <c r="G201" s="170">
        <f t="shared" si="934"/>
        <v>0.28619025041903878</v>
      </c>
      <c r="H201" s="139"/>
      <c r="I201" s="86"/>
      <c r="J201" s="79">
        <f t="shared" si="930"/>
        <v>6.1150000000000002</v>
      </c>
      <c r="AL201">
        <v>-2.1257094083552963</v>
      </c>
      <c r="AM201">
        <v>1.518388826213984</v>
      </c>
      <c r="AN201">
        <v>-0.12109999999999994</v>
      </c>
      <c r="AO201">
        <v>0.62130299763409758</v>
      </c>
      <c r="AP201">
        <v>0.74261873470232675</v>
      </c>
      <c r="AQ201">
        <v>-0.25000000000000006</v>
      </c>
      <c r="AR201">
        <v>0.26600000000000001</v>
      </c>
      <c r="AS201">
        <v>0.52</v>
      </c>
      <c r="AT201">
        <v>6.1120000000000001</v>
      </c>
    </row>
    <row r="202" spans="5:46" x14ac:dyDescent="0.25">
      <c r="E202" s="170">
        <f t="shared" si="934"/>
        <v>-0.82977296518127952</v>
      </c>
      <c r="F202" s="170">
        <f t="shared" si="934"/>
        <v>-0.49373890197652259</v>
      </c>
      <c r="G202" s="170">
        <f t="shared" si="934"/>
        <v>0.26018978252284414</v>
      </c>
      <c r="H202" s="139"/>
      <c r="I202" s="86"/>
      <c r="J202" s="79">
        <f t="shared" si="930"/>
        <v>6.1180000000000003</v>
      </c>
      <c r="AL202">
        <v>-2.5128144013972586</v>
      </c>
      <c r="AM202">
        <v>1.9192109992059263</v>
      </c>
      <c r="AN202">
        <v>-0.46320000000000011</v>
      </c>
      <c r="AO202">
        <v>0.72293569965938798</v>
      </c>
      <c r="AP202">
        <v>0.62885540048812416</v>
      </c>
      <c r="AQ202">
        <v>-0.28619025041903878</v>
      </c>
      <c r="AR202">
        <v>0.26600000000000001</v>
      </c>
      <c r="AS202">
        <v>0.52</v>
      </c>
      <c r="AT202">
        <v>6.1150000000000002</v>
      </c>
    </row>
    <row r="203" spans="5:46" x14ac:dyDescent="0.25">
      <c r="E203" s="170">
        <f t="shared" si="934"/>
        <v>-0.90151634587420415</v>
      </c>
      <c r="F203" s="170">
        <f t="shared" si="934"/>
        <v>-0.37764630189165077</v>
      </c>
      <c r="G203" s="170">
        <f t="shared" si="934"/>
        <v>0.21130913087034964</v>
      </c>
      <c r="H203" s="139"/>
      <c r="I203" s="86"/>
      <c r="J203" s="79">
        <f t="shared" si="930"/>
        <v>6.1210000000000004</v>
      </c>
      <c r="AL203">
        <v>-2.7322073609278643</v>
      </c>
      <c r="AM203">
        <v>2.1942986748811588</v>
      </c>
      <c r="AN203">
        <v>-1.0192000000000001</v>
      </c>
      <c r="AO203">
        <v>0.82977296518127952</v>
      </c>
      <c r="AP203">
        <v>0.49373890197652259</v>
      </c>
      <c r="AQ203">
        <v>-0.26018978252284414</v>
      </c>
      <c r="AR203">
        <v>0.26600000000000001</v>
      </c>
      <c r="AS203">
        <v>0.52</v>
      </c>
      <c r="AT203">
        <v>6.1180000000000003</v>
      </c>
    </row>
    <row r="204" spans="5:46" x14ac:dyDescent="0.25">
      <c r="E204" s="170">
        <f t="shared" si="934"/>
        <v>0.30230008288149213</v>
      </c>
      <c r="F204" s="170">
        <f t="shared" si="934"/>
        <v>-0.45655245439203984</v>
      </c>
      <c r="G204" s="170">
        <f t="shared" si="934"/>
        <v>-0.83676431345896163</v>
      </c>
      <c r="H204" s="139"/>
      <c r="I204" s="86"/>
      <c r="J204" s="79">
        <f t="shared" si="930"/>
        <v>6.2149999999999999</v>
      </c>
      <c r="AL204">
        <v>-2.8136150113621001</v>
      </c>
      <c r="AM204">
        <v>2.3078227888428069</v>
      </c>
      <c r="AN204">
        <v>-1.6608000000000001</v>
      </c>
      <c r="AO204">
        <v>0.90151634587420415</v>
      </c>
      <c r="AP204">
        <v>0.37764630189165077</v>
      </c>
      <c r="AQ204">
        <v>-0.21130913087034964</v>
      </c>
      <c r="AR204">
        <v>0.26600000000000001</v>
      </c>
      <c r="AS204">
        <v>0.52</v>
      </c>
      <c r="AT204">
        <v>6.1210000000000004</v>
      </c>
    </row>
    <row r="205" spans="5:46" x14ac:dyDescent="0.25">
      <c r="E205" s="170">
        <f t="shared" si="934"/>
        <v>0.43355507678264393</v>
      </c>
      <c r="F205" s="170">
        <f t="shared" si="934"/>
        <v>-0.6580204732345567</v>
      </c>
      <c r="G205" s="170">
        <f t="shared" si="934"/>
        <v>-0.61566147532565807</v>
      </c>
      <c r="H205" s="139"/>
      <c r="I205" s="86"/>
      <c r="J205" s="79">
        <f t="shared" si="930"/>
        <v>6.218</v>
      </c>
      <c r="AL205">
        <v>-1.8107605576929104</v>
      </c>
      <c r="AM205">
        <v>2.7119214969521592</v>
      </c>
      <c r="AN205">
        <v>-0.30538625048163992</v>
      </c>
      <c r="AO205">
        <v>-0.30230008288149213</v>
      </c>
      <c r="AP205">
        <v>0.45655245439203984</v>
      </c>
      <c r="AQ205">
        <v>0.83676431345896163</v>
      </c>
      <c r="AR205">
        <v>0.19500000000000001</v>
      </c>
      <c r="AS205">
        <v>0.438</v>
      </c>
      <c r="AT205">
        <v>6.2149999999999999</v>
      </c>
    </row>
    <row r="206" spans="5:46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  <c r="AL206">
        <v>-2.0147415210154396</v>
      </c>
      <c r="AM206">
        <v>3.0341695730319493</v>
      </c>
      <c r="AN206">
        <v>-0.9085040667364469</v>
      </c>
      <c r="AO206">
        <v>-0.43355507678264393</v>
      </c>
      <c r="AP206">
        <v>0.6580204732345567</v>
      </c>
      <c r="AQ206">
        <v>0.61566147532565807</v>
      </c>
      <c r="AR206">
        <v>0.19500000000000001</v>
      </c>
      <c r="AS206">
        <v>0.438</v>
      </c>
      <c r="AT206">
        <v>6.218</v>
      </c>
    </row>
    <row r="207" spans="5:46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46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AF0F806-E14A-449F-9343-BD8AE8428EDB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EB0418FC-05F7-47F9-928E-40E5422AD79A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7.625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</v>
      </c>
      <c r="N172" s="869" t="str">
        <f>Assy.Model!K17</f>
        <v>Undefined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1.2130000000000001</v>
      </c>
      <c r="N173" s="869" t="str">
        <f>Assy.Model!K18</f>
        <v>Undefined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1.216</v>
      </c>
      <c r="N174" s="869" t="str">
        <f>Assy.Model!K19</f>
        <v>Undefined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2.1110000000000002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2.1139999999999999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2.117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2.1230000000000002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2.214</v>
      </c>
      <c r="N180" s="869" t="str">
        <f>Assy.Model!K25</f>
        <v>Undefined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2.2170000000000001</v>
      </c>
      <c r="N181" s="869" t="str">
        <f>Assy.Model!K26</f>
        <v>Undefined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3.109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3.1120000000000001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3.1150000000000002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3.1179999999999999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3.121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3.2120000000000002</v>
      </c>
      <c r="N189" s="869" t="str">
        <f>Assy.Model!K34</f>
        <v>Undefined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3.2149999999999999</v>
      </c>
      <c r="N190" s="869" t="str">
        <f>Assy.Model!K35</f>
        <v>Undefined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3.218</v>
      </c>
      <c r="N191" s="869" t="str">
        <f>Assy.Model!K36</f>
        <v>Undefined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4.1100000000000003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4.1130000000000004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4.1159999999999997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4.1189999999999998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4.1219999999999999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4.2130000000000001</v>
      </c>
      <c r="N197" s="869" t="str">
        <f>Assy.Model!K42</f>
        <v>Undefined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4.2160000000000002</v>
      </c>
      <c r="N198" s="869" t="str">
        <f>Assy.Model!K43</f>
        <v>Undefined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5.1020000000000003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5.1050000000000004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5.1079999999999997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5.1109999999999998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5.1139999999999999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5.117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5.12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5.1230000000000002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5.2110000000000003</v>
      </c>
      <c r="N207" s="869" t="str">
        <f>Assy.Model!K52</f>
        <v>Undefined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5.2140000000000004</v>
      </c>
      <c r="N208" s="869" t="str">
        <f>Assy.Model!K53</f>
        <v>Undefined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5.2169999999999996</v>
      </c>
      <c r="N209" s="869" t="str">
        <f>Assy.Model!K54</f>
        <v>Undefined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6.1120000000000001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6.1150000000000002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6.1180000000000003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6.1210000000000004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6.2149999999999999</v>
      </c>
      <c r="N214" s="869" t="str">
        <f>Assy.Model!K59</f>
        <v>Undefined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6.218</v>
      </c>
      <c r="N215" s="869" t="str">
        <f>Assy.Model!K60</f>
        <v>Undefined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2023-03-28T18:17:34Z</dcterms:modified>
</cp:coreProperties>
</file>