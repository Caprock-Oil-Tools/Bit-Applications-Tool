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04\"/>
    </mc:Choice>
  </mc:AlternateContent>
  <xr:revisionPtr revIDLastSave="0" documentId="13_ncr:1_{E5A15FBB-786D-4433-B2B1-F8E18BA86BD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K10" i="1" l="1"/>
  <c r="IW10" i="1"/>
  <c r="IR10" i="1"/>
  <c r="IN10" i="1"/>
  <c r="IV10" i="1"/>
  <c r="IR11" i="1"/>
  <c r="IV11" i="1"/>
  <c r="IW11" i="1"/>
  <c r="IN11" i="1"/>
  <c r="IK11" i="1"/>
  <c r="IU11" i="1"/>
  <c r="IE11" i="1" s="1"/>
  <c r="JA9" i="1" a="1"/>
  <c r="JA9" i="1" s="1"/>
  <c r="IF85" i="1"/>
  <c r="IF129" i="1"/>
  <c r="IF73" i="1"/>
  <c r="IF4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23" i="1" l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14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13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61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12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24" i="1" l="1"/>
  <c r="IQ15" i="1"/>
  <c r="IV20" i="1"/>
  <c r="IQ11" i="1"/>
  <c r="IV19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12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13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14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11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9" i="1" l="1"/>
  <c r="IU24" i="1"/>
  <c r="IE24" i="1" s="1"/>
  <c r="IP15" i="1"/>
  <c r="IU19" i="1"/>
  <c r="IE19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IL12" i="1" s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15" i="1"/>
  <c r="IL14" i="1"/>
  <c r="IL13" i="1"/>
  <c r="IL11" i="1"/>
  <c r="IL10" i="1"/>
  <c r="IL9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IT14" i="1" s="1"/>
  <c r="AL22" i="1"/>
  <c r="AN22" i="1" s="1"/>
  <c r="IT13" i="1" s="1"/>
  <c r="U22" i="1"/>
  <c r="AK22" i="1"/>
  <c r="T22" i="1"/>
  <c r="AK21" i="1"/>
  <c r="AO21" i="1" s="1"/>
  <c r="IS12" i="1" s="1"/>
  <c r="T21" i="1"/>
  <c r="AL21" i="1"/>
  <c r="AN21" i="1" s="1"/>
  <c r="IT12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IT9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11" i="1" l="1"/>
  <c r="IY24" i="1"/>
  <c r="IT15" i="1"/>
  <c r="IT20" i="1"/>
  <c r="IY20" i="1"/>
  <c r="IT11" i="1"/>
  <c r="IY19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AP24" i="1"/>
  <c r="AO23" i="1"/>
  <c r="IS14" i="1" s="1"/>
  <c r="AP23" i="1"/>
  <c r="AP21" i="1"/>
  <c r="AO22" i="1"/>
  <c r="IS13" i="1" s="1"/>
  <c r="AP22" i="1"/>
  <c r="AO19" i="1"/>
  <c r="AP19" i="1"/>
  <c r="AP20" i="1"/>
  <c r="AO20" i="1"/>
  <c r="IS34" i="1" s="1"/>
  <c r="AO17" i="1"/>
  <c r="IX17" i="1" s="1"/>
  <c r="IF17" i="1" s="1"/>
  <c r="AP17" i="1"/>
  <c r="AO18" i="1"/>
  <c r="IS9" i="1" s="1"/>
  <c r="AP18" i="1"/>
  <c r="AP15" i="1"/>
  <c r="AO15" i="1"/>
  <c r="IX15" i="1" s="1"/>
  <c r="IF15" i="1" s="1"/>
  <c r="AO16" i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18" i="1" l="1"/>
  <c r="IX24" i="1"/>
  <c r="IF24" i="1" s="1"/>
  <c r="IS15" i="1"/>
  <c r="IS20" i="1"/>
  <c r="IX14" i="1"/>
  <c r="IF14" i="1" s="1"/>
  <c r="IX20" i="1"/>
  <c r="IF20" i="1" s="1"/>
  <c r="IS11" i="1"/>
  <c r="IT19" i="1"/>
  <c r="IX19" i="1"/>
  <c r="IF19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<sst xmlns="http://schemas.openxmlformats.org/spreadsheetml/2006/main" count="734" uniqueCount="391">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</sst>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35" sqref="C3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22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90.487087934232974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-7.2600000000000206E-2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-2.3437999999999955E-2</v>
      </c>
      <c r="C9" s="703">
        <v>0.29170000000000007</v>
      </c>
      <c r="D9" s="704">
        <v>-0.56420000000000015</v>
      </c>
      <c r="E9" s="705">
        <v>-0.96592582628906831</v>
      </c>
      <c r="F9" s="703">
        <v>0</v>
      </c>
      <c r="G9" s="706">
        <v>0.25881904510252074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-2.3437999999999955E-2</v>
      </c>
      <c r="O9" s="624">
        <f t="shared" ref="O9:O40" si="3">IF(M9="","",C9)</f>
        <v>0.29170000000000007</v>
      </c>
      <c r="P9" s="625">
        <f t="shared" ref="P9:P40" si="4">IF(M9="","",D9)</f>
        <v>-0.56420000000000015</v>
      </c>
      <c r="Q9" s="583">
        <f>IF(M9="","",IF(DEGREES(ATAN2(N9,O9))&lt;0,DEGREES(ATAN2(N9,O9))+360,IF(DEGREES(ATAN2(N9,O9))&gt;360,DEGREES(ATAN2(N9,O9))-360,DEGREES(ATAN2(N9,O9)))))</f>
        <v>94.59382816096155</v>
      </c>
      <c r="R9" s="624">
        <f>IF(M9="","",SQRT(N9^2+O9^2))</f>
        <v>0.29264010293191201</v>
      </c>
      <c r="S9" s="626">
        <f>IF(M9="","",P9)</f>
        <v>-0.56420000000000015</v>
      </c>
      <c r="T9" s="627">
        <f>IF(M9="","",X9*COS(RADIANS(W9)))</f>
        <v>0.29188870999946803</v>
      </c>
      <c r="U9" s="624">
        <f>IF(M9="","",X9*SIN(RADIANS(W9)))</f>
        <v>2.095735715319326E-2</v>
      </c>
      <c r="V9" s="628">
        <f>IF(M9="","",Y9)</f>
        <v>-0.56420000000000015</v>
      </c>
      <c r="W9" s="583">
        <f t="shared" ref="W9:W14" si="5">IF(M9="","",IF(Q9-$Q$8&lt;0,360+Q9-$Q$8,Q9-$Q$8))</f>
        <v>4.1067402267285757</v>
      </c>
      <c r="X9" s="629">
        <f>IF(M9="","",R9)</f>
        <v>0.29264010293191201</v>
      </c>
      <c r="Y9" s="630">
        <f>IF(M9="","",S9)</f>
        <v>-0.56420000000000015</v>
      </c>
      <c r="Z9" s="623">
        <f t="shared" ref="Z9:Z40" si="6">IF(M9="","",-E9)</f>
        <v>0.96592582628906831</v>
      </c>
      <c r="AA9" s="624">
        <f t="shared" ref="AA9:AA40" si="7">IF(M9="","",-F9)</f>
        <v>0</v>
      </c>
      <c r="AB9" s="624">
        <f t="shared" ref="AB9:AB40" si="8">IF(M9="","",-G9)</f>
        <v>-0.25881904510252074</v>
      </c>
      <c r="AC9" s="628">
        <f>IF(M9="","",SQRT(Z9^2+AA9^2+AB9^2))</f>
        <v>1</v>
      </c>
      <c r="AD9" s="631">
        <f>IF(M9="","",Z9*(1/SQRT(Z9^2+AA9^2+AB9^2)))</f>
        <v>0.96592582628906831</v>
      </c>
      <c r="AE9" s="624">
        <f>IF(M9="","",AA9*(1/SQRT(Z9^2+AA9^2+AB9^2)))</f>
        <v>0</v>
      </c>
      <c r="AF9" s="625">
        <f>IF(M9="","",AB9*(1/SQRT(Z9^2+AA9^2+AB9^2)))</f>
        <v>-0.25881904510252074</v>
      </c>
      <c r="AG9" s="599">
        <f>IF(M9="","",DEGREES(ATAN2(-AF9,AE9)))</f>
        <v>0</v>
      </c>
      <c r="AH9" s="600">
        <f>IF(M9="","",DEGREES(ACOS(AD9)))</f>
        <v>14.999999999999982</v>
      </c>
      <c r="AI9" s="583">
        <f>IF(M9="","",DEGREES(-ACOS(-AF9)))</f>
        <v>-75</v>
      </c>
      <c r="AJ9" s="601">
        <f>IF(M9="","",DEGREES(ATAN2(-AE9,AD9)))</f>
        <v>90</v>
      </c>
      <c r="AK9" s="627">
        <f>IF(M9="","",(COS(RADIANS((90-$Q$8)-W9))*AD9)+(-SIN(RADIANS((90-$Q$8)-W9))*AE9))</f>
        <v>0.96282280079049176</v>
      </c>
      <c r="AL9" s="624">
        <f>IF(M9="","",(SIN(RADIANS((90-$Q$8)-W9))*AD9)+(COS(RADIANS((90-$Q$8)-W9))*AE9))</f>
        <v>-7.7362498474211297E-2</v>
      </c>
      <c r="AM9" s="626">
        <f>IF(M9="","",AF9)</f>
        <v>-0.25881904510252074</v>
      </c>
      <c r="AN9" s="581">
        <f>IF(M9="","",DEGREES(ATAN2(-AM9,AL9)))</f>
        <v>-16.641707273849754</v>
      </c>
      <c r="AO9" s="582">
        <f>IF(ROUND(IF(M9="",0,DEGREES(ACOS(AK9))),4)=90,0,IF(M9="","",DEGREES(ACOS(AK9))))</f>
        <v>15.672227162399397</v>
      </c>
      <c r="AP9" s="781">
        <f>IF(M9="","",DEGREES(ATAN2(AK9,AL9)))</f>
        <v>-4.593828160961551</v>
      </c>
      <c r="AQ9" s="584">
        <f t="shared" ref="AQ9:AQ40" si="9">IF(M9="","",DEGREES(ATAN(($AS$5*SIN(RADIANS(90)))/(($X9*2*PI())-($AS$5*COS(RADIANS(90)))))))</f>
        <v>7.7427270266482768</v>
      </c>
      <c r="AS9" s="51">
        <f>IF(M9="","",W9)</f>
        <v>4.1067402267285757</v>
      </c>
      <c r="AT9" s="71">
        <f t="shared" ref="AT9:AT40" si="10">IF(M9="","",Y9+(((AS9-$AS$9)*$AS$6)*-1))</f>
        <v>-0.56420000000000015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-2.3437999999999955E-2</v>
      </c>
      <c r="C10" s="708">
        <v>1.0425000000000002</v>
      </c>
      <c r="D10" s="709">
        <v>-0.39770000000000005</v>
      </c>
      <c r="E10" s="710">
        <v>-0.96592582628906831</v>
      </c>
      <c r="F10" s="708">
        <v>0</v>
      </c>
      <c r="G10" s="711">
        <v>0.25881904510252074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-2.3437999999999955E-2</v>
      </c>
      <c r="O10" s="629">
        <f t="shared" si="3"/>
        <v>1.0425000000000002</v>
      </c>
      <c r="P10" s="633">
        <f t="shared" si="4"/>
        <v>-0.39770000000000005</v>
      </c>
      <c r="Q10" s="585">
        <f>IF(M10="","",IF(DEGREES(ATAN2(N10,O10))&lt;0,DEGREES(ATAN2(N10,O10))+360,IF(DEGREES(ATAN2(N10,O10))&gt;360,DEGREES(ATAN2(N10,O10))-360,DEGREES(ATAN2(N10,O10)))))</f>
        <v>91.287935047672718</v>
      </c>
      <c r="R10" s="629">
        <f t="shared" ref="R10:R105" si="79">IF(M10="","",SQRT(N10^2+O10^2))</f>
        <v>1.0427634390618039</v>
      </c>
      <c r="S10" s="634">
        <f t="shared" ref="S10:S105" si="80">IF(M10="","",P10)</f>
        <v>-0.39770000000000005</v>
      </c>
      <c r="T10" s="635">
        <f t="shared" ref="T10:T105" si="81">IF(M10="","",X10*COS(RADIANS(W10)))</f>
        <v>1.0426615792912157</v>
      </c>
      <c r="U10" s="629">
        <f t="shared" ref="U10:U105" si="82">IF(M10="","",X10*SIN(RADIANS(W10)))</f>
        <v>1.4574666855481845E-2</v>
      </c>
      <c r="V10" s="636">
        <f>IF(M10="","",Y10)</f>
        <v>-0.39770000000000005</v>
      </c>
      <c r="W10" s="585">
        <f t="shared" si="5"/>
        <v>0.80084711343974391</v>
      </c>
      <c r="X10" s="629">
        <f t="shared" ref="X10:X105" si="83">IF(M10="","",R10)</f>
        <v>1.0427634390618039</v>
      </c>
      <c r="Y10" s="630">
        <f>IF(M10="","",S10)</f>
        <v>-0.39770000000000005</v>
      </c>
      <c r="Z10" s="632">
        <f t="shared" si="6"/>
        <v>0.96592582628906831</v>
      </c>
      <c r="AA10" s="629">
        <f t="shared" si="7"/>
        <v>0</v>
      </c>
      <c r="AB10" s="629">
        <f t="shared" si="8"/>
        <v>-0.25881904510252074</v>
      </c>
      <c r="AC10" s="636">
        <f t="shared" ref="AC10:AC105" si="84">IF(M10="","",SQRT(Z10^2+AA10^2+AB10^2))</f>
        <v>1</v>
      </c>
      <c r="AD10" s="637">
        <f>IF(M10="","",Z10*(1/SQRT(Z10^2+AA10^2+AB10^2)))</f>
        <v>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-0.25881904510252074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14.999999999999982</v>
      </c>
      <c r="AI10" s="585">
        <f t="shared" ref="AI10:AI105" si="89">IF(M10="","",DEGREES(-ACOS(-AF10)))</f>
        <v>-75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0.96568179913591212</v>
      </c>
      <c r="AL10" s="629">
        <f t="shared" ref="AL10:AL105" si="91">IF(M10="","",(SIN(RADIANS((90-$Q$8)-W10))*AD10)+(COS(RADIANS((90-$Q$8)-W10))*AE10))</f>
        <v>-2.1710935259613762E-2</v>
      </c>
      <c r="AM10" s="634">
        <f t="shared" ref="AM10:AM105" si="92">IF(M10="","",AF10)</f>
        <v>-0.25881904510252074</v>
      </c>
      <c r="AN10" s="581">
        <f t="shared" ref="AN10:AN105" si="93">IF(M10="","",DEGREES(ATAN2(-AM10,AL10)))</f>
        <v>-4.7950083816498728</v>
      </c>
      <c r="AO10" s="582">
        <f t="shared" ref="AO10:AO54" si="94">IF(ROUND(IF(M10="",0,DEGREES(ACOS(AK10))),4)=90,0,IF(M10="","",DEGREES(ACOS(AK10))))</f>
        <v>15.053926537874208</v>
      </c>
      <c r="AP10" s="585">
        <f t="shared" ref="AP10:AP105" si="95">IF(M10="","",DEGREES(ATAN2(AK10,AL10)))</f>
        <v>-1.2879350476727183</v>
      </c>
      <c r="AQ10" s="586">
        <f t="shared" si="9"/>
        <v>2.1851755797174137</v>
      </c>
      <c r="AS10" s="52">
        <f>IF($M10="","",IF(AND($W10&lt;($AS$9+180),$W10&gt;($AS$9-180)),$W10,IF($W10&gt;($AS$9+180),$W10-360,IF($W10&lt;($AS$9-180),$W10+360,"Error"))))</f>
        <v>0.80084711343974391</v>
      </c>
      <c r="AT10" s="72">
        <f t="shared" si="10"/>
        <v>-0.39540424089354947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-2.3437999999999945E-2</v>
      </c>
      <c r="C11" s="708">
        <v>1.7934000000000001</v>
      </c>
      <c r="D11" s="709">
        <v>-0.23120000000000029</v>
      </c>
      <c r="E11" s="710">
        <v>-0.96592582628906831</v>
      </c>
      <c r="F11" s="708">
        <v>0</v>
      </c>
      <c r="G11" s="711">
        <v>0.25881904510252074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-2.3437999999999945E-2</v>
      </c>
      <c r="O11" s="629">
        <f t="shared" si="3"/>
        <v>1.7934000000000001</v>
      </c>
      <c r="P11" s="633">
        <f t="shared" si="4"/>
        <v>-0.23120000000000029</v>
      </c>
      <c r="Q11" s="585">
        <f t="shared" ref="Q11:Q73" si="113">IF(M11="","",IF(DEGREES(ATAN2(N11,O11))&lt;0,DEGREES(ATAN2(N11,O11))+360,IF(DEGREES(ATAN2(N11,O11))&gt;360,DEGREES(ATAN2(N11,O11))-360,DEGREES(ATAN2(N11,O11)))))</f>
        <v>90.748757685161252</v>
      </c>
      <c r="R11" s="629">
        <f t="shared" si="79"/>
        <v>1.7935531494338273</v>
      </c>
      <c r="S11" s="634">
        <f t="shared" si="80"/>
        <v>-0.23120000000000029</v>
      </c>
      <c r="T11" s="635">
        <f t="shared" si="81"/>
        <v>1.79353444496939</v>
      </c>
      <c r="U11" s="629">
        <f t="shared" si="82"/>
        <v>8.1911264391908677E-3</v>
      </c>
      <c r="V11" s="636">
        <f t="shared" ref="V11:V105" si="114">IF(M11="","",Y11)</f>
        <v>-0.23120000000000029</v>
      </c>
      <c r="W11" s="585">
        <f t="shared" si="5"/>
        <v>0.26166975092827727</v>
      </c>
      <c r="X11" s="629">
        <f>IF(M11="","",R11)</f>
        <v>1.7935531494338273</v>
      </c>
      <c r="Y11" s="630">
        <f>IF(M11="","",S11)</f>
        <v>-0.23120000000000029</v>
      </c>
      <c r="Z11" s="632">
        <f t="shared" si="6"/>
        <v>0.96592582628906831</v>
      </c>
      <c r="AA11" s="629">
        <f t="shared" si="7"/>
        <v>0</v>
      </c>
      <c r="AB11" s="629">
        <f t="shared" si="8"/>
        <v>-0.25881904510252074</v>
      </c>
      <c r="AC11" s="636">
        <f t="shared" si="84"/>
        <v>1</v>
      </c>
      <c r="AD11" s="637">
        <f t="shared" ref="AD11:AD105" si="115">IF(M11="","",Z11*(1/SQRT(Z11^2+AA11^2+AB11^2)))</f>
        <v>0.96592582628906831</v>
      </c>
      <c r="AE11" s="629">
        <f t="shared" si="85"/>
        <v>0</v>
      </c>
      <c r="AF11" s="633">
        <f t="shared" si="86"/>
        <v>-0.25881904510252074</v>
      </c>
      <c r="AG11" s="602">
        <f>IF(M11="","",DEGREES(ATAN2(-AF11,AE11)))</f>
        <v>0</v>
      </c>
      <c r="AH11" s="603">
        <f t="shared" si="88"/>
        <v>14.999999999999982</v>
      </c>
      <c r="AI11" s="585">
        <f t="shared" si="89"/>
        <v>-75</v>
      </c>
      <c r="AJ11" s="586">
        <f t="shared" si="90"/>
        <v>90</v>
      </c>
      <c r="AK11" s="635">
        <f>IF(M11="","",(COS(RADIANS((90-$Q$8)-W11))*AD11)+(-SIN(RADIANS((90-$Q$8)-W11))*AE11))</f>
        <v>0.96584334699735519</v>
      </c>
      <c r="AL11" s="629">
        <f t="shared" si="91"/>
        <v>-1.2622636537818721E-2</v>
      </c>
      <c r="AM11" s="634">
        <f t="shared" si="92"/>
        <v>-0.25881904510252074</v>
      </c>
      <c r="AN11" s="581">
        <f>IF(M11="","",DEGREES(ATAN2(-AM11,AL11)))</f>
        <v>-2.7921098876415131</v>
      </c>
      <c r="AO11" s="582">
        <f>IF(ROUND(IF(M11="",0,DEGREES(ACOS(AK11))),4)=90,0,IF(M11="","",DEGREES(ACOS(AK11))))</f>
        <v>15.018247917380679</v>
      </c>
      <c r="AP11" s="585">
        <f t="shared" si="95"/>
        <v>-0.74875768516125174</v>
      </c>
      <c r="AQ11" s="586">
        <f t="shared" si="9"/>
        <v>1.2708587748455276</v>
      </c>
      <c r="AS11" s="52">
        <f t="shared" ref="AS11:AS42" si="116">IF(G11="","",IF(AND(W11&lt;(AS10+180),W11&gt;(AS10-180)),W11,IF(W11&gt;(AS10+180),W11-360,IF(W11&lt;(AS10-180),W11+360,"Error"))))</f>
        <v>0.26166975092827727</v>
      </c>
      <c r="AT11" s="72">
        <f t="shared" si="10"/>
        <v>-0.22852981216958343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-2.1638000000000008E-2</v>
      </c>
      <c r="C12" s="708">
        <v>2.5452000000000004</v>
      </c>
      <c r="D12" s="709">
        <v>-7.2600000000000206E-2</v>
      </c>
      <c r="E12" s="710">
        <v>-0.96560359493203995</v>
      </c>
      <c r="F12" s="708">
        <v>2.582800048591858E-2</v>
      </c>
      <c r="G12" s="711">
        <v>0.25873270347062904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-2.1638000000000008E-2</v>
      </c>
      <c r="O12" s="629">
        <f t="shared" si="3"/>
        <v>2.5452000000000004</v>
      </c>
      <c r="P12" s="633">
        <f t="shared" si="4"/>
        <v>-7.2600000000000206E-2</v>
      </c>
      <c r="Q12" s="585">
        <f>IF(M12="","",IF(DEGREES(ATAN2(N12,O12))&lt;0,DEGREES(ATAN2(N12,O12))+360,IF(DEGREES(ATAN2(N12,O12))&gt;360,DEGREES(ATAN2(N12,O12))-360,DEGREES(ATAN2(N12,O12)))))</f>
        <v>90.487087934232974</v>
      </c>
      <c r="R12" s="629">
        <f t="shared" si="79"/>
        <v>2.5452919759909669</v>
      </c>
      <c r="S12" s="634">
        <f t="shared" si="80"/>
        <v>-7.2600000000000206E-2</v>
      </c>
      <c r="T12" s="635">
        <f>IF(M12="","",X12*COS(RADIANS(W12)))</f>
        <v>2.5452919759909669</v>
      </c>
      <c r="U12" s="629">
        <f t="shared" si="82"/>
        <v>0</v>
      </c>
      <c r="V12" s="636">
        <f t="shared" si="114"/>
        <v>-7.2600000000000206E-2</v>
      </c>
      <c r="W12" s="585">
        <f>IF(M12="","",IF(Q12-$Q$8&lt;0,360+Q12-$Q$8,Q12-$Q$8))</f>
        <v>0</v>
      </c>
      <c r="X12" s="629">
        <f t="shared" si="83"/>
        <v>2.5452919759909669</v>
      </c>
      <c r="Y12" s="630">
        <f>IF(M12="","",S12)</f>
        <v>-7.2600000000000206E-2</v>
      </c>
      <c r="Z12" s="632">
        <f t="shared" si="6"/>
        <v>0.96560359493203995</v>
      </c>
      <c r="AA12" s="629">
        <f t="shared" si="7"/>
        <v>-2.582800048591858E-2</v>
      </c>
      <c r="AB12" s="629">
        <f t="shared" si="8"/>
        <v>-0.25873270347062904</v>
      </c>
      <c r="AC12" s="636">
        <f t="shared" si="84"/>
        <v>1</v>
      </c>
      <c r="AD12" s="637">
        <f t="shared" si="115"/>
        <v>0.96560359493203995</v>
      </c>
      <c r="AE12" s="629">
        <f t="shared" si="85"/>
        <v>-2.582800048591858E-2</v>
      </c>
      <c r="AF12" s="633">
        <f t="shared" si="86"/>
        <v>-0.25873270347062904</v>
      </c>
      <c r="AG12" s="602">
        <f t="shared" si="87"/>
        <v>-5.700667312503291</v>
      </c>
      <c r="AH12" s="603">
        <f t="shared" si="88"/>
        <v>15.071168670457535</v>
      </c>
      <c r="AI12" s="585">
        <f t="shared" si="89"/>
        <v>-75.005121461434598</v>
      </c>
      <c r="AJ12" s="586">
        <f t="shared" si="90"/>
        <v>88.467815715970673</v>
      </c>
      <c r="AK12" s="635">
        <f t="shared" ref="AK12:AK105" si="211">IF(M12="","",(COS(RADIANS((90-$Q$8)-W12))*AD12)+(-SIN(RADIANS((90-$Q$8)-W12))*AE12))</f>
        <v>0.96534913350751628</v>
      </c>
      <c r="AL12" s="629">
        <f>IF(M12="","",(SIN(RADIANS((90-$Q$8)-W12))*AD12)+(COS(RADIANS((90-$Q$8)-W12))*AE12))</f>
        <v>-3.4035842740662868E-2</v>
      </c>
      <c r="AM12" s="634">
        <f t="shared" si="92"/>
        <v>-0.25873270347062904</v>
      </c>
      <c r="AN12" s="581">
        <f>IF(M12="","",DEGREES(ATAN2(-AM12,AL12)))</f>
        <v>-7.4941305600997117</v>
      </c>
      <c r="AO12" s="582">
        <f t="shared" si="94"/>
        <v>15.127138391134723</v>
      </c>
      <c r="AP12" s="585">
        <f t="shared" si="95"/>
        <v>-2.019272218262298</v>
      </c>
      <c r="AQ12" s="586">
        <f t="shared" si="9"/>
        <v>0.89559114748048507</v>
      </c>
      <c r="AS12" s="52">
        <f t="shared" si="116"/>
        <v>0</v>
      </c>
      <c r="AT12" s="72">
        <f>IF(M12="","",Y12+(((AS12-$AS$9)*$AS$6)*-1))</f>
        <v>-6.974809706477203E-2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1.1262000000000053E-2</v>
      </c>
      <c r="C13" s="708">
        <v>3.3253000000000004</v>
      </c>
      <c r="D13" s="709">
        <v>-0.1907000000000004</v>
      </c>
      <c r="E13" s="710">
        <v>-0.94758632054513248</v>
      </c>
      <c r="F13" s="708">
        <v>0.19295337797576928</v>
      </c>
      <c r="G13" s="711">
        <v>0.25465498040187129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1.1262000000000053E-2</v>
      </c>
      <c r="O13" s="629">
        <f t="shared" si="3"/>
        <v>3.3253000000000004</v>
      </c>
      <c r="P13" s="633">
        <f t="shared" si="4"/>
        <v>-0.1907000000000004</v>
      </c>
      <c r="Q13" s="585">
        <f t="shared" si="113"/>
        <v>89.805953567559015</v>
      </c>
      <c r="R13" s="629">
        <f t="shared" si="79"/>
        <v>3.3253190708026805</v>
      </c>
      <c r="S13" s="634">
        <f t="shared" si="80"/>
        <v>-0.1907000000000004</v>
      </c>
      <c r="T13" s="635">
        <f>IF(M13="","",X13*COS(RADIANS(W13)))</f>
        <v>3.3250840974929616</v>
      </c>
      <c r="U13" s="629">
        <f t="shared" si="82"/>
        <v>-3.9530586176003843E-2</v>
      </c>
      <c r="V13" s="636">
        <f t="shared" si="114"/>
        <v>-0.1907000000000004</v>
      </c>
      <c r="W13" s="585">
        <f t="shared" si="5"/>
        <v>359.31886563332603</v>
      </c>
      <c r="X13" s="629">
        <f t="shared" si="83"/>
        <v>3.3253190708026805</v>
      </c>
      <c r="Y13" s="630">
        <f>IF(M13="","",S13)</f>
        <v>-0.1907000000000004</v>
      </c>
      <c r="Z13" s="632">
        <f t="shared" si="6"/>
        <v>0.94758632054513248</v>
      </c>
      <c r="AA13" s="629">
        <f t="shared" si="7"/>
        <v>-0.19295337797576928</v>
      </c>
      <c r="AB13" s="629">
        <f t="shared" si="8"/>
        <v>-0.25465498040187129</v>
      </c>
      <c r="AC13" s="636">
        <f t="shared" si="84"/>
        <v>1</v>
      </c>
      <c r="AD13" s="637">
        <f>IF(M13="","",Z13*(1/SQRT(Z13^2+AA13^2+AB13^2)))</f>
        <v>0.94758632054513248</v>
      </c>
      <c r="AE13" s="629">
        <f t="shared" si="85"/>
        <v>-0.19295337797576928</v>
      </c>
      <c r="AF13" s="633">
        <f t="shared" si="86"/>
        <v>-0.25465498040187129</v>
      </c>
      <c r="AG13" s="602">
        <f>IF(M13="","",DEGREES(ATAN2(-AF13,AE13)))</f>
        <v>-37.151394968072694</v>
      </c>
      <c r="AH13" s="603">
        <f t="shared" si="88"/>
        <v>18.632681674596515</v>
      </c>
      <c r="AI13" s="585">
        <f t="shared" si="89"/>
        <v>-75.24685791249054</v>
      </c>
      <c r="AJ13" s="586">
        <f t="shared" si="90"/>
        <v>78.490433964694091</v>
      </c>
      <c r="AK13" s="635">
        <f t="shared" si="211"/>
        <v>0.94823436954889373</v>
      </c>
      <c r="AL13" s="629">
        <f t="shared" si="91"/>
        <v>-0.18974304035388148</v>
      </c>
      <c r="AM13" s="634">
        <f t="shared" si="92"/>
        <v>-0.25465498040187129</v>
      </c>
      <c r="AN13" s="581">
        <f t="shared" si="93"/>
        <v>-36.689739293539105</v>
      </c>
      <c r="AO13" s="582">
        <f t="shared" si="94"/>
        <v>18.516115559637271</v>
      </c>
      <c r="AP13" s="585">
        <f t="shared" si="95"/>
        <v>-11.315519602864907</v>
      </c>
      <c r="AQ13" s="586">
        <f t="shared" si="9"/>
        <v>0.68553356721647329</v>
      </c>
      <c r="AS13" s="52">
        <f t="shared" si="116"/>
        <v>-0.68113436667397309</v>
      </c>
      <c r="AT13" s="72">
        <f t="shared" si="10"/>
        <v>-0.18737508708791528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0.1171870000000001</v>
      </c>
      <c r="C14" s="708">
        <v>3.9456000000000002</v>
      </c>
      <c r="D14" s="709">
        <v>-0.70079999999999998</v>
      </c>
      <c r="E14" s="710">
        <v>-0.92401710061115305</v>
      </c>
      <c r="F14" s="708">
        <v>0.35527038270421363</v>
      </c>
      <c r="G14" s="711">
        <v>0.14133418889766164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0.1171870000000001</v>
      </c>
      <c r="O14" s="629">
        <f t="shared" si="3"/>
        <v>3.9456000000000002</v>
      </c>
      <c r="P14" s="633">
        <f t="shared" si="4"/>
        <v>-0.70079999999999998</v>
      </c>
      <c r="Q14" s="585">
        <f t="shared" si="113"/>
        <v>88.298776547005616</v>
      </c>
      <c r="R14" s="629">
        <f t="shared" si="79"/>
        <v>3.9473398831325639</v>
      </c>
      <c r="S14" s="634">
        <f t="shared" si="80"/>
        <v>-0.70079999999999998</v>
      </c>
      <c r="T14" s="635">
        <f t="shared" si="81"/>
        <v>3.9444611943921171</v>
      </c>
      <c r="U14" s="629">
        <f t="shared" si="82"/>
        <v>-0.15072504404947154</v>
      </c>
      <c r="V14" s="636">
        <f t="shared" si="114"/>
        <v>-0.70079999999999998</v>
      </c>
      <c r="W14" s="585">
        <f t="shared" si="5"/>
        <v>357.81168861277263</v>
      </c>
      <c r="X14" s="629">
        <f t="shared" si="83"/>
        <v>3.9473398831325639</v>
      </c>
      <c r="Y14" s="630">
        <f t="shared" ref="Y14:Y75" si="223">IF(M14="","",S14)</f>
        <v>-0.70079999999999998</v>
      </c>
      <c r="Z14" s="632">
        <f t="shared" si="6"/>
        <v>0.92401710061115305</v>
      </c>
      <c r="AA14" s="629">
        <f t="shared" si="7"/>
        <v>-0.35527038270421363</v>
      </c>
      <c r="AB14" s="629">
        <f t="shared" si="8"/>
        <v>-0.14133418889766164</v>
      </c>
      <c r="AC14" s="636">
        <f t="shared" si="84"/>
        <v>1</v>
      </c>
      <c r="AD14" s="637">
        <f>IF(M14="","",Z14*(1/SQRT(Z14^2+AA14^2+AB14^2)))</f>
        <v>0.92401710061115305</v>
      </c>
      <c r="AE14" s="629">
        <f t="shared" si="85"/>
        <v>-0.35527038270421363</v>
      </c>
      <c r="AF14" s="633">
        <f t="shared" si="86"/>
        <v>-0.14133418889766164</v>
      </c>
      <c r="AG14" s="602">
        <f t="shared" si="87"/>
        <v>-68.306274807029098</v>
      </c>
      <c r="AH14" s="603">
        <f t="shared" si="88"/>
        <v>22.47939420865324</v>
      </c>
      <c r="AI14" s="585">
        <f t="shared" si="89"/>
        <v>-81.874942639856854</v>
      </c>
      <c r="AJ14" s="586">
        <f t="shared" si="90"/>
        <v>68.969015002469092</v>
      </c>
      <c r="AK14" s="635">
        <f>IF(M14="","",(COS(RADIANS((90-$Q$8)-W14))*AD14)+(-SIN(RADIANS((90-$Q$8)-W14))*AE14))</f>
        <v>0.93415693902269648</v>
      </c>
      <c r="AL14" s="629">
        <f t="shared" si="91"/>
        <v>-0.32768194995206296</v>
      </c>
      <c r="AM14" s="634">
        <f t="shared" si="92"/>
        <v>-0.14133418889766164</v>
      </c>
      <c r="AN14" s="581">
        <f t="shared" si="93"/>
        <v>-66.668731614688411</v>
      </c>
      <c r="AO14" s="582">
        <f t="shared" si="94"/>
        <v>20.907633324625593</v>
      </c>
      <c r="AP14" s="585">
        <f>IF(M14="","",DEGREES(ATAN2(AK14,AL14)))</f>
        <v>-19.329761544536542</v>
      </c>
      <c r="AQ14" s="586">
        <f t="shared" si="9"/>
        <v>0.57751536333175535</v>
      </c>
      <c r="AS14" s="52">
        <f t="shared" si="116"/>
        <v>-2.1883113872273725</v>
      </c>
      <c r="AT14" s="72">
        <f t="shared" si="10"/>
        <v>-0.69642843637919727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0.13281200000000051</v>
      </c>
      <c r="C15" s="708">
        <v>4.145900000000001</v>
      </c>
      <c r="D15" s="709">
        <v>-1.4662000000000004</v>
      </c>
      <c r="E15" s="710">
        <v>-0.90445434491644661</v>
      </c>
      <c r="F15" s="708">
        <v>0.42623642436234666</v>
      </c>
      <c r="G15" s="711">
        <v>-1.6877455630608412E-2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110</v>
      </c>
      <c r="M15" s="168">
        <f t="shared" si="1"/>
        <v>1.119</v>
      </c>
      <c r="N15" s="632">
        <f t="shared" si="2"/>
        <v>0.13281200000000051</v>
      </c>
      <c r="O15" s="629">
        <f t="shared" si="3"/>
        <v>4.145900000000001</v>
      </c>
      <c r="P15" s="633">
        <f t="shared" si="4"/>
        <v>-1.4662000000000004</v>
      </c>
      <c r="Q15" s="585">
        <f t="shared" si="113"/>
        <v>88.16518351595964</v>
      </c>
      <c r="R15" s="629">
        <f t="shared" si="79"/>
        <v>4.1480267401915345</v>
      </c>
      <c r="S15" s="634">
        <f t="shared" si="80"/>
        <v>-1.4662000000000004</v>
      </c>
      <c r="T15" s="635">
        <f t="shared" si="81"/>
        <v>4.1446211253767151</v>
      </c>
      <c r="U15" s="629">
        <f t="shared" si="82"/>
        <v>-0.16805226694413644</v>
      </c>
      <c r="V15" s="636">
        <f t="shared" si="114"/>
        <v>-1.4662000000000004</v>
      </c>
      <c r="W15" s="585">
        <f t="shared" ref="W15:W78" si="224">IF(M15="","",IF(Q15-$Q$8&lt;0,360+Q15-$Q$8,Q15-$Q$8))</f>
        <v>357.67809558172667</v>
      </c>
      <c r="X15" s="629">
        <f>IF(M15="","",R15)</f>
        <v>4.1480267401915345</v>
      </c>
      <c r="Y15" s="630">
        <f>IF(M15="","",S15)</f>
        <v>-1.4662000000000004</v>
      </c>
      <c r="Z15" s="632">
        <f t="shared" si="6"/>
        <v>0.90445434491644661</v>
      </c>
      <c r="AA15" s="629">
        <f t="shared" si="7"/>
        <v>-0.42623642436234666</v>
      </c>
      <c r="AB15" s="629">
        <f t="shared" si="8"/>
        <v>1.6877455630608412E-2</v>
      </c>
      <c r="AC15" s="636">
        <f t="shared" si="84"/>
        <v>1</v>
      </c>
      <c r="AD15" s="637">
        <f t="shared" si="115"/>
        <v>0.90445434491644661</v>
      </c>
      <c r="AE15" s="629">
        <f t="shared" si="85"/>
        <v>-0.42623642436234666</v>
      </c>
      <c r="AF15" s="633">
        <f t="shared" si="86"/>
        <v>1.6877455630608412E-2</v>
      </c>
      <c r="AG15" s="602">
        <f t="shared" si="87"/>
        <v>-92.267525749944227</v>
      </c>
      <c r="AH15" s="603">
        <f t="shared" si="88"/>
        <v>25.250107526287525</v>
      </c>
      <c r="AI15" s="585">
        <f t="shared" si="89"/>
        <v>-90.967052890854632</v>
      </c>
      <c r="AJ15" s="586">
        <f t="shared" si="90"/>
        <v>64.767203962355907</v>
      </c>
      <c r="AK15" s="635">
        <f t="shared" si="211"/>
        <v>0.9176379080925956</v>
      </c>
      <c r="AL15" s="629">
        <f t="shared" si="91"/>
        <v>-0.3970589642897917</v>
      </c>
      <c r="AM15" s="634">
        <f t="shared" si="92"/>
        <v>1.6877455630608412E-2</v>
      </c>
      <c r="AN15" s="581">
        <f>IF(M15="","",DEGREES(ATAN2(-AM15,AL15)))</f>
        <v>-92.433958948599454</v>
      </c>
      <c r="AO15" s="582">
        <f t="shared" si="94"/>
        <v>23.416832913712586</v>
      </c>
      <c r="AP15" s="585">
        <f t="shared" si="95"/>
        <v>-23.397979553603761</v>
      </c>
      <c r="AQ15" s="586">
        <f t="shared" si="9"/>
        <v>0.54957618622880777</v>
      </c>
      <c r="AS15" s="52">
        <f t="shared" si="116"/>
        <v>-2.3219044182733342</v>
      </c>
      <c r="AT15" s="72">
        <f t="shared" si="10"/>
        <v>-1.4617356634409713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0.19406200000000004</v>
      </c>
      <c r="C16" s="708">
        <v>4.2014999999999993</v>
      </c>
      <c r="D16" s="709">
        <v>-2.1191</v>
      </c>
      <c r="E16" s="710">
        <v>-0.84672170317036044</v>
      </c>
      <c r="F16" s="708">
        <v>0.5317859676143657</v>
      </c>
      <c r="G16" s="711">
        <v>1.6310794853006017E-2</v>
      </c>
      <c r="H16" s="710">
        <v>0.26600000000000001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1.1220000000000001</v>
      </c>
      <c r="N16" s="632">
        <f t="shared" si="2"/>
        <v>0.19406200000000004</v>
      </c>
      <c r="O16" s="629">
        <f t="shared" si="3"/>
        <v>4.2014999999999993</v>
      </c>
      <c r="P16" s="633">
        <f t="shared" si="4"/>
        <v>-2.1191</v>
      </c>
      <c r="Q16" s="585">
        <f>IF(M16="","",IF(DEGREES(ATAN2(N16,O16))&lt;0,DEGREES(ATAN2(N16,O16))+360,IF(DEGREES(ATAN2(N16,O16))&gt;360,DEGREES(ATAN2(N16,O16))-360,DEGREES(ATAN2(N16,O16)))))</f>
        <v>87.355459567799443</v>
      </c>
      <c r="R16" s="629">
        <f t="shared" si="79"/>
        <v>4.2059793520467972</v>
      </c>
      <c r="S16" s="634">
        <f t="shared" si="80"/>
        <v>-2.1191</v>
      </c>
      <c r="T16" s="635">
        <f t="shared" si="81"/>
        <v>4.1996984185997901</v>
      </c>
      <c r="U16" s="629">
        <f t="shared" si="82"/>
        <v>-0.22977271956090836</v>
      </c>
      <c r="V16" s="636">
        <f t="shared" si="114"/>
        <v>-2.1191</v>
      </c>
      <c r="W16" s="585">
        <f>IF(M16="","",IF(Q16-$Q$8&lt;0,360+Q16-$Q$8,Q16-$Q$8))</f>
        <v>356.86837163356648</v>
      </c>
      <c r="X16" s="629">
        <f t="shared" si="83"/>
        <v>4.2059793520467972</v>
      </c>
      <c r="Y16" s="630">
        <f t="shared" si="223"/>
        <v>-2.1191</v>
      </c>
      <c r="Z16" s="632">
        <f t="shared" si="6"/>
        <v>0.84672170317036044</v>
      </c>
      <c r="AA16" s="629">
        <f t="shared" si="7"/>
        <v>-0.5317859676143657</v>
      </c>
      <c r="AB16" s="629">
        <f t="shared" si="8"/>
        <v>-1.6310794853006017E-2</v>
      </c>
      <c r="AC16" s="636">
        <f t="shared" si="84"/>
        <v>1</v>
      </c>
      <c r="AD16" s="637">
        <f t="shared" si="115"/>
        <v>0.84672170317036044</v>
      </c>
      <c r="AE16" s="629">
        <f t="shared" si="85"/>
        <v>-0.5317859676143657</v>
      </c>
      <c r="AF16" s="633">
        <f t="shared" si="86"/>
        <v>-1.6310794853006017E-2</v>
      </c>
      <c r="AG16" s="602">
        <f t="shared" si="87"/>
        <v>-88.243190173923779</v>
      </c>
      <c r="AH16" s="603">
        <f t="shared" si="88"/>
        <v>32.143125948173314</v>
      </c>
      <c r="AI16" s="585">
        <f t="shared" si="89"/>
        <v>-89.065418851650833</v>
      </c>
      <c r="AJ16" s="586">
        <f t="shared" si="90"/>
        <v>57.869008006888862</v>
      </c>
      <c r="AK16" s="635">
        <f t="shared" si="211"/>
        <v>0.87035631369326727</v>
      </c>
      <c r="AL16" s="629">
        <f t="shared" si="91"/>
        <v>-0.49215225813312091</v>
      </c>
      <c r="AM16" s="634">
        <f t="shared" si="92"/>
        <v>-1.6310794853006017E-2</v>
      </c>
      <c r="AN16" s="581">
        <f t="shared" si="93"/>
        <v>-88.101811468711404</v>
      </c>
      <c r="AO16" s="582">
        <f t="shared" si="94"/>
        <v>29.499928121432742</v>
      </c>
      <c r="AP16" s="585">
        <f t="shared" si="95"/>
        <v>-29.486451560910613</v>
      </c>
      <c r="AQ16" s="586">
        <f t="shared" si="9"/>
        <v>0.54200423700331135</v>
      </c>
      <c r="AS16" s="52">
        <f t="shared" si="116"/>
        <v>-3.1316283664335174</v>
      </c>
      <c r="AT16" s="72">
        <f t="shared" si="10"/>
        <v>-2.1140733551436375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0.79184765578558713</v>
      </c>
      <c r="C17" s="708">
        <v>2.9700004232450947</v>
      </c>
      <c r="D17" s="709">
        <v>-0.10510000000000012</v>
      </c>
      <c r="E17" s="710">
        <v>-0.8977705808728752</v>
      </c>
      <c r="F17" s="708">
        <v>0.36799689468315777</v>
      </c>
      <c r="G17" s="711">
        <v>0.24204600724393932</v>
      </c>
      <c r="H17" s="710">
        <v>0.26600000000000001</v>
      </c>
      <c r="I17" s="708">
        <v>0.52</v>
      </c>
      <c r="J17" s="570">
        <v>1.212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1.212</v>
      </c>
      <c r="N17" s="632">
        <f t="shared" si="2"/>
        <v>0.79184765578558713</v>
      </c>
      <c r="O17" s="629">
        <f t="shared" si="3"/>
        <v>2.9700004232450947</v>
      </c>
      <c r="P17" s="633">
        <f t="shared" si="4"/>
        <v>-0.10510000000000012</v>
      </c>
      <c r="Q17" s="585">
        <f>IF(M17="","",IF(DEGREES(ATAN2(N17,O17))&lt;0,DEGREES(ATAN2(N17,O17))+360,IF(DEGREES(ATAN2(N17,O17))&gt;360,DEGREES(ATAN2(N17,O17))-360,DEGREES(ATAN2(N17,O17)))))</f>
        <v>75.071328722029506</v>
      </c>
      <c r="R17" s="629">
        <f>IF(M17="","",SQRT(N17^2+O17^2))</f>
        <v>3.0737477489295006</v>
      </c>
      <c r="S17" s="634">
        <f>IF(M17="","",P17)</f>
        <v>-0.10510000000000012</v>
      </c>
      <c r="T17" s="635">
        <f>IF(M17="","",X17*COS(RADIANS(W17)))</f>
        <v>2.9631614560569743</v>
      </c>
      <c r="U17" s="629">
        <f>IF(M17="","",X17*SIN(RADIANS(W17)))</f>
        <v>-0.81706756721062168</v>
      </c>
      <c r="V17" s="636">
        <f>IF(M17="","",Y17)</f>
        <v>-0.10510000000000012</v>
      </c>
      <c r="W17" s="585">
        <f t="shared" si="224"/>
        <v>344.58424078779655</v>
      </c>
      <c r="X17" s="629">
        <f>IF(M17="","",R17)</f>
        <v>3.0737477489295006</v>
      </c>
      <c r="Y17" s="630">
        <f t="shared" si="223"/>
        <v>-0.10510000000000012</v>
      </c>
      <c r="Z17" s="632">
        <f t="shared" si="6"/>
        <v>0.8977705808728752</v>
      </c>
      <c r="AA17" s="629">
        <f t="shared" si="7"/>
        <v>-0.36799689468315777</v>
      </c>
      <c r="AB17" s="629">
        <f t="shared" si="8"/>
        <v>-0.24204600724393932</v>
      </c>
      <c r="AC17" s="636">
        <f>IF(M17="","",SQRT(Z17^2+AA17^2+AB17^2))</f>
        <v>1</v>
      </c>
      <c r="AD17" s="637">
        <f>IF(M17="","",Z17*(1/SQRT(Z17^2+AA17^2+AB17^2)))</f>
        <v>0.8977705808728752</v>
      </c>
      <c r="AE17" s="629">
        <f>IF(M17="","",AA17*(1/SQRT(Z17^2+AA17^2+AB17^2)))</f>
        <v>-0.36799689468315777</v>
      </c>
      <c r="AF17" s="633">
        <f>IF(M17="","",AB17*(1/SQRT(Z17^2+AA17^2+AB17^2)))</f>
        <v>-0.24204600724393932</v>
      </c>
      <c r="AG17" s="602">
        <f>IF(M17="","",DEGREES(ATAN2(-AF17,AE17)))</f>
        <v>-56.665510077250687</v>
      </c>
      <c r="AH17" s="603">
        <f>IF(M17="","",DEGREES(ACOS(AD17)))</f>
        <v>26.133449976043597</v>
      </c>
      <c r="AI17" s="585">
        <f>IF(M17="","",DEGREES(-ACOS(-AF17)))</f>
        <v>-75.992671113941654</v>
      </c>
      <c r="AJ17" s="586">
        <f>IF(M17="","",DEGREES(ATAN2(-AE17,AD17)))</f>
        <v>67.711235970378496</v>
      </c>
      <c r="AK17" s="635">
        <f>IF(M17="","",(COS(RADIANS((90-$Q$8)-W17))*AD17)+(-SIN(RADIANS((90-$Q$8)-W17))*AE17))</f>
        <v>0.96227040250481766</v>
      </c>
      <c r="AL17" s="629">
        <f>IF(M17="","",(SIN(RADIANS((90-$Q$8)-W17))*AD17)+(COS(RADIANS((90-$Q$8)-W17))*AE17))</f>
        <v>-0.124295626795487</v>
      </c>
      <c r="AM17" s="634">
        <f>IF(M17="","",AF17)</f>
        <v>-0.24204600724393932</v>
      </c>
      <c r="AN17" s="581">
        <f>IF(M17="","",DEGREES(ATAN2(-AM17,AL17)))</f>
        <v>-27.181435368307771</v>
      </c>
      <c r="AO17" s="582">
        <f t="shared" si="94"/>
        <v>15.788967855237614</v>
      </c>
      <c r="AP17" s="585">
        <f>IF(M17="","",DEGREES(ATAN2(AK17,AL17)))</f>
        <v>-7.3600927516510462</v>
      </c>
      <c r="AQ17" s="586">
        <f t="shared" si="9"/>
        <v>0.74163512970863543</v>
      </c>
      <c r="AS17" s="52">
        <f t="shared" si="116"/>
        <v>-15.415759212203454</v>
      </c>
      <c r="AT17" s="72">
        <f t="shared" si="10"/>
        <v>-9.1542708722963995E-2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0.112</v>
      </c>
      <c r="II17" s="734" cm="1">
        <f t="array" ref="II17">IFERROR(ROUND(VALUE(IF($IH17&lt;1,$IH17+LARGE((IF($M$9:$M$150="",0,$M$9:$M$150)-MOD(IF($M$9:$M$150="",0,$M$9:$M$150),1)),1),$IH17)),4),"")</f>
        <v>6.1120000000000001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74.999750287591098</v>
      </c>
      <c r="IM17" s="759">
        <v>4.61478988767524E-2</v>
      </c>
      <c r="IN17" s="5">
        <f t="shared" ref="IN17:IN80" si="226">IF(ISNUMBER($II17),(($IO17*12)/60)/$AS$3,"")</f>
        <v>0.22</v>
      </c>
      <c r="IO17" s="771">
        <v>110</v>
      </c>
      <c r="IP17" s="9">
        <f t="shared" ref="IP17:IP80" si="227">IF(ISNUMBER($II17),(INDEX($X$9:$X$150,MATCH($II17,$M$9:$M$150,0))*-1),"")</f>
        <v>-3.0736591783846379</v>
      </c>
      <c r="IQ17" s="5">
        <f t="shared" ref="IQ17:IQ80" si="228">IF(ISNUMBER($II17),INDEX($Y$9:$Y$150,MATCH($II17,$M$9:$M$150,0)),"")</f>
        <v>-0.10509999999999958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0.30215307648312412</v>
      </c>
      <c r="IT17" s="727">
        <f t="shared" ref="IT17:IT80" si="230">IF(ISNUMBER($II17),(-1*INDEX($AN$9:$AN$150,MATCH($II17,$M$9:$M$150,0))),"")</f>
        <v>27.180649775805747</v>
      </c>
      <c r="IU17" s="9">
        <f t="shared" ref="IU17:IU80" si="231">IF(ISNUMBER($II17),-$X17,"")</f>
        <v>-3.0737477489295006</v>
      </c>
      <c r="IV17" s="5">
        <f t="shared" ref="IV17:IV80" si="232">IF(ISNUMBER($II17),$Y17,"")</f>
        <v>-0.10510000000000012</v>
      </c>
      <c r="IW17" s="5">
        <f t="shared" si="76"/>
        <v>0.26600000000000001</v>
      </c>
      <c r="IX17" s="5">
        <f t="shared" ref="IX17:IX80" si="233">IF(ISNUMBER($II17),$IW17*COS(RADIANS($AO17)),"")</f>
        <v>0.25596392706628152</v>
      </c>
      <c r="IY17" s="762">
        <f t="shared" ref="IY17:IY80" si="234">IF(ISNUMBER($II17),(-1*$AN17),"")</f>
        <v>27.181435368307771</v>
      </c>
    </row>
    <row r="18" spans="1:269" ht="15" customHeight="1" x14ac:dyDescent="0.25">
      <c r="A18" s="79"/>
      <c r="B18" s="707">
        <v>1.051466472531196</v>
      </c>
      <c r="C18" s="708">
        <v>3.6222303239400944</v>
      </c>
      <c r="D18" s="709">
        <v>-0.49399999999999999</v>
      </c>
      <c r="E18" s="710">
        <v>-0.83248900023826533</v>
      </c>
      <c r="F18" s="708">
        <v>0.52892740010740069</v>
      </c>
      <c r="G18" s="711">
        <v>0.16491776707777556</v>
      </c>
      <c r="H18" s="710">
        <v>0.26600000000000001</v>
      </c>
      <c r="I18" s="708">
        <v>0.52</v>
      </c>
      <c r="J18" s="570">
        <v>1.2150000000000001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1.2150000000000001</v>
      </c>
      <c r="N18" s="632">
        <f t="shared" si="2"/>
        <v>1.051466472531196</v>
      </c>
      <c r="O18" s="629">
        <f t="shared" si="3"/>
        <v>3.6222303239400944</v>
      </c>
      <c r="P18" s="633">
        <f t="shared" si="4"/>
        <v>-0.49399999999999999</v>
      </c>
      <c r="Q18" s="585">
        <f t="shared" si="113"/>
        <v>73.812964242827974</v>
      </c>
      <c r="R18" s="629">
        <f>IF(M18="","",SQRT(N18^2+O18^2))</f>
        <v>3.7717547988341393</v>
      </c>
      <c r="S18" s="634">
        <f>IF(M18="","",P18)</f>
        <v>-0.49399999999999999</v>
      </c>
      <c r="T18" s="635">
        <f>IF(M18="","",X18*COS(RADIANS(W18)))</f>
        <v>3.6131607201484917</v>
      </c>
      <c r="U18" s="629">
        <f>IF(M18="","",X18*SIN(RADIANS(W18)))</f>
        <v>-1.082221730009332</v>
      </c>
      <c r="V18" s="636">
        <f>IF(M18="","",Y18)</f>
        <v>-0.49399999999999999</v>
      </c>
      <c r="W18" s="585">
        <f t="shared" si="224"/>
        <v>343.32587630859501</v>
      </c>
      <c r="X18" s="629">
        <f>IF(M18="","",R18)</f>
        <v>3.7717547988341393</v>
      </c>
      <c r="Y18" s="630">
        <f t="shared" si="223"/>
        <v>-0.49399999999999999</v>
      </c>
      <c r="Z18" s="632">
        <f t="shared" si="6"/>
        <v>0.83248900023826533</v>
      </c>
      <c r="AA18" s="629">
        <f t="shared" si="7"/>
        <v>-0.52892740010740069</v>
      </c>
      <c r="AB18" s="629">
        <f t="shared" si="8"/>
        <v>-0.16491776707777556</v>
      </c>
      <c r="AC18" s="636">
        <f>IF(M18="","",SQRT(Z18^2+AA18^2+AB18^2))</f>
        <v>1</v>
      </c>
      <c r="AD18" s="637">
        <f>IF(M18="","",Z18*(1/SQRT(Z18^2+AA18^2+AB18^2)))</f>
        <v>0.83248900023826533</v>
      </c>
      <c r="AE18" s="629">
        <f>IF(M18="","",AA18*(1/SQRT(Z18^2+AA18^2+AB18^2)))</f>
        <v>-0.52892740010740069</v>
      </c>
      <c r="AF18" s="633">
        <f>IF(M18="","",AB18*(1/SQRT(Z18^2+AA18^2+AB18^2)))</f>
        <v>-0.16491776707777556</v>
      </c>
      <c r="AG18" s="602">
        <f>IF(M18="","",DEGREES(ATAN2(-AF18,AE18)))</f>
        <v>-72.68269878509598</v>
      </c>
      <c r="AH18" s="603">
        <f>IF(M18="","",DEGREES(ACOS(AD18)))</f>
        <v>33.644726048044681</v>
      </c>
      <c r="AI18" s="585">
        <f>IF(M18="","",DEGREES(-ACOS(-AF18)))</f>
        <v>-80.507542574227315</v>
      </c>
      <c r="AJ18" s="586">
        <f>IF(M18="","",DEGREES(ATAN2(-AE18,AD18)))</f>
        <v>57.569893557193517</v>
      </c>
      <c r="AK18" s="635">
        <f>IF(M18="","",(COS(RADIANS((90-$Q$8)-W18))*AD18)+(-SIN(RADIANS((90-$Q$8)-W18))*AE18))</f>
        <v>0.94693757126779265</v>
      </c>
      <c r="AL18" s="629">
        <f>IF(M18="","",(SIN(RADIANS((90-$Q$8)-W18))*AD18)+(COS(RADIANS((90-$Q$8)-W18))*AE18))</f>
        <v>-0.27588288497754798</v>
      </c>
      <c r="AM18" s="634">
        <f>IF(M18="","",AF18)</f>
        <v>-0.16491776707777556</v>
      </c>
      <c r="AN18" s="581">
        <f>IF(M18="","",DEGREES(ATAN2(-AM18,AL18)))</f>
        <v>-59.129786104330108</v>
      </c>
      <c r="AO18" s="582">
        <f t="shared" si="94"/>
        <v>18.748673477422237</v>
      </c>
      <c r="AP18" s="585">
        <f>IF(M18="","",DEGREES(ATAN2(AK18,AL18)))</f>
        <v>-16.243070685634496</v>
      </c>
      <c r="AQ18" s="586">
        <f t="shared" si="9"/>
        <v>0.60439826907020666</v>
      </c>
      <c r="AS18" s="52">
        <f t="shared" si="116"/>
        <v>-16.674123691404986</v>
      </c>
      <c r="AT18" s="72">
        <f t="shared" si="10"/>
        <v>-0.47956884450129611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0.115</v>
      </c>
      <c r="II18" s="734" cm="1">
        <f t="array" ref="II18">IFERROR(ROUND(VALUE(IF($IH18&lt;1,$IH18+LARGE((IF($M$9:$M$150="",0,$M$9:$M$150)-MOD(IF($M$9:$M$150="",0,$M$9:$M$150),1)),1),$IH18)),4),"")</f>
        <v>6.1150000000000002</v>
      </c>
      <c r="IJ18" s="533">
        <f t="shared" si="112"/>
        <v>1613</v>
      </c>
      <c r="IK18" s="533">
        <f t="shared" si="66"/>
        <v>1313</v>
      </c>
      <c r="IL18" s="727">
        <f t="shared" si="225"/>
        <v>74.999767001979706</v>
      </c>
      <c r="IM18" s="759">
        <v>4.5377412635472902E-2</v>
      </c>
      <c r="IN18" s="5">
        <f t="shared" si="226"/>
        <v>0.22</v>
      </c>
      <c r="IO18" s="771">
        <v>110</v>
      </c>
      <c r="IP18" s="9">
        <f t="shared" si="227"/>
        <v>-3.7716665438377546</v>
      </c>
      <c r="IQ18" s="5">
        <f t="shared" si="228"/>
        <v>-0.49400000000000016</v>
      </c>
      <c r="IR18" s="5">
        <f t="shared" si="71"/>
        <v>0.314</v>
      </c>
      <c r="IS18" s="5">
        <f t="shared" si="229"/>
        <v>0.29733874965239826</v>
      </c>
      <c r="IT18" s="727">
        <f t="shared" si="230"/>
        <v>59.129433890343357</v>
      </c>
      <c r="IU18" s="9">
        <f t="shared" si="231"/>
        <v>-3.7717547988341393</v>
      </c>
      <c r="IV18" s="5">
        <f t="shared" si="232"/>
        <v>-0.49399999999999999</v>
      </c>
      <c r="IW18" s="5">
        <f t="shared" si="76"/>
        <v>0.26600000000000001</v>
      </c>
      <c r="IX18" s="5">
        <f t="shared" si="233"/>
        <v>0.25188539395723286</v>
      </c>
      <c r="IY18" s="762">
        <f t="shared" si="234"/>
        <v>59.129786104330108</v>
      </c>
    </row>
    <row r="19" spans="1:269" ht="15" customHeight="1" thickBot="1" x14ac:dyDescent="0.3">
      <c r="A19" s="79"/>
      <c r="B19" s="707">
        <v>1.2013472001069119</v>
      </c>
      <c r="C19" s="708">
        <v>3.9702984716789738</v>
      </c>
      <c r="D19" s="709">
        <v>-1.1947999999999999</v>
      </c>
      <c r="E19" s="710">
        <v>-0.78725717854011679</v>
      </c>
      <c r="F19" s="708">
        <v>0.61627192714662815</v>
      </c>
      <c r="G19" s="711">
        <v>2.0857771885700455E-2</v>
      </c>
      <c r="H19" s="710">
        <v>0.26600000000000001</v>
      </c>
      <c r="I19" s="708">
        <v>0.52</v>
      </c>
      <c r="J19" s="570">
        <v>1.218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1.218</v>
      </c>
      <c r="N19" s="632">
        <f t="shared" si="2"/>
        <v>1.2013472001069119</v>
      </c>
      <c r="O19" s="629">
        <f t="shared" si="3"/>
        <v>3.9702984716789738</v>
      </c>
      <c r="P19" s="633">
        <f t="shared" si="4"/>
        <v>-1.1947999999999999</v>
      </c>
      <c r="Q19" s="585">
        <f t="shared" si="113"/>
        <v>73.165045813937496</v>
      </c>
      <c r="R19" s="629">
        <f>IF(M19="","",SQRT(N19^2+O19^2))</f>
        <v>4.1480724498760999</v>
      </c>
      <c r="S19" s="634">
        <f>IF(M19="","",P19)</f>
        <v>-1.1947999999999999</v>
      </c>
      <c r="T19" s="635">
        <f>IF(M19="","",X19*COS(RADIANS(W19)))</f>
        <v>3.9599421262769807</v>
      </c>
      <c r="U19" s="629">
        <f>IF(M19="","",X19*SIN(RADIANS(W19)))</f>
        <v>-1.2350560335296754</v>
      </c>
      <c r="V19" s="636">
        <f>IF(M19="","",Y19)</f>
        <v>-1.1947999999999999</v>
      </c>
      <c r="W19" s="585">
        <f t="shared" si="224"/>
        <v>342.67795787970448</v>
      </c>
      <c r="X19" s="629">
        <f>IF(M19="","",R19)</f>
        <v>4.1480724498760999</v>
      </c>
      <c r="Y19" s="630">
        <f t="shared" si="223"/>
        <v>-1.1947999999999999</v>
      </c>
      <c r="Z19" s="632">
        <f t="shared" si="6"/>
        <v>0.78725717854011679</v>
      </c>
      <c r="AA19" s="629">
        <f t="shared" si="7"/>
        <v>-0.61627192714662815</v>
      </c>
      <c r="AB19" s="629">
        <f t="shared" si="8"/>
        <v>-2.0857771885700455E-2</v>
      </c>
      <c r="AC19" s="636">
        <f>IF(M19="","",SQRT(Z19^2+AA19^2+AB19^2))</f>
        <v>1</v>
      </c>
      <c r="AD19" s="637">
        <f>IF(M19="","",Z19*(1/SQRT(Z19^2+AA19^2+AB19^2)))</f>
        <v>0.78725717854011679</v>
      </c>
      <c r="AE19" s="629">
        <f>IF(M19="","",AA19*(1/SQRT(Z19^2+AA19^2+AB19^2)))</f>
        <v>-0.61627192714662815</v>
      </c>
      <c r="AF19" s="633">
        <f>IF(M19="","",AB19*(1/SQRT(Z19^2+AA19^2+AB19^2)))</f>
        <v>-2.0857771885700455E-2</v>
      </c>
      <c r="AG19" s="602">
        <f>IF(M19="","",DEGREES(ATAN2(-AF19,AE19)))</f>
        <v>-88.061559760459815</v>
      </c>
      <c r="AH19" s="603">
        <f>IF(M19="","",DEGREES(ACOS(AD19)))</f>
        <v>38.070075706602836</v>
      </c>
      <c r="AI19" s="585">
        <f>IF(M19="","",DEGREES(-ACOS(-AF19)))</f>
        <v>-88.80485103262663</v>
      </c>
      <c r="AJ19" s="586">
        <f>IF(M19="","",DEGREES(ATAN2(-AE19,AD19)))</f>
        <v>51.945844286926395</v>
      </c>
      <c r="AK19" s="635">
        <f>IF(M19="","",(COS(RADIANS((90-$Q$8)-W19))*AD19)+(-SIN(RADIANS((90-$Q$8)-W19))*AE19))</f>
        <v>0.93199975980981098</v>
      </c>
      <c r="AL19" s="629">
        <f>IF(M19="","",(SIN(RADIANS((90-$Q$8)-W19))*AD19)+(COS(RADIANS((90-$Q$8)-W19))*AE19))</f>
        <v>-0.36185826101723695</v>
      </c>
      <c r="AM19" s="634">
        <f>IF(M19="","",AF19)</f>
        <v>-2.0857771885700455E-2</v>
      </c>
      <c r="AN19" s="581">
        <f>IF(M19="","",DEGREES(ATAN2(-AM19,AL19)))</f>
        <v>-86.701080099383674</v>
      </c>
      <c r="AO19" s="582">
        <f t="shared" si="94"/>
        <v>21.251281943838983</v>
      </c>
      <c r="AP19" s="585">
        <f>IF(M19="","",DEGREES(ATAN2(AK19,AL19)))</f>
        <v>-21.219201527011084</v>
      </c>
      <c r="AQ19" s="586">
        <f t="shared" si="9"/>
        <v>0.54957013054544102</v>
      </c>
      <c r="AS19" s="52">
        <f t="shared" si="116"/>
        <v>-17.322042120295521</v>
      </c>
      <c r="AT19" s="72">
        <f t="shared" si="10"/>
        <v>-1.1799189011478999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1.218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0.11799999999999999</v>
      </c>
      <c r="II19" s="734" cm="1">
        <f t="array" ref="II19">IFERROR(ROUND(VALUE(IF($IH19&lt;1,$IH19+LARGE((IF($M$9:$M$150="",0,$M$9:$M$150)-MOD(IF($M$9:$M$150="",0,$M$9:$M$150),1)),1),$IH19)),4),"")</f>
        <v>6.1180000000000003</v>
      </c>
      <c r="IJ19" s="533">
        <f t="shared" si="112"/>
        <v>1613</v>
      </c>
      <c r="IK19" s="533">
        <f t="shared" si="66"/>
        <v>1313</v>
      </c>
      <c r="IL19" s="727">
        <f t="shared" si="225"/>
        <v>74.999774368607746</v>
      </c>
      <c r="IM19" s="759">
        <v>4.4648506265182797E-2</v>
      </c>
      <c r="IN19" s="5">
        <f t="shared" si="226"/>
        <v>0.26</v>
      </c>
      <c r="IO19" s="771">
        <v>130</v>
      </c>
      <c r="IP19" s="9">
        <f t="shared" si="227"/>
        <v>-4.1479843739643902</v>
      </c>
      <c r="IQ19" s="5">
        <f t="shared" si="228"/>
        <v>-1.1948000000000005</v>
      </c>
      <c r="IR19" s="5">
        <f t="shared" si="71"/>
        <v>0.314</v>
      </c>
      <c r="IS19" s="5">
        <f t="shared" si="229"/>
        <v>0.29264837202854549</v>
      </c>
      <c r="IT19" s="727">
        <f t="shared" si="230"/>
        <v>86.701046712918213</v>
      </c>
      <c r="IU19" s="9">
        <f t="shared" si="231"/>
        <v>-4.1480724498760999</v>
      </c>
      <c r="IV19" s="5">
        <f t="shared" si="232"/>
        <v>-1.1947999999999999</v>
      </c>
      <c r="IW19" s="5">
        <f t="shared" si="76"/>
        <v>0.26600000000000001</v>
      </c>
      <c r="IX19" s="5">
        <f t="shared" si="233"/>
        <v>0.24791193610940973</v>
      </c>
      <c r="IY19" s="762">
        <f t="shared" si="234"/>
        <v>86.701080099383674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2.5412156137660196</v>
      </c>
      <c r="C20" s="708">
        <v>1.2015521984077757</v>
      </c>
      <c r="D20" s="709">
        <v>-6.5300000000000122E-2</v>
      </c>
      <c r="E20" s="710">
        <v>-0.35307204530266723</v>
      </c>
      <c r="F20" s="708">
        <v>0.89948959258206274</v>
      </c>
      <c r="G20" s="711">
        <v>0.25740746621329036</v>
      </c>
      <c r="H20" s="710">
        <v>0.314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2.1110000000000002</v>
      </c>
      <c r="N20" s="632">
        <f t="shared" si="2"/>
        <v>2.5412156137660196</v>
      </c>
      <c r="O20" s="629">
        <f t="shared" si="3"/>
        <v>1.2015521984077757</v>
      </c>
      <c r="P20" s="633">
        <f t="shared" si="4"/>
        <v>-6.5300000000000122E-2</v>
      </c>
      <c r="Q20" s="585">
        <f t="shared" si="113"/>
        <v>25.305990558271517</v>
      </c>
      <c r="R20" s="629">
        <f>IF(M20="","",SQRT(N20^2+O20^2))</f>
        <v>2.8109614869554451</v>
      </c>
      <c r="S20" s="634">
        <f>IF(M20="","",P20)</f>
        <v>-6.5300000000000122E-2</v>
      </c>
      <c r="T20" s="635">
        <f>IF(M20="","",X20*COS(RADIANS(W20)))</f>
        <v>1.1799054333511394</v>
      </c>
      <c r="U20" s="629">
        <f>IF(M20="","",X20*SIN(RADIANS(W20)))</f>
        <v>-2.5513384035629665</v>
      </c>
      <c r="V20" s="636">
        <f>IF(M20="","",Y20)</f>
        <v>-6.5300000000000122E-2</v>
      </c>
      <c r="W20" s="585">
        <f t="shared" si="224"/>
        <v>294.81890262403851</v>
      </c>
      <c r="X20" s="629">
        <f>IF(M20="","",R20)</f>
        <v>2.8109614869554451</v>
      </c>
      <c r="Y20" s="630">
        <f t="shared" si="223"/>
        <v>-6.5300000000000122E-2</v>
      </c>
      <c r="Z20" s="632">
        <f t="shared" si="6"/>
        <v>0.35307204530266723</v>
      </c>
      <c r="AA20" s="629">
        <f t="shared" si="7"/>
        <v>-0.89948959258206274</v>
      </c>
      <c r="AB20" s="629">
        <f t="shared" si="8"/>
        <v>-0.25740746621329036</v>
      </c>
      <c r="AC20" s="636">
        <f>IF(M20="","",SQRT(Z20^2+AA20^2+AB20^2))</f>
        <v>1</v>
      </c>
      <c r="AD20" s="637">
        <f>IF(M20="","",Z20*(1/SQRT(Z20^2+AA20^2+AB20^2)))</f>
        <v>0.35307204530266723</v>
      </c>
      <c r="AE20" s="629">
        <f>IF(M20="","",AA20*(1/SQRT(Z20^2+AA20^2+AB20^2)))</f>
        <v>-0.89948959258206274</v>
      </c>
      <c r="AF20" s="633">
        <f>IF(M20="","",AB20*(1/SQRT(Z20^2+AA20^2+AB20^2)))</f>
        <v>-0.25740746621329036</v>
      </c>
      <c r="AG20" s="602">
        <f>IF(M20="","",DEGREES(ATAN2(-AF20,AE20)))</f>
        <v>-74.030435929637846</v>
      </c>
      <c r="AH20" s="603">
        <f>IF(M20="","",DEGREES(ACOS(AD20)))</f>
        <v>69.324669328588527</v>
      </c>
      <c r="AI20" s="585">
        <f>IF(M20="","",DEGREES(-ACOS(-AF20)))</f>
        <v>-75.083714205373013</v>
      </c>
      <c r="AJ20" s="586">
        <f>IF(M20="","",DEGREES(ATAN2(-AE20,AD20)))</f>
        <v>21.431242566581346</v>
      </c>
      <c r="AK20" s="635">
        <f>IF(M20="","",(COS(RADIANS((90-$Q$8)-W20))*AD20)+(-SIN(RADIANS((90-$Q$8)-W20))*AE20))</f>
        <v>0.96409413714684533</v>
      </c>
      <c r="AL20" s="629">
        <f>IF(M20="","",(SIN(RADIANS((90-$Q$8)-W20))*AD20)+(COS(RADIANS((90-$Q$8)-W20))*AE20))</f>
        <v>-6.5298476680039408E-2</v>
      </c>
      <c r="AM20" s="634">
        <f>IF(M20="","",AF20)</f>
        <v>-0.25740746621329036</v>
      </c>
      <c r="AN20" s="581">
        <f>IF(M20="","",DEGREES(ATAN2(-AM20,AL20)))</f>
        <v>-14.234380813890077</v>
      </c>
      <c r="AO20" s="582">
        <f t="shared" si="94"/>
        <v>15.400273381477492</v>
      </c>
      <c r="AP20" s="585">
        <f>IF(M20="","",DEGREES(ATAN2(AK20,AL20)))</f>
        <v>-3.8747479916901377</v>
      </c>
      <c r="AQ20" s="586">
        <f t="shared" si="9"/>
        <v>0.81095895681115115</v>
      </c>
      <c r="AS20" s="52">
        <f t="shared" si="116"/>
        <v>-65.181097375961485</v>
      </c>
      <c r="AT20" s="72">
        <f t="shared" si="10"/>
        <v>-1.7183446109243133E-2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3.251319820130413</v>
      </c>
      <c r="C21" s="708">
        <v>1.4557462025239105</v>
      </c>
      <c r="D21" s="709">
        <v>-0.32210000000000039</v>
      </c>
      <c r="E21" s="710">
        <v>-0.17315677294115064</v>
      </c>
      <c r="F21" s="708">
        <v>0.96127369902244109</v>
      </c>
      <c r="G21" s="711">
        <v>0.21440524142921574</v>
      </c>
      <c r="H21" s="710">
        <v>0.314</v>
      </c>
      <c r="I21" s="708">
        <v>0.52</v>
      </c>
      <c r="J21" s="570">
        <v>2.1139999999999999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2.1139999999999999</v>
      </c>
      <c r="N21" s="632">
        <f t="shared" si="2"/>
        <v>3.251319820130413</v>
      </c>
      <c r="O21" s="629">
        <f t="shared" si="3"/>
        <v>1.4557462025239105</v>
      </c>
      <c r="P21" s="633">
        <f t="shared" si="4"/>
        <v>-0.32210000000000039</v>
      </c>
      <c r="Q21" s="585">
        <f t="shared" si="113"/>
        <v>24.119975492720052</v>
      </c>
      <c r="R21" s="629">
        <f>IF(M21="","",SQRT(N21^2+O21^2))</f>
        <v>3.5623415865039734</v>
      </c>
      <c r="S21" s="634">
        <f>IF(M21="","",P21)</f>
        <v>-0.32210000000000039</v>
      </c>
      <c r="T21" s="635">
        <f>IF(M21="","",X21*COS(RADIANS(W21)))</f>
        <v>1.4280535241858527</v>
      </c>
      <c r="U21" s="629">
        <f>IF(M21="","",X21*SIN(RADIANS(W21)))</f>
        <v>-3.2635779002493583</v>
      </c>
      <c r="V21" s="636">
        <f>IF(M21="","",Y21)</f>
        <v>-0.32210000000000039</v>
      </c>
      <c r="W21" s="585">
        <f t="shared" si="224"/>
        <v>293.63288755848708</v>
      </c>
      <c r="X21" s="629">
        <f>IF(M21="","",R21)</f>
        <v>3.5623415865039734</v>
      </c>
      <c r="Y21" s="630">
        <f t="shared" si="223"/>
        <v>-0.32210000000000039</v>
      </c>
      <c r="Z21" s="632">
        <f t="shared" si="6"/>
        <v>0.17315677294115064</v>
      </c>
      <c r="AA21" s="629">
        <f t="shared" si="7"/>
        <v>-0.96127369902244109</v>
      </c>
      <c r="AB21" s="629">
        <f t="shared" si="8"/>
        <v>-0.21440524142921574</v>
      </c>
      <c r="AC21" s="636">
        <f>IF(M21="","",SQRT(Z21^2+AA21^2+AB21^2))</f>
        <v>1</v>
      </c>
      <c r="AD21" s="637">
        <f>IF(M21="","",Z21*(1/SQRT(Z21^2+AA21^2+AB21^2)))</f>
        <v>0.17315677294115064</v>
      </c>
      <c r="AE21" s="629">
        <f>IF(M21="","",AA21*(1/SQRT(Z21^2+AA21^2+AB21^2)))</f>
        <v>-0.96127369902244109</v>
      </c>
      <c r="AF21" s="633">
        <f>IF(M21="","",AB21*(1/SQRT(Z21^2+AA21^2+AB21^2)))</f>
        <v>-0.21440524142921574</v>
      </c>
      <c r="AG21" s="602">
        <f>IF(M21="","",DEGREES(ATAN2(-AF21,AE21)))</f>
        <v>-77.4263933057305</v>
      </c>
      <c r="AH21" s="603">
        <f>IF(M21="","",DEGREES(ACOS(AD21)))</f>
        <v>80.028588503075341</v>
      </c>
      <c r="AI21" s="585">
        <f>IF(M21="","",DEGREES(-ACOS(-AF21)))</f>
        <v>-77.619363524302869</v>
      </c>
      <c r="AJ21" s="586">
        <f>IF(M21="","",DEGREES(ATAN2(-AE21,AD21)))</f>
        <v>10.21133497833979</v>
      </c>
      <c r="AK21" s="635">
        <f>IF(M21="","",(COS(RADIANS((90-$Q$8)-W21))*AD21)+(-SIN(RADIANS((90-$Q$8)-W21))*AE21))</f>
        <v>0.94810687376185088</v>
      </c>
      <c r="AL21" s="629">
        <f>IF(M21="","",(SIN(RADIANS((90-$Q$8)-W21))*AD21)+(COS(RADIANS((90-$Q$8)-W21))*AE21))</f>
        <v>-0.23478447217226592</v>
      </c>
      <c r="AM21" s="634">
        <f>IF(M21="","",AF21)</f>
        <v>-0.21440524142921574</v>
      </c>
      <c r="AN21" s="581">
        <f>IF(M21="","",DEGREES(ATAN2(-AM21,AL21)))</f>
        <v>-47.597663592850438</v>
      </c>
      <c r="AO21" s="582">
        <f>IF(ROUND(IF(M21="",0,DEGREES(ACOS(AK21))),4)=90,0,IF(M21="","",DEGREES(ACOS(AK21))))</f>
        <v>18.539104399364707</v>
      </c>
      <c r="AP21" s="585">
        <f>IF(M21="","",DEGREES(ATAN2(AK21,AL21)))</f>
        <v>-13.908640514380284</v>
      </c>
      <c r="AQ21" s="586">
        <f t="shared" si="9"/>
        <v>0.6399251119470597</v>
      </c>
      <c r="AS21" s="52">
        <f t="shared" si="116"/>
        <v>-66.367112441512916</v>
      </c>
      <c r="AT21" s="72">
        <f t="shared" si="10"/>
        <v>-0.27315982453594378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3.7540761978499999</v>
      </c>
      <c r="C22" s="708">
        <v>1.6039839517218766</v>
      </c>
      <c r="D22" s="709">
        <v>-0.93579999999999985</v>
      </c>
      <c r="E22" s="710">
        <v>-4.4414111634072315E-2</v>
      </c>
      <c r="F22" s="708">
        <v>0.99584834520985799</v>
      </c>
      <c r="G22" s="711">
        <v>7.9457284313924986E-2</v>
      </c>
      <c r="H22" s="710">
        <v>0.314</v>
      </c>
      <c r="I22" s="708">
        <v>0.52</v>
      </c>
      <c r="J22" s="570">
        <v>2.117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2.117</v>
      </c>
      <c r="N22" s="632">
        <f t="shared" si="2"/>
        <v>3.7540761978499999</v>
      </c>
      <c r="O22" s="629">
        <f t="shared" si="3"/>
        <v>1.6039839517218766</v>
      </c>
      <c r="P22" s="633">
        <f t="shared" si="4"/>
        <v>-0.93579999999999985</v>
      </c>
      <c r="Q22" s="585">
        <f t="shared" si="113"/>
        <v>23.135304604021748</v>
      </c>
      <c r="R22" s="629">
        <f t="shared" si="79"/>
        <v>4.082383203062304</v>
      </c>
      <c r="S22" s="634">
        <f t="shared" si="80"/>
        <v>-0.93579999999999985</v>
      </c>
      <c r="T22" s="635">
        <f t="shared" si="81"/>
        <v>1.5720118913256023</v>
      </c>
      <c r="U22" s="629">
        <f t="shared" si="82"/>
        <v>-3.7675763071470949</v>
      </c>
      <c r="V22" s="636">
        <f t="shared" si="114"/>
        <v>-0.93579999999999985</v>
      </c>
      <c r="W22" s="585">
        <f t="shared" si="224"/>
        <v>292.64821666978878</v>
      </c>
      <c r="X22" s="629">
        <f t="shared" si="83"/>
        <v>4.082383203062304</v>
      </c>
      <c r="Y22" s="630">
        <f t="shared" si="223"/>
        <v>-0.93579999999999985</v>
      </c>
      <c r="Z22" s="632">
        <f t="shared" si="6"/>
        <v>4.4414111634072315E-2</v>
      </c>
      <c r="AA22" s="629">
        <f t="shared" si="7"/>
        <v>-0.99584834520985799</v>
      </c>
      <c r="AB22" s="629">
        <f t="shared" si="8"/>
        <v>-7.9457284313924986E-2</v>
      </c>
      <c r="AC22" s="636">
        <f t="shared" si="84"/>
        <v>1</v>
      </c>
      <c r="AD22" s="637">
        <f t="shared" si="115"/>
        <v>4.4414111634072315E-2</v>
      </c>
      <c r="AE22" s="629">
        <f t="shared" si="85"/>
        <v>-0.99584834520985799</v>
      </c>
      <c r="AF22" s="633">
        <f t="shared" si="86"/>
        <v>-7.9457284313924986E-2</v>
      </c>
      <c r="AG22" s="602">
        <f t="shared" si="87"/>
        <v>-85.438117729307734</v>
      </c>
      <c r="AH22" s="603">
        <f t="shared" si="88"/>
        <v>87.454421477303086</v>
      </c>
      <c r="AI22" s="585">
        <f t="shared" si="89"/>
        <v>-85.442628887707713</v>
      </c>
      <c r="AJ22" s="586">
        <f t="shared" si="90"/>
        <v>2.5536578199233118</v>
      </c>
      <c r="AK22" s="635">
        <f t="shared" si="211"/>
        <v>0.93321226896433762</v>
      </c>
      <c r="AL22" s="629">
        <f t="shared" si="91"/>
        <v>-0.35043030836942329</v>
      </c>
      <c r="AM22" s="634">
        <f t="shared" si="92"/>
        <v>-7.9457284313924986E-2</v>
      </c>
      <c r="AN22" s="581">
        <f t="shared" si="93"/>
        <v>-77.224649759413154</v>
      </c>
      <c r="AO22" s="582">
        <f t="shared" si="94"/>
        <v>21.05878239269607</v>
      </c>
      <c r="AP22" s="585">
        <f t="shared" si="95"/>
        <v>-20.58164678409846</v>
      </c>
      <c r="AQ22" s="586">
        <f t="shared" si="9"/>
        <v>0.55841265664210404</v>
      </c>
      <c r="AS22" s="52">
        <f t="shared" si="116"/>
        <v>-67.351783330211219</v>
      </c>
      <c r="AT22" s="72">
        <f t="shared" si="10"/>
        <v>-0.88617602530768058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3.8904249737763403</v>
      </c>
      <c r="C23" s="708">
        <v>1.5986033101812331</v>
      </c>
      <c r="D23" s="709">
        <v>-1.6242999999999999</v>
      </c>
      <c r="E23" s="710">
        <v>0.1241217091137367</v>
      </c>
      <c r="F23" s="708">
        <v>0.99213293428751181</v>
      </c>
      <c r="G23" s="711">
        <v>1.631079485300611E-2</v>
      </c>
      <c r="H23" s="710">
        <v>0.26600000000000001</v>
      </c>
      <c r="I23" s="708">
        <v>0.52</v>
      </c>
      <c r="J23" s="570">
        <v>2.12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</v>
      </c>
      <c r="N23" s="632">
        <f t="shared" si="2"/>
        <v>3.8904249737763403</v>
      </c>
      <c r="O23" s="629">
        <f t="shared" si="3"/>
        <v>1.5986033101812331</v>
      </c>
      <c r="P23" s="633">
        <f t="shared" si="4"/>
        <v>-1.6242999999999999</v>
      </c>
      <c r="Q23" s="585">
        <f t="shared" si="113"/>
        <v>22.338109449575388</v>
      </c>
      <c r="R23" s="629">
        <f t="shared" si="79"/>
        <v>4.2060597974713856</v>
      </c>
      <c r="S23" s="634">
        <f t="shared" si="80"/>
        <v>-1.6242999999999999</v>
      </c>
      <c r="T23" s="635">
        <f t="shared" si="81"/>
        <v>1.5654723179407988</v>
      </c>
      <c r="U23" s="629">
        <f t="shared" si="82"/>
        <v>-3.9038744141770358</v>
      </c>
      <c r="V23" s="636">
        <f t="shared" si="114"/>
        <v>-1.6242999999999999</v>
      </c>
      <c r="W23" s="585">
        <f t="shared" si="224"/>
        <v>291.85102151534238</v>
      </c>
      <c r="X23" s="629">
        <f t="shared" si="83"/>
        <v>4.2060597974713856</v>
      </c>
      <c r="Y23" s="630">
        <f t="shared" si="223"/>
        <v>-1.6242999999999999</v>
      </c>
      <c r="Z23" s="632">
        <f t="shared" si="6"/>
        <v>-0.1241217091137367</v>
      </c>
      <c r="AA23" s="629">
        <f t="shared" si="7"/>
        <v>-0.99213293428751181</v>
      </c>
      <c r="AB23" s="629">
        <f t="shared" si="8"/>
        <v>-1.631079485300611E-2</v>
      </c>
      <c r="AC23" s="636">
        <f t="shared" si="84"/>
        <v>1</v>
      </c>
      <c r="AD23" s="637">
        <f t="shared" si="115"/>
        <v>-0.1241217091137367</v>
      </c>
      <c r="AE23" s="629">
        <f t="shared" si="85"/>
        <v>-0.99213293428751181</v>
      </c>
      <c r="AF23" s="633">
        <f t="shared" si="86"/>
        <v>-1.631079485300611E-2</v>
      </c>
      <c r="AG23" s="602">
        <f t="shared" si="87"/>
        <v>-89.058134760173573</v>
      </c>
      <c r="AH23" s="603">
        <f t="shared" si="88"/>
        <v>97.13003843052195</v>
      </c>
      <c r="AI23" s="585">
        <f t="shared" si="89"/>
        <v>-89.065418851650833</v>
      </c>
      <c r="AJ23" s="586">
        <f t="shared" si="90"/>
        <v>-7.1309919931111097</v>
      </c>
      <c r="AK23" s="635">
        <f t="shared" si="211"/>
        <v>0.87050530570315188</v>
      </c>
      <c r="AL23" s="629">
        <f t="shared" si="91"/>
        <v>-0.49188867715564011</v>
      </c>
      <c r="AM23" s="634">
        <f t="shared" si="92"/>
        <v>-1.631079485300611E-2</v>
      </c>
      <c r="AN23" s="581">
        <f t="shared" si="93"/>
        <v>-88.10079505971153</v>
      </c>
      <c r="AO23" s="582">
        <f t="shared" si="94"/>
        <v>29.482587528945963</v>
      </c>
      <c r="AP23" s="585">
        <f t="shared" si="95"/>
        <v>-29.469101442686483</v>
      </c>
      <c r="AQ23" s="586">
        <f t="shared" si="9"/>
        <v>0.54199387120681763</v>
      </c>
      <c r="AS23" s="52">
        <f t="shared" si="116"/>
        <v>-68.148978484657619</v>
      </c>
      <c r="AT23" s="72">
        <f t="shared" si="10"/>
        <v>-1.5741224175615371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110</v>
      </c>
    </row>
    <row r="24" spans="1:269" ht="15" customHeight="1" x14ac:dyDescent="0.25">
      <c r="A24" s="79"/>
      <c r="B24" s="707">
        <v>3.2767415279787899</v>
      </c>
      <c r="C24" s="708">
        <v>0.56632671484056951</v>
      </c>
      <c r="D24" s="709">
        <v>-0.19069999999999995</v>
      </c>
      <c r="E24" s="710">
        <v>2.5475344855658777E-2</v>
      </c>
      <c r="F24" s="708">
        <v>0.96669635758132855</v>
      </c>
      <c r="G24" s="711">
        <v>0.25465498040187129</v>
      </c>
      <c r="H24" s="710">
        <v>0.26600000000000001</v>
      </c>
      <c r="I24" s="708">
        <v>0.52</v>
      </c>
      <c r="J24" s="570">
        <v>2.2130000000000001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2.2130000000000001</v>
      </c>
      <c r="N24" s="632">
        <f t="shared" si="2"/>
        <v>3.2767415279787899</v>
      </c>
      <c r="O24" s="629">
        <f t="shared" si="3"/>
        <v>0.56632671484056951</v>
      </c>
      <c r="P24" s="633">
        <f t="shared" si="4"/>
        <v>-0.19069999999999995</v>
      </c>
      <c r="Q24" s="585">
        <f t="shared" si="113"/>
        <v>9.80569083482842</v>
      </c>
      <c r="R24" s="629">
        <f t="shared" si="79"/>
        <v>3.325321185859027</v>
      </c>
      <c r="S24" s="634">
        <f t="shared" si="80"/>
        <v>-0.19069999999999995</v>
      </c>
      <c r="T24" s="635">
        <f t="shared" si="81"/>
        <v>0.53845006166580245</v>
      </c>
      <c r="U24" s="629">
        <f t="shared" si="82"/>
        <v>-3.2814375691478541</v>
      </c>
      <c r="V24" s="636">
        <f t="shared" si="114"/>
        <v>-0.19069999999999995</v>
      </c>
      <c r="W24" s="585">
        <f t="shared" si="224"/>
        <v>279.31860290059541</v>
      </c>
      <c r="X24" s="629">
        <f t="shared" si="83"/>
        <v>3.325321185859027</v>
      </c>
      <c r="Y24" s="630">
        <f t="shared" si="223"/>
        <v>-0.19069999999999995</v>
      </c>
      <c r="Z24" s="632">
        <f t="shared" si="6"/>
        <v>-2.5475344855658777E-2</v>
      </c>
      <c r="AA24" s="629">
        <f t="shared" si="7"/>
        <v>-0.96669635758132855</v>
      </c>
      <c r="AB24" s="629">
        <f t="shared" si="8"/>
        <v>-0.25465498040187129</v>
      </c>
      <c r="AC24" s="636">
        <f t="shared" si="84"/>
        <v>1</v>
      </c>
      <c r="AD24" s="637">
        <f t="shared" si="115"/>
        <v>-2.5475344855658777E-2</v>
      </c>
      <c r="AE24" s="629">
        <f t="shared" si="85"/>
        <v>-0.96669635758132855</v>
      </c>
      <c r="AF24" s="633">
        <f t="shared" si="86"/>
        <v>-0.25465498040187129</v>
      </c>
      <c r="AG24" s="602">
        <f t="shared" si="87"/>
        <v>-75.241959442374068</v>
      </c>
      <c r="AH24" s="603">
        <f t="shared" si="88"/>
        <v>91.459787669624646</v>
      </c>
      <c r="AI24" s="585">
        <f t="shared" si="89"/>
        <v>-75.24685791249054</v>
      </c>
      <c r="AJ24" s="586">
        <f t="shared" si="90"/>
        <v>-1.5095660353059233</v>
      </c>
      <c r="AK24" s="635">
        <f>IF(M24="","",(COS(RADIANS((90-$Q$8)-W24))*AD24)+(-SIN(RADIANS((90-$Q$8)-W24))*AE24))</f>
        <v>0.94823523961535106</v>
      </c>
      <c r="AL24" s="629">
        <f t="shared" si="91"/>
        <v>-0.18973869217463368</v>
      </c>
      <c r="AM24" s="634">
        <f t="shared" si="92"/>
        <v>-0.25465498040187129</v>
      </c>
      <c r="AN24" s="581">
        <f t="shared" si="93"/>
        <v>-36.689110217577344</v>
      </c>
      <c r="AO24" s="582">
        <f t="shared" si="94"/>
        <v>18.515958582833978</v>
      </c>
      <c r="AP24" s="585">
        <f t="shared" si="95"/>
        <v>-11.315256870134299</v>
      </c>
      <c r="AQ24" s="586">
        <f t="shared" si="9"/>
        <v>0.68553313122738668</v>
      </c>
      <c r="AS24" s="52">
        <f t="shared" si="116"/>
        <v>-80.681397099404592</v>
      </c>
      <c r="AT24" s="72">
        <f t="shared" si="10"/>
        <v>-0.13181934907907414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2.2130000000000001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1.113</v>
      </c>
      <c r="II24" s="734" cm="1">
        <f t="array" ref="II24">IFERROR(ROUND(VALUE(IF($IH24&lt;1,$IH24+LARGE((IF($M$9:$M$150="",0,$M$9:$M$150)-MOD(IF($M$9:$M$150="",0,$M$9:$M$150),1)),1),$IH24)),4),"")</f>
        <v>1.113</v>
      </c>
      <c r="IJ24" s="533">
        <f t="shared" si="112"/>
        <v>1613</v>
      </c>
      <c r="IK24" s="533">
        <f t="shared" si="66"/>
        <v>1313</v>
      </c>
      <c r="IL24" s="727">
        <f t="shared" si="225"/>
        <v>80.000262732730619</v>
      </c>
      <c r="IM24" s="759">
        <v>4.55137546213761E-2</v>
      </c>
      <c r="IN24" s="5">
        <f t="shared" si="226"/>
        <v>0.22</v>
      </c>
      <c r="IO24" s="771">
        <v>110</v>
      </c>
      <c r="IP24" s="9">
        <f t="shared" si="227"/>
        <v>-3.3253190708026805</v>
      </c>
      <c r="IQ24" s="5">
        <f t="shared" si="228"/>
        <v>-0.1907000000000004</v>
      </c>
      <c r="IR24" s="5">
        <f t="shared" si="71"/>
        <v>0.314</v>
      </c>
      <c r="IS24" s="5">
        <f t="shared" si="229"/>
        <v>0.29774559203835266</v>
      </c>
      <c r="IT24" s="727">
        <f t="shared" si="230"/>
        <v>36.689739293539105</v>
      </c>
      <c r="IU24" s="9">
        <f t="shared" si="231"/>
        <v>-3.325321185859027</v>
      </c>
      <c r="IV24" s="5">
        <f t="shared" si="232"/>
        <v>-0.19069999999999995</v>
      </c>
      <c r="IW24" s="5">
        <f t="shared" si="76"/>
        <v>0.26600000000000001</v>
      </c>
      <c r="IX24" s="5">
        <f t="shared" si="233"/>
        <v>0.25223057373768337</v>
      </c>
      <c r="IY24" s="762">
        <f t="shared" si="234"/>
        <v>36.689110217577344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3.906007119187191</v>
      </c>
      <c r="C25" s="708">
        <v>0.56974953840337361</v>
      </c>
      <c r="D25" s="709">
        <v>-0.70080000000000009</v>
      </c>
      <c r="E25" s="710">
        <v>0.18941914164851675</v>
      </c>
      <c r="F25" s="708">
        <v>0.97167125913334462</v>
      </c>
      <c r="G25" s="711">
        <v>0.14133418889766172</v>
      </c>
      <c r="H25" s="710">
        <v>0.26600000000000001</v>
      </c>
      <c r="I25" s="708">
        <v>0.52</v>
      </c>
      <c r="J25" s="570">
        <v>2.2160000000000002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2.2160000000000002</v>
      </c>
      <c r="N25" s="632">
        <f t="shared" si="2"/>
        <v>3.906007119187191</v>
      </c>
      <c r="O25" s="629">
        <f t="shared" si="3"/>
        <v>0.56974953840337361</v>
      </c>
      <c r="P25" s="633">
        <f t="shared" si="4"/>
        <v>-0.70080000000000009</v>
      </c>
      <c r="Q25" s="585">
        <f t="shared" si="113"/>
        <v>8.2989188154132023</v>
      </c>
      <c r="R25" s="629">
        <f>IF(M25="","",SQRT(N25^2+O25^2))</f>
        <v>3.9473416563114823</v>
      </c>
      <c r="S25" s="634">
        <f>IF(M25="","",P25)</f>
        <v>-0.70080000000000009</v>
      </c>
      <c r="T25" s="635">
        <f>IF(M25="","",X25*COS(RADIANS(W25)))</f>
        <v>0.53652325783473898</v>
      </c>
      <c r="U25" s="629">
        <f>IF(M25="","",X25*SIN(RADIANS(W25)))</f>
        <v>-3.9107095194419994</v>
      </c>
      <c r="V25" s="636">
        <f>IF(M25="","",Y25)</f>
        <v>-0.70080000000000009</v>
      </c>
      <c r="W25" s="585">
        <f t="shared" si="224"/>
        <v>277.81183088118024</v>
      </c>
      <c r="X25" s="629">
        <f>IF(M25="","",R25)</f>
        <v>3.9473416563114823</v>
      </c>
      <c r="Y25" s="630">
        <f t="shared" si="223"/>
        <v>-0.70080000000000009</v>
      </c>
      <c r="Z25" s="632">
        <f t="shared" si="6"/>
        <v>-0.18941914164851675</v>
      </c>
      <c r="AA25" s="629">
        <f t="shared" si="7"/>
        <v>-0.97167125913334462</v>
      </c>
      <c r="AB25" s="629">
        <f t="shared" si="8"/>
        <v>-0.14133418889766172</v>
      </c>
      <c r="AC25" s="636">
        <f>IF(M25="","",SQRT(Z25^2+AA25^2+AB25^2))</f>
        <v>1</v>
      </c>
      <c r="AD25" s="637">
        <f>IF(M25="","",Z25*(1/SQRT(Z25^2+AA25^2+AB25^2)))</f>
        <v>-0.18941914164851675</v>
      </c>
      <c r="AE25" s="629">
        <f>IF(M25="","",AA25*(1/SQRT(Z25^2+AA25^2+AB25^2)))</f>
        <v>-0.97167125913334462</v>
      </c>
      <c r="AF25" s="633">
        <f>IF(M25="","",AB25*(1/SQRT(Z25^2+AA25^2+AB25^2)))</f>
        <v>-0.14133418889766172</v>
      </c>
      <c r="AG25" s="602">
        <f>IF(M25="","",DEGREES(ATAN2(-AF25,AE25)))</f>
        <v>-81.724096341833842</v>
      </c>
      <c r="AH25" s="603">
        <f>IF(M25="","",DEGREES(ACOS(AD25)))</f>
        <v>100.91888791837469</v>
      </c>
      <c r="AI25" s="585">
        <f>IF(M25="","",DEGREES(-ACOS(-AF25)))</f>
        <v>-81.87494263985684</v>
      </c>
      <c r="AJ25" s="586">
        <f>IF(M25="","",DEGREES(ATAN2(-AE25,AD25)))</f>
        <v>-11.030984997530933</v>
      </c>
      <c r="AK25" s="635">
        <f>IF(M25="","",(COS(RADIANS((90-$Q$8)-W25))*AD25)+(-SIN(RADIANS((90-$Q$8)-W25))*AE25))</f>
        <v>0.9341561253684515</v>
      </c>
      <c r="AL25" s="629">
        <f>IF(M25="","",(SIN(RADIANS((90-$Q$8)-W25))*AD25)+(COS(RADIANS((90-$Q$8)-W25))*AE25))</f>
        <v>-0.32768426951143437</v>
      </c>
      <c r="AM25" s="634">
        <f>IF(M25="","",AF25)</f>
        <v>-0.14133418889766172</v>
      </c>
      <c r="AN25" s="581">
        <f>IF(M25="","",DEGREES(ATAN2(-AM25,AL25)))</f>
        <v>-66.668879107563569</v>
      </c>
      <c r="AO25" s="582">
        <f>IF(ROUND(IF(M25="",0,DEGREES(ACOS(AK25))),4)=90,0,IF(M25="","",DEGREES(ACOS(AK25))))</f>
        <v>20.907763959872248</v>
      </c>
      <c r="AP25" s="585">
        <f>IF(M25="","",DEGREES(ATAN2(AK25,AL25)))</f>
        <v>-19.329903812944167</v>
      </c>
      <c r="AQ25" s="586">
        <f t="shared" si="9"/>
        <v>0.57751510392459016</v>
      </c>
      <c r="AS25" s="52">
        <f t="shared" si="116"/>
        <v>-82.188169118819758</v>
      </c>
      <c r="AT25" s="72">
        <f t="shared" si="10"/>
        <v>-0.64087297962114709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2.2160000000000002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I25" s="734" cm="1">
        <f t="array" ref="II25">IFERROR(ROUND(VALUE(IF($IH25&lt;1,$IH25+LARGE((IF($M$9:$M$150="",0,$M$9:$M$150)-MOD(IF($M$9:$M$150="",0,$M$9:$M$150),1)),1),$IH25)),4),"")</f>
        <v>1.1160000000000001</v>
      </c>
      <c r="IJ25" s="533">
        <f t="shared" si="112"/>
        <v>1613</v>
      </c>
      <c r="IK25" s="533">
        <f t="shared" si="66"/>
        <v>1313</v>
      </c>
      <c r="IL25" s="727">
        <f t="shared" si="225"/>
        <v>79.999857731592385</v>
      </c>
      <c r="IM25" s="759">
        <v>4.4838121339268101E-2</v>
      </c>
      <c r="IN25" s="5">
        <f t="shared" si="226"/>
        <v>0.22</v>
      </c>
      <c r="IO25" s="771">
        <v>110</v>
      </c>
      <c r="IP25" s="9">
        <f t="shared" si="227"/>
        <v>-3.9473398831325639</v>
      </c>
      <c r="IQ25" s="5">
        <f t="shared" si="228"/>
        <v>-0.70079999999999998</v>
      </c>
      <c r="IR25" s="5">
        <f t="shared" si="71"/>
        <v>0.314</v>
      </c>
      <c r="IS25" s="5">
        <f t="shared" si="229"/>
        <v>0.2933252788531267</v>
      </c>
      <c r="IT25" s="727">
        <f t="shared" si="230"/>
        <v>66.668731614688411</v>
      </c>
      <c r="IU25" s="9">
        <f t="shared" si="231"/>
        <v>-3.9473416563114823</v>
      </c>
      <c r="IV25" s="5">
        <f t="shared" si="232"/>
        <v>-0.70080000000000009</v>
      </c>
      <c r="IW25" s="5">
        <f t="shared" si="76"/>
        <v>0.26600000000000001</v>
      </c>
      <c r="IX25" s="5">
        <f t="shared" si="233"/>
        <v>0.24848552934800811</v>
      </c>
      <c r="IY25" s="762">
        <f t="shared" si="234"/>
        <v>66.668879107563569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4.1059903885049067</v>
      </c>
      <c r="C26" s="708">
        <v>0.58906978666776777</v>
      </c>
      <c r="D26" s="709">
        <v>-1.4661999999999999</v>
      </c>
      <c r="E26" s="710">
        <v>0.26270408655056265</v>
      </c>
      <c r="F26" s="708">
        <v>0.9647288294650842</v>
      </c>
      <c r="G26" s="711">
        <v>-1.6877455630608412E-2</v>
      </c>
      <c r="H26" s="710">
        <v>0.26600000000000001</v>
      </c>
      <c r="I26" s="708">
        <v>0.52</v>
      </c>
      <c r="J26" s="570">
        <v>2.2189999999999999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2.2189999999999999</v>
      </c>
      <c r="N26" s="632">
        <f t="shared" si="2"/>
        <v>4.1059903885049067</v>
      </c>
      <c r="O26" s="629">
        <f t="shared" si="3"/>
        <v>0.58906978666776777</v>
      </c>
      <c r="P26" s="633">
        <f t="shared" si="4"/>
        <v>-1.4661999999999999</v>
      </c>
      <c r="Q26" s="585">
        <f t="shared" si="113"/>
        <v>8.16428353161084</v>
      </c>
      <c r="R26" s="629">
        <f>IF(M26="","",SQRT(N26^2+O26^2))</f>
        <v>4.1480308923704374</v>
      </c>
      <c r="S26" s="634">
        <f>IF(M26="","",P26)</f>
        <v>-1.4661999999999999</v>
      </c>
      <c r="T26" s="635">
        <f>IF(M26="","",X26*COS(RADIANS(W26)))</f>
        <v>0.55414271301868989</v>
      </c>
      <c r="U26" s="629">
        <f>IF(M26="","",X26*SIN(RADIANS(W26)))</f>
        <v>-4.1108498072378872</v>
      </c>
      <c r="V26" s="636">
        <f>IF(M26="","",Y26)</f>
        <v>-1.4661999999999999</v>
      </c>
      <c r="W26" s="585">
        <f t="shared" si="224"/>
        <v>277.67719559737787</v>
      </c>
      <c r="X26" s="629">
        <f>IF(M26="","",R26)</f>
        <v>4.1480308923704374</v>
      </c>
      <c r="Y26" s="630">
        <f t="shared" si="223"/>
        <v>-1.4661999999999999</v>
      </c>
      <c r="Z26" s="632">
        <f t="shared" si="6"/>
        <v>-0.26270408655056265</v>
      </c>
      <c r="AA26" s="629">
        <f t="shared" si="7"/>
        <v>-0.9647288294650842</v>
      </c>
      <c r="AB26" s="629">
        <f t="shared" si="8"/>
        <v>1.6877455630608412E-2</v>
      </c>
      <c r="AC26" s="636">
        <f>IF(M26="","",SQRT(Z26^2+AA26^2+AB26^2))</f>
        <v>1</v>
      </c>
      <c r="AD26" s="637">
        <f>IF(M26="","",Z26*(1/SQRT(Z26^2+AA26^2+AB26^2)))</f>
        <v>-0.26270408655056265</v>
      </c>
      <c r="AE26" s="629">
        <f>IF(M26="","",AA26*(1/SQRT(Z26^2+AA26^2+AB26^2)))</f>
        <v>-0.9647288294650842</v>
      </c>
      <c r="AF26" s="633">
        <f>IF(M26="","",AB26*(1/SQRT(Z26^2+AA26^2+AB26^2)))</f>
        <v>1.6877455630608412E-2</v>
      </c>
      <c r="AG26" s="602">
        <f>IF(M26="","",DEGREES(ATAN2(-AF26,AE26)))</f>
        <v>-91.002259196361493</v>
      </c>
      <c r="AH26" s="603">
        <f>IF(M26="","",DEGREES(ACOS(AD26)))</f>
        <v>105.23057376778834</v>
      </c>
      <c r="AI26" s="585">
        <f>IF(M26="","",DEGREES(-ACOS(-AF26)))</f>
        <v>-90.967052890854632</v>
      </c>
      <c r="AJ26" s="586">
        <f>IF(M26="","",DEGREES(ATAN2(-AE26,AD26)))</f>
        <v>-15.232796037644114</v>
      </c>
      <c r="AK26" s="635">
        <f>IF(M26="","",(COS(RADIANS((90-$Q$8)-W26))*AD26)+(-SIN(RADIANS((90-$Q$8)-W26))*AE26))</f>
        <v>0.91764414485855406</v>
      </c>
      <c r="AL26" s="629">
        <f>IF(M26="","",(SIN(RADIANS((90-$Q$8)-W26))*AD26)+(COS(RADIANS((90-$Q$8)-W26))*AE26))</f>
        <v>-0.39704455026892171</v>
      </c>
      <c r="AM26" s="634">
        <f>IF(M26="","",AF26)</f>
        <v>1.6877455630608412E-2</v>
      </c>
      <c r="AN26" s="581">
        <f>IF(M26="","",DEGREES(ATAN2(-AM26,AL26)))</f>
        <v>-92.434047203029891</v>
      </c>
      <c r="AO26" s="582">
        <f t="shared" si="94"/>
        <v>23.415933741327482</v>
      </c>
      <c r="AP26" s="585">
        <f>IF(M26="","",DEGREES(ATAN2(AK26,AL26)))</f>
        <v>-23.397079569254956</v>
      </c>
      <c r="AQ26" s="586">
        <f t="shared" si="9"/>
        <v>0.54957563613679017</v>
      </c>
      <c r="AS26" s="52">
        <f t="shared" si="116"/>
        <v>-82.322804402622126</v>
      </c>
      <c r="AT26" s="72">
        <f t="shared" si="10"/>
        <v>-1.4061794828962841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2.2189999999999999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I26" s="734" cm="1">
        <f t="array" ref="II26">IFERROR(ROUND(VALUE(IF($IH26&lt;1,$IH26+LARGE((IF($M$9:$M$150="",0,$M$9:$M$150)-MOD(IF($M$9:$M$150="",0,$M$9:$M$150),1)),1),$IH26)),4),"")</f>
        <v>1.119</v>
      </c>
      <c r="IJ26" s="533">
        <f t="shared" si="112"/>
        <v>1613</v>
      </c>
      <c r="IK26" s="533">
        <f t="shared" si="66"/>
        <v>1313</v>
      </c>
      <c r="IL26" s="727">
        <f t="shared" si="225"/>
        <v>80.000899984348791</v>
      </c>
      <c r="IM26" s="759">
        <v>4.4040812176482098E-2</v>
      </c>
      <c r="IN26" s="5">
        <f t="shared" si="226"/>
        <v>0.26</v>
      </c>
      <c r="IO26" s="771">
        <v>130</v>
      </c>
      <c r="IP26" s="9">
        <f t="shared" si="227"/>
        <v>-4.1480267401915345</v>
      </c>
      <c r="IQ26" s="5">
        <f t="shared" si="228"/>
        <v>-1.4662000000000004</v>
      </c>
      <c r="IR26" s="5">
        <f t="shared" si="71"/>
        <v>0.314</v>
      </c>
      <c r="IS26" s="5">
        <f t="shared" si="229"/>
        <v>0.28813830314107503</v>
      </c>
      <c r="IT26" s="727">
        <f t="shared" si="230"/>
        <v>92.433958948599454</v>
      </c>
      <c r="IU26" s="9">
        <f t="shared" si="231"/>
        <v>-4.1480308923704374</v>
      </c>
      <c r="IV26" s="5">
        <f t="shared" si="232"/>
        <v>-1.4661999999999999</v>
      </c>
      <c r="IW26" s="5">
        <f t="shared" si="76"/>
        <v>0.26600000000000001</v>
      </c>
      <c r="IX26" s="5">
        <f t="shared" si="233"/>
        <v>0.24409334253237538</v>
      </c>
      <c r="IY26" s="762">
        <f t="shared" si="234"/>
        <v>92.434047203029891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0.69773445706890036</v>
      </c>
      <c r="C27" s="708">
        <v>-0.37580209658609931</v>
      </c>
      <c r="D27" s="709">
        <v>-0.45320000000000016</v>
      </c>
      <c r="E27" s="710">
        <v>0.48296291314453466</v>
      </c>
      <c r="F27" s="708">
        <v>0.83651630373780772</v>
      </c>
      <c r="G27" s="711">
        <v>0.25881904510252079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0.69773445706890036</v>
      </c>
      <c r="O27" s="629">
        <f t="shared" si="3"/>
        <v>-0.37580209658609931</v>
      </c>
      <c r="P27" s="633">
        <f t="shared" si="4"/>
        <v>-0.45320000000000016</v>
      </c>
      <c r="Q27" s="585">
        <f t="shared" si="113"/>
        <v>331.69294694619623</v>
      </c>
      <c r="R27" s="629">
        <f t="shared" si="79"/>
        <v>0.79250273714337482</v>
      </c>
      <c r="S27" s="634">
        <f t="shared" si="80"/>
        <v>-0.45320000000000016</v>
      </c>
      <c r="T27" s="635">
        <f t="shared" si="81"/>
        <v>-0.3817200869596602</v>
      </c>
      <c r="U27" s="629">
        <f t="shared" si="82"/>
        <v>-0.69451448047628972</v>
      </c>
      <c r="V27" s="636">
        <f t="shared" si="114"/>
        <v>-0.45320000000000016</v>
      </c>
      <c r="W27" s="585">
        <f t="shared" si="224"/>
        <v>241.20585901196324</v>
      </c>
      <c r="X27" s="629">
        <f t="shared" si="83"/>
        <v>0.79250273714337482</v>
      </c>
      <c r="Y27" s="630">
        <f t="shared" si="223"/>
        <v>-0.45320000000000016</v>
      </c>
      <c r="Z27" s="632">
        <f t="shared" si="6"/>
        <v>-0.48296291314453466</v>
      </c>
      <c r="AA27" s="629">
        <f t="shared" si="7"/>
        <v>-0.83651630373780772</v>
      </c>
      <c r="AB27" s="629">
        <f t="shared" si="8"/>
        <v>-0.25881904510252079</v>
      </c>
      <c r="AC27" s="636">
        <f t="shared" si="84"/>
        <v>1</v>
      </c>
      <c r="AD27" s="637">
        <f t="shared" si="115"/>
        <v>-0.48296291314453466</v>
      </c>
      <c r="AE27" s="629">
        <f t="shared" si="85"/>
        <v>-0.83651630373780772</v>
      </c>
      <c r="AF27" s="633">
        <f t="shared" si="86"/>
        <v>-0.25881904510252079</v>
      </c>
      <c r="AG27" s="602">
        <f t="shared" si="87"/>
        <v>-72.807876265979019</v>
      </c>
      <c r="AH27" s="603">
        <f t="shared" si="88"/>
        <v>118.87909401742762</v>
      </c>
      <c r="AI27" s="585">
        <f t="shared" si="89"/>
        <v>-74.999999999999986</v>
      </c>
      <c r="AJ27" s="586">
        <f t="shared" si="90"/>
        <v>-30.000000000000036</v>
      </c>
      <c r="AK27" s="635">
        <f t="shared" si="211"/>
        <v>0.96550420394623804</v>
      </c>
      <c r="AL27" s="629">
        <f t="shared" si="91"/>
        <v>-2.8536538934504918E-2</v>
      </c>
      <c r="AM27" s="634">
        <f t="shared" si="92"/>
        <v>-0.25881904510252079</v>
      </c>
      <c r="AN27" s="581">
        <f t="shared" si="93"/>
        <v>-6.2918311941635174</v>
      </c>
      <c r="AO27" s="582">
        <f t="shared" si="94"/>
        <v>15.09305420865018</v>
      </c>
      <c r="AP27" s="585">
        <f t="shared" si="95"/>
        <v>-1.6929469461962356</v>
      </c>
      <c r="AQ27" s="586">
        <f t="shared" si="9"/>
        <v>2.8742033628129224</v>
      </c>
      <c r="AS27" s="52">
        <f t="shared" si="116"/>
        <v>-118.79414098803676</v>
      </c>
      <c r="AT27" s="72">
        <f t="shared" si="10"/>
        <v>-0.36785216582307978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1.344286824268762</v>
      </c>
      <c r="C28" s="708">
        <v>-0.75774054684201075</v>
      </c>
      <c r="D28" s="709">
        <v>-0.25873866548068325</v>
      </c>
      <c r="E28" s="710">
        <v>0.48296291314453466</v>
      </c>
      <c r="F28" s="708">
        <v>0.83651630373780761</v>
      </c>
      <c r="G28" s="711">
        <v>0.25881904510252074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3.1059999999999999</v>
      </c>
      <c r="N28" s="632">
        <f t="shared" si="2"/>
        <v>1.344286824268762</v>
      </c>
      <c r="O28" s="629">
        <f t="shared" si="3"/>
        <v>-0.75774054684201075</v>
      </c>
      <c r="P28" s="633">
        <f t="shared" si="4"/>
        <v>-0.25873866548068325</v>
      </c>
      <c r="Q28" s="585">
        <f t="shared" si="113"/>
        <v>330.59114161187023</v>
      </c>
      <c r="R28" s="629">
        <f t="shared" si="79"/>
        <v>1.5431389445643005</v>
      </c>
      <c r="S28" s="634">
        <f t="shared" si="80"/>
        <v>-0.25873866548068325</v>
      </c>
      <c r="T28" s="635">
        <f t="shared" si="81"/>
        <v>-0.76914119739194997</v>
      </c>
      <c r="U28" s="629">
        <f t="shared" si="82"/>
        <v>-1.3377965543031947</v>
      </c>
      <c r="V28" s="636">
        <f t="shared" si="114"/>
        <v>-0.25873866548068325</v>
      </c>
      <c r="W28" s="585">
        <f t="shared" si="224"/>
        <v>240.10405367763724</v>
      </c>
      <c r="X28" s="629">
        <f t="shared" si="83"/>
        <v>1.5431389445643005</v>
      </c>
      <c r="Y28" s="630">
        <f t="shared" si="223"/>
        <v>-0.25873866548068325</v>
      </c>
      <c r="Z28" s="632">
        <f t="shared" si="6"/>
        <v>-0.48296291314453466</v>
      </c>
      <c r="AA28" s="629">
        <f t="shared" si="7"/>
        <v>-0.83651630373780761</v>
      </c>
      <c r="AB28" s="629">
        <f t="shared" si="8"/>
        <v>-0.25881904510252074</v>
      </c>
      <c r="AC28" s="636">
        <f t="shared" si="84"/>
        <v>1</v>
      </c>
      <c r="AD28" s="637">
        <f t="shared" si="115"/>
        <v>-0.48296291314453466</v>
      </c>
      <c r="AE28" s="629">
        <f t="shared" si="85"/>
        <v>-0.83651630373780761</v>
      </c>
      <c r="AF28" s="633">
        <f t="shared" si="86"/>
        <v>-0.25881904510252074</v>
      </c>
      <c r="AG28" s="602">
        <f t="shared" si="87"/>
        <v>-72.807876265979019</v>
      </c>
      <c r="AH28" s="603">
        <f t="shared" si="88"/>
        <v>118.87909401742762</v>
      </c>
      <c r="AI28" s="585">
        <f t="shared" si="89"/>
        <v>-75</v>
      </c>
      <c r="AJ28" s="586">
        <f t="shared" si="90"/>
        <v>-30.000000000000036</v>
      </c>
      <c r="AK28" s="635">
        <f t="shared" si="211"/>
        <v>0.96587441627436987</v>
      </c>
      <c r="AL28" s="629">
        <f t="shared" si="91"/>
        <v>-9.9656348952135154E-3</v>
      </c>
      <c r="AM28" s="634">
        <f t="shared" si="92"/>
        <v>-0.25881904510252074</v>
      </c>
      <c r="AN28" s="581">
        <f t="shared" si="93"/>
        <v>-2.2050421047655848</v>
      </c>
      <c r="AO28" s="582">
        <f t="shared" si="94"/>
        <v>15.011376619919728</v>
      </c>
      <c r="AP28" s="585">
        <f t="shared" si="95"/>
        <v>-0.59114161187025671</v>
      </c>
      <c r="AQ28" s="586">
        <f t="shared" si="9"/>
        <v>1.4770035009801963</v>
      </c>
      <c r="AS28" s="52">
        <f t="shared" si="116"/>
        <v>-119.89594632236276</v>
      </c>
      <c r="AT28" s="72">
        <f t="shared" si="10"/>
        <v>-0.17262568871048092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1.9979849983108564</v>
      </c>
      <c r="C29" s="708">
        <v>-1.1265020965861001</v>
      </c>
      <c r="D29" s="709">
        <v>-0.1203000000000001</v>
      </c>
      <c r="E29" s="710">
        <v>0.4829629131445346</v>
      </c>
      <c r="F29" s="708">
        <v>0.83651630373780772</v>
      </c>
      <c r="G29" s="711">
        <v>0.25881904510252079</v>
      </c>
      <c r="H29" s="710">
        <v>0.314</v>
      </c>
      <c r="I29" s="708">
        <v>0.52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3.109</v>
      </c>
      <c r="N29" s="632">
        <f t="shared" si="2"/>
        <v>1.9979849983108564</v>
      </c>
      <c r="O29" s="629">
        <f t="shared" si="3"/>
        <v>-1.1265020965861001</v>
      </c>
      <c r="P29" s="633">
        <f t="shared" si="4"/>
        <v>-0.1203000000000001</v>
      </c>
      <c r="Q29" s="585">
        <f t="shared" si="113"/>
        <v>330.58486594750667</v>
      </c>
      <c r="R29" s="629">
        <f>IF(M29="","",SQRT(N29^2+O29^2))</f>
        <v>2.2936763126230586</v>
      </c>
      <c r="S29" s="634">
        <f>IF(M29="","",P29)</f>
        <v>-0.1203000000000001</v>
      </c>
      <c r="T29" s="635">
        <f>IF(M29="","",X29*COS(RADIANS(W29)))</f>
        <v>-1.1434466313010216</v>
      </c>
      <c r="U29" s="629">
        <f>IF(M29="","",X29*SIN(RADIANS(W29)))</f>
        <v>-1.9883361960328683</v>
      </c>
      <c r="V29" s="636">
        <f>IF(M29="","",Y29)</f>
        <v>-0.1203000000000001</v>
      </c>
      <c r="W29" s="585">
        <f t="shared" si="224"/>
        <v>240.09777801327368</v>
      </c>
      <c r="X29" s="629">
        <f>IF(M29="","",R29)</f>
        <v>2.2936763126230586</v>
      </c>
      <c r="Y29" s="630">
        <f t="shared" si="223"/>
        <v>-0.1203000000000001</v>
      </c>
      <c r="Z29" s="632">
        <f t="shared" si="6"/>
        <v>-0.4829629131445346</v>
      </c>
      <c r="AA29" s="629">
        <f t="shared" si="7"/>
        <v>-0.83651630373780772</v>
      </c>
      <c r="AB29" s="629">
        <f t="shared" si="8"/>
        <v>-0.25881904510252079</v>
      </c>
      <c r="AC29" s="636">
        <f>IF(M29="","",SQRT(Z29^2+AA29^2+AB29^2))</f>
        <v>1</v>
      </c>
      <c r="AD29" s="637">
        <f>IF(M29="","",Z29*(1/SQRT(Z29^2+AA29^2+AB29^2)))</f>
        <v>-0.4829629131445346</v>
      </c>
      <c r="AE29" s="629">
        <f>IF(M29="","",AA29*(1/SQRT(Z29^2+AA29^2+AB29^2)))</f>
        <v>-0.83651630373780772</v>
      </c>
      <c r="AF29" s="633">
        <f>IF(M29="","",AB29*(1/SQRT(Z29^2+AA29^2+AB29^2)))</f>
        <v>-0.25881904510252079</v>
      </c>
      <c r="AG29" s="602">
        <f>IF(M29="","",DEGREES(ATAN2(-AF29,AE29)))</f>
        <v>-72.807876265979019</v>
      </c>
      <c r="AH29" s="603">
        <f>IF(M29="","",DEGREES(ACOS(AD29)))</f>
        <v>118.87909401742762</v>
      </c>
      <c r="AI29" s="585">
        <f>IF(M29="","",DEGREES(-ACOS(-AF29)))</f>
        <v>-74.999999999999986</v>
      </c>
      <c r="AJ29" s="586">
        <f>IF(M29="","",DEGREES(ATAN2(-AE29,AD29)))</f>
        <v>-30.000000000000028</v>
      </c>
      <c r="AK29" s="635">
        <f>IF(M29="","",(COS(RADIANS((90-$Q$8)-W29))*AD29)+(-SIN(RADIANS((90-$Q$8)-W29))*AE29))</f>
        <v>0.96587550202656458</v>
      </c>
      <c r="AL29" s="629">
        <f>IF(M29="","",(SIN(RADIANS((90-$Q$8)-W29))*AD29)+(COS(RADIANS((90-$Q$8)-W29))*AE29))</f>
        <v>-9.8598416392635668E-3</v>
      </c>
      <c r="AM29" s="634">
        <f>IF(M29="","",AF29)</f>
        <v>-0.25881904510252079</v>
      </c>
      <c r="AN29" s="581">
        <f>IF(M29="","",DEGREES(ATAN2(-AM29,AL29)))</f>
        <v>-2.1816565440302735</v>
      </c>
      <c r="AO29" s="582">
        <f t="shared" si="94"/>
        <v>15.01113643882886</v>
      </c>
      <c r="AP29" s="585">
        <f>IF(M29="","",DEGREES(ATAN2(AK29,AL29)))</f>
        <v>-0.58486594750667209</v>
      </c>
      <c r="AQ29" s="586">
        <f t="shared" si="9"/>
        <v>0.99381852020329375</v>
      </c>
      <c r="AS29" s="52">
        <f t="shared" si="116"/>
        <v>-119.90222198672632</v>
      </c>
      <c r="AT29" s="72">
        <f t="shared" si="10"/>
        <v>-3.4182665129545306E-2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110</v>
      </c>
    </row>
    <row r="30" spans="1:269" ht="15" customHeight="1" x14ac:dyDescent="0.25">
      <c r="A30" s="79"/>
      <c r="B30" s="707">
        <v>2.6637714158030961</v>
      </c>
      <c r="C30" s="708">
        <v>-1.5335261945002754</v>
      </c>
      <c r="D30" s="709">
        <v>-0.10510000000000003</v>
      </c>
      <c r="E30" s="710">
        <v>0.58781782903129365</v>
      </c>
      <c r="F30" s="708">
        <v>0.77193518526506077</v>
      </c>
      <c r="G30" s="711">
        <v>0.24204600724393938</v>
      </c>
      <c r="H30" s="710">
        <v>0.314</v>
      </c>
      <c r="I30" s="708">
        <v>0.52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3.1120000000000001</v>
      </c>
      <c r="N30" s="632">
        <f t="shared" si="2"/>
        <v>2.6637714158030961</v>
      </c>
      <c r="O30" s="629">
        <f t="shared" si="3"/>
        <v>-1.5335261945002754</v>
      </c>
      <c r="P30" s="633">
        <f t="shared" si="4"/>
        <v>-0.10510000000000003</v>
      </c>
      <c r="Q30" s="585">
        <f t="shared" si="113"/>
        <v>330.07107900962058</v>
      </c>
      <c r="R30" s="629">
        <f>IF(M30="","",SQRT(N30^2+O30^2))</f>
        <v>3.0736591783846379</v>
      </c>
      <c r="S30" s="634">
        <f>IF(M30="","",P30)</f>
        <v>-0.10510000000000003</v>
      </c>
      <c r="T30" s="635">
        <f>IF(M30="","",X30*COS(RADIANS(W30)))</f>
        <v>-1.5561159951385128</v>
      </c>
      <c r="U30" s="629">
        <f>IF(M30="","",X30*SIN(RADIANS(W30)))</f>
        <v>-2.6506383673640213</v>
      </c>
      <c r="V30" s="636">
        <f>IF(M30="","",Y30)</f>
        <v>-0.10510000000000003</v>
      </c>
      <c r="W30" s="585">
        <f t="shared" si="224"/>
        <v>239.58399107538759</v>
      </c>
      <c r="X30" s="629">
        <f>IF(M30="","",R30)</f>
        <v>3.0736591783846379</v>
      </c>
      <c r="Y30" s="630">
        <f t="shared" si="223"/>
        <v>-0.10510000000000003</v>
      </c>
      <c r="Z30" s="632">
        <f t="shared" si="6"/>
        <v>-0.58781782903129365</v>
      </c>
      <c r="AA30" s="629">
        <f t="shared" si="7"/>
        <v>-0.77193518526506077</v>
      </c>
      <c r="AB30" s="629">
        <f t="shared" si="8"/>
        <v>-0.24204600724393938</v>
      </c>
      <c r="AC30" s="636">
        <f>IF(M30="","",SQRT(Z30^2+AA30^2+AB30^2))</f>
        <v>1</v>
      </c>
      <c r="AD30" s="637">
        <f>IF(M30="","",Z30*(1/SQRT(Z30^2+AA30^2+AB30^2)))</f>
        <v>-0.58781782903129365</v>
      </c>
      <c r="AE30" s="629">
        <f>IF(M30="","",AA30*(1/SQRT(Z30^2+AA30^2+AB30^2)))</f>
        <v>-0.77193518526506077</v>
      </c>
      <c r="AF30" s="633">
        <f>IF(M30="","",AB30*(1/SQRT(Z30^2+AA30^2+AB30^2)))</f>
        <v>-0.24204600724393938</v>
      </c>
      <c r="AG30" s="602">
        <f>IF(M30="","",DEGREES(ATAN2(-AF30,AE30)))</f>
        <v>-72.59079633110656</v>
      </c>
      <c r="AH30" s="603">
        <f>IF(M30="","",DEGREES(ACOS(AD30)))</f>
        <v>126.00230716655156</v>
      </c>
      <c r="AI30" s="585">
        <f>IF(M30="","",DEGREES(-ACOS(-AF30)))</f>
        <v>-75.992671113941654</v>
      </c>
      <c r="AJ30" s="586">
        <f>IF(M30="","",DEGREES(ATAN2(-AE30,AD30)))</f>
        <v>-37.288764029621532</v>
      </c>
      <c r="AK30" s="635">
        <f>IF(M30="","",(COS(RADIANS((90-$Q$8)-W30))*AD30)+(-SIN(RADIANS((90-$Q$8)-W30))*AE30))</f>
        <v>0.96227094421377113</v>
      </c>
      <c r="AL30" s="629">
        <f>IF(M30="","",(SIN(RADIANS((90-$Q$8)-W30))*AD30)+(COS(RADIANS((90-$Q$8)-W30))*AE30))</f>
        <v>-0.12429143292763251</v>
      </c>
      <c r="AM30" s="634">
        <f>IF(M30="","",AF30)</f>
        <v>-0.24204600724393938</v>
      </c>
      <c r="AN30" s="581">
        <f>IF(M30="","",DEGREES(ATAN2(-AM30,AL30)))</f>
        <v>-27.180649775805538</v>
      </c>
      <c r="AO30" s="582">
        <f>IF(ROUND(IF(M30="",0,DEGREES(ACOS(AK30))),4)=90,0,IF(M30="","",DEGREES(ACOS(AK30))))</f>
        <v>15.788853785704934</v>
      </c>
      <c r="AP30" s="585">
        <f>IF(M30="","",DEGREES(ATAN2(AK30,AL30)))</f>
        <v>-7.3598430392421061</v>
      </c>
      <c r="AQ30" s="586">
        <f t="shared" si="9"/>
        <v>0.74165649827507596</v>
      </c>
      <c r="AS30" s="52">
        <f t="shared" si="116"/>
        <v>-120.41600892461241</v>
      </c>
      <c r="AT30" s="72">
        <f t="shared" si="10"/>
        <v>-1.8625868644902108E-2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3.2265828273216064</v>
      </c>
      <c r="C31" s="708">
        <v>-1.9531082346706603</v>
      </c>
      <c r="D31" s="709">
        <v>-0.49400000000000038</v>
      </c>
      <c r="E31" s="710">
        <v>0.7263686440956898</v>
      </c>
      <c r="F31" s="708">
        <v>0.66722614080735021</v>
      </c>
      <c r="G31" s="711">
        <v>0.16491776707777556</v>
      </c>
      <c r="H31" s="710">
        <v>0.314</v>
      </c>
      <c r="I31" s="708">
        <v>0.52</v>
      </c>
      <c r="J31" s="570">
        <v>3.1150000000000002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3.1150000000000002</v>
      </c>
      <c r="N31" s="632">
        <f t="shared" si="2"/>
        <v>3.2265828273216064</v>
      </c>
      <c r="O31" s="629">
        <f t="shared" si="3"/>
        <v>-1.9531082346706603</v>
      </c>
      <c r="P31" s="633">
        <f t="shared" si="4"/>
        <v>-0.49400000000000038</v>
      </c>
      <c r="Q31" s="585">
        <f t="shared" si="113"/>
        <v>328.81273124480765</v>
      </c>
      <c r="R31" s="629">
        <f>IF(M31="","",SQRT(N31^2+O31^2))</f>
        <v>3.7716665438377546</v>
      </c>
      <c r="S31" s="634">
        <f>IF(M31="","",P31)</f>
        <v>-0.49400000000000038</v>
      </c>
      <c r="T31" s="635">
        <f>IF(M31="","",X31*COS(RADIANS(W31)))</f>
        <v>-1.9804674377833511</v>
      </c>
      <c r="U31" s="629">
        <f>IF(M31="","",X31*SIN(RADIANS(W31)))</f>
        <v>-3.2098624963983862</v>
      </c>
      <c r="V31" s="636">
        <f>IF(M31="","",Y31)</f>
        <v>-0.49400000000000038</v>
      </c>
      <c r="W31" s="585">
        <f t="shared" si="224"/>
        <v>238.32564331057466</v>
      </c>
      <c r="X31" s="629">
        <f>IF(M31="","",R31)</f>
        <v>3.7716665438377546</v>
      </c>
      <c r="Y31" s="630">
        <f t="shared" si="223"/>
        <v>-0.49400000000000038</v>
      </c>
      <c r="Z31" s="632">
        <f t="shared" si="6"/>
        <v>-0.7263686440956898</v>
      </c>
      <c r="AA31" s="629">
        <f t="shared" si="7"/>
        <v>-0.66722614080735021</v>
      </c>
      <c r="AB31" s="629">
        <f t="shared" si="8"/>
        <v>-0.16491776707777556</v>
      </c>
      <c r="AC31" s="636">
        <f>IF(M31="","",SQRT(Z31^2+AA31^2+AB31^2))</f>
        <v>1</v>
      </c>
      <c r="AD31" s="637">
        <f>IF(M31="","",Z31*(1/SQRT(Z31^2+AA31^2+AB31^2)))</f>
        <v>-0.7263686440956898</v>
      </c>
      <c r="AE31" s="629">
        <f>IF(M31="","",AA31*(1/SQRT(Z31^2+AA31^2+AB31^2)))</f>
        <v>-0.66722614080735021</v>
      </c>
      <c r="AF31" s="633">
        <f>IF(M31="","",AB31*(1/SQRT(Z31^2+AA31^2+AB31^2)))</f>
        <v>-0.16491776707777556</v>
      </c>
      <c r="AG31" s="602">
        <f>IF(M31="","",DEGREES(ATAN2(-AF31,AE31)))</f>
        <v>-76.116508783948788</v>
      </c>
      <c r="AH31" s="603">
        <f>IF(M31="","",DEGREES(ACOS(AD31)))</f>
        <v>136.58282227594643</v>
      </c>
      <c r="AI31" s="585">
        <f>IF(M31="","",DEGREES(-ACOS(-AF31)))</f>
        <v>-80.507542574227315</v>
      </c>
      <c r="AJ31" s="586">
        <f>IF(M31="","",DEGREES(ATAN2(-AE31,AD31)))</f>
        <v>-47.430106442806505</v>
      </c>
      <c r="AK31" s="635">
        <f>IF(M31="","",(COS(RADIANS((90-$Q$8)-W31))*AD31)+(-SIN(RADIANS((90-$Q$8)-W31))*AE31))</f>
        <v>0.94693869316050416</v>
      </c>
      <c r="AL31" s="629">
        <f>IF(M31="","",(SIN(RADIANS((90-$Q$8)-W31))*AD31)+(COS(RADIANS((90-$Q$8)-W31))*AE31))</f>
        <v>-0.27587903417541065</v>
      </c>
      <c r="AM31" s="634">
        <f>IF(M31="","",AF31)</f>
        <v>-0.16491776707777556</v>
      </c>
      <c r="AN31" s="581">
        <f>IF(M31="","",DEGREES(ATAN2(-AM31,AL31)))</f>
        <v>-59.129433890343307</v>
      </c>
      <c r="AO31" s="582">
        <f t="shared" si="94"/>
        <v>18.748473488188285</v>
      </c>
      <c r="AP31" s="585">
        <f>IF(M31="","",DEGREES(ATAN2(AK31,AL31)))</f>
        <v>-16.242837687614138</v>
      </c>
      <c r="AQ31" s="586">
        <f t="shared" si="9"/>
        <v>0.6044124106199229</v>
      </c>
      <c r="AS31" s="52">
        <f t="shared" si="116"/>
        <v>-121.67435668942534</v>
      </c>
      <c r="AT31" s="72">
        <f t="shared" si="10"/>
        <v>-0.40665201603044904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3.5239988537407716</v>
      </c>
      <c r="C32" s="708">
        <v>-2.1879685659274188</v>
      </c>
      <c r="D32" s="709">
        <v>-1.1948000000000005</v>
      </c>
      <c r="E32" s="710">
        <v>0.79903012164772114</v>
      </c>
      <c r="F32" s="708">
        <v>0.6009291289757821</v>
      </c>
      <c r="G32" s="711">
        <v>2.0857771885700177E-2</v>
      </c>
      <c r="H32" s="710">
        <v>0.314</v>
      </c>
      <c r="I32" s="708">
        <v>0.52</v>
      </c>
      <c r="J32" s="570">
        <v>3.1179999999999999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3.1179999999999999</v>
      </c>
      <c r="N32" s="632">
        <f t="shared" si="2"/>
        <v>3.5239988537407716</v>
      </c>
      <c r="O32" s="629">
        <f t="shared" si="3"/>
        <v>-2.1879685659274188</v>
      </c>
      <c r="P32" s="633">
        <f t="shared" si="4"/>
        <v>-1.1948000000000005</v>
      </c>
      <c r="Q32" s="585">
        <f t="shared" si="113"/>
        <v>328.16482018254521</v>
      </c>
      <c r="R32" s="629">
        <f t="shared" si="79"/>
        <v>4.1479843739643902</v>
      </c>
      <c r="S32" s="634">
        <f t="shared" si="80"/>
        <v>-1.1948000000000005</v>
      </c>
      <c r="T32" s="635">
        <f t="shared" si="81"/>
        <v>-2.2178476710900306</v>
      </c>
      <c r="U32" s="629">
        <f t="shared" si="82"/>
        <v>-3.5052711841586928</v>
      </c>
      <c r="V32" s="636">
        <f t="shared" si="114"/>
        <v>-1.1948000000000005</v>
      </c>
      <c r="W32" s="585">
        <f t="shared" si="224"/>
        <v>237.67773224831222</v>
      </c>
      <c r="X32" s="629">
        <f t="shared" si="83"/>
        <v>4.1479843739643902</v>
      </c>
      <c r="Y32" s="630">
        <f t="shared" si="223"/>
        <v>-1.1948000000000005</v>
      </c>
      <c r="Z32" s="632">
        <f t="shared" si="6"/>
        <v>-0.79903012164772114</v>
      </c>
      <c r="AA32" s="629">
        <f t="shared" si="7"/>
        <v>-0.6009291289757821</v>
      </c>
      <c r="AB32" s="629">
        <f t="shared" si="8"/>
        <v>-2.0857771885700177E-2</v>
      </c>
      <c r="AC32" s="636">
        <f t="shared" si="84"/>
        <v>1</v>
      </c>
      <c r="AD32" s="637">
        <f t="shared" si="115"/>
        <v>-0.79903012164772114</v>
      </c>
      <c r="AE32" s="629">
        <f t="shared" si="85"/>
        <v>-0.6009291289757821</v>
      </c>
      <c r="AF32" s="633">
        <f t="shared" si="86"/>
        <v>-2.0857771885700177E-2</v>
      </c>
      <c r="AG32" s="602">
        <f t="shared" si="87"/>
        <v>-88.012107119769183</v>
      </c>
      <c r="AH32" s="603">
        <f t="shared" si="88"/>
        <v>143.03758534665531</v>
      </c>
      <c r="AI32" s="585">
        <f t="shared" si="89"/>
        <v>-88.804851032626644</v>
      </c>
      <c r="AJ32" s="586">
        <f t="shared" si="90"/>
        <v>-53.054155713073627</v>
      </c>
      <c r="AK32" s="635">
        <f t="shared" si="211"/>
        <v>0.93200118480428462</v>
      </c>
      <c r="AL32" s="629">
        <f t="shared" si="91"/>
        <v>-0.36185459078941362</v>
      </c>
      <c r="AM32" s="634">
        <f t="shared" si="92"/>
        <v>-2.0857771885700177E-2</v>
      </c>
      <c r="AN32" s="581">
        <f t="shared" si="93"/>
        <v>-86.701046712918199</v>
      </c>
      <c r="AO32" s="582">
        <f t="shared" si="94"/>
        <v>21.251056686343947</v>
      </c>
      <c r="AP32" s="585">
        <f t="shared" si="95"/>
        <v>-21.218975895618851</v>
      </c>
      <c r="AQ32" s="586">
        <f t="shared" si="9"/>
        <v>0.54958179908539462</v>
      </c>
      <c r="AS32" s="52">
        <f t="shared" si="116"/>
        <v>-122.32226775168778</v>
      </c>
      <c r="AT32" s="72">
        <f t="shared" si="10"/>
        <v>-1.1070020777927669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3.1179999999999999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3.5408998661911868</v>
      </c>
      <c r="C33" s="708">
        <v>-2.2698951536639473</v>
      </c>
      <c r="D33" s="709">
        <v>-1.8568</v>
      </c>
      <c r="E33" s="710">
        <v>0.88390100891530987</v>
      </c>
      <c r="F33" s="708">
        <v>0.46738952107397586</v>
      </c>
      <c r="G33" s="711">
        <v>1.6310794853006433E-2</v>
      </c>
      <c r="H33" s="710">
        <v>0.26600000000000001</v>
      </c>
      <c r="I33" s="708">
        <v>0.52</v>
      </c>
      <c r="J33" s="570">
        <v>3.121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3.121</v>
      </c>
      <c r="N33" s="632">
        <f t="shared" si="2"/>
        <v>3.5408998661911868</v>
      </c>
      <c r="O33" s="629">
        <f t="shared" si="3"/>
        <v>-2.2698951536639473</v>
      </c>
      <c r="P33" s="633">
        <f t="shared" si="4"/>
        <v>-1.8568</v>
      </c>
      <c r="Q33" s="585">
        <f t="shared" si="113"/>
        <v>327.33808325102086</v>
      </c>
      <c r="R33" s="629">
        <f t="shared" si="79"/>
        <v>4.2059952295526726</v>
      </c>
      <c r="S33" s="634">
        <f t="shared" si="80"/>
        <v>-1.8568</v>
      </c>
      <c r="T33" s="635">
        <f t="shared" si="81"/>
        <v>-2.2999149769962965</v>
      </c>
      <c r="U33" s="629">
        <f t="shared" si="82"/>
        <v>-3.5214751127344299</v>
      </c>
      <c r="V33" s="636">
        <f t="shared" si="114"/>
        <v>-1.8568</v>
      </c>
      <c r="W33" s="585">
        <f t="shared" si="224"/>
        <v>236.85099531678787</v>
      </c>
      <c r="X33" s="629">
        <f t="shared" si="83"/>
        <v>4.2059952295526726</v>
      </c>
      <c r="Y33" s="630">
        <f t="shared" si="223"/>
        <v>-1.8568</v>
      </c>
      <c r="Z33" s="632">
        <f t="shared" si="6"/>
        <v>-0.88390100891530987</v>
      </c>
      <c r="AA33" s="629">
        <f t="shared" si="7"/>
        <v>-0.46738952107397586</v>
      </c>
      <c r="AB33" s="629">
        <f t="shared" si="8"/>
        <v>-1.6310794853006433E-2</v>
      </c>
      <c r="AC33" s="636">
        <f t="shared" si="84"/>
        <v>1</v>
      </c>
      <c r="AD33" s="637">
        <f t="shared" si="115"/>
        <v>-0.88390100891530987</v>
      </c>
      <c r="AE33" s="629">
        <f t="shared" si="85"/>
        <v>-0.46738952107397586</v>
      </c>
      <c r="AF33" s="633">
        <f t="shared" si="86"/>
        <v>-1.6310794853006433E-2</v>
      </c>
      <c r="AG33" s="602">
        <f t="shared" si="87"/>
        <v>-88.001323167632037</v>
      </c>
      <c r="AH33" s="603">
        <f t="shared" si="88"/>
        <v>152.11658102480487</v>
      </c>
      <c r="AI33" s="585">
        <f t="shared" si="89"/>
        <v>-89.065418851650804</v>
      </c>
      <c r="AJ33" s="586">
        <f t="shared" si="90"/>
        <v>-62.130991993111166</v>
      </c>
      <c r="AK33" s="635">
        <f t="shared" si="211"/>
        <v>0.87050553061966751</v>
      </c>
      <c r="AL33" s="629">
        <f t="shared" si="91"/>
        <v>-0.49188827911613664</v>
      </c>
      <c r="AM33" s="634">
        <f t="shared" si="92"/>
        <v>-1.6310794853006433E-2</v>
      </c>
      <c r="AN33" s="581">
        <f t="shared" si="93"/>
        <v>-88.100793523986809</v>
      </c>
      <c r="AO33" s="582">
        <f t="shared" si="94"/>
        <v>29.482561344783001</v>
      </c>
      <c r="AP33" s="585">
        <f t="shared" si="95"/>
        <v>-29.469075244132004</v>
      </c>
      <c r="AQ33" s="586">
        <f t="shared" si="9"/>
        <v>0.54200219107562897</v>
      </c>
      <c r="AS33" s="52">
        <f t="shared" si="116"/>
        <v>-123.14900468321213</v>
      </c>
      <c r="AT33" s="72">
        <f t="shared" si="10"/>
        <v>-1.7684279549236523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1.9982580063227648</v>
      </c>
      <c r="C34" s="708">
        <v>-1.9769910627717979</v>
      </c>
      <c r="D34" s="709">
        <v>-6.5299999999999844E-2</v>
      </c>
      <c r="E34" s="710">
        <v>0.72448598108438289</v>
      </c>
      <c r="F34" s="708">
        <v>0.63942275495156808</v>
      </c>
      <c r="G34" s="711">
        <v>0.2574074662132903</v>
      </c>
      <c r="H34" s="710">
        <v>0.26600000000000001</v>
      </c>
      <c r="I34" s="708">
        <v>0.52</v>
      </c>
      <c r="J34" s="570">
        <v>3.2109999999999999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3.2109999999999999</v>
      </c>
      <c r="N34" s="632">
        <f t="shared" si="2"/>
        <v>1.9982580063227648</v>
      </c>
      <c r="O34" s="629">
        <f t="shared" si="3"/>
        <v>-1.9769910627717979</v>
      </c>
      <c r="P34" s="633">
        <f t="shared" si="4"/>
        <v>-6.5299999999999844E-2</v>
      </c>
      <c r="Q34" s="585">
        <f t="shared" si="113"/>
        <v>315.30652028659563</v>
      </c>
      <c r="R34" s="629">
        <f>IF(M34="","",SQRT(N34^2+O34^2))</f>
        <v>2.8109657988158792</v>
      </c>
      <c r="S34" s="634">
        <f>IF(M34="","",P34)</f>
        <v>-6.5299999999999844E-2</v>
      </c>
      <c r="T34" s="635">
        <f>IF(M34="","",X34*COS(RADIANS(W34)))</f>
        <v>-1.9939071853364478</v>
      </c>
      <c r="U34" s="629">
        <f>IF(M34="","",X34*SIN(RADIANS(W34)))</f>
        <v>-1.9813790294580889</v>
      </c>
      <c r="V34" s="636">
        <f>IF(M34="","",Y34)</f>
        <v>-6.5299999999999844E-2</v>
      </c>
      <c r="W34" s="585">
        <f t="shared" si="224"/>
        <v>224.81943235236264</v>
      </c>
      <c r="X34" s="629">
        <f>IF(M34="","",R34)</f>
        <v>2.8109657988158792</v>
      </c>
      <c r="Y34" s="630">
        <f t="shared" si="223"/>
        <v>-6.5299999999999844E-2</v>
      </c>
      <c r="Z34" s="632">
        <f t="shared" si="6"/>
        <v>-0.72448598108438289</v>
      </c>
      <c r="AA34" s="629">
        <f t="shared" si="7"/>
        <v>-0.63942275495156808</v>
      </c>
      <c r="AB34" s="629">
        <f t="shared" si="8"/>
        <v>-0.2574074662132903</v>
      </c>
      <c r="AC34" s="636">
        <f>IF(M34="","",SQRT(Z34^2+AA34^2+AB34^2))</f>
        <v>1</v>
      </c>
      <c r="AD34" s="637">
        <f>IF(M34="","",Z34*(1/SQRT(Z34^2+AA34^2+AB34^2)))</f>
        <v>-0.72448598108438289</v>
      </c>
      <c r="AE34" s="629">
        <f>IF(M34="","",AA34*(1/SQRT(Z34^2+AA34^2+AB34^2)))</f>
        <v>-0.63942275495156808</v>
      </c>
      <c r="AF34" s="633">
        <f>IF(M34="","",AB34*(1/SQRT(Z34^2+AA34^2+AB34^2)))</f>
        <v>-0.2574074662132903</v>
      </c>
      <c r="AG34" s="602">
        <f>IF(M34="","",DEGREES(ATAN2(-AF34,AE34)))</f>
        <v>-68.072145192568129</v>
      </c>
      <c r="AH34" s="603">
        <f>IF(M34="","",DEGREES(ACOS(AD34)))</f>
        <v>136.42610430229979</v>
      </c>
      <c r="AI34" s="585">
        <f>IF(M34="","",DEGREES(-ACOS(-AF34)))</f>
        <v>-75.083714205373013</v>
      </c>
      <c r="AJ34" s="586">
        <f>IF(M34="","",DEGREES(ATAN2(-AE34,AD34)))</f>
        <v>-48.56875743341871</v>
      </c>
      <c r="AK34" s="635">
        <f>IF(M34="","",(COS(RADIANS((90-$Q$8)-W34))*AD34)+(-SIN(RADIANS((90-$Q$8)-W34))*AE34))</f>
        <v>0.96409353338835224</v>
      </c>
      <c r="AL34" s="629">
        <f>IF(M34="","",(SIN(RADIANS((90-$Q$8)-W34))*AD34)+(COS(RADIANS((90-$Q$8)-W34))*AE34))</f>
        <v>-6.5307390212869521E-2</v>
      </c>
      <c r="AM34" s="634">
        <f>IF(M34="","",AF34)</f>
        <v>-0.2574074662132903</v>
      </c>
      <c r="AN34" s="581">
        <f>IF(M34="","",DEGREES(ATAN2(-AM34,AL34)))</f>
        <v>-14.236244884628116</v>
      </c>
      <c r="AO34" s="582">
        <f t="shared" si="94"/>
        <v>15.400403644232673</v>
      </c>
      <c r="AP34" s="585">
        <f>IF(M34="","",DEGREES(ATAN2(AK34,AL34)))</f>
        <v>-3.875277720014322</v>
      </c>
      <c r="AQ34" s="586">
        <f t="shared" si="9"/>
        <v>0.81095771301271991</v>
      </c>
      <c r="AS34" s="52">
        <f t="shared" si="116"/>
        <v>-135.18056764763736</v>
      </c>
      <c r="AT34" s="72">
        <f t="shared" si="10"/>
        <v>3.1427297134976495E-2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3.2109999999999999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2.1110000000000002</v>
      </c>
      <c r="II34" s="734" cm="1">
        <f t="array" ref="II34">IFERROR(ROUND(VALUE(IF($IH34&lt;1,$IH34+LARGE((IF($M$9:$M$150="",0,$M$9:$M$150)-MOD(IF($M$9:$M$150="",0,$M$9:$M$150),1)),1),$IH34)),4),"")</f>
        <v>2.1110000000000002</v>
      </c>
      <c r="IJ34" s="533">
        <f t="shared" si="112"/>
        <v>1613</v>
      </c>
      <c r="IK34" s="533">
        <f t="shared" si="66"/>
        <v>1313</v>
      </c>
      <c r="IL34" s="727">
        <f t="shared" si="225"/>
        <v>69.999470271675875</v>
      </c>
      <c r="IM34" s="759">
        <v>4.6275620773623398E-2</v>
      </c>
      <c r="IN34" s="5">
        <f t="shared" si="226"/>
        <v>0.24</v>
      </c>
      <c r="IO34" s="771">
        <v>120</v>
      </c>
      <c r="IP34" s="9">
        <f t="shared" si="227"/>
        <v>-2.8109614869554451</v>
      </c>
      <c r="IQ34" s="5">
        <f t="shared" si="228"/>
        <v>-6.5300000000000122E-2</v>
      </c>
      <c r="IR34" s="5">
        <f t="shared" si="71"/>
        <v>0.314</v>
      </c>
      <c r="IS34" s="5">
        <f t="shared" si="229"/>
        <v>0.30272555906410942</v>
      </c>
      <c r="IT34" s="727">
        <f t="shared" si="230"/>
        <v>14.234380813890077</v>
      </c>
      <c r="IU34" s="9">
        <f t="shared" si="231"/>
        <v>-2.8109657988158792</v>
      </c>
      <c r="IV34" s="5">
        <f t="shared" si="232"/>
        <v>-6.5299999999999844E-2</v>
      </c>
      <c r="IW34" s="5">
        <f t="shared" si="76"/>
        <v>0.26600000000000001</v>
      </c>
      <c r="IX34" s="5">
        <f t="shared" si="233"/>
        <v>0.25644887988130172</v>
      </c>
      <c r="IY34" s="762">
        <f t="shared" si="234"/>
        <v>14.236244884628116</v>
      </c>
      <c r="JG34" s="470"/>
    </row>
    <row r="35" spans="1:267" ht="15" customHeight="1" x14ac:dyDescent="0.25">
      <c r="A35" s="79"/>
      <c r="B35" s="707">
        <v>2.4799921786756292</v>
      </c>
      <c r="C35" s="708">
        <v>-2.5573312757611273</v>
      </c>
      <c r="D35" s="709">
        <v>-0.32210000000000016</v>
      </c>
      <c r="E35" s="710">
        <v>0.8440786972278197</v>
      </c>
      <c r="F35" s="708">
        <v>0.491489110086751</v>
      </c>
      <c r="G35" s="711">
        <v>0.21440524142921558</v>
      </c>
      <c r="H35" s="710">
        <v>0.26600000000000001</v>
      </c>
      <c r="I35" s="708">
        <v>0.52</v>
      </c>
      <c r="J35" s="570">
        <v>3.214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3.214</v>
      </c>
      <c r="N35" s="632">
        <f t="shared" si="2"/>
        <v>2.4799921786756292</v>
      </c>
      <c r="O35" s="629">
        <f t="shared" si="3"/>
        <v>-2.5573312757611273</v>
      </c>
      <c r="P35" s="633">
        <f t="shared" si="4"/>
        <v>-0.32210000000000016</v>
      </c>
      <c r="Q35" s="585">
        <f t="shared" si="113"/>
        <v>314.12039483516696</v>
      </c>
      <c r="R35" s="629">
        <f>IF(M35="","",SQRT(N35^2+O35^2))</f>
        <v>3.562345359489774</v>
      </c>
      <c r="S35" s="634">
        <f>IF(M35="","",P35)</f>
        <v>-0.32210000000000016</v>
      </c>
      <c r="T35" s="635">
        <f>IF(M35="","",X35*COS(RADIANS(W35)))</f>
        <v>-2.5783217390116411</v>
      </c>
      <c r="U35" s="629">
        <f>IF(M35="","",X35*SIN(RADIANS(W35)))</f>
        <v>-2.4581622140164616</v>
      </c>
      <c r="V35" s="636">
        <f>IF(M35="","",Y35)</f>
        <v>-0.32210000000000016</v>
      </c>
      <c r="W35" s="585">
        <f t="shared" si="224"/>
        <v>223.63330690093397</v>
      </c>
      <c r="X35" s="629">
        <f>IF(M35="","",R35)</f>
        <v>3.562345359489774</v>
      </c>
      <c r="Y35" s="630">
        <f t="shared" si="223"/>
        <v>-0.32210000000000016</v>
      </c>
      <c r="Z35" s="632">
        <f t="shared" si="6"/>
        <v>-0.8440786972278197</v>
      </c>
      <c r="AA35" s="629">
        <f t="shared" si="7"/>
        <v>-0.491489110086751</v>
      </c>
      <c r="AB35" s="629">
        <f t="shared" si="8"/>
        <v>-0.21440524142921558</v>
      </c>
      <c r="AC35" s="636">
        <f>IF(M35="","",SQRT(Z35^2+AA35^2+AB35^2))</f>
        <v>1</v>
      </c>
      <c r="AD35" s="637">
        <f>IF(M35="","",Z35*(1/SQRT(Z35^2+AA35^2+AB35^2)))</f>
        <v>-0.8440786972278197</v>
      </c>
      <c r="AE35" s="629">
        <f>IF(M35="","",AA35*(1/SQRT(Z35^2+AA35^2+AB35^2)))</f>
        <v>-0.491489110086751</v>
      </c>
      <c r="AF35" s="633">
        <f>IF(M35="","",AB35*(1/SQRT(Z35^2+AA35^2+AB35^2)))</f>
        <v>-0.21440524142921558</v>
      </c>
      <c r="AG35" s="602">
        <f>IF(M35="","",DEGREES(ATAN2(-AF35,AE35)))</f>
        <v>-66.431437547130244</v>
      </c>
      <c r="AH35" s="603">
        <f>IF(M35="","",DEGREES(ACOS(AD35)))</f>
        <v>147.57335986229015</v>
      </c>
      <c r="AI35" s="585">
        <f>IF(M35="","",DEGREES(-ACOS(-AF35)))</f>
        <v>-77.619363524302884</v>
      </c>
      <c r="AJ35" s="586">
        <f>IF(M35="","",DEGREES(ATAN2(-AE35,AD35)))</f>
        <v>-59.788665021660236</v>
      </c>
      <c r="AK35" s="635">
        <f>IF(M35="","",(COS(RADIANS((90-$Q$8)-W35))*AD35)+(-SIN(RADIANS((90-$Q$8)-W35))*AE35))</f>
        <v>0.94810515537088347</v>
      </c>
      <c r="AL35" s="629">
        <f>IF(M35="","",(SIN(RADIANS((90-$Q$8)-W35))*AD35)+(COS(RADIANS((90-$Q$8)-W35))*AE35))</f>
        <v>-0.23479141127143638</v>
      </c>
      <c r="AM35" s="634">
        <f>IF(M35="","",AF35)</f>
        <v>-0.21440524142921558</v>
      </c>
      <c r="AN35" s="581">
        <f>IF(M35="","",DEGREES(ATAN2(-AM35,AL35)))</f>
        <v>-47.598506794625393</v>
      </c>
      <c r="AO35" s="582">
        <f t="shared" si="94"/>
        <v>18.539414055584139</v>
      </c>
      <c r="AP35" s="585">
        <f>IF(M35="","",DEGREES(ATAN2(AK35,AL35)))</f>
        <v>-13.909059856827204</v>
      </c>
      <c r="AQ35" s="586">
        <f t="shared" si="9"/>
        <v>0.63992443423972512</v>
      </c>
      <c r="AS35" s="52">
        <f t="shared" si="116"/>
        <v>-136.36669309906603</v>
      </c>
      <c r="AT35" s="72">
        <f t="shared" si="10"/>
        <v>-0.22454900463486505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3.214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2.1139999999999999</v>
      </c>
      <c r="II35" s="734" cm="1">
        <f t="array" ref="II35">IFERROR(ROUND(VALUE(IF($IH35&lt;1,$IH35+LARGE((IF($M$9:$M$150="",0,$M$9:$M$150)-MOD(IF($M$9:$M$150="",0,$M$9:$M$150),1)),1),$IH35)),4),"")</f>
        <v>2.1139999999999999</v>
      </c>
      <c r="IJ35" s="533">
        <f t="shared" si="112"/>
        <v>1613</v>
      </c>
      <c r="IK35" s="533">
        <f t="shared" si="66"/>
        <v>1313</v>
      </c>
      <c r="IL35" s="727">
        <f t="shared" si="225"/>
        <v>69.999580657553111</v>
      </c>
      <c r="IM35" s="759">
        <v>4.5506801412089702E-2</v>
      </c>
      <c r="IN35" s="5">
        <f t="shared" si="226"/>
        <v>0.24</v>
      </c>
      <c r="IO35" s="771">
        <v>120</v>
      </c>
      <c r="IP35" s="9">
        <f t="shared" si="227"/>
        <v>-3.5623415865039734</v>
      </c>
      <c r="IQ35" s="5">
        <f t="shared" si="228"/>
        <v>-0.32210000000000039</v>
      </c>
      <c r="IR35" s="5">
        <f t="shared" si="71"/>
        <v>0.314</v>
      </c>
      <c r="IS35" s="5">
        <f t="shared" si="229"/>
        <v>0.2977055583612212</v>
      </c>
      <c r="IT35" s="727">
        <f t="shared" si="230"/>
        <v>47.597663592850438</v>
      </c>
      <c r="IU35" s="9">
        <f t="shared" si="231"/>
        <v>-3.562345359489774</v>
      </c>
      <c r="IV35" s="5">
        <f t="shared" si="232"/>
        <v>-0.32210000000000016</v>
      </c>
      <c r="IW35" s="5">
        <f t="shared" si="76"/>
        <v>0.26600000000000001</v>
      </c>
      <c r="IX35" s="5">
        <f t="shared" si="233"/>
        <v>0.25219597132865501</v>
      </c>
      <c r="IY35" s="762">
        <f t="shared" si="234"/>
        <v>47.598506794625393</v>
      </c>
    </row>
    <row r="36" spans="1:267" ht="15" customHeight="1" x14ac:dyDescent="0.25">
      <c r="A36" s="79"/>
      <c r="B36" s="707">
        <v>2.7912429060844186</v>
      </c>
      <c r="C36" s="708">
        <v>-2.9790674377303139</v>
      </c>
      <c r="D36" s="709">
        <v>-0.93579999999999985</v>
      </c>
      <c r="E36" s="710">
        <v>0.92060082058879389</v>
      </c>
      <c r="F36" s="708">
        <v>0.38233580672060474</v>
      </c>
      <c r="G36" s="711">
        <v>7.9457284313924625E-2</v>
      </c>
      <c r="H36" s="710">
        <v>0.26600000000000001</v>
      </c>
      <c r="I36" s="708">
        <v>0.52</v>
      </c>
      <c r="J36" s="570">
        <v>3.2170000000000001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3.2170000000000001</v>
      </c>
      <c r="N36" s="632">
        <f t="shared" si="2"/>
        <v>2.7912429060844186</v>
      </c>
      <c r="O36" s="629">
        <f t="shared" si="3"/>
        <v>-2.9790674377303139</v>
      </c>
      <c r="P36" s="633">
        <f t="shared" si="4"/>
        <v>-0.93579999999999985</v>
      </c>
      <c r="Q36" s="585">
        <f t="shared" si="113"/>
        <v>313.13567138381694</v>
      </c>
      <c r="R36" s="629">
        <f>IF(M36="","",SQRT(N36^2+O36^2))</f>
        <v>4.0823865274262854</v>
      </c>
      <c r="S36" s="634">
        <f>IF(M36="","",P36)</f>
        <v>-0.93579999999999985</v>
      </c>
      <c r="T36" s="635">
        <f>IF(M36="","",X36*COS(RADIANS(W36)))</f>
        <v>-3.0026886614992323</v>
      </c>
      <c r="U36" s="629">
        <f>IF(M36="","",X36*SIN(RADIANS(W36)))</f>
        <v>-2.7658164366811464</v>
      </c>
      <c r="V36" s="636">
        <f>IF(M36="","",Y36)</f>
        <v>-0.93579999999999985</v>
      </c>
      <c r="W36" s="585">
        <f t="shared" si="224"/>
        <v>222.64858344958395</v>
      </c>
      <c r="X36" s="629">
        <f>IF(M36="","",R36)</f>
        <v>4.0823865274262854</v>
      </c>
      <c r="Y36" s="630">
        <f t="shared" si="223"/>
        <v>-0.93579999999999985</v>
      </c>
      <c r="Z36" s="632">
        <f t="shared" si="6"/>
        <v>-0.92060082058879389</v>
      </c>
      <c r="AA36" s="629">
        <f t="shared" si="7"/>
        <v>-0.38233580672060474</v>
      </c>
      <c r="AB36" s="629">
        <f t="shared" si="8"/>
        <v>-7.9457284313924625E-2</v>
      </c>
      <c r="AC36" s="636">
        <f>IF(M36="","",SQRT(Z36^2+AA36^2+AB36^2))</f>
        <v>1</v>
      </c>
      <c r="AD36" s="637">
        <f>IF(M36="","",Z36*(1/SQRT(Z36^2+AA36^2+AB36^2)))</f>
        <v>-0.92060082058879389</v>
      </c>
      <c r="AE36" s="629">
        <f>IF(M36="","",AA36*(1/SQRT(Z36^2+AA36^2+AB36^2)))</f>
        <v>-0.38233580672060474</v>
      </c>
      <c r="AF36" s="633">
        <f>IF(M36="","",AB36*(1/SQRT(Z36^2+AA36^2+AB36^2)))</f>
        <v>-7.9457284313924625E-2</v>
      </c>
      <c r="AG36" s="602">
        <f>IF(M36="","",DEGREES(ATAN2(-AF36,AE36)))</f>
        <v>-78.259865421463161</v>
      </c>
      <c r="AH36" s="603">
        <f>IF(M36="","",DEGREES(ACOS(AD36)))</f>
        <v>157.01407644088692</v>
      </c>
      <c r="AI36" s="585">
        <f>IF(M36="","",DEGREES(-ACOS(-AF36)))</f>
        <v>-85.442628887707727</v>
      </c>
      <c r="AJ36" s="586">
        <f>IF(M36="","",DEGREES(ATAN2(-AE36,AD36)))</f>
        <v>-67.446342180076712</v>
      </c>
      <c r="AK36" s="635">
        <f>IF(M36="","",(COS(RADIANS((90-$Q$8)-W36))*AD36)+(-SIN(RADIANS((90-$Q$8)-W36))*AE36))</f>
        <v>0.93321002566032141</v>
      </c>
      <c r="AL36" s="629">
        <f>IF(M36="","",(SIN(RADIANS((90-$Q$8)-W36))*AD36)+(COS(RADIANS((90-$Q$8)-W36))*AE36))</f>
        <v>-0.35043628233463292</v>
      </c>
      <c r="AM36" s="634">
        <f>IF(M36="","",AF36)</f>
        <v>-7.9457284313924625E-2</v>
      </c>
      <c r="AN36" s="581">
        <f>IF(M36="","",DEGREES(ATAN2(-AM36,AL36)))</f>
        <v>-77.224860396949012</v>
      </c>
      <c r="AO36" s="582">
        <f t="shared" si="94"/>
        <v>21.059140092851916</v>
      </c>
      <c r="AP36" s="585">
        <f>IF(M36="","",DEGREES(ATAN2(AK36,AL36)))</f>
        <v>-20.582013563893636</v>
      </c>
      <c r="AQ36" s="586">
        <f t="shared" si="9"/>
        <v>0.55841220194499042</v>
      </c>
      <c r="AS36" s="52">
        <f t="shared" si="116"/>
        <v>-137.35141655041605</v>
      </c>
      <c r="AT36" s="72">
        <f t="shared" si="10"/>
        <v>-0.83756516890476052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3.2170000000000001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2.117</v>
      </c>
      <c r="II36" s="734" cm="1">
        <f t="array" ref="II36">IFERROR(ROUND(VALUE(IF($IH36&lt;1,$IH36+LARGE((IF($M$9:$M$150="",0,$M$9:$M$150)-MOD(IF($M$9:$M$150="",0,$M$9:$M$150),1)),1),$IH36)),4),"")</f>
        <v>2.117</v>
      </c>
      <c r="IJ36" s="533">
        <f t="shared" si="112"/>
        <v>1613</v>
      </c>
      <c r="IK36" s="533">
        <f t="shared" si="66"/>
        <v>1313</v>
      </c>
      <c r="IL36" s="727">
        <f t="shared" si="225"/>
        <v>69.999633220204828</v>
      </c>
      <c r="IM36" s="759">
        <v>4.4791543593182902E-2</v>
      </c>
      <c r="IN36" s="5">
        <f t="shared" si="226"/>
        <v>0.26</v>
      </c>
      <c r="IO36" s="771">
        <v>130</v>
      </c>
      <c r="IP36" s="9">
        <f t="shared" si="227"/>
        <v>-4.082383203062304</v>
      </c>
      <c r="IQ36" s="5">
        <f t="shared" si="228"/>
        <v>-0.93579999999999985</v>
      </c>
      <c r="IR36" s="5">
        <f t="shared" si="71"/>
        <v>0.314</v>
      </c>
      <c r="IS36" s="5">
        <f t="shared" si="229"/>
        <v>0.29302865245480203</v>
      </c>
      <c r="IT36" s="727">
        <f t="shared" si="230"/>
        <v>77.224649759413154</v>
      </c>
      <c r="IU36" s="9">
        <f t="shared" si="231"/>
        <v>-4.0823865274262854</v>
      </c>
      <c r="IV36" s="5">
        <f t="shared" si="232"/>
        <v>-0.93579999999999985</v>
      </c>
      <c r="IW36" s="5">
        <f t="shared" si="76"/>
        <v>0.26600000000000001</v>
      </c>
      <c r="IX36" s="5">
        <f t="shared" si="233"/>
        <v>0.24823386682564549</v>
      </c>
      <c r="IY36" s="762">
        <f t="shared" si="234"/>
        <v>77.224860396949012</v>
      </c>
    </row>
    <row r="37" spans="1:267" ht="15" customHeight="1" x14ac:dyDescent="0.25">
      <c r="A37" s="79"/>
      <c r="B37" s="707">
        <v>-0.2003141021816979</v>
      </c>
      <c r="C37" s="708">
        <v>-2.537446476372847</v>
      </c>
      <c r="D37" s="709">
        <v>-7.2600000000000442E-2</v>
      </c>
      <c r="E37" s="710">
        <v>0.95967812316359069</v>
      </c>
      <c r="F37" s="708">
        <v>-0.10988761566249318</v>
      </c>
      <c r="G37" s="711">
        <v>0.2587327034706291</v>
      </c>
      <c r="H37" s="710">
        <v>0.314</v>
      </c>
      <c r="I37" s="708">
        <v>0.52</v>
      </c>
      <c r="J37" s="570">
        <v>4.1100000000000003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4.1100000000000003</v>
      </c>
      <c r="N37" s="632">
        <f t="shared" si="2"/>
        <v>-0.2003141021816979</v>
      </c>
      <c r="O37" s="629">
        <f t="shared" si="3"/>
        <v>-2.537446476372847</v>
      </c>
      <c r="P37" s="633">
        <f t="shared" si="4"/>
        <v>-7.2600000000000442E-2</v>
      </c>
      <c r="Q37" s="585">
        <f t="shared" si="113"/>
        <v>265.48624984918797</v>
      </c>
      <c r="R37" s="629">
        <f t="shared" si="79"/>
        <v>2.5453409123317523</v>
      </c>
      <c r="S37" s="634">
        <f t="shared" si="80"/>
        <v>-7.2600000000000442E-2</v>
      </c>
      <c r="T37" s="635">
        <f t="shared" si="81"/>
        <v>-2.5356518764839997</v>
      </c>
      <c r="U37" s="629">
        <f t="shared" si="82"/>
        <v>0.22187816763487067</v>
      </c>
      <c r="V37" s="636">
        <f t="shared" si="114"/>
        <v>-7.2600000000000442E-2</v>
      </c>
      <c r="W37" s="585">
        <f t="shared" si="224"/>
        <v>174.99916191495498</v>
      </c>
      <c r="X37" s="629">
        <f t="shared" si="83"/>
        <v>2.5453409123317523</v>
      </c>
      <c r="Y37" s="630">
        <f t="shared" si="223"/>
        <v>-7.2600000000000442E-2</v>
      </c>
      <c r="Z37" s="632">
        <f t="shared" si="6"/>
        <v>-0.95967812316359069</v>
      </c>
      <c r="AA37" s="629">
        <f t="shared" si="7"/>
        <v>0.10988761566249318</v>
      </c>
      <c r="AB37" s="629">
        <f t="shared" si="8"/>
        <v>-0.2587327034706291</v>
      </c>
      <c r="AC37" s="636">
        <f t="shared" si="84"/>
        <v>1</v>
      </c>
      <c r="AD37" s="637">
        <f t="shared" si="115"/>
        <v>-0.95967812316359069</v>
      </c>
      <c r="AE37" s="629">
        <f t="shared" si="85"/>
        <v>0.10988761566249318</v>
      </c>
      <c r="AF37" s="633">
        <f t="shared" si="86"/>
        <v>-0.2587327034706291</v>
      </c>
      <c r="AG37" s="602">
        <f t="shared" si="87"/>
        <v>23.011651181011256</v>
      </c>
      <c r="AH37" s="603">
        <f t="shared" si="88"/>
        <v>163.67405962285321</v>
      </c>
      <c r="AI37" s="585">
        <f t="shared" si="89"/>
        <v>-75.005121461434598</v>
      </c>
      <c r="AJ37" s="586">
        <f t="shared" si="90"/>
        <v>-96.532184284029285</v>
      </c>
      <c r="AK37" s="635">
        <f t="shared" si="211"/>
        <v>0.96534963125820505</v>
      </c>
      <c r="AL37" s="629">
        <f t="shared" si="91"/>
        <v>-3.4021722243699357E-2</v>
      </c>
      <c r="AM37" s="634">
        <f t="shared" si="92"/>
        <v>-0.2587327034706291</v>
      </c>
      <c r="AN37" s="581">
        <f t="shared" si="93"/>
        <v>-7.4910567771709058</v>
      </c>
      <c r="AO37" s="582">
        <f t="shared" si="94"/>
        <v>15.127029106494012</v>
      </c>
      <c r="AP37" s="585">
        <f t="shared" si="95"/>
        <v>-2.0184341332172493</v>
      </c>
      <c r="AQ37" s="586">
        <f t="shared" si="9"/>
        <v>0.89557393178448386</v>
      </c>
      <c r="AS37" s="52">
        <f t="shared" si="116"/>
        <v>-185.00083808504502</v>
      </c>
      <c r="AT37" s="72">
        <f t="shared" si="10"/>
        <v>5.8724707160953432E-2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4.1100000000000003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-0.30107910266636312</v>
      </c>
      <c r="C38" s="708">
        <v>-3.3117105364178192</v>
      </c>
      <c r="D38" s="709">
        <v>-0.19070000000000045</v>
      </c>
      <c r="E38" s="710">
        <v>0.92716347353817863</v>
      </c>
      <c r="F38" s="708">
        <v>-0.27480672170298476</v>
      </c>
      <c r="G38" s="711">
        <v>0.25465498040187134</v>
      </c>
      <c r="H38" s="710">
        <v>0.314</v>
      </c>
      <c r="I38" s="708">
        <v>0.52</v>
      </c>
      <c r="J38" s="570">
        <v>4.1130000000000004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4.1130000000000004</v>
      </c>
      <c r="N38" s="632">
        <f t="shared" si="2"/>
        <v>-0.30107910266636312</v>
      </c>
      <c r="O38" s="629">
        <f t="shared" si="3"/>
        <v>-3.3117105364178192</v>
      </c>
      <c r="P38" s="633">
        <f t="shared" si="4"/>
        <v>-0.19070000000000045</v>
      </c>
      <c r="Q38" s="585">
        <f t="shared" si="113"/>
        <v>264.80532213973464</v>
      </c>
      <c r="R38" s="629">
        <f t="shared" si="79"/>
        <v>3.3253684462151232</v>
      </c>
      <c r="S38" s="634">
        <f t="shared" si="80"/>
        <v>-0.19070000000000045</v>
      </c>
      <c r="T38" s="635">
        <f t="shared" si="81"/>
        <v>-3.309031335938581</v>
      </c>
      <c r="U38" s="629">
        <f t="shared" si="82"/>
        <v>0.32922168953414183</v>
      </c>
      <c r="V38" s="636">
        <f t="shared" si="114"/>
        <v>-0.19070000000000045</v>
      </c>
      <c r="W38" s="585">
        <f t="shared" si="224"/>
        <v>174.31823420550165</v>
      </c>
      <c r="X38" s="629">
        <f t="shared" si="83"/>
        <v>3.3253684462151232</v>
      </c>
      <c r="Y38" s="630">
        <f t="shared" si="223"/>
        <v>-0.19070000000000045</v>
      </c>
      <c r="Z38" s="632">
        <f t="shared" si="6"/>
        <v>-0.92716347353817863</v>
      </c>
      <c r="AA38" s="629">
        <f t="shared" si="7"/>
        <v>0.27480672170298476</v>
      </c>
      <c r="AB38" s="629">
        <f t="shared" si="8"/>
        <v>-0.25465498040187134</v>
      </c>
      <c r="AC38" s="636">
        <f t="shared" si="84"/>
        <v>1</v>
      </c>
      <c r="AD38" s="637">
        <f t="shared" si="115"/>
        <v>-0.92716347353817863</v>
      </c>
      <c r="AE38" s="629">
        <f t="shared" si="85"/>
        <v>0.27480672170298476</v>
      </c>
      <c r="AF38" s="633">
        <f t="shared" si="86"/>
        <v>-0.25465498040187134</v>
      </c>
      <c r="AG38" s="602">
        <f t="shared" si="87"/>
        <v>47.179671680923853</v>
      </c>
      <c r="AH38" s="603">
        <f t="shared" si="88"/>
        <v>157.99688294779577</v>
      </c>
      <c r="AI38" s="585">
        <f t="shared" si="89"/>
        <v>-75.24685791249054</v>
      </c>
      <c r="AJ38" s="586">
        <f t="shared" si="90"/>
        <v>-106.50956603530587</v>
      </c>
      <c r="AK38" s="635">
        <f t="shared" si="211"/>
        <v>0.9482364605534489</v>
      </c>
      <c r="AL38" s="629">
        <f t="shared" si="91"/>
        <v>-0.18973259033068179</v>
      </c>
      <c r="AM38" s="634">
        <f t="shared" si="92"/>
        <v>-0.25465498040187134</v>
      </c>
      <c r="AN38" s="581">
        <f t="shared" si="93"/>
        <v>-36.688227411556163</v>
      </c>
      <c r="AO38" s="582">
        <f t="shared" si="94"/>
        <v>18.515738299840532</v>
      </c>
      <c r="AP38" s="585">
        <f t="shared" si="95"/>
        <v>-11.314888175040499</v>
      </c>
      <c r="AQ38" s="586">
        <f t="shared" si="9"/>
        <v>0.68552338931501489</v>
      </c>
      <c r="AS38" s="52">
        <f t="shared" si="116"/>
        <v>-185.68176579449835</v>
      </c>
      <c r="AT38" s="72">
        <f t="shared" si="10"/>
        <v>-5.8902426374148414E-2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4.1130000000000004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-0.46066373328810462</v>
      </c>
      <c r="C39" s="708">
        <v>-3.9204181355935819</v>
      </c>
      <c r="D39" s="709">
        <v>-0.7007999999999992</v>
      </c>
      <c r="E39" s="710">
        <v>0.88953708249410723</v>
      </c>
      <c r="F39" s="708">
        <v>-0.43445186835426564</v>
      </c>
      <c r="G39" s="711">
        <v>0.14133418889766167</v>
      </c>
      <c r="H39" s="710">
        <v>0.314</v>
      </c>
      <c r="I39" s="708">
        <v>0.52</v>
      </c>
      <c r="J39" s="570">
        <v>4.1159999999999997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4.1159999999999997</v>
      </c>
      <c r="N39" s="632">
        <f t="shared" si="2"/>
        <v>-0.46066373328810462</v>
      </c>
      <c r="O39" s="629">
        <f t="shared" si="3"/>
        <v>-3.9204181355935819</v>
      </c>
      <c r="P39" s="633">
        <f t="shared" si="4"/>
        <v>-0.7007999999999992</v>
      </c>
      <c r="Q39" s="585">
        <f t="shared" si="113"/>
        <v>263.2982636524016</v>
      </c>
      <c r="R39" s="629">
        <f t="shared" si="79"/>
        <v>3.9473902053202177</v>
      </c>
      <c r="S39" s="634">
        <f t="shared" si="80"/>
        <v>-0.7007999999999992</v>
      </c>
      <c r="T39" s="635">
        <f t="shared" si="81"/>
        <v>-3.9163602804235897</v>
      </c>
      <c r="U39" s="629">
        <f t="shared" si="82"/>
        <v>0.49397528984601252</v>
      </c>
      <c r="V39" s="636">
        <f t="shared" si="114"/>
        <v>-0.7007999999999992</v>
      </c>
      <c r="W39" s="585">
        <f t="shared" si="224"/>
        <v>172.81117571816861</v>
      </c>
      <c r="X39" s="629">
        <f t="shared" si="83"/>
        <v>3.9473902053202177</v>
      </c>
      <c r="Y39" s="630">
        <f t="shared" si="223"/>
        <v>-0.7007999999999992</v>
      </c>
      <c r="Z39" s="632">
        <f t="shared" si="6"/>
        <v>-0.88953708249410723</v>
      </c>
      <c r="AA39" s="629">
        <f t="shared" si="7"/>
        <v>0.43445186835426564</v>
      </c>
      <c r="AB39" s="629">
        <f t="shared" si="8"/>
        <v>-0.14133418889766167</v>
      </c>
      <c r="AC39" s="636">
        <f t="shared" si="84"/>
        <v>1</v>
      </c>
      <c r="AD39" s="637">
        <f t="shared" si="115"/>
        <v>-0.88953708249410723</v>
      </c>
      <c r="AE39" s="629">
        <f t="shared" si="85"/>
        <v>0.43445186835426564</v>
      </c>
      <c r="AF39" s="633">
        <f t="shared" si="86"/>
        <v>-0.14133418889766167</v>
      </c>
      <c r="AG39" s="602">
        <f t="shared" si="87"/>
        <v>71.979458786626509</v>
      </c>
      <c r="AH39" s="603">
        <f t="shared" si="88"/>
        <v>152.81513440630951</v>
      </c>
      <c r="AI39" s="585">
        <f t="shared" si="89"/>
        <v>-81.874942639856854</v>
      </c>
      <c r="AJ39" s="586">
        <f t="shared" si="90"/>
        <v>-116.03098499753091</v>
      </c>
      <c r="AK39" s="635">
        <f t="shared" si="211"/>
        <v>0.93415987229563402</v>
      </c>
      <c r="AL39" s="629">
        <f t="shared" si="91"/>
        <v>-0.32767358764667764</v>
      </c>
      <c r="AM39" s="634">
        <f t="shared" si="92"/>
        <v>-0.14133418889766167</v>
      </c>
      <c r="AN39" s="581">
        <f t="shared" si="93"/>
        <v>-66.668199869573399</v>
      </c>
      <c r="AO39" s="582">
        <f t="shared" si="94"/>
        <v>20.907162370160481</v>
      </c>
      <c r="AP39" s="585">
        <f t="shared" si="95"/>
        <v>-19.329248649932509</v>
      </c>
      <c r="AQ39" s="586">
        <f t="shared" si="9"/>
        <v>0.57750800153911475</v>
      </c>
      <c r="AS39" s="52">
        <f t="shared" si="116"/>
        <v>-187.18882428183139</v>
      </c>
      <c r="AT39" s="72">
        <f t="shared" si="10"/>
        <v>-0.5679558579801659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4.1159999999999997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-0.49368657071814365</v>
      </c>
      <c r="C40" s="708">
        <v>-4.1185941251409277</v>
      </c>
      <c r="D40" s="709">
        <v>-1.4662000000000004</v>
      </c>
      <c r="E40" s="710">
        <v>0.86386367092040073</v>
      </c>
      <c r="F40" s="708">
        <v>-0.50344285629589247</v>
      </c>
      <c r="G40" s="711">
        <v>-1.6877455630608638E-2</v>
      </c>
      <c r="H40" s="710">
        <v>0.314</v>
      </c>
      <c r="I40" s="708">
        <v>0.52</v>
      </c>
      <c r="J40" s="570">
        <v>4.1189999999999998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4.1189999999999998</v>
      </c>
      <c r="N40" s="632">
        <f t="shared" si="2"/>
        <v>-0.49368657071814365</v>
      </c>
      <c r="O40" s="629">
        <f t="shared" si="3"/>
        <v>-4.1185941251409277</v>
      </c>
      <c r="P40" s="633">
        <f t="shared" si="4"/>
        <v>-1.4662000000000004</v>
      </c>
      <c r="Q40" s="585">
        <f t="shared" si="113"/>
        <v>263.16469705756072</v>
      </c>
      <c r="R40" s="629">
        <f t="shared" si="79"/>
        <v>4.1480771446240974</v>
      </c>
      <c r="S40" s="634">
        <f t="shared" si="80"/>
        <v>-1.4662000000000004</v>
      </c>
      <c r="T40" s="635">
        <f t="shared" si="81"/>
        <v>-4.1142483754597174</v>
      </c>
      <c r="U40" s="629">
        <f t="shared" si="82"/>
        <v>0.52868166487961443</v>
      </c>
      <c r="V40" s="636">
        <f t="shared" si="114"/>
        <v>-1.4662000000000004</v>
      </c>
      <c r="W40" s="585">
        <f t="shared" si="224"/>
        <v>172.67760912332773</v>
      </c>
      <c r="X40" s="629">
        <f t="shared" si="83"/>
        <v>4.1480771446240974</v>
      </c>
      <c r="Y40" s="630">
        <f t="shared" si="223"/>
        <v>-1.4662000000000004</v>
      </c>
      <c r="Z40" s="632">
        <f t="shared" si="6"/>
        <v>-0.86386367092040073</v>
      </c>
      <c r="AA40" s="629">
        <f t="shared" si="7"/>
        <v>0.50344285629589247</v>
      </c>
      <c r="AB40" s="629">
        <f t="shared" si="8"/>
        <v>1.6877455630608638E-2</v>
      </c>
      <c r="AC40" s="636">
        <f t="shared" si="84"/>
        <v>1</v>
      </c>
      <c r="AD40" s="637">
        <f t="shared" si="115"/>
        <v>-0.86386367092040073</v>
      </c>
      <c r="AE40" s="629">
        <f t="shared" si="85"/>
        <v>0.50344285629589247</v>
      </c>
      <c r="AF40" s="633">
        <f t="shared" si="86"/>
        <v>1.6877455630608638E-2</v>
      </c>
      <c r="AG40" s="602">
        <f t="shared" si="87"/>
        <v>91.920068876242041</v>
      </c>
      <c r="AH40" s="603">
        <f t="shared" si="88"/>
        <v>149.75320352795464</v>
      </c>
      <c r="AI40" s="585">
        <f t="shared" si="89"/>
        <v>-90.967052890854646</v>
      </c>
      <c r="AJ40" s="586">
        <f t="shared" si="90"/>
        <v>-120.23279603764409</v>
      </c>
      <c r="AK40" s="635">
        <f t="shared" si="211"/>
        <v>0.91764127920953809</v>
      </c>
      <c r="AL40" s="629">
        <f t="shared" si="91"/>
        <v>-0.39705117325367467</v>
      </c>
      <c r="AM40" s="634">
        <f t="shared" si="92"/>
        <v>1.6877455630608638E-2</v>
      </c>
      <c r="AN40" s="581">
        <f t="shared" si="93"/>
        <v>-92.434006650903555</v>
      </c>
      <c r="AO40" s="582">
        <f t="shared" si="94"/>
        <v>23.416346894187921</v>
      </c>
      <c r="AP40" s="585">
        <f t="shared" si="95"/>
        <v>-23.397493095204815</v>
      </c>
      <c r="AQ40" s="586">
        <f t="shared" si="9"/>
        <v>0.54956950858617359</v>
      </c>
      <c r="AS40" s="52">
        <f t="shared" si="116"/>
        <v>-187.32239087667227</v>
      </c>
      <c r="AT40" s="72">
        <f t="shared" si="10"/>
        <v>-1.3332631034004165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-0.55954935527303318</v>
      </c>
      <c r="C41" s="708">
        <v>-4.1686442611115355</v>
      </c>
      <c r="D41" s="709">
        <v>-2.1191</v>
      </c>
      <c r="E41" s="710">
        <v>0.79715147046731372</v>
      </c>
      <c r="F41" s="708">
        <v>-0.60355902039739473</v>
      </c>
      <c r="G41" s="711">
        <v>1.631079485300627E-2</v>
      </c>
      <c r="H41" s="710">
        <v>0.26600000000000001</v>
      </c>
      <c r="I41" s="708">
        <v>0.52</v>
      </c>
      <c r="J41" s="570">
        <v>4.1219999999999999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4.1219999999999999</v>
      </c>
      <c r="N41" s="632">
        <f t="shared" ref="N41:N72" si="240">IF(M41="","",B41)</f>
        <v>-0.55954935527303318</v>
      </c>
      <c r="O41" s="629">
        <f t="shared" ref="O41:O72" si="241">IF(M41="","",C41)</f>
        <v>-4.1686442611115355</v>
      </c>
      <c r="P41" s="633">
        <f t="shared" ref="P41:P72" si="242">IF(M41="","",D41)</f>
        <v>-2.1191</v>
      </c>
      <c r="Q41" s="585">
        <f t="shared" si="113"/>
        <v>262.35498956327058</v>
      </c>
      <c r="R41" s="629">
        <f t="shared" si="79"/>
        <v>4.2060302491404657</v>
      </c>
      <c r="S41" s="634">
        <f t="shared" si="80"/>
        <v>-2.1191</v>
      </c>
      <c r="T41" s="635">
        <f t="shared" si="81"/>
        <v>-4.1637367910632568</v>
      </c>
      <c r="U41" s="629">
        <f t="shared" si="82"/>
        <v>0.59496755493965114</v>
      </c>
      <c r="V41" s="636">
        <f t="shared" si="114"/>
        <v>-2.1191</v>
      </c>
      <c r="W41" s="585">
        <f t="shared" si="224"/>
        <v>171.86790162903759</v>
      </c>
      <c r="X41" s="629">
        <f t="shared" si="83"/>
        <v>4.2060302491404657</v>
      </c>
      <c r="Y41" s="630">
        <f t="shared" si="223"/>
        <v>-2.1191</v>
      </c>
      <c r="Z41" s="632">
        <f t="shared" ref="Z41:Z72" si="243">IF(M41="","",-E41)</f>
        <v>-0.79715147046731372</v>
      </c>
      <c r="AA41" s="629">
        <f t="shared" ref="AA41:AA72" si="244">IF(M41="","",-F41)</f>
        <v>0.60355902039739473</v>
      </c>
      <c r="AB41" s="629">
        <f t="shared" ref="AB41:AB72" si="245">IF(M41="","",-G41)</f>
        <v>-1.631079485300627E-2</v>
      </c>
      <c r="AC41" s="636">
        <f t="shared" si="84"/>
        <v>1</v>
      </c>
      <c r="AD41" s="637">
        <f t="shared" si="115"/>
        <v>-0.79715147046731372</v>
      </c>
      <c r="AE41" s="629">
        <f t="shared" si="85"/>
        <v>0.60355902039739473</v>
      </c>
      <c r="AF41" s="633">
        <f t="shared" si="86"/>
        <v>-1.631079485300627E-2</v>
      </c>
      <c r="AG41" s="602">
        <f t="shared" si="87"/>
        <v>88.451995131260006</v>
      </c>
      <c r="AH41" s="603">
        <f t="shared" si="88"/>
        <v>142.85894234117535</v>
      </c>
      <c r="AI41" s="585">
        <f t="shared" si="89"/>
        <v>-89.065418851650819</v>
      </c>
      <c r="AJ41" s="586">
        <f t="shared" si="90"/>
        <v>-127.13099199311114</v>
      </c>
      <c r="AK41" s="635">
        <f t="shared" si="211"/>
        <v>0.87036035085122831</v>
      </c>
      <c r="AL41" s="629">
        <f t="shared" si="91"/>
        <v>-0.4921451184735961</v>
      </c>
      <c r="AM41" s="634">
        <f t="shared" si="92"/>
        <v>-1.631079485300627E-2</v>
      </c>
      <c r="AN41" s="581">
        <f t="shared" si="93"/>
        <v>-88.101783951410539</v>
      </c>
      <c r="AO41" s="582">
        <f t="shared" si="94"/>
        <v>29.499458374816136</v>
      </c>
      <c r="AP41" s="585">
        <f t="shared" si="95"/>
        <v>-29.485981556381716</v>
      </c>
      <c r="AQ41" s="586">
        <f t="shared" ref="AQ41:AQ72" si="246">IF(M41="","",DEGREES(ATAN(($AS$5*SIN(RADIANS(90)))/(($X41*2*PI())-($AS$5*COS(RADIANS(90)))))))</f>
        <v>0.54199767861140913</v>
      </c>
      <c r="AS41" s="52">
        <f t="shared" si="116"/>
        <v>-188.13209837096241</v>
      </c>
      <c r="AT41" s="72">
        <f t="shared" ref="AT41:AT72" si="247">IF(M41="","",Y41+(((AS41-$AS$9)*$AS$6)*-1))</f>
        <v>-1.9856008065293813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-1.0476764085877028</v>
      </c>
      <c r="C42" s="708">
        <v>-2.8896095844270029</v>
      </c>
      <c r="D42" s="709">
        <v>-0.10509999999999972</v>
      </c>
      <c r="E42" s="710">
        <v>0.86228125008336254</v>
      </c>
      <c r="F42" s="708">
        <v>-0.44484241719056028</v>
      </c>
      <c r="G42" s="711">
        <v>0.24204600724393929</v>
      </c>
      <c r="H42" s="710">
        <v>0.26600000000000001</v>
      </c>
      <c r="I42" s="708">
        <v>0.52</v>
      </c>
      <c r="J42" s="570">
        <v>4.2119999999999997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4.2119999999999997</v>
      </c>
      <c r="N42" s="632">
        <f t="shared" si="240"/>
        <v>-1.0476764085877028</v>
      </c>
      <c r="O42" s="629">
        <f t="shared" si="241"/>
        <v>-2.8896095844270029</v>
      </c>
      <c r="P42" s="633">
        <f t="shared" si="242"/>
        <v>-0.10509999999999972</v>
      </c>
      <c r="Q42" s="585">
        <f t="shared" si="113"/>
        <v>250.07103818828577</v>
      </c>
      <c r="R42" s="629">
        <f t="shared" ref="R42:R47" si="385">IF(M42="","",SQRT(N42^2+O42^2))</f>
        <v>3.0736736013317394</v>
      </c>
      <c r="S42" s="634">
        <f t="shared" ref="S42:S47" si="386">IF(M42="","",P42)</f>
        <v>-0.10509999999999972</v>
      </c>
      <c r="T42" s="635">
        <f t="shared" ref="T42:T47" si="387">IF(M42="","",X42*COS(RADIANS(W42)))</f>
        <v>-2.8805986744605243</v>
      </c>
      <c r="U42" s="629">
        <f t="shared" ref="U42:U47" si="388">IF(M42="","",X42*SIN(RADIANS(W42)))</f>
        <v>1.0722036579959495</v>
      </c>
      <c r="V42" s="636">
        <f t="shared" ref="V42:V47" si="389">IF(M42="","",Y42)</f>
        <v>-0.10509999999999972</v>
      </c>
      <c r="W42" s="585">
        <f t="shared" si="224"/>
        <v>159.58395025405281</v>
      </c>
      <c r="X42" s="629">
        <f t="shared" ref="X42:X47" si="390">IF(M42="","",R42)</f>
        <v>3.0736736013317394</v>
      </c>
      <c r="Y42" s="630">
        <f t="shared" si="223"/>
        <v>-0.10509999999999972</v>
      </c>
      <c r="Z42" s="632">
        <f t="shared" si="243"/>
        <v>-0.86228125008336254</v>
      </c>
      <c r="AA42" s="629">
        <f t="shared" si="244"/>
        <v>0.44484241719056028</v>
      </c>
      <c r="AB42" s="629">
        <f t="shared" si="245"/>
        <v>-0.24204600724393929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-0.86228125008336254</v>
      </c>
      <c r="AE42" s="629">
        <f t="shared" ref="AE42:AE47" si="393">IF(M42="","",AA42*(1/SQRT(Z42^2+AA42^2+AB42^2)))</f>
        <v>0.44484241719056028</v>
      </c>
      <c r="AF42" s="633">
        <f t="shared" ref="AF42:AF47" si="394">IF(M42="","",AB42*(1/SQRT(Z42^2+AA42^2+AB42^2)))</f>
        <v>-0.24204600724393929</v>
      </c>
      <c r="AG42" s="602">
        <f t="shared" ref="AG42:AG47" si="395">IF(M42="","",DEGREES(ATAN2(-AF42,AE42)))</f>
        <v>61.448667963499965</v>
      </c>
      <c r="AH42" s="603">
        <f t="shared" ref="AH42:AH47" si="396">IF(M42="","",DEGREES(ACOS(AD42)))</f>
        <v>149.57369458740172</v>
      </c>
      <c r="AI42" s="585">
        <f t="shared" ref="AI42:AI47" si="397">IF(M42="","",DEGREES(-ACOS(-AF42)))</f>
        <v>-75.992671113941654</v>
      </c>
      <c r="AJ42" s="586">
        <f t="shared" ref="AJ42:AJ47" si="398">IF(M42="","",DEGREES(ATAN2(-AE42,AD42)))</f>
        <v>-117.28876402962153</v>
      </c>
      <c r="AK42" s="635">
        <f t="shared" ref="AK42:AK47" si="399">IF(M42="","",(COS(RADIANS((90-$Q$8)-W42))*AD42)+(-SIN(RADIANS((90-$Q$8)-W42))*AE42))</f>
        <v>0.96227103276703363</v>
      </c>
      <c r="AL42" s="629">
        <f t="shared" ref="AL42:AL47" si="400">IF(M42="","",(SIN(RADIANS((90-$Q$8)-W42))*AD42)+(COS(RADIANS((90-$Q$8)-W42))*AE42))</f>
        <v>-0.12429074734159962</v>
      </c>
      <c r="AM42" s="634">
        <f t="shared" ref="AM42:AM47" si="401">IF(M42="","",AF42)</f>
        <v>-0.24204600724393929</v>
      </c>
      <c r="AN42" s="581">
        <f t="shared" ref="AN42:AN47" si="402">IF(M42="","",DEGREES(ATAN2(-AM42,AL42)))</f>
        <v>-27.180521351239538</v>
      </c>
      <c r="AO42" s="582">
        <f t="shared" si="94"/>
        <v>15.788835138661023</v>
      </c>
      <c r="AP42" s="585">
        <f t="shared" ref="AP42:AP47" si="403">IF(M42="","",DEGREES(ATAN2(AK42,AL42)))</f>
        <v>-7.3598022179073181</v>
      </c>
      <c r="AQ42" s="586">
        <f t="shared" si="246"/>
        <v>0.74165301850494003</v>
      </c>
      <c r="AS42" s="52">
        <f t="shared" si="116"/>
        <v>-200.41604974594719</v>
      </c>
      <c r="AT42" s="72">
        <f t="shared" si="247"/>
        <v>3.6929715258802898E-2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4.2119999999999997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3.1120000000000001</v>
      </c>
      <c r="II42" s="734" cm="1">
        <f t="array" ref="II42">IFERROR(ROUND(VALUE(IF($IH42&lt;1,$IH42+LARGE((IF($M$9:$M$150="",0,$M$9:$M$150)-MOD(IF($M$9:$M$150="",0,$M$9:$M$150),1)),1),$IH42)),4),"")</f>
        <v>3.1120000000000001</v>
      </c>
      <c r="IJ42" s="533">
        <f t="shared" si="112"/>
        <v>1613</v>
      </c>
      <c r="IK42" s="533">
        <f t="shared" si="382"/>
        <v>1313</v>
      </c>
      <c r="IL42" s="727">
        <f t="shared" si="225"/>
        <v>80.000040821334778</v>
      </c>
      <c r="IM42" s="759">
        <v>4.6182395027628297E-2</v>
      </c>
      <c r="IN42" s="5">
        <f t="shared" si="226"/>
        <v>0.22</v>
      </c>
      <c r="IO42" s="771">
        <v>110</v>
      </c>
      <c r="IP42" s="9">
        <f t="shared" si="227"/>
        <v>-3.0736591783846379</v>
      </c>
      <c r="IQ42" s="5">
        <f t="shared" si="228"/>
        <v>-0.10510000000000003</v>
      </c>
      <c r="IR42" s="5">
        <f t="shared" si="383"/>
        <v>0.314</v>
      </c>
      <c r="IS42" s="5">
        <f t="shared" si="229"/>
        <v>0.30215307648312412</v>
      </c>
      <c r="IT42" s="727">
        <f t="shared" si="230"/>
        <v>27.180649775805538</v>
      </c>
      <c r="IU42" s="9">
        <f t="shared" si="231"/>
        <v>-3.0736736013317394</v>
      </c>
      <c r="IV42" s="5">
        <f t="shared" si="232"/>
        <v>-0.10509999999999972</v>
      </c>
      <c r="IW42" s="5">
        <f t="shared" si="384"/>
        <v>0.26600000000000001</v>
      </c>
      <c r="IX42" s="5">
        <f t="shared" si="233"/>
        <v>0.25596409471603093</v>
      </c>
      <c r="IY42" s="762">
        <f t="shared" si="234"/>
        <v>27.180521351239538</v>
      </c>
    </row>
    <row r="43" spans="1:267" ht="15" customHeight="1" x14ac:dyDescent="0.25">
      <c r="A43" s="79"/>
      <c r="B43" s="707">
        <v>-1.3631528787918343</v>
      </c>
      <c r="C43" s="708">
        <v>-3.5167302826315359</v>
      </c>
      <c r="D43" s="709">
        <v>-0.49399999999999944</v>
      </c>
      <c r="E43" s="710">
        <v>0.78322206784110948</v>
      </c>
      <c r="F43" s="708">
        <v>-0.59947086880746525</v>
      </c>
      <c r="G43" s="711">
        <v>0.16491776707777556</v>
      </c>
      <c r="H43" s="710">
        <v>0.26600000000000001</v>
      </c>
      <c r="I43" s="708">
        <v>0.52</v>
      </c>
      <c r="J43" s="570">
        <v>4.2149999999999999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4.2149999999999999</v>
      </c>
      <c r="N43" s="632">
        <f t="shared" si="240"/>
        <v>-1.3631528787918343</v>
      </c>
      <c r="O43" s="629">
        <f t="shared" si="241"/>
        <v>-3.5167302826315359</v>
      </c>
      <c r="P43" s="633">
        <f t="shared" si="242"/>
        <v>-0.49399999999999944</v>
      </c>
      <c r="Q43" s="585">
        <f t="shared" si="113"/>
        <v>248.81270279765727</v>
      </c>
      <c r="R43" s="629">
        <f t="shared" si="385"/>
        <v>3.7716810113974573</v>
      </c>
      <c r="S43" s="634">
        <f t="shared" si="386"/>
        <v>-0.49399999999999944</v>
      </c>
      <c r="T43" s="635">
        <f t="shared" si="387"/>
        <v>-3.505014787110674</v>
      </c>
      <c r="U43" s="629">
        <f t="shared" si="388"/>
        <v>1.3929999978003105</v>
      </c>
      <c r="V43" s="636">
        <f t="shared" si="389"/>
        <v>-0.49399999999999944</v>
      </c>
      <c r="W43" s="585">
        <f t="shared" si="224"/>
        <v>158.32561486342428</v>
      </c>
      <c r="X43" s="629">
        <f t="shared" si="390"/>
        <v>3.7716810113974573</v>
      </c>
      <c r="Y43" s="630">
        <f t="shared" si="223"/>
        <v>-0.49399999999999944</v>
      </c>
      <c r="Z43" s="632">
        <f t="shared" si="243"/>
        <v>-0.78322206784110948</v>
      </c>
      <c r="AA43" s="629">
        <f t="shared" si="244"/>
        <v>0.59947086880746525</v>
      </c>
      <c r="AB43" s="629">
        <f t="shared" si="245"/>
        <v>-0.16491776707777556</v>
      </c>
      <c r="AC43" s="636">
        <f t="shared" si="391"/>
        <v>1</v>
      </c>
      <c r="AD43" s="637">
        <f t="shared" si="392"/>
        <v>-0.78322206784110948</v>
      </c>
      <c r="AE43" s="629">
        <f t="shared" si="393"/>
        <v>0.59947086880746525</v>
      </c>
      <c r="AF43" s="633">
        <f t="shared" si="394"/>
        <v>-0.16491776707777556</v>
      </c>
      <c r="AG43" s="602">
        <f t="shared" si="395"/>
        <v>74.61812616976114</v>
      </c>
      <c r="AH43" s="603">
        <f t="shared" si="396"/>
        <v>141.55653898558924</v>
      </c>
      <c r="AI43" s="585">
        <f t="shared" si="397"/>
        <v>-80.507542574227315</v>
      </c>
      <c r="AJ43" s="586">
        <f t="shared" si="398"/>
        <v>-127.43010644280649</v>
      </c>
      <c r="AK43" s="635">
        <f t="shared" si="399"/>
        <v>0.94693883013334479</v>
      </c>
      <c r="AL43" s="629">
        <f t="shared" si="400"/>
        <v>-0.27587856402368943</v>
      </c>
      <c r="AM43" s="634">
        <f t="shared" si="401"/>
        <v>-0.16491776707777556</v>
      </c>
      <c r="AN43" s="581">
        <f t="shared" si="402"/>
        <v>-59.129390887374825</v>
      </c>
      <c r="AO43" s="582">
        <f t="shared" si="94"/>
        <v>18.748449071190805</v>
      </c>
      <c r="AP43" s="585">
        <f t="shared" si="403"/>
        <v>-16.242809240463757</v>
      </c>
      <c r="AQ43" s="586">
        <f t="shared" si="246"/>
        <v>0.60441009236344656</v>
      </c>
      <c r="AS43" s="52">
        <f t="shared" ref="AS43:AS74" si="406">IF(G43="","",IF(AND(W43&lt;(AS42+180),W43&gt;(AS42-180)),W43,IF(W43&gt;(AS42+180),W43-360,IF(W43&lt;(AS42-180),W43+360,"Error"))))</f>
        <v>-201.67438513657572</v>
      </c>
      <c r="AT43" s="72">
        <f t="shared" si="247"/>
        <v>-0.35109644071992702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4.2149999999999999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3.1150000000000002</v>
      </c>
      <c r="II43" s="734" cm="1">
        <f t="array" ref="II43">IFERROR(ROUND(VALUE(IF($IH43&lt;1,$IH43+LARGE((IF($M$9:$M$150="",0,$M$9:$M$150)-MOD(IF($M$9:$M$150="",0,$M$9:$M$150),1)),1),$IH43)),4),"")</f>
        <v>3.1150000000000002</v>
      </c>
      <c r="IJ43" s="533">
        <f t="shared" si="112"/>
        <v>1613</v>
      </c>
      <c r="IK43" s="533">
        <f t="shared" si="382"/>
        <v>1313</v>
      </c>
      <c r="IL43" s="727">
        <f t="shared" si="225"/>
        <v>80.000028447150385</v>
      </c>
      <c r="IM43" s="759">
        <v>4.5440603492467799E-2</v>
      </c>
      <c r="IN43" s="5">
        <f t="shared" si="226"/>
        <v>0.22</v>
      </c>
      <c r="IO43" s="771">
        <v>110</v>
      </c>
      <c r="IP43" s="9">
        <f t="shared" si="227"/>
        <v>-3.7716665438377546</v>
      </c>
      <c r="IQ43" s="5">
        <f t="shared" si="228"/>
        <v>-0.49400000000000038</v>
      </c>
      <c r="IR43" s="5">
        <f t="shared" si="383"/>
        <v>0.314</v>
      </c>
      <c r="IS43" s="5">
        <f t="shared" si="229"/>
        <v>0.29733874965239832</v>
      </c>
      <c r="IT43" s="727">
        <f t="shared" si="230"/>
        <v>59.129433890343307</v>
      </c>
      <c r="IU43" s="9">
        <f t="shared" si="231"/>
        <v>-3.7716810113974573</v>
      </c>
      <c r="IV43" s="5">
        <f t="shared" si="232"/>
        <v>-0.49399999999999944</v>
      </c>
      <c r="IW43" s="5">
        <f t="shared" si="384"/>
        <v>0.26600000000000001</v>
      </c>
      <c r="IX43" s="5">
        <f t="shared" si="233"/>
        <v>0.25188572881546972</v>
      </c>
      <c r="IY43" s="762">
        <f t="shared" si="234"/>
        <v>59.129390887374825</v>
      </c>
    </row>
    <row r="44" spans="1:267" ht="15" customHeight="1" x14ac:dyDescent="0.25">
      <c r="A44" s="79"/>
      <c r="B44" s="707">
        <v>-1.542799402891881</v>
      </c>
      <c r="C44" s="708">
        <v>-3.8504109598482024</v>
      </c>
      <c r="D44" s="709">
        <v>-1.1948000000000001</v>
      </c>
      <c r="E44" s="710">
        <v>0.73054978975133611</v>
      </c>
      <c r="F44" s="708">
        <v>-0.68254081053534288</v>
      </c>
      <c r="G44" s="711">
        <v>2.0857771885700205E-2</v>
      </c>
      <c r="H44" s="710">
        <v>0.26600000000000001</v>
      </c>
      <c r="I44" s="708">
        <v>0.52</v>
      </c>
      <c r="J44" s="570">
        <v>4.218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4.218</v>
      </c>
      <c r="N44" s="632">
        <f t="shared" si="240"/>
        <v>-1.542799402891881</v>
      </c>
      <c r="O44" s="629">
        <f t="shared" si="241"/>
        <v>-3.8504109598482024</v>
      </c>
      <c r="P44" s="633">
        <f t="shared" si="242"/>
        <v>-1.1948000000000001</v>
      </c>
      <c r="Q44" s="585">
        <f t="shared" si="113"/>
        <v>248.1647965776146</v>
      </c>
      <c r="R44" s="629">
        <f t="shared" si="385"/>
        <v>4.1479988617745178</v>
      </c>
      <c r="S44" s="634">
        <f t="shared" si="386"/>
        <v>-1.1948000000000001</v>
      </c>
      <c r="T44" s="635">
        <f t="shared" si="387"/>
        <v>-3.8371561980520421</v>
      </c>
      <c r="U44" s="629">
        <f t="shared" si="388"/>
        <v>1.5754767116760222</v>
      </c>
      <c r="V44" s="636">
        <f t="shared" si="389"/>
        <v>-1.1948000000000001</v>
      </c>
      <c r="W44" s="585">
        <f t="shared" si="224"/>
        <v>157.67770864338161</v>
      </c>
      <c r="X44" s="629">
        <f t="shared" si="390"/>
        <v>4.1479988617745178</v>
      </c>
      <c r="Y44" s="630">
        <f t="shared" si="223"/>
        <v>-1.1948000000000001</v>
      </c>
      <c r="Z44" s="632">
        <f t="shared" si="243"/>
        <v>-0.73054978975133611</v>
      </c>
      <c r="AA44" s="629">
        <f t="shared" si="244"/>
        <v>0.68254081053534288</v>
      </c>
      <c r="AB44" s="629">
        <f t="shared" si="245"/>
        <v>-2.0857771885700205E-2</v>
      </c>
      <c r="AC44" s="636">
        <f t="shared" si="391"/>
        <v>1</v>
      </c>
      <c r="AD44" s="637">
        <f t="shared" si="392"/>
        <v>-0.73054978975133611</v>
      </c>
      <c r="AE44" s="629">
        <f t="shared" si="393"/>
        <v>0.68254081053534288</v>
      </c>
      <c r="AF44" s="633">
        <f t="shared" si="394"/>
        <v>-2.0857771885700205E-2</v>
      </c>
      <c r="AG44" s="602">
        <f t="shared" si="395"/>
        <v>88.24964238806983</v>
      </c>
      <c r="AH44" s="603">
        <f t="shared" si="396"/>
        <v>136.9325046872307</v>
      </c>
      <c r="AI44" s="585">
        <f t="shared" si="397"/>
        <v>-88.804851032626644</v>
      </c>
      <c r="AJ44" s="586">
        <f t="shared" si="398"/>
        <v>-133.05415571307361</v>
      </c>
      <c r="AK44" s="635">
        <f t="shared" si="399"/>
        <v>0.93200133388242024</v>
      </c>
      <c r="AL44" s="629">
        <f t="shared" si="400"/>
        <v>-0.36185420682003067</v>
      </c>
      <c r="AM44" s="634">
        <f t="shared" si="401"/>
        <v>-2.0857771885700205E-2</v>
      </c>
      <c r="AN44" s="581">
        <f t="shared" si="402"/>
        <v>-86.701043220076784</v>
      </c>
      <c r="AO44" s="582">
        <f t="shared" si="94"/>
        <v>21.251033120529819</v>
      </c>
      <c r="AP44" s="585">
        <f t="shared" si="403"/>
        <v>-21.218952290688193</v>
      </c>
      <c r="AQ44" s="586">
        <f t="shared" si="246"/>
        <v>0.54957987966626143</v>
      </c>
      <c r="AS44" s="52">
        <f t="shared" si="406"/>
        <v>-202.32229135661839</v>
      </c>
      <c r="AT44" s="72">
        <f t="shared" si="247"/>
        <v>-1.0514465058448981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>Gage</v>
      </c>
      <c r="IG44" s="847">
        <f t="shared" si="210"/>
        <v>4.218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3.1179999999999999</v>
      </c>
      <c r="II44" s="734" cm="1">
        <f t="array" ref="II44">IFERROR(ROUND(VALUE(IF($IH44&lt;1,$IH44+LARGE((IF($M$9:$M$150="",0,$M$9:$M$150)-MOD(IF($M$9:$M$150="",0,$M$9:$M$150),1)),1),$IH44)),4),"")</f>
        <v>3.1179999999999999</v>
      </c>
      <c r="IJ44" s="533">
        <f t="shared" si="112"/>
        <v>1613</v>
      </c>
      <c r="IK44" s="533">
        <f t="shared" si="382"/>
        <v>1313</v>
      </c>
      <c r="IL44" s="727">
        <f t="shared" si="225"/>
        <v>80.000023604930618</v>
      </c>
      <c r="IM44" s="759">
        <v>4.4721553421396797E-2</v>
      </c>
      <c r="IN44" s="5">
        <f t="shared" si="226"/>
        <v>0.24</v>
      </c>
      <c r="IO44" s="771">
        <v>120</v>
      </c>
      <c r="IP44" s="9">
        <f t="shared" si="227"/>
        <v>-4.1479843739643902</v>
      </c>
      <c r="IQ44" s="5">
        <f t="shared" si="228"/>
        <v>-1.1948000000000005</v>
      </c>
      <c r="IR44" s="5">
        <f t="shared" si="383"/>
        <v>0.314</v>
      </c>
      <c r="IS44" s="5">
        <f t="shared" si="229"/>
        <v>0.29264837202854538</v>
      </c>
      <c r="IT44" s="727">
        <f t="shared" si="230"/>
        <v>86.701046712918199</v>
      </c>
      <c r="IU44" s="9">
        <f t="shared" si="231"/>
        <v>-4.1479988617745178</v>
      </c>
      <c r="IV44" s="5">
        <f t="shared" si="232"/>
        <v>-1.1948000000000001</v>
      </c>
      <c r="IW44" s="5">
        <f t="shared" si="384"/>
        <v>0.26600000000000001</v>
      </c>
      <c r="IX44" s="5">
        <f t="shared" si="233"/>
        <v>0.24791235481272381</v>
      </c>
      <c r="IY44" s="762">
        <f t="shared" si="234"/>
        <v>86.701043220076784</v>
      </c>
    </row>
    <row r="45" spans="1:267" ht="15" customHeight="1" x14ac:dyDescent="0.25">
      <c r="A45" s="79"/>
      <c r="B45" s="707">
        <v>-0.45753029850165511</v>
      </c>
      <c r="C45" s="708">
        <v>-0.29124790341389978</v>
      </c>
      <c r="D45" s="709">
        <v>-0.50869999999999982</v>
      </c>
      <c r="E45" s="710">
        <v>0.47685847537411308</v>
      </c>
      <c r="F45" s="708">
        <v>-0.82594310736779719</v>
      </c>
      <c r="G45" s="711">
        <v>0.30070579950427317</v>
      </c>
      <c r="H45" s="710">
        <v>0.314</v>
      </c>
      <c r="I45" s="708">
        <v>0.52</v>
      </c>
      <c r="J45" s="570">
        <v>5.1020000000000003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5.1020000000000003</v>
      </c>
      <c r="N45" s="632">
        <f t="shared" si="240"/>
        <v>-0.45753029850165511</v>
      </c>
      <c r="O45" s="629">
        <f t="shared" si="241"/>
        <v>-0.29124790341389978</v>
      </c>
      <c r="P45" s="633">
        <f t="shared" si="242"/>
        <v>-0.50869999999999982</v>
      </c>
      <c r="Q45" s="585">
        <f t="shared" si="113"/>
        <v>212.47941486669316</v>
      </c>
      <c r="R45" s="629">
        <f t="shared" si="385"/>
        <v>0.54236455939709582</v>
      </c>
      <c r="S45" s="634">
        <f t="shared" si="386"/>
        <v>-0.50869999999999982</v>
      </c>
      <c r="T45" s="635">
        <f t="shared" si="387"/>
        <v>-0.28734782888133187</v>
      </c>
      <c r="U45" s="629">
        <f t="shared" si="388"/>
        <v>0.45998971784942183</v>
      </c>
      <c r="V45" s="636">
        <f t="shared" si="389"/>
        <v>-0.50869999999999982</v>
      </c>
      <c r="W45" s="585">
        <f t="shared" si="224"/>
        <v>121.99232693246019</v>
      </c>
      <c r="X45" s="629">
        <f t="shared" si="390"/>
        <v>0.54236455939709582</v>
      </c>
      <c r="Y45" s="630">
        <f t="shared" si="223"/>
        <v>-0.50869999999999982</v>
      </c>
      <c r="Z45" s="632">
        <f t="shared" si="243"/>
        <v>-0.47685847537411308</v>
      </c>
      <c r="AA45" s="629">
        <f t="shared" si="244"/>
        <v>0.82594310736779719</v>
      </c>
      <c r="AB45" s="629">
        <f t="shared" si="245"/>
        <v>-0.30070579950427317</v>
      </c>
      <c r="AC45" s="636">
        <f t="shared" si="391"/>
        <v>1</v>
      </c>
      <c r="AD45" s="637">
        <f t="shared" si="392"/>
        <v>-0.47685847537411308</v>
      </c>
      <c r="AE45" s="629">
        <f t="shared" si="393"/>
        <v>0.82594310736779719</v>
      </c>
      <c r="AF45" s="633">
        <f t="shared" si="394"/>
        <v>-0.30070579950427317</v>
      </c>
      <c r="AG45" s="602">
        <f t="shared" si="395"/>
        <v>69.994665253519855</v>
      </c>
      <c r="AH45" s="603">
        <f t="shared" si="396"/>
        <v>118.48042429875284</v>
      </c>
      <c r="AI45" s="585">
        <f t="shared" si="397"/>
        <v>-72.5</v>
      </c>
      <c r="AJ45" s="586">
        <f t="shared" si="398"/>
        <v>-150.00000000000003</v>
      </c>
      <c r="AK45" s="635">
        <f t="shared" si="399"/>
        <v>0.95282410821919039</v>
      </c>
      <c r="AL45" s="629">
        <f t="shared" si="400"/>
        <v>-4.1258222705306269E-2</v>
      </c>
      <c r="AM45" s="634">
        <f t="shared" si="401"/>
        <v>-0.30070579950427317</v>
      </c>
      <c r="AN45" s="581">
        <f t="shared" si="402"/>
        <v>-7.8124654334482191</v>
      </c>
      <c r="AO45" s="582">
        <f t="shared" si="94"/>
        <v>17.669326819507649</v>
      </c>
      <c r="AP45" s="585">
        <f t="shared" si="403"/>
        <v>-2.4794148666932068</v>
      </c>
      <c r="AQ45" s="586">
        <f t="shared" si="246"/>
        <v>4.1957940938069607</v>
      </c>
      <c r="AS45" s="52">
        <f t="shared" si="406"/>
        <v>-238.00767306753983</v>
      </c>
      <c r="AT45" s="72">
        <f t="shared" si="247"/>
        <v>-0.34056499076786895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5.1020000000000003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-1.1078287742033901</v>
      </c>
      <c r="C46" s="708">
        <v>-0.66669790341389989</v>
      </c>
      <c r="D46" s="709">
        <v>-0.34220000000000012</v>
      </c>
      <c r="E46" s="710">
        <v>0.48296291314453366</v>
      </c>
      <c r="F46" s="708">
        <v>-0.83651630373780828</v>
      </c>
      <c r="G46" s="711">
        <v>0.25881904510252074</v>
      </c>
      <c r="H46" s="710">
        <v>0.314</v>
      </c>
      <c r="I46" s="708">
        <v>0.52</v>
      </c>
      <c r="J46" s="570">
        <v>5.1050000000000004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5.1050000000000004</v>
      </c>
      <c r="N46" s="632">
        <f t="shared" si="240"/>
        <v>-1.1078287742033901</v>
      </c>
      <c r="O46" s="629">
        <f t="shared" si="241"/>
        <v>-0.66669790341389989</v>
      </c>
      <c r="P46" s="633">
        <f t="shared" si="242"/>
        <v>-0.34220000000000012</v>
      </c>
      <c r="Q46" s="585">
        <f t="shared" si="113"/>
        <v>211.03977754635559</v>
      </c>
      <c r="R46" s="629">
        <f t="shared" si="385"/>
        <v>1.2929697163388922</v>
      </c>
      <c r="S46" s="634">
        <f t="shared" si="386"/>
        <v>-0.34220000000000012</v>
      </c>
      <c r="T46" s="635">
        <f t="shared" si="387"/>
        <v>-0.6572559535538256</v>
      </c>
      <c r="U46" s="629">
        <f t="shared" si="388"/>
        <v>1.1134564647472873</v>
      </c>
      <c r="V46" s="636">
        <f t="shared" si="389"/>
        <v>-0.34220000000000012</v>
      </c>
      <c r="W46" s="585">
        <f t="shared" si="224"/>
        <v>120.55268961212262</v>
      </c>
      <c r="X46" s="629">
        <f t="shared" si="390"/>
        <v>1.2929697163388922</v>
      </c>
      <c r="Y46" s="630">
        <f t="shared" si="223"/>
        <v>-0.34220000000000012</v>
      </c>
      <c r="Z46" s="632">
        <f t="shared" si="243"/>
        <v>-0.48296291314453366</v>
      </c>
      <c r="AA46" s="629">
        <f t="shared" si="244"/>
        <v>0.83651630373780828</v>
      </c>
      <c r="AB46" s="629">
        <f t="shared" si="245"/>
        <v>-0.25881904510252074</v>
      </c>
      <c r="AC46" s="636">
        <f t="shared" si="391"/>
        <v>1</v>
      </c>
      <c r="AD46" s="637">
        <f t="shared" si="392"/>
        <v>-0.48296291314453366</v>
      </c>
      <c r="AE46" s="629">
        <f t="shared" si="393"/>
        <v>0.83651630373780828</v>
      </c>
      <c r="AF46" s="633">
        <f t="shared" si="394"/>
        <v>-0.25881904510252074</v>
      </c>
      <c r="AG46" s="602">
        <f t="shared" si="395"/>
        <v>72.807876265979033</v>
      </c>
      <c r="AH46" s="603">
        <f t="shared" si="396"/>
        <v>118.87909401742758</v>
      </c>
      <c r="AI46" s="585">
        <f t="shared" si="397"/>
        <v>-75</v>
      </c>
      <c r="AJ46" s="586">
        <f t="shared" si="398"/>
        <v>-150.00000000000003</v>
      </c>
      <c r="AK46" s="635">
        <f t="shared" si="399"/>
        <v>0.96576677489934815</v>
      </c>
      <c r="AL46" s="629">
        <f t="shared" si="400"/>
        <v>-1.7528217043711714E-2</v>
      </c>
      <c r="AM46" s="634">
        <f t="shared" si="401"/>
        <v>-0.25881904510252074</v>
      </c>
      <c r="AN46" s="581">
        <f t="shared" si="402"/>
        <v>-3.8743735722633046</v>
      </c>
      <c r="AO46" s="582">
        <f t="shared" si="94"/>
        <v>15.035169543876924</v>
      </c>
      <c r="AP46" s="585">
        <f t="shared" si="403"/>
        <v>-1.0397775463556231</v>
      </c>
      <c r="AQ46" s="586">
        <f t="shared" si="246"/>
        <v>1.762614691331351</v>
      </c>
      <c r="AS46" s="52">
        <f t="shared" si="406"/>
        <v>-239.44731038787739</v>
      </c>
      <c r="AT46" s="72">
        <f t="shared" si="247"/>
        <v>-0.17306524262874598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5.1050000000000004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-1.7579540448243687</v>
      </c>
      <c r="C47" s="708">
        <v>-1.0420479034139001</v>
      </c>
      <c r="D47" s="709">
        <v>-0.17580000000000001</v>
      </c>
      <c r="E47" s="710">
        <v>0.4829629131445336</v>
      </c>
      <c r="F47" s="708">
        <v>-0.83651630373780828</v>
      </c>
      <c r="G47" s="711">
        <v>0.25881904510252074</v>
      </c>
      <c r="H47" s="710">
        <v>0.314</v>
      </c>
      <c r="I47" s="708">
        <v>0.52</v>
      </c>
      <c r="J47" s="570">
        <v>5.1079999999999997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5.1079999999999997</v>
      </c>
      <c r="N47" s="632">
        <f t="shared" si="240"/>
        <v>-1.7579540448243687</v>
      </c>
      <c r="O47" s="629">
        <f t="shared" si="241"/>
        <v>-1.0420479034139001</v>
      </c>
      <c r="P47" s="633">
        <f t="shared" si="242"/>
        <v>-0.17580000000000001</v>
      </c>
      <c r="Q47" s="585">
        <f t="shared" si="113"/>
        <v>210.65784018866884</v>
      </c>
      <c r="R47" s="629">
        <f t="shared" si="385"/>
        <v>2.0435915092610029</v>
      </c>
      <c r="S47" s="634">
        <f t="shared" si="386"/>
        <v>-0.17580000000000001</v>
      </c>
      <c r="T47" s="635">
        <f t="shared" si="387"/>
        <v>-1.0270655542884672</v>
      </c>
      <c r="U47" s="629">
        <f t="shared" si="388"/>
        <v>1.7667491627047081</v>
      </c>
      <c r="V47" s="636">
        <f t="shared" si="389"/>
        <v>-0.17580000000000001</v>
      </c>
      <c r="W47" s="585">
        <f t="shared" si="224"/>
        <v>120.17075225443587</v>
      </c>
      <c r="X47" s="629">
        <f t="shared" si="390"/>
        <v>2.0435915092610029</v>
      </c>
      <c r="Y47" s="630">
        <f t="shared" si="223"/>
        <v>-0.17580000000000001</v>
      </c>
      <c r="Z47" s="632">
        <f t="shared" si="243"/>
        <v>-0.4829629131445336</v>
      </c>
      <c r="AA47" s="629">
        <f t="shared" si="244"/>
        <v>0.83651630373780828</v>
      </c>
      <c r="AB47" s="629">
        <f t="shared" si="245"/>
        <v>-0.25881904510252074</v>
      </c>
      <c r="AC47" s="636">
        <f t="shared" si="391"/>
        <v>1</v>
      </c>
      <c r="AD47" s="637">
        <f t="shared" si="392"/>
        <v>-0.4829629131445336</v>
      </c>
      <c r="AE47" s="629">
        <f t="shared" si="393"/>
        <v>0.83651630373780828</v>
      </c>
      <c r="AF47" s="633">
        <f t="shared" si="394"/>
        <v>-0.25881904510252074</v>
      </c>
      <c r="AG47" s="602">
        <f t="shared" si="395"/>
        <v>72.807876265979033</v>
      </c>
      <c r="AH47" s="603">
        <f t="shared" si="396"/>
        <v>118.87909401742758</v>
      </c>
      <c r="AI47" s="585">
        <f t="shared" si="397"/>
        <v>-75</v>
      </c>
      <c r="AJ47" s="586">
        <f t="shared" si="398"/>
        <v>-150.00000000000003</v>
      </c>
      <c r="AK47" s="635">
        <f t="shared" si="399"/>
        <v>0.96586216073099185</v>
      </c>
      <c r="AL47" s="629">
        <f t="shared" si="400"/>
        <v>-1.1090011734845584E-2</v>
      </c>
      <c r="AM47" s="634">
        <f t="shared" si="401"/>
        <v>-0.25881904510252074</v>
      </c>
      <c r="AN47" s="581">
        <f t="shared" si="402"/>
        <v>-2.4535382405159911</v>
      </c>
      <c r="AO47" s="582">
        <f t="shared" si="94"/>
        <v>15.014087429201769</v>
      </c>
      <c r="AP47" s="585">
        <f t="shared" si="403"/>
        <v>-0.65784018866886729</v>
      </c>
      <c r="AQ47" s="586">
        <f t="shared" si="246"/>
        <v>1.1154081527804416</v>
      </c>
      <c r="AS47" s="52">
        <f t="shared" si="406"/>
        <v>-239.82924774556415</v>
      </c>
      <c r="AT47" s="72">
        <f t="shared" si="247"/>
        <v>-6.40000835257451E-3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5.1079999999999997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-2.4267419396885468</v>
      </c>
      <c r="C48" s="708">
        <v>-1.4184732900221104</v>
      </c>
      <c r="D48" s="709">
        <v>-6.5299999999999969E-2</v>
      </c>
      <c r="E48" s="710">
        <v>0.43012418311020251</v>
      </c>
      <c r="F48" s="708">
        <v>-0.86529450676716702</v>
      </c>
      <c r="G48" s="711">
        <v>0.25740746621329025</v>
      </c>
      <c r="H48" s="710">
        <v>0.314</v>
      </c>
      <c r="I48" s="708">
        <v>0.52</v>
      </c>
      <c r="J48" s="570">
        <v>5.1109999999999998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5.1109999999999998</v>
      </c>
      <c r="N48" s="632">
        <f t="shared" si="240"/>
        <v>-2.4267419396885468</v>
      </c>
      <c r="O48" s="629">
        <f t="shared" si="241"/>
        <v>-1.4184732900221104</v>
      </c>
      <c r="P48" s="633">
        <f t="shared" si="242"/>
        <v>-6.5299999999999969E-2</v>
      </c>
      <c r="Q48" s="585">
        <f t="shared" si="113"/>
        <v>210.30703601639243</v>
      </c>
      <c r="R48" s="629">
        <f t="shared" si="79"/>
        <v>2.8108971728523762</v>
      </c>
      <c r="S48" s="634">
        <f t="shared" si="80"/>
        <v>-6.5299999999999969E-2</v>
      </c>
      <c r="T48" s="635">
        <f t="shared" si="81"/>
        <v>-1.3977918483352501</v>
      </c>
      <c r="U48" s="629">
        <f t="shared" si="82"/>
        <v>2.4387129525790869</v>
      </c>
      <c r="V48" s="636">
        <f t="shared" si="114"/>
        <v>-6.5299999999999969E-2</v>
      </c>
      <c r="W48" s="585">
        <f t="shared" si="224"/>
        <v>119.81994808215946</v>
      </c>
      <c r="X48" s="629">
        <f t="shared" si="83"/>
        <v>2.8108971728523762</v>
      </c>
      <c r="Y48" s="630">
        <f t="shared" si="223"/>
        <v>-6.5299999999999969E-2</v>
      </c>
      <c r="Z48" s="632">
        <f t="shared" si="243"/>
        <v>-0.43012418311020251</v>
      </c>
      <c r="AA48" s="629">
        <f t="shared" si="244"/>
        <v>0.86529450676716702</v>
      </c>
      <c r="AB48" s="629">
        <f t="shared" si="245"/>
        <v>-0.25740746621329025</v>
      </c>
      <c r="AC48" s="636">
        <f t="shared" si="84"/>
        <v>1</v>
      </c>
      <c r="AD48" s="637">
        <f t="shared" si="115"/>
        <v>-0.43012418311020251</v>
      </c>
      <c r="AE48" s="629">
        <f t="shared" si="85"/>
        <v>0.86529450676716702</v>
      </c>
      <c r="AF48" s="633">
        <f t="shared" si="86"/>
        <v>-0.25740746621329025</v>
      </c>
      <c r="AG48" s="602">
        <f t="shared" si="87"/>
        <v>73.433332009711918</v>
      </c>
      <c r="AH48" s="603">
        <f t="shared" si="88"/>
        <v>115.47544137146508</v>
      </c>
      <c r="AI48" s="585">
        <f t="shared" si="89"/>
        <v>-75.083714205373028</v>
      </c>
      <c r="AJ48" s="586">
        <f t="shared" si="90"/>
        <v>-153.56875743341874</v>
      </c>
      <c r="AK48" s="635">
        <f t="shared" si="211"/>
        <v>0.96409294550552527</v>
      </c>
      <c r="AL48" s="629">
        <f t="shared" si="91"/>
        <v>-6.5316068192552368E-2</v>
      </c>
      <c r="AM48" s="634">
        <f t="shared" si="92"/>
        <v>-0.25740746621329025</v>
      </c>
      <c r="AN48" s="581">
        <f t="shared" si="93"/>
        <v>-14.238059665005768</v>
      </c>
      <c r="AO48" s="582">
        <f t="shared" si="94"/>
        <v>15.400530480730872</v>
      </c>
      <c r="AP48" s="585">
        <f t="shared" si="95"/>
        <v>-3.8757934498111712</v>
      </c>
      <c r="AQ48" s="586">
        <f t="shared" si="246"/>
        <v>0.81097750929779189</v>
      </c>
      <c r="AS48" s="52">
        <f t="shared" si="406"/>
        <v>-240.18005191784056</v>
      </c>
      <c r="AT48" s="72">
        <f t="shared" si="247"/>
        <v>0.10434360565595083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5.1109999999999998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-3.1119895179306609</v>
      </c>
      <c r="C49" s="708">
        <v>-1.7335896687432402</v>
      </c>
      <c r="D49" s="709">
        <v>-0.32210000000000027</v>
      </c>
      <c r="E49" s="710">
        <v>0.25627838236473915</v>
      </c>
      <c r="F49" s="708">
        <v>-0.9425241552237229</v>
      </c>
      <c r="G49" s="711">
        <v>0.21440524142921569</v>
      </c>
      <c r="H49" s="710">
        <v>0.314</v>
      </c>
      <c r="I49" s="708">
        <v>0.52</v>
      </c>
      <c r="J49" s="570">
        <v>5.1139999999999999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5.1139999999999999</v>
      </c>
      <c r="N49" s="632">
        <f t="shared" si="240"/>
        <v>-3.1119895179306609</v>
      </c>
      <c r="O49" s="629">
        <f t="shared" si="241"/>
        <v>-1.7335896687432402</v>
      </c>
      <c r="P49" s="633">
        <f t="shared" si="242"/>
        <v>-0.32210000000000027</v>
      </c>
      <c r="Q49" s="585">
        <f t="shared" si="113"/>
        <v>209.12077884791404</v>
      </c>
      <c r="R49" s="629">
        <f t="shared" si="79"/>
        <v>3.5622762244502608</v>
      </c>
      <c r="S49" s="634">
        <f t="shared" si="80"/>
        <v>-0.32210000000000027</v>
      </c>
      <c r="T49" s="635">
        <f t="shared" si="81"/>
        <v>-1.7070714231142996</v>
      </c>
      <c r="U49" s="629">
        <f t="shared" si="82"/>
        <v>3.1266146317814938</v>
      </c>
      <c r="V49" s="636">
        <f t="shared" si="114"/>
        <v>-0.32210000000000027</v>
      </c>
      <c r="W49" s="585">
        <f t="shared" si="224"/>
        <v>118.63369091368106</v>
      </c>
      <c r="X49" s="629">
        <f t="shared" si="83"/>
        <v>3.5622762244502608</v>
      </c>
      <c r="Y49" s="630">
        <f t="shared" si="223"/>
        <v>-0.32210000000000027</v>
      </c>
      <c r="Z49" s="632">
        <f t="shared" si="243"/>
        <v>-0.25627838236473915</v>
      </c>
      <c r="AA49" s="629">
        <f t="shared" si="244"/>
        <v>0.9425241552237229</v>
      </c>
      <c r="AB49" s="629">
        <f t="shared" si="245"/>
        <v>-0.21440524142921569</v>
      </c>
      <c r="AC49" s="636">
        <f t="shared" si="84"/>
        <v>1</v>
      </c>
      <c r="AD49" s="637">
        <f t="shared" si="115"/>
        <v>-0.25627838236473915</v>
      </c>
      <c r="AE49" s="629">
        <f t="shared" si="85"/>
        <v>0.9425241552237229</v>
      </c>
      <c r="AF49" s="633">
        <f t="shared" si="86"/>
        <v>-0.21440524142921569</v>
      </c>
      <c r="AG49" s="602">
        <f t="shared" si="87"/>
        <v>77.184450747933425</v>
      </c>
      <c r="AH49" s="603">
        <f t="shared" si="88"/>
        <v>104.84934851684353</v>
      </c>
      <c r="AI49" s="585">
        <f t="shared" si="89"/>
        <v>-77.619363524302884</v>
      </c>
      <c r="AJ49" s="586">
        <f t="shared" si="90"/>
        <v>-164.78866502166028</v>
      </c>
      <c r="AK49" s="635">
        <f t="shared" si="211"/>
        <v>0.9481035817102107</v>
      </c>
      <c r="AL49" s="629">
        <f t="shared" si="91"/>
        <v>-0.23479776573883696</v>
      </c>
      <c r="AM49" s="634">
        <f t="shared" si="92"/>
        <v>-0.21440524142921569</v>
      </c>
      <c r="AN49" s="581">
        <f t="shared" si="93"/>
        <v>-47.599278931272814</v>
      </c>
      <c r="AO49" s="582">
        <f t="shared" si="94"/>
        <v>18.539697626844493</v>
      </c>
      <c r="AP49" s="585">
        <f t="shared" si="95"/>
        <v>-13.909443869574307</v>
      </c>
      <c r="AQ49" s="586">
        <f t="shared" si="246"/>
        <v>0.63993685256977351</v>
      </c>
      <c r="AS49" s="52">
        <f t="shared" si="406"/>
        <v>-241.36630908631895</v>
      </c>
      <c r="AT49" s="72">
        <f t="shared" si="247"/>
        <v>-0.15163260464371728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5.1139999999999999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-3.5999129847121338</v>
      </c>
      <c r="C50" s="708">
        <v>-1.9250814340725808</v>
      </c>
      <c r="D50" s="709">
        <v>-0.93579999999999974</v>
      </c>
      <c r="E50" s="710">
        <v>0.13103900472110849</v>
      </c>
      <c r="F50" s="708">
        <v>-0.98818789671355389</v>
      </c>
      <c r="G50" s="711">
        <v>7.9457284313924612E-2</v>
      </c>
      <c r="H50" s="710">
        <v>0.314</v>
      </c>
      <c r="I50" s="708">
        <v>0.52</v>
      </c>
      <c r="J50" s="570">
        <v>5.117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5.117</v>
      </c>
      <c r="N50" s="632">
        <f t="shared" si="240"/>
        <v>-3.5999129847121338</v>
      </c>
      <c r="O50" s="629">
        <f t="shared" si="241"/>
        <v>-1.9250814340725808</v>
      </c>
      <c r="P50" s="633">
        <f t="shared" si="242"/>
        <v>-0.93579999999999974</v>
      </c>
      <c r="Q50" s="585">
        <f t="shared" si="113"/>
        <v>208.13598975248584</v>
      </c>
      <c r="R50" s="629">
        <f t="shared" si="79"/>
        <v>4.0823169922618661</v>
      </c>
      <c r="S50" s="634">
        <f t="shared" si="80"/>
        <v>-0.93579999999999974</v>
      </c>
      <c r="T50" s="635">
        <f t="shared" si="81"/>
        <v>-1.8944083407016723</v>
      </c>
      <c r="U50" s="629">
        <f t="shared" si="82"/>
        <v>3.6161483741668987</v>
      </c>
      <c r="V50" s="636">
        <f t="shared" si="114"/>
        <v>-0.93579999999999974</v>
      </c>
      <c r="W50" s="585">
        <f t="shared" si="224"/>
        <v>117.64890181825287</v>
      </c>
      <c r="X50" s="629">
        <f t="shared" si="83"/>
        <v>4.0823169922618661</v>
      </c>
      <c r="Y50" s="630">
        <f t="shared" si="223"/>
        <v>-0.93579999999999974</v>
      </c>
      <c r="Z50" s="632">
        <f t="shared" si="243"/>
        <v>-0.13103900472110849</v>
      </c>
      <c r="AA50" s="629">
        <f t="shared" si="244"/>
        <v>0.98818789671355389</v>
      </c>
      <c r="AB50" s="629">
        <f t="shared" si="245"/>
        <v>-7.9457284313924612E-2</v>
      </c>
      <c r="AC50" s="636">
        <f t="shared" si="84"/>
        <v>1</v>
      </c>
      <c r="AD50" s="637">
        <f t="shared" si="115"/>
        <v>-0.13103900472110849</v>
      </c>
      <c r="AE50" s="629">
        <f t="shared" si="85"/>
        <v>0.98818789671355389</v>
      </c>
      <c r="AF50" s="633">
        <f t="shared" si="86"/>
        <v>-7.9457284313924612E-2</v>
      </c>
      <c r="AG50" s="602">
        <f t="shared" si="87"/>
        <v>85.402904941269142</v>
      </c>
      <c r="AH50" s="603">
        <f t="shared" si="88"/>
        <v>97.529636538457851</v>
      </c>
      <c r="AI50" s="585">
        <f t="shared" si="89"/>
        <v>-85.442628887707727</v>
      </c>
      <c r="AJ50" s="586">
        <f t="shared" si="90"/>
        <v>-172.44634218007673</v>
      </c>
      <c r="AK50" s="635">
        <f t="shared" si="211"/>
        <v>0.93320807841814835</v>
      </c>
      <c r="AL50" s="629">
        <f t="shared" si="91"/>
        <v>-0.35044146778679475</v>
      </c>
      <c r="AM50" s="634">
        <f t="shared" si="92"/>
        <v>-7.9457284313924612E-2</v>
      </c>
      <c r="AN50" s="581">
        <f t="shared" si="93"/>
        <v>-77.225043226568232</v>
      </c>
      <c r="AO50" s="582">
        <f t="shared" si="94"/>
        <v>21.05945058054143</v>
      </c>
      <c r="AP50" s="585">
        <f t="shared" si="95"/>
        <v>-20.582331932562578</v>
      </c>
      <c r="AQ50" s="586">
        <f t="shared" si="246"/>
        <v>0.55842171292257492</v>
      </c>
      <c r="AS50" s="52">
        <f t="shared" si="406"/>
        <v>-242.35109818174715</v>
      </c>
      <c r="AT50" s="72">
        <f t="shared" si="247"/>
        <v>-0.76464872332744716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-3.7362118661911863</v>
      </c>
      <c r="C51" s="708">
        <v>-1.9316048463360536</v>
      </c>
      <c r="D51" s="709">
        <v>-1.6243000000000003</v>
      </c>
      <c r="E51" s="710">
        <v>-3.7179305744949653E-2</v>
      </c>
      <c r="F51" s="708">
        <v>-0.99917548868834183</v>
      </c>
      <c r="G51" s="711">
        <v>1.6310794853005902E-2</v>
      </c>
      <c r="H51" s="710">
        <v>0.26600000000000001</v>
      </c>
      <c r="I51" s="708">
        <v>0.52</v>
      </c>
      <c r="J51" s="570">
        <v>5.12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5.12</v>
      </c>
      <c r="N51" s="632">
        <f t="shared" si="240"/>
        <v>-3.7362118661911863</v>
      </c>
      <c r="O51" s="629">
        <f t="shared" si="241"/>
        <v>-1.9316048463360536</v>
      </c>
      <c r="P51" s="633">
        <f t="shared" si="242"/>
        <v>-1.6243000000000003</v>
      </c>
      <c r="Q51" s="585">
        <f t="shared" si="113"/>
        <v>207.3387618379848</v>
      </c>
      <c r="R51" s="629">
        <f t="shared" si="79"/>
        <v>4.2059929138619285</v>
      </c>
      <c r="S51" s="634">
        <f t="shared" si="80"/>
        <v>-1.6243000000000003</v>
      </c>
      <c r="T51" s="635">
        <f t="shared" si="81"/>
        <v>-1.8997728151212461</v>
      </c>
      <c r="U51" s="629">
        <f t="shared" si="82"/>
        <v>3.7524977871256704</v>
      </c>
      <c r="V51" s="636">
        <f t="shared" si="114"/>
        <v>-1.6243000000000003</v>
      </c>
      <c r="W51" s="585">
        <f t="shared" si="224"/>
        <v>116.85167390375183</v>
      </c>
      <c r="X51" s="629">
        <f t="shared" si="83"/>
        <v>4.2059929138619285</v>
      </c>
      <c r="Y51" s="630">
        <f t="shared" si="223"/>
        <v>-1.6243000000000003</v>
      </c>
      <c r="Z51" s="632">
        <f t="shared" si="243"/>
        <v>3.7179305744949653E-2</v>
      </c>
      <c r="AA51" s="629">
        <f t="shared" si="244"/>
        <v>0.99917548868834183</v>
      </c>
      <c r="AB51" s="629">
        <f t="shared" si="245"/>
        <v>-1.6310794853005902E-2</v>
      </c>
      <c r="AC51" s="636">
        <f t="shared" si="84"/>
        <v>1</v>
      </c>
      <c r="AD51" s="637">
        <f t="shared" si="115"/>
        <v>3.7179305744949653E-2</v>
      </c>
      <c r="AE51" s="629">
        <f t="shared" si="85"/>
        <v>0.99917548868834183</v>
      </c>
      <c r="AF51" s="633">
        <f t="shared" si="86"/>
        <v>-1.6310794853005902E-2</v>
      </c>
      <c r="AG51" s="602">
        <f t="shared" si="87"/>
        <v>89.064772187684625</v>
      </c>
      <c r="AH51" s="603">
        <f t="shared" si="88"/>
        <v>87.869291623223447</v>
      </c>
      <c r="AI51" s="585">
        <f t="shared" si="89"/>
        <v>-89.065418851650847</v>
      </c>
      <c r="AJ51" s="586">
        <f t="shared" si="90"/>
        <v>177.86900800688883</v>
      </c>
      <c r="AK51" s="635">
        <f t="shared" si="211"/>
        <v>0.87049970484201267</v>
      </c>
      <c r="AL51" s="629">
        <f t="shared" si="91"/>
        <v>-0.49189858898072897</v>
      </c>
      <c r="AM51" s="634">
        <f t="shared" si="92"/>
        <v>-1.6310794853005902E-2</v>
      </c>
      <c r="AN51" s="581">
        <f t="shared" si="93"/>
        <v>-88.100833300930475</v>
      </c>
      <c r="AO51" s="582">
        <f t="shared" si="94"/>
        <v>29.483239558989997</v>
      </c>
      <c r="AP51" s="585">
        <f t="shared" si="95"/>
        <v>-29.469753831095961</v>
      </c>
      <c r="AQ51" s="586">
        <f t="shared" si="246"/>
        <v>0.54200248946761576</v>
      </c>
      <c r="AS51" s="52">
        <f t="shared" si="406"/>
        <v>-243.14832609624818</v>
      </c>
      <c r="AT51" s="72">
        <f t="shared" si="247"/>
        <v>-1.4525950928312665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-3.2149488337302645</v>
      </c>
      <c r="C52" s="708">
        <v>-0.84979549419901101</v>
      </c>
      <c r="D52" s="709">
        <v>-0.19070000000000009</v>
      </c>
      <c r="E52" s="710">
        <v>5.8874735579191061E-2</v>
      </c>
      <c r="F52" s="708">
        <v>-0.96523810868976934</v>
      </c>
      <c r="G52" s="711">
        <v>0.2546549804018714</v>
      </c>
      <c r="H52" s="710">
        <v>0.26600000000000001</v>
      </c>
      <c r="I52" s="708">
        <v>0.52</v>
      </c>
      <c r="J52" s="570">
        <v>5.2130000000000001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5.2130000000000001</v>
      </c>
      <c r="N52" s="632">
        <f t="shared" si="240"/>
        <v>-3.2149488337302645</v>
      </c>
      <c r="O52" s="629">
        <f t="shared" si="241"/>
        <v>-0.84979549419901101</v>
      </c>
      <c r="P52" s="633">
        <f t="shared" si="242"/>
        <v>-0.19070000000000009</v>
      </c>
      <c r="Q52" s="585">
        <f t="shared" si="113"/>
        <v>194.80615311235832</v>
      </c>
      <c r="R52" s="629">
        <f t="shared" si="79"/>
        <v>3.3253643988989432</v>
      </c>
      <c r="S52" s="634">
        <f t="shared" si="80"/>
        <v>-0.19070000000000009</v>
      </c>
      <c r="T52" s="635">
        <f t="shared" si="81"/>
        <v>-0.82243390884696488</v>
      </c>
      <c r="U52" s="629">
        <f t="shared" si="82"/>
        <v>3.2220569285850975</v>
      </c>
      <c r="V52" s="636">
        <f t="shared" si="114"/>
        <v>-0.19070000000000009</v>
      </c>
      <c r="W52" s="585">
        <f t="shared" si="224"/>
        <v>104.31906517812534</v>
      </c>
      <c r="X52" s="629">
        <f t="shared" si="83"/>
        <v>3.3253643988989432</v>
      </c>
      <c r="Y52" s="630">
        <f t="shared" si="223"/>
        <v>-0.19070000000000009</v>
      </c>
      <c r="Z52" s="632">
        <f t="shared" si="243"/>
        <v>-5.8874735579191061E-2</v>
      </c>
      <c r="AA52" s="629">
        <f t="shared" si="244"/>
        <v>0.96523810868976934</v>
      </c>
      <c r="AB52" s="629">
        <f t="shared" si="245"/>
        <v>-0.2546549804018714</v>
      </c>
      <c r="AC52" s="636">
        <f t="shared" si="84"/>
        <v>1</v>
      </c>
      <c r="AD52" s="637">
        <f t="shared" si="115"/>
        <v>-5.8874735579191061E-2</v>
      </c>
      <c r="AE52" s="629">
        <f t="shared" si="85"/>
        <v>0.96523810868976934</v>
      </c>
      <c r="AF52" s="633">
        <f t="shared" si="86"/>
        <v>-0.2546549804018714</v>
      </c>
      <c r="AG52" s="602">
        <f t="shared" si="87"/>
        <v>75.22063874355301</v>
      </c>
      <c r="AH52" s="603">
        <f t="shared" si="88"/>
        <v>93.375225674313256</v>
      </c>
      <c r="AI52" s="585">
        <f t="shared" si="89"/>
        <v>-75.24685791249054</v>
      </c>
      <c r="AJ52" s="586">
        <f t="shared" si="90"/>
        <v>-176.50956603530588</v>
      </c>
      <c r="AK52" s="635">
        <f t="shared" si="211"/>
        <v>0.94823370872244683</v>
      </c>
      <c r="AL52" s="629">
        <f t="shared" si="91"/>
        <v>-0.18974634278161054</v>
      </c>
      <c r="AM52" s="634">
        <f t="shared" si="92"/>
        <v>-0.2546549804018714</v>
      </c>
      <c r="AN52" s="581">
        <f t="shared" si="93"/>
        <v>-36.690217067770227</v>
      </c>
      <c r="AO52" s="582">
        <f t="shared" si="94"/>
        <v>18.516234784640982</v>
      </c>
      <c r="AP52" s="585">
        <f t="shared" si="95"/>
        <v>-11.315719147664197</v>
      </c>
      <c r="AQ52" s="586">
        <f t="shared" si="246"/>
        <v>0.68552422358903486</v>
      </c>
      <c r="AS52" s="52">
        <f t="shared" si="406"/>
        <v>-255.68093482187464</v>
      </c>
      <c r="AT52" s="72">
        <f t="shared" si="247"/>
        <v>-1.029189232735897E-2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5.2130000000000001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4.1130000000000004</v>
      </c>
      <c r="II52" s="734" cm="1">
        <f t="array" ref="II52">IFERROR(ROUND(VALUE(IF($IH52&lt;1,$IH52+LARGE((IF($M$9:$M$150="",0,$M$9:$M$150)-MOD(IF($M$9:$M$150="",0,$M$9:$M$150),1)),1),$IH52)),4),"")</f>
        <v>4.1130000000000004</v>
      </c>
      <c r="IJ52" s="533">
        <f t="shared" si="112"/>
        <v>1613</v>
      </c>
      <c r="IK52" s="533">
        <f t="shared" si="382"/>
        <v>1313</v>
      </c>
      <c r="IL52" s="727">
        <f t="shared" si="225"/>
        <v>69.999169027376311</v>
      </c>
      <c r="IM52" s="759">
        <v>4.5518500690716501E-2</v>
      </c>
      <c r="IN52" s="5">
        <f t="shared" si="226"/>
        <v>0.24</v>
      </c>
      <c r="IO52" s="771">
        <v>120</v>
      </c>
      <c r="IP52" s="9">
        <f t="shared" si="227"/>
        <v>-3.3253684462151232</v>
      </c>
      <c r="IQ52" s="5">
        <f t="shared" si="228"/>
        <v>-0.19070000000000045</v>
      </c>
      <c r="IR52" s="5">
        <f t="shared" si="383"/>
        <v>0.314</v>
      </c>
      <c r="IS52" s="5">
        <f t="shared" si="229"/>
        <v>0.29774624861378296</v>
      </c>
      <c r="IT52" s="727">
        <f t="shared" si="230"/>
        <v>36.688227411556163</v>
      </c>
      <c r="IU52" s="9">
        <f t="shared" si="231"/>
        <v>-3.3253643988989432</v>
      </c>
      <c r="IV52" s="5">
        <f t="shared" si="232"/>
        <v>-0.19070000000000009</v>
      </c>
      <c r="IW52" s="5">
        <f t="shared" si="384"/>
        <v>0.26600000000000001</v>
      </c>
      <c r="IX52" s="5">
        <f t="shared" si="233"/>
        <v>0.25223016652017088</v>
      </c>
      <c r="IY52" s="762">
        <f t="shared" si="234"/>
        <v>36.690217067770227</v>
      </c>
    </row>
    <row r="53" spans="1:259" ht="15" customHeight="1" x14ac:dyDescent="0.25">
      <c r="A53" s="79"/>
      <c r="B53" s="707">
        <v>-3.8415280311298581</v>
      </c>
      <c r="C53" s="708">
        <v>-0.90802525472643536</v>
      </c>
      <c r="D53" s="709">
        <v>-0.70080000000000087</v>
      </c>
      <c r="E53" s="710">
        <v>-0.10401161433102209</v>
      </c>
      <c r="F53" s="708">
        <v>-0.98448272261776892</v>
      </c>
      <c r="G53" s="711">
        <v>0.14133418889766175</v>
      </c>
      <c r="H53" s="710">
        <v>0.26600000000000001</v>
      </c>
      <c r="I53" s="708">
        <v>0.52</v>
      </c>
      <c r="J53" s="570">
        <v>5.2160000000000002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5.2160000000000002</v>
      </c>
      <c r="N53" s="632">
        <f t="shared" si="240"/>
        <v>-3.8415280311298581</v>
      </c>
      <c r="O53" s="629">
        <f t="shared" si="241"/>
        <v>-0.90802525472643536</v>
      </c>
      <c r="P53" s="633">
        <f t="shared" si="242"/>
        <v>-0.70080000000000087</v>
      </c>
      <c r="Q53" s="585">
        <f t="shared" si="113"/>
        <v>193.29896189481985</v>
      </c>
      <c r="R53" s="629">
        <f t="shared" ref="R53:R58" si="410">IF(M53="","",SQRT(N53^2+O53^2))</f>
        <v>3.9473848909344338</v>
      </c>
      <c r="S53" s="634">
        <f t="shared" ref="S53:S58" si="411">IF(M53="","",P53)</f>
        <v>-0.70080000000000087</v>
      </c>
      <c r="T53" s="635">
        <f t="shared" ref="T53:T58" si="412">IF(M53="","",X53*COS(RADIANS(W53)))</f>
        <v>-0.87533489902458306</v>
      </c>
      <c r="U53" s="629">
        <f t="shared" ref="U53:U58" si="413">IF(M53="","",X53*SIN(RADIANS(W53)))</f>
        <v>3.8491085060994417</v>
      </c>
      <c r="V53" s="636">
        <f t="shared" ref="V53:V58" si="414">IF(M53="","",Y53)</f>
        <v>-0.70080000000000087</v>
      </c>
      <c r="W53" s="585">
        <f t="shared" si="224"/>
        <v>102.81187396058688</v>
      </c>
      <c r="X53" s="629">
        <f t="shared" ref="X53:X58" si="415">IF(M53="","",R53)</f>
        <v>3.9473848909344338</v>
      </c>
      <c r="Y53" s="630">
        <f t="shared" si="223"/>
        <v>-0.70080000000000087</v>
      </c>
      <c r="Z53" s="632">
        <f t="shared" si="243"/>
        <v>0.10401161433102209</v>
      </c>
      <c r="AA53" s="629">
        <f t="shared" si="244"/>
        <v>0.98448272261776892</v>
      </c>
      <c r="AB53" s="629">
        <f t="shared" si="245"/>
        <v>-0.14133418889766175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0.10401161433102209</v>
      </c>
      <c r="AE53" s="629">
        <f t="shared" ref="AE53:AE58" si="418">IF(M53="","",AA53*(1/SQRT(Z53^2+AA53^2+AB53^2)))</f>
        <v>0.98448272261776892</v>
      </c>
      <c r="AF53" s="633">
        <f t="shared" ref="AF53:AF58" si="419">IF(M53="","",AB53*(1/SQRT(Z53^2+AA53^2+AB53^2)))</f>
        <v>-0.14133418889766175</v>
      </c>
      <c r="AG53" s="602">
        <f t="shared" ref="AG53:AG58" si="420">IF(M53="","",DEGREES(ATAN2(-AF53,AE53)))</f>
        <v>81.830330751869653</v>
      </c>
      <c r="AH53" s="603">
        <f t="shared" ref="AH53:AH58" si="421">IF(M53="","",DEGREES(ACOS(AD53)))</f>
        <v>84.029775569002936</v>
      </c>
      <c r="AI53" s="585">
        <f t="shared" ref="AI53:AI58" si="422">IF(M53="","",DEGREES(-ACOS(-AF53)))</f>
        <v>-81.87494263985684</v>
      </c>
      <c r="AJ53" s="586">
        <f t="shared" ref="AJ53:AJ58" si="423">IF(M53="","",DEGREES(ATAN2(-AE53,AD53)))</f>
        <v>173.96901500246912</v>
      </c>
      <c r="AK53" s="635">
        <f t="shared" ref="AK53:AK58" si="424">IF(M53="","",(COS(RADIANS((90-$Q$8)-W53))*AD53)+(-SIN(RADIANS((90-$Q$8)-W53))*AE53))</f>
        <v>0.93415587898976316</v>
      </c>
      <c r="AL53" s="629">
        <f t="shared" ref="AL53:AL58" si="425">IF(M53="","",(SIN(RADIANS((90-$Q$8)-W53))*AD53)+(COS(RADIANS((90-$Q$8)-W53))*AE53))</f>
        <v>-0.32768497188229928</v>
      </c>
      <c r="AM53" s="634">
        <f t="shared" ref="AM53:AM58" si="426">IF(M53="","",AF53)</f>
        <v>-0.14133418889766175</v>
      </c>
      <c r="AN53" s="581">
        <f t="shared" ref="AN53:AN58" si="427">IF(M53="","",DEGREES(ATAN2(-AM53,AL53)))</f>
        <v>-66.668923768585856</v>
      </c>
      <c r="AO53" s="582">
        <f t="shared" si="94"/>
        <v>20.907803516742735</v>
      </c>
      <c r="AP53" s="585">
        <f t="shared" ref="AP53:AP58" si="428">IF(M53="","",DEGREES(ATAN2(AK53,AL53)))</f>
        <v>-19.329946892350733</v>
      </c>
      <c r="AQ53" s="586">
        <f t="shared" si="246"/>
        <v>0.5775087789886244</v>
      </c>
      <c r="AS53" s="52">
        <f t="shared" si="406"/>
        <v>-257.18812603941313</v>
      </c>
      <c r="AT53" s="72">
        <f t="shared" si="247"/>
        <v>-0.51934523175962466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5.2160000000000002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4.1159999999999997</v>
      </c>
      <c r="II53" s="734" cm="1">
        <f t="array" ref="II53">IFERROR(ROUND(VALUE(IF($IH53&lt;1,$IH53+LARGE((IF($M$9:$M$150="",0,$M$9:$M$150)-MOD(IF($M$9:$M$150="",0,$M$9:$M$150),1)),1),$IH53)),4),"")</f>
        <v>4.1159999999999997</v>
      </c>
      <c r="IJ53" s="533">
        <f t="shared" si="112"/>
        <v>1613</v>
      </c>
      <c r="IK53" s="533">
        <f t="shared" si="382"/>
        <v>1313</v>
      </c>
      <c r="IL53" s="727">
        <f t="shared" si="225"/>
        <v>69.999301757581733</v>
      </c>
      <c r="IM53" s="759">
        <v>4.4845615932277198E-2</v>
      </c>
      <c r="IN53" s="5">
        <f t="shared" si="226"/>
        <v>0.24</v>
      </c>
      <c r="IO53" s="771">
        <v>120</v>
      </c>
      <c r="IP53" s="9">
        <f t="shared" si="227"/>
        <v>-3.9473902053202177</v>
      </c>
      <c r="IQ53" s="5">
        <f t="shared" si="228"/>
        <v>-0.7007999999999992</v>
      </c>
      <c r="IR53" s="5">
        <f t="shared" si="383"/>
        <v>0.314</v>
      </c>
      <c r="IS53" s="5">
        <f t="shared" si="229"/>
        <v>0.29332619990082909</v>
      </c>
      <c r="IT53" s="727">
        <f t="shared" si="230"/>
        <v>66.668199869573399</v>
      </c>
      <c r="IU53" s="9">
        <f t="shared" si="231"/>
        <v>-3.9473848909344338</v>
      </c>
      <c r="IV53" s="5">
        <f t="shared" si="232"/>
        <v>-0.70080000000000087</v>
      </c>
      <c r="IW53" s="5">
        <f t="shared" si="384"/>
        <v>0.26600000000000001</v>
      </c>
      <c r="IX53" s="5">
        <f t="shared" si="233"/>
        <v>0.24848546381127701</v>
      </c>
      <c r="IY53" s="762">
        <f t="shared" si="234"/>
        <v>66.668923768585856</v>
      </c>
    </row>
    <row r="54" spans="1:259" ht="15" customHeight="1" x14ac:dyDescent="0.25">
      <c r="A54" s="79"/>
      <c r="B54" s="707">
        <v>-4.0390470217152856</v>
      </c>
      <c r="C54" s="708">
        <v>-0.94477411842470316</v>
      </c>
      <c r="D54" s="709">
        <v>-1.4661999999999997</v>
      </c>
      <c r="E54" s="710">
        <v>-0.17762276050659645</v>
      </c>
      <c r="F54" s="708">
        <v>-0.98395391479553207</v>
      </c>
      <c r="G54" s="711">
        <v>-1.6877455630608367E-2</v>
      </c>
      <c r="H54" s="710">
        <v>0.26600000000000001</v>
      </c>
      <c r="I54" s="708">
        <v>0.52</v>
      </c>
      <c r="J54" s="570">
        <v>5.2190000000000003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5.2190000000000003</v>
      </c>
      <c r="N54" s="632">
        <f t="shared" si="240"/>
        <v>-4.0390470217152856</v>
      </c>
      <c r="O54" s="629">
        <f t="shared" si="241"/>
        <v>-0.94477411842470316</v>
      </c>
      <c r="P54" s="633">
        <f t="shared" si="242"/>
        <v>-1.4661999999999997</v>
      </c>
      <c r="Q54" s="585">
        <f t="shared" si="113"/>
        <v>193.16536134554971</v>
      </c>
      <c r="R54" s="629">
        <f t="shared" si="410"/>
        <v>4.1480717180965296</v>
      </c>
      <c r="S54" s="634">
        <f t="shared" si="411"/>
        <v>-1.4661999999999997</v>
      </c>
      <c r="T54" s="635">
        <f t="shared" si="412"/>
        <v>-0.9104032891379783</v>
      </c>
      <c r="U54" s="629">
        <f t="shared" si="413"/>
        <v>4.0469327681095777</v>
      </c>
      <c r="V54" s="636">
        <f t="shared" si="414"/>
        <v>-1.4661999999999997</v>
      </c>
      <c r="W54" s="585">
        <f t="shared" si="224"/>
        <v>102.67827341131674</v>
      </c>
      <c r="X54" s="629">
        <f t="shared" si="415"/>
        <v>4.1480717180965296</v>
      </c>
      <c r="Y54" s="630">
        <f t="shared" si="223"/>
        <v>-1.4661999999999997</v>
      </c>
      <c r="Z54" s="632">
        <f t="shared" si="243"/>
        <v>0.17762276050659645</v>
      </c>
      <c r="AA54" s="629">
        <f t="shared" si="244"/>
        <v>0.98395391479553207</v>
      </c>
      <c r="AB54" s="629">
        <f t="shared" si="245"/>
        <v>1.6877455630608367E-2</v>
      </c>
      <c r="AC54" s="636">
        <f t="shared" si="416"/>
        <v>1</v>
      </c>
      <c r="AD54" s="637">
        <f t="shared" si="417"/>
        <v>0.17762276050659645</v>
      </c>
      <c r="AE54" s="629">
        <f t="shared" si="418"/>
        <v>0.98395391479553207</v>
      </c>
      <c r="AF54" s="633">
        <f t="shared" si="419"/>
        <v>1.6877455630608367E-2</v>
      </c>
      <c r="AG54" s="602">
        <f t="shared" si="420"/>
        <v>90.982680329686204</v>
      </c>
      <c r="AH54" s="603">
        <f t="shared" si="421"/>
        <v>79.768677157797853</v>
      </c>
      <c r="AI54" s="585">
        <f t="shared" si="422"/>
        <v>-90.967052890854632</v>
      </c>
      <c r="AJ54" s="586">
        <f t="shared" si="423"/>
        <v>169.76720396235592</v>
      </c>
      <c r="AK54" s="635">
        <f t="shared" si="424"/>
        <v>0.91763667573156171</v>
      </c>
      <c r="AL54" s="629">
        <f t="shared" si="425"/>
        <v>-0.39706181237153165</v>
      </c>
      <c r="AM54" s="634">
        <f t="shared" si="426"/>
        <v>1.6877455630608367E-2</v>
      </c>
      <c r="AN54" s="581">
        <f t="shared" si="427"/>
        <v>-92.433941511069278</v>
      </c>
      <c r="AO54" s="582">
        <f t="shared" si="94"/>
        <v>23.417010582872155</v>
      </c>
      <c r="AP54" s="585">
        <f t="shared" si="428"/>
        <v>-23.398157383193784</v>
      </c>
      <c r="AQ54" s="586">
        <f t="shared" si="246"/>
        <v>0.5495702274915778</v>
      </c>
      <c r="AS54" s="52">
        <f t="shared" si="406"/>
        <v>-257.32172658868325</v>
      </c>
      <c r="AT54" s="72">
        <f t="shared" si="247"/>
        <v>-1.2846524536004083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5.2190000000000003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4.1189999999999998</v>
      </c>
      <c r="II54" s="734" cm="1">
        <f t="array" ref="II54">IFERROR(ROUND(VALUE(IF($IH54&lt;1,$IH54+LARGE((IF($M$9:$M$150="",0,$M$9:$M$150)-MOD(IF($M$9:$M$150="",0,$M$9:$M$150),1)),1),$IH54)),4),"")</f>
        <v>4.1189999999999998</v>
      </c>
      <c r="IJ54" s="533">
        <f t="shared" si="112"/>
        <v>1613</v>
      </c>
      <c r="IK54" s="533">
        <f t="shared" si="382"/>
        <v>1313</v>
      </c>
      <c r="IL54" s="727">
        <f t="shared" si="225"/>
        <v>69.999335712010989</v>
      </c>
      <c r="IM54" s="759">
        <v>4.4053427559138401E-2</v>
      </c>
      <c r="IN54" s="5">
        <f t="shared" si="226"/>
        <v>0.3</v>
      </c>
      <c r="IO54" s="771">
        <v>150</v>
      </c>
      <c r="IP54" s="9">
        <f t="shared" si="227"/>
        <v>-4.1480771446240974</v>
      </c>
      <c r="IQ54" s="5">
        <f t="shared" si="228"/>
        <v>-1.4662000000000004</v>
      </c>
      <c r="IR54" s="5">
        <f t="shared" si="383"/>
        <v>0.314</v>
      </c>
      <c r="IS54" s="5">
        <f t="shared" si="229"/>
        <v>0.28813936167179494</v>
      </c>
      <c r="IT54" s="727">
        <f t="shared" si="230"/>
        <v>92.434006650903555</v>
      </c>
      <c r="IU54" s="9">
        <f t="shared" si="231"/>
        <v>-4.1480717180965296</v>
      </c>
      <c r="IV54" s="5">
        <f t="shared" si="232"/>
        <v>-1.4661999999999997</v>
      </c>
      <c r="IW54" s="5">
        <f t="shared" si="384"/>
        <v>0.26600000000000001</v>
      </c>
      <c r="IX54" s="5">
        <f t="shared" si="233"/>
        <v>0.24409135574459542</v>
      </c>
      <c r="IY54" s="762">
        <f t="shared" si="234"/>
        <v>92.433941511069278</v>
      </c>
    </row>
    <row r="55" spans="1:259" ht="15" customHeight="1" x14ac:dyDescent="0.25">
      <c r="A55" s="79"/>
      <c r="B55" s="707">
        <v>-1.9979849983108564</v>
      </c>
      <c r="C55" s="708">
        <v>1.1265020965861001</v>
      </c>
      <c r="D55" s="709">
        <v>-0.12030000000000014</v>
      </c>
      <c r="E55" s="710">
        <v>-0.48296291314453399</v>
      </c>
      <c r="F55" s="708">
        <v>-0.83651630373780805</v>
      </c>
      <c r="G55" s="711">
        <v>0.25881904510252079</v>
      </c>
      <c r="H55" s="710">
        <v>0.314</v>
      </c>
      <c r="I55" s="708">
        <v>0.52</v>
      </c>
      <c r="J55" s="570">
        <v>6.109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6.109</v>
      </c>
      <c r="N55" s="632">
        <f t="shared" si="240"/>
        <v>-1.9979849983108564</v>
      </c>
      <c r="O55" s="629">
        <f t="shared" si="241"/>
        <v>1.1265020965861001</v>
      </c>
      <c r="P55" s="633">
        <f t="shared" si="242"/>
        <v>-0.12030000000000014</v>
      </c>
      <c r="Q55" s="585">
        <f t="shared" si="113"/>
        <v>150.58486594750664</v>
      </c>
      <c r="R55" s="629">
        <f t="shared" si="410"/>
        <v>2.2936763126230586</v>
      </c>
      <c r="S55" s="634">
        <f t="shared" si="411"/>
        <v>-0.12030000000000014</v>
      </c>
      <c r="T55" s="635">
        <f t="shared" si="412"/>
        <v>1.1434466313010223</v>
      </c>
      <c r="U55" s="629">
        <f t="shared" si="413"/>
        <v>1.9883361960328676</v>
      </c>
      <c r="V55" s="636">
        <f t="shared" si="414"/>
        <v>-0.12030000000000014</v>
      </c>
      <c r="W55" s="585">
        <f t="shared" si="224"/>
        <v>60.097778013273668</v>
      </c>
      <c r="X55" s="629">
        <f t="shared" si="415"/>
        <v>2.2936763126230586</v>
      </c>
      <c r="Y55" s="630">
        <f t="shared" si="223"/>
        <v>-0.12030000000000014</v>
      </c>
      <c r="Z55" s="632">
        <f t="shared" si="243"/>
        <v>0.48296291314453399</v>
      </c>
      <c r="AA55" s="629">
        <f t="shared" si="244"/>
        <v>0.83651630373780805</v>
      </c>
      <c r="AB55" s="629">
        <f t="shared" si="245"/>
        <v>-0.25881904510252079</v>
      </c>
      <c r="AC55" s="636">
        <f t="shared" si="416"/>
        <v>1</v>
      </c>
      <c r="AD55" s="637">
        <f t="shared" si="417"/>
        <v>0.48296291314453399</v>
      </c>
      <c r="AE55" s="629">
        <f t="shared" si="418"/>
        <v>0.83651630373780805</v>
      </c>
      <c r="AF55" s="633">
        <f t="shared" si="419"/>
        <v>-0.25881904510252079</v>
      </c>
      <c r="AG55" s="602">
        <f t="shared" si="420"/>
        <v>72.807876265979019</v>
      </c>
      <c r="AH55" s="603">
        <f t="shared" si="421"/>
        <v>61.120905982572403</v>
      </c>
      <c r="AI55" s="585">
        <f t="shared" si="422"/>
        <v>-74.999999999999986</v>
      </c>
      <c r="AJ55" s="586">
        <f t="shared" si="423"/>
        <v>150</v>
      </c>
      <c r="AK55" s="635">
        <f t="shared" si="424"/>
        <v>0.96587550202656458</v>
      </c>
      <c r="AL55" s="629">
        <f t="shared" si="425"/>
        <v>-9.8598416392627897E-3</v>
      </c>
      <c r="AM55" s="634">
        <f t="shared" si="426"/>
        <v>-0.25881904510252079</v>
      </c>
      <c r="AN55" s="581">
        <f t="shared" si="427"/>
        <v>-2.1816565440301012</v>
      </c>
      <c r="AO55" s="582">
        <f>IF(ROUND(IF(M55="",0,DEGREES(ACOS(AK55))),4)=90,0,IF(M55="","",DEGREES(ACOS(AK55))))</f>
        <v>15.01113643882886</v>
      </c>
      <c r="AP55" s="585">
        <f t="shared" si="428"/>
        <v>-0.58486594750662591</v>
      </c>
      <c r="AQ55" s="586">
        <f t="shared" si="246"/>
        <v>0.99381852020329375</v>
      </c>
      <c r="AS55" s="52">
        <f t="shared" si="406"/>
        <v>-299.90222198672632</v>
      </c>
      <c r="AT55" s="72">
        <f t="shared" si="247"/>
        <v>9.0817334870454638E-2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6.109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-2.663771415803097</v>
      </c>
      <c r="C56" s="708">
        <v>1.5335261945002738</v>
      </c>
      <c r="D56" s="709">
        <v>-0.10509999999999958</v>
      </c>
      <c r="E56" s="710">
        <v>-0.58781782903129365</v>
      </c>
      <c r="F56" s="708">
        <v>-0.77193518526506077</v>
      </c>
      <c r="G56" s="711">
        <v>0.24204600724393924</v>
      </c>
      <c r="H56" s="710">
        <v>0.314</v>
      </c>
      <c r="I56" s="708">
        <v>0.52</v>
      </c>
      <c r="J56" s="570">
        <v>6.1120000000000001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6.1120000000000001</v>
      </c>
      <c r="N56" s="632">
        <f t="shared" si="240"/>
        <v>-2.663771415803097</v>
      </c>
      <c r="O56" s="629">
        <f t="shared" si="241"/>
        <v>1.5335261945002738</v>
      </c>
      <c r="P56" s="633">
        <f t="shared" si="242"/>
        <v>-0.10509999999999958</v>
      </c>
      <c r="Q56" s="585">
        <f t="shared" si="113"/>
        <v>150.07107900962063</v>
      </c>
      <c r="R56" s="629">
        <f t="shared" si="410"/>
        <v>3.0736591783846379</v>
      </c>
      <c r="S56" s="634">
        <f t="shared" si="411"/>
        <v>-0.10509999999999958</v>
      </c>
      <c r="T56" s="635">
        <f t="shared" si="412"/>
        <v>1.5561159951385091</v>
      </c>
      <c r="U56" s="629">
        <f t="shared" si="413"/>
        <v>2.650638367364023</v>
      </c>
      <c r="V56" s="636">
        <f t="shared" si="414"/>
        <v>-0.10509999999999958</v>
      </c>
      <c r="W56" s="585">
        <f t="shared" si="224"/>
        <v>59.583991075387658</v>
      </c>
      <c r="X56" s="629">
        <f t="shared" si="415"/>
        <v>3.0736591783846379</v>
      </c>
      <c r="Y56" s="630">
        <f t="shared" si="223"/>
        <v>-0.10509999999999958</v>
      </c>
      <c r="Z56" s="632">
        <f t="shared" si="243"/>
        <v>0.58781782903129365</v>
      </c>
      <c r="AA56" s="629">
        <f t="shared" si="244"/>
        <v>0.77193518526506077</v>
      </c>
      <c r="AB56" s="629">
        <f t="shared" si="245"/>
        <v>-0.24204600724393924</v>
      </c>
      <c r="AC56" s="636">
        <f t="shared" si="416"/>
        <v>1</v>
      </c>
      <c r="AD56" s="637">
        <f t="shared" si="417"/>
        <v>0.58781782903129365</v>
      </c>
      <c r="AE56" s="629">
        <f t="shared" si="418"/>
        <v>0.77193518526506077</v>
      </c>
      <c r="AF56" s="633">
        <f t="shared" si="419"/>
        <v>-0.24204600724393924</v>
      </c>
      <c r="AG56" s="602">
        <f t="shared" si="420"/>
        <v>72.590796331106574</v>
      </c>
      <c r="AH56" s="603">
        <f t="shared" si="421"/>
        <v>53.997692833448426</v>
      </c>
      <c r="AI56" s="585">
        <f t="shared" si="422"/>
        <v>-75.992671113941654</v>
      </c>
      <c r="AJ56" s="586">
        <f t="shared" si="423"/>
        <v>142.71123597037848</v>
      </c>
      <c r="AK56" s="635">
        <f t="shared" si="424"/>
        <v>0.96227094421377113</v>
      </c>
      <c r="AL56" s="629">
        <f t="shared" si="425"/>
        <v>-0.12429143292763356</v>
      </c>
      <c r="AM56" s="634">
        <f t="shared" si="426"/>
        <v>-0.24204600724393924</v>
      </c>
      <c r="AN56" s="581">
        <f t="shared" si="427"/>
        <v>-27.180649775805747</v>
      </c>
      <c r="AO56" s="582">
        <f t="shared" ref="AO56:AO119" si="461">IF(ROUND(IF(M56="",0,DEGREES(ACOS(AK56))),4)=90,0,IF(M56="","",DEGREES(ACOS(AK56))))</f>
        <v>15.788853785704934</v>
      </c>
      <c r="AP56" s="585">
        <f t="shared" si="428"/>
        <v>-7.3598430392421665</v>
      </c>
      <c r="AQ56" s="586">
        <f t="shared" si="246"/>
        <v>0.74165649827507596</v>
      </c>
      <c r="AS56" s="52">
        <f t="shared" si="406"/>
        <v>-300.41600892461236</v>
      </c>
      <c r="AT56" s="72">
        <f t="shared" si="247"/>
        <v>0.10637413135509829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6.1120000000000001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-3.2265828273216068</v>
      </c>
      <c r="C57" s="708">
        <v>1.9531082346706594</v>
      </c>
      <c r="D57" s="709">
        <v>-0.49400000000000016</v>
      </c>
      <c r="E57" s="710">
        <v>-0.72636864409568958</v>
      </c>
      <c r="F57" s="708">
        <v>-0.66722614080735043</v>
      </c>
      <c r="G57" s="711">
        <v>0.16491776707777545</v>
      </c>
      <c r="H57" s="710">
        <v>0.314</v>
      </c>
      <c r="I57" s="708">
        <v>0.52</v>
      </c>
      <c r="J57" s="570">
        <v>6.1150000000000002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6.1150000000000002</v>
      </c>
      <c r="N57" s="632">
        <f t="shared" si="240"/>
        <v>-3.2265828273216068</v>
      </c>
      <c r="O57" s="629">
        <f t="shared" si="241"/>
        <v>1.9531082346706594</v>
      </c>
      <c r="P57" s="633">
        <f t="shared" si="242"/>
        <v>-0.49400000000000016</v>
      </c>
      <c r="Q57" s="585">
        <f t="shared" si="113"/>
        <v>148.81273124480768</v>
      </c>
      <c r="R57" s="629">
        <f t="shared" si="410"/>
        <v>3.7716665438377546</v>
      </c>
      <c r="S57" s="634">
        <f t="shared" si="411"/>
        <v>-0.49400000000000016</v>
      </c>
      <c r="T57" s="635">
        <f t="shared" si="412"/>
        <v>1.9804674377833495</v>
      </c>
      <c r="U57" s="629">
        <f t="shared" si="413"/>
        <v>3.2098624963983875</v>
      </c>
      <c r="V57" s="636">
        <f t="shared" si="414"/>
        <v>-0.49400000000000016</v>
      </c>
      <c r="W57" s="585">
        <f t="shared" si="224"/>
        <v>58.325643310574705</v>
      </c>
      <c r="X57" s="629">
        <f t="shared" si="415"/>
        <v>3.7716665438377546</v>
      </c>
      <c r="Y57" s="630">
        <f t="shared" si="223"/>
        <v>-0.49400000000000016</v>
      </c>
      <c r="Z57" s="632">
        <f t="shared" si="243"/>
        <v>0.72636864409568958</v>
      </c>
      <c r="AA57" s="629">
        <f t="shared" si="244"/>
        <v>0.66722614080735043</v>
      </c>
      <c r="AB57" s="629">
        <f t="shared" si="245"/>
        <v>-0.16491776707777545</v>
      </c>
      <c r="AC57" s="636">
        <f t="shared" si="416"/>
        <v>1</v>
      </c>
      <c r="AD57" s="637">
        <f t="shared" si="417"/>
        <v>0.72636864409568958</v>
      </c>
      <c r="AE57" s="629">
        <f t="shared" si="418"/>
        <v>0.66722614080735043</v>
      </c>
      <c r="AF57" s="633">
        <f t="shared" si="419"/>
        <v>-0.16491776707777545</v>
      </c>
      <c r="AG57" s="602">
        <f t="shared" si="420"/>
        <v>76.116508783948802</v>
      </c>
      <c r="AH57" s="603">
        <f t="shared" si="421"/>
        <v>43.417177724053595</v>
      </c>
      <c r="AI57" s="585">
        <f t="shared" si="422"/>
        <v>-80.507542574227315</v>
      </c>
      <c r="AJ57" s="586">
        <f t="shared" si="423"/>
        <v>132.56989355719352</v>
      </c>
      <c r="AK57" s="635">
        <f t="shared" si="424"/>
        <v>0.94693869316050394</v>
      </c>
      <c r="AL57" s="629">
        <f t="shared" si="425"/>
        <v>-0.27587903417541099</v>
      </c>
      <c r="AM57" s="634">
        <f t="shared" si="426"/>
        <v>-0.16491776707777545</v>
      </c>
      <c r="AN57" s="581">
        <f t="shared" si="427"/>
        <v>-59.129433890343357</v>
      </c>
      <c r="AO57" s="582">
        <f t="shared" si="461"/>
        <v>18.748473488188321</v>
      </c>
      <c r="AP57" s="585">
        <f t="shared" si="428"/>
        <v>-16.242837687614159</v>
      </c>
      <c r="AQ57" s="586">
        <f t="shared" si="246"/>
        <v>0.6044124106199229</v>
      </c>
      <c r="AS57" s="52">
        <f t="shared" si="406"/>
        <v>-301.67435668942528</v>
      </c>
      <c r="AT57" s="72">
        <f t="shared" si="247"/>
        <v>-0.28165201603044887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6.1150000000000002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-3.5239988537407716</v>
      </c>
      <c r="C58" s="708">
        <v>2.1879685659274188</v>
      </c>
      <c r="D58" s="709">
        <v>-1.1948000000000005</v>
      </c>
      <c r="E58" s="710">
        <v>-0.79903012164772103</v>
      </c>
      <c r="F58" s="708">
        <v>-0.60092912897578232</v>
      </c>
      <c r="G58" s="711">
        <v>2.0857771885699983E-2</v>
      </c>
      <c r="H58" s="710">
        <v>0.314</v>
      </c>
      <c r="I58" s="708">
        <v>0.52</v>
      </c>
      <c r="J58" s="570">
        <v>6.1180000000000003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6.1180000000000003</v>
      </c>
      <c r="N58" s="632">
        <f t="shared" si="240"/>
        <v>-3.5239988537407716</v>
      </c>
      <c r="O58" s="629">
        <f t="shared" si="241"/>
        <v>2.1879685659274188</v>
      </c>
      <c r="P58" s="633">
        <f t="shared" si="242"/>
        <v>-1.1948000000000005</v>
      </c>
      <c r="Q58" s="585">
        <f t="shared" si="113"/>
        <v>148.16482018254518</v>
      </c>
      <c r="R58" s="629">
        <f t="shared" si="410"/>
        <v>4.1479843739643902</v>
      </c>
      <c r="S58" s="634">
        <f t="shared" si="411"/>
        <v>-1.1948000000000005</v>
      </c>
      <c r="T58" s="635">
        <f t="shared" si="412"/>
        <v>2.217847671090031</v>
      </c>
      <c r="U58" s="629">
        <f t="shared" si="413"/>
        <v>3.5052711841586923</v>
      </c>
      <c r="V58" s="636">
        <f t="shared" si="414"/>
        <v>-1.1948000000000005</v>
      </c>
      <c r="W58" s="585">
        <f t="shared" si="224"/>
        <v>57.677732248312211</v>
      </c>
      <c r="X58" s="629">
        <f t="shared" si="415"/>
        <v>4.1479843739643902</v>
      </c>
      <c r="Y58" s="630">
        <f t="shared" si="223"/>
        <v>-1.1948000000000005</v>
      </c>
      <c r="Z58" s="632">
        <f t="shared" si="243"/>
        <v>0.79903012164772103</v>
      </c>
      <c r="AA58" s="629">
        <f t="shared" si="244"/>
        <v>0.60092912897578232</v>
      </c>
      <c r="AB58" s="629">
        <f t="shared" si="245"/>
        <v>-2.0857771885699983E-2</v>
      </c>
      <c r="AC58" s="636">
        <f t="shared" si="416"/>
        <v>1</v>
      </c>
      <c r="AD58" s="637">
        <f t="shared" si="417"/>
        <v>0.79903012164772103</v>
      </c>
      <c r="AE58" s="629">
        <f t="shared" si="418"/>
        <v>0.60092912897578232</v>
      </c>
      <c r="AF58" s="633">
        <f t="shared" si="419"/>
        <v>-2.0857771885699983E-2</v>
      </c>
      <c r="AG58" s="602">
        <f t="shared" si="420"/>
        <v>88.012107119769212</v>
      </c>
      <c r="AH58" s="603">
        <f t="shared" si="421"/>
        <v>36.962414653344702</v>
      </c>
      <c r="AI58" s="585">
        <f t="shared" si="422"/>
        <v>-88.804851032626658</v>
      </c>
      <c r="AJ58" s="586">
        <f t="shared" si="423"/>
        <v>126.94584428692639</v>
      </c>
      <c r="AK58" s="635">
        <f t="shared" si="424"/>
        <v>0.93200118480428495</v>
      </c>
      <c r="AL58" s="629">
        <f t="shared" si="425"/>
        <v>-0.36185459078941262</v>
      </c>
      <c r="AM58" s="634">
        <f t="shared" si="426"/>
        <v>-2.0857771885699983E-2</v>
      </c>
      <c r="AN58" s="581">
        <f t="shared" si="427"/>
        <v>-86.701046712918213</v>
      </c>
      <c r="AO58" s="582">
        <f t="shared" si="461"/>
        <v>21.251056686343894</v>
      </c>
      <c r="AP58" s="585">
        <f t="shared" si="428"/>
        <v>-21.21897589561879</v>
      </c>
      <c r="AQ58" s="586">
        <f t="shared" si="246"/>
        <v>0.54958179908539462</v>
      </c>
      <c r="AS58" s="52">
        <f t="shared" si="406"/>
        <v>-302.32226775168778</v>
      </c>
      <c r="AT58" s="72">
        <f t="shared" si="247"/>
        <v>-0.98200207779276694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6.1180000000000003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-3.5408998661911864</v>
      </c>
      <c r="C59" s="708">
        <v>2.2698951536639465</v>
      </c>
      <c r="D59" s="709">
        <v>-1.8567999999999998</v>
      </c>
      <c r="E59" s="710">
        <v>-0.88390100891530976</v>
      </c>
      <c r="F59" s="708">
        <v>-0.46738952107397608</v>
      </c>
      <c r="G59" s="711">
        <v>1.6310794853005881E-2</v>
      </c>
      <c r="H59" s="710">
        <v>0.26600000000000001</v>
      </c>
      <c r="I59" s="708">
        <v>0.52</v>
      </c>
      <c r="J59" s="570">
        <v>6.1210000000000004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6.1210000000000004</v>
      </c>
      <c r="N59" s="632">
        <f t="shared" si="240"/>
        <v>-3.5408998661911864</v>
      </c>
      <c r="O59" s="629">
        <f t="shared" si="241"/>
        <v>2.2698951536639465</v>
      </c>
      <c r="P59" s="633">
        <f t="shared" si="242"/>
        <v>-1.8567999999999998</v>
      </c>
      <c r="Q59" s="585">
        <f t="shared" si="113"/>
        <v>147.33808325102086</v>
      </c>
      <c r="R59" s="629">
        <f t="shared" si="79"/>
        <v>4.2059952295526717</v>
      </c>
      <c r="S59" s="634">
        <f t="shared" si="80"/>
        <v>-1.8567999999999998</v>
      </c>
      <c r="T59" s="635">
        <f t="shared" si="81"/>
        <v>2.2999149769962961</v>
      </c>
      <c r="U59" s="629">
        <f t="shared" si="82"/>
        <v>3.521475112734429</v>
      </c>
      <c r="V59" s="636">
        <f t="shared" si="114"/>
        <v>-1.8567999999999998</v>
      </c>
      <c r="W59" s="585">
        <f t="shared" si="224"/>
        <v>56.850995316787888</v>
      </c>
      <c r="X59" s="629">
        <f t="shared" si="83"/>
        <v>4.2059952295526717</v>
      </c>
      <c r="Y59" s="630">
        <f t="shared" si="223"/>
        <v>-1.8567999999999998</v>
      </c>
      <c r="Z59" s="632">
        <f t="shared" si="243"/>
        <v>0.88390100891530976</v>
      </c>
      <c r="AA59" s="629">
        <f t="shared" si="244"/>
        <v>0.46738952107397608</v>
      </c>
      <c r="AB59" s="629">
        <f t="shared" si="245"/>
        <v>-1.6310794853005881E-2</v>
      </c>
      <c r="AC59" s="636">
        <f t="shared" si="84"/>
        <v>1</v>
      </c>
      <c r="AD59" s="637">
        <f t="shared" si="115"/>
        <v>0.88390100891530976</v>
      </c>
      <c r="AE59" s="629">
        <f t="shared" si="85"/>
        <v>0.46738952107397608</v>
      </c>
      <c r="AF59" s="633">
        <f t="shared" si="86"/>
        <v>-1.6310794853005881E-2</v>
      </c>
      <c r="AG59" s="602">
        <f t="shared" si="87"/>
        <v>88.001323167632094</v>
      </c>
      <c r="AH59" s="603">
        <f t="shared" si="88"/>
        <v>27.883418975195138</v>
      </c>
      <c r="AI59" s="585">
        <f t="shared" si="89"/>
        <v>-89.065418851650847</v>
      </c>
      <c r="AJ59" s="586">
        <f t="shared" si="90"/>
        <v>117.86900800688888</v>
      </c>
      <c r="AK59" s="635">
        <f t="shared" si="211"/>
        <v>0.87050553061966751</v>
      </c>
      <c r="AL59" s="629">
        <f t="shared" si="91"/>
        <v>-0.49188827911613664</v>
      </c>
      <c r="AM59" s="634">
        <f t="shared" si="92"/>
        <v>-1.6310794853005881E-2</v>
      </c>
      <c r="AN59" s="581">
        <f t="shared" si="93"/>
        <v>-88.10079352398688</v>
      </c>
      <c r="AO59" s="582">
        <f t="shared" si="461"/>
        <v>29.482561344783001</v>
      </c>
      <c r="AP59" s="585">
        <f t="shared" si="95"/>
        <v>-29.469075244132004</v>
      </c>
      <c r="AQ59" s="586">
        <f t="shared" si="246"/>
        <v>0.54200219107562908</v>
      </c>
      <c r="AS59" s="52">
        <f t="shared" si="406"/>
        <v>-303.14900468321213</v>
      </c>
      <c r="AT59" s="72">
        <f t="shared" si="247"/>
        <v>-1.6434279549236521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6.1210000000000004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-1.9982580063227651</v>
      </c>
      <c r="C60" s="708">
        <v>1.976991062771799</v>
      </c>
      <c r="D60" s="709">
        <v>-6.5300000000000261E-2</v>
      </c>
      <c r="E60" s="710">
        <v>-0.72448598108438311</v>
      </c>
      <c r="F60" s="708">
        <v>-0.63942275495156797</v>
      </c>
      <c r="G60" s="711">
        <v>0.2574074662132903</v>
      </c>
      <c r="H60" s="710">
        <v>0.26600000000000001</v>
      </c>
      <c r="I60" s="708">
        <v>0.52</v>
      </c>
      <c r="J60" s="570">
        <v>6.2110000000000003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6.2110000000000003</v>
      </c>
      <c r="N60" s="632">
        <f t="shared" si="240"/>
        <v>-1.9982580063227651</v>
      </c>
      <c r="O60" s="629">
        <f t="shared" si="241"/>
        <v>1.976991062771799</v>
      </c>
      <c r="P60" s="633">
        <f t="shared" si="242"/>
        <v>-6.5300000000000261E-2</v>
      </c>
      <c r="Q60" s="585">
        <f t="shared" si="113"/>
        <v>135.30652028659563</v>
      </c>
      <c r="R60" s="629">
        <f t="shared" si="79"/>
        <v>2.81096579881588</v>
      </c>
      <c r="S60" s="634">
        <f t="shared" si="80"/>
        <v>-6.5300000000000261E-2</v>
      </c>
      <c r="T60" s="635">
        <f t="shared" si="81"/>
        <v>1.9939071853364478</v>
      </c>
      <c r="U60" s="629">
        <f t="shared" si="82"/>
        <v>1.9813790294580902</v>
      </c>
      <c r="V60" s="636">
        <f t="shared" si="114"/>
        <v>-6.5300000000000261E-2</v>
      </c>
      <c r="W60" s="585">
        <f t="shared" si="224"/>
        <v>44.819432352362654</v>
      </c>
      <c r="X60" s="629">
        <f t="shared" si="83"/>
        <v>2.81096579881588</v>
      </c>
      <c r="Y60" s="630">
        <f t="shared" si="223"/>
        <v>-6.5300000000000261E-2</v>
      </c>
      <c r="Z60" s="632">
        <f t="shared" si="243"/>
        <v>0.72448598108438311</v>
      </c>
      <c r="AA60" s="629">
        <f t="shared" si="244"/>
        <v>0.63942275495156797</v>
      </c>
      <c r="AB60" s="629">
        <f t="shared" si="245"/>
        <v>-0.2574074662132903</v>
      </c>
      <c r="AC60" s="636">
        <f t="shared" si="84"/>
        <v>1</v>
      </c>
      <c r="AD60" s="637">
        <f t="shared" si="115"/>
        <v>0.72448598108438311</v>
      </c>
      <c r="AE60" s="629">
        <f t="shared" si="85"/>
        <v>0.63942275495156797</v>
      </c>
      <c r="AF60" s="633">
        <f t="shared" si="86"/>
        <v>-0.2574074662132903</v>
      </c>
      <c r="AG60" s="602">
        <f t="shared" si="87"/>
        <v>68.072145192568115</v>
      </c>
      <c r="AH60" s="603">
        <f t="shared" si="88"/>
        <v>43.573895697700181</v>
      </c>
      <c r="AI60" s="585">
        <f t="shared" si="89"/>
        <v>-75.083714205373013</v>
      </c>
      <c r="AJ60" s="586">
        <f t="shared" si="90"/>
        <v>131.43124256658126</v>
      </c>
      <c r="AK60" s="635">
        <f t="shared" si="211"/>
        <v>0.96409353338835235</v>
      </c>
      <c r="AL60" s="629">
        <f t="shared" si="91"/>
        <v>-6.5307390212870076E-2</v>
      </c>
      <c r="AM60" s="634">
        <f t="shared" si="92"/>
        <v>-0.2574074662132903</v>
      </c>
      <c r="AN60" s="581">
        <f t="shared" si="93"/>
        <v>-14.236244884628231</v>
      </c>
      <c r="AO60" s="582">
        <f t="shared" si="461"/>
        <v>15.400403644232661</v>
      </c>
      <c r="AP60" s="585">
        <f t="shared" si="95"/>
        <v>-3.8752777200143549</v>
      </c>
      <c r="AQ60" s="586">
        <f t="shared" si="246"/>
        <v>0.81095771301271957</v>
      </c>
      <c r="AS60" s="52">
        <f t="shared" si="406"/>
        <v>-315.18056764763736</v>
      </c>
      <c r="AT60" s="72">
        <f t="shared" si="247"/>
        <v>0.15642729713497611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6.2110000000000003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5.1109999999999998</v>
      </c>
      <c r="II60" s="734" cm="1">
        <f t="array" ref="II60">IFERROR(ROUND(VALUE(IF($IH60&lt;1,$IH60+LARGE((IF($M$9:$M$150="",0,$M$9:$M$150)-MOD(IF($M$9:$M$150="",0,$M$9:$M$150),1)),1),$IH60)),4),"")</f>
        <v>5.1109999999999998</v>
      </c>
      <c r="IJ60" s="533">
        <f t="shared" si="112"/>
        <v>1613</v>
      </c>
      <c r="IK60" s="533">
        <f t="shared" si="382"/>
        <v>1313</v>
      </c>
      <c r="IL60" s="727">
        <f t="shared" si="225"/>
        <v>75.000515729796803</v>
      </c>
      <c r="IM60" s="759">
        <v>4.6258796380704598E-2</v>
      </c>
      <c r="IN60" s="5">
        <f t="shared" si="226"/>
        <v>0.22</v>
      </c>
      <c r="IO60" s="771">
        <v>110</v>
      </c>
      <c r="IP60" s="9">
        <f t="shared" si="227"/>
        <v>-2.8108971728523762</v>
      </c>
      <c r="IQ60" s="5">
        <f t="shared" si="228"/>
        <v>-6.5299999999999969E-2</v>
      </c>
      <c r="IR60" s="5">
        <f t="shared" si="383"/>
        <v>0.314</v>
      </c>
      <c r="IS60" s="5">
        <f t="shared" si="229"/>
        <v>0.30272518488873496</v>
      </c>
      <c r="IT60" s="727">
        <f t="shared" si="230"/>
        <v>14.238059665005768</v>
      </c>
      <c r="IU60" s="9">
        <f t="shared" si="231"/>
        <v>-2.81096579881588</v>
      </c>
      <c r="IV60" s="5">
        <f t="shared" si="232"/>
        <v>-6.5300000000000261E-2</v>
      </c>
      <c r="IW60" s="5">
        <f t="shared" si="384"/>
        <v>0.26600000000000001</v>
      </c>
      <c r="IX60" s="5">
        <f t="shared" si="233"/>
        <v>0.25644887988130172</v>
      </c>
      <c r="IY60" s="762">
        <f t="shared" si="234"/>
        <v>14.236244884628231</v>
      </c>
    </row>
    <row r="61" spans="1:259" ht="15" customHeight="1" x14ac:dyDescent="0.25">
      <c r="A61" s="79"/>
      <c r="B61" s="707">
        <v>-2.4799921786756296</v>
      </c>
      <c r="C61" s="708">
        <v>2.5573312757611282</v>
      </c>
      <c r="D61" s="709">
        <v>-0.32210000000000039</v>
      </c>
      <c r="E61" s="710">
        <v>-0.84407869722782025</v>
      </c>
      <c r="F61" s="708">
        <v>-0.49148911008675017</v>
      </c>
      <c r="G61" s="711">
        <v>0.21440524142921547</v>
      </c>
      <c r="H61" s="710">
        <v>0.26600000000000001</v>
      </c>
      <c r="I61" s="708">
        <v>0.52</v>
      </c>
      <c r="J61" s="570">
        <v>6.2140000000000004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6.2140000000000004</v>
      </c>
      <c r="N61" s="632">
        <f t="shared" si="240"/>
        <v>-2.4799921786756296</v>
      </c>
      <c r="O61" s="629">
        <f t="shared" si="241"/>
        <v>2.5573312757611282</v>
      </c>
      <c r="P61" s="633">
        <f t="shared" si="242"/>
        <v>-0.32210000000000039</v>
      </c>
      <c r="Q61" s="585">
        <f t="shared" si="113"/>
        <v>134.12039483516696</v>
      </c>
      <c r="R61" s="629">
        <f t="shared" si="79"/>
        <v>3.5623453594897754</v>
      </c>
      <c r="S61" s="634">
        <f t="shared" si="80"/>
        <v>-0.32210000000000039</v>
      </c>
      <c r="T61" s="635">
        <f t="shared" si="81"/>
        <v>2.5783217390116411</v>
      </c>
      <c r="U61" s="629">
        <f t="shared" si="82"/>
        <v>2.4581622140164638</v>
      </c>
      <c r="V61" s="636">
        <f t="shared" si="114"/>
        <v>-0.32210000000000039</v>
      </c>
      <c r="W61" s="585">
        <f t="shared" si="224"/>
        <v>43.633306900933988</v>
      </c>
      <c r="X61" s="629">
        <f t="shared" si="83"/>
        <v>3.5623453594897754</v>
      </c>
      <c r="Y61" s="630">
        <f t="shared" si="223"/>
        <v>-0.32210000000000039</v>
      </c>
      <c r="Z61" s="632">
        <f t="shared" si="243"/>
        <v>0.84407869722782025</v>
      </c>
      <c r="AA61" s="629">
        <f t="shared" si="244"/>
        <v>0.49148911008675017</v>
      </c>
      <c r="AB61" s="629">
        <f t="shared" si="245"/>
        <v>-0.21440524142921547</v>
      </c>
      <c r="AC61" s="636">
        <f t="shared" si="84"/>
        <v>1</v>
      </c>
      <c r="AD61" s="637">
        <f t="shared" si="115"/>
        <v>0.84407869722782025</v>
      </c>
      <c r="AE61" s="629">
        <f t="shared" si="85"/>
        <v>0.49148911008675017</v>
      </c>
      <c r="AF61" s="633">
        <f t="shared" si="86"/>
        <v>-0.21440524142921547</v>
      </c>
      <c r="AG61" s="602">
        <f t="shared" si="87"/>
        <v>66.431437547130216</v>
      </c>
      <c r="AH61" s="603">
        <f t="shared" si="88"/>
        <v>32.426640137709754</v>
      </c>
      <c r="AI61" s="585">
        <f t="shared" si="89"/>
        <v>-77.619363524302898</v>
      </c>
      <c r="AJ61" s="586">
        <f t="shared" si="90"/>
        <v>120.21133497833972</v>
      </c>
      <c r="AK61" s="635">
        <f t="shared" si="211"/>
        <v>0.94810515537088325</v>
      </c>
      <c r="AL61" s="629">
        <f t="shared" si="91"/>
        <v>-0.23479141127143727</v>
      </c>
      <c r="AM61" s="634">
        <f t="shared" si="92"/>
        <v>-0.21440524142921547</v>
      </c>
      <c r="AN61" s="581">
        <f t="shared" si="93"/>
        <v>-47.598506794625521</v>
      </c>
      <c r="AO61" s="582">
        <f t="shared" si="461"/>
        <v>18.539414055584178</v>
      </c>
      <c r="AP61" s="585">
        <f t="shared" si="95"/>
        <v>-13.909059856827257</v>
      </c>
      <c r="AQ61" s="586">
        <f t="shared" si="246"/>
        <v>0.63992443423972489</v>
      </c>
      <c r="AS61" s="52">
        <f t="shared" si="406"/>
        <v>-316.36669309906603</v>
      </c>
      <c r="AT61" s="72">
        <f t="shared" si="247"/>
        <v>-9.954900463486524E-2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6.2140000000000004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5.1139999999999999</v>
      </c>
      <c r="II61" s="734" cm="1">
        <f t="array" ref="II61">IFERROR(ROUND(VALUE(IF($IH61&lt;1,$IH61+LARGE((IF($M$9:$M$150="",0,$M$9:$M$150)-MOD(IF($M$9:$M$150="",0,$M$9:$M$150),1)),1),$IH61)),4),"")</f>
        <v>5.1139999999999999</v>
      </c>
      <c r="IJ61" s="533">
        <f t="shared" si="112"/>
        <v>1613</v>
      </c>
      <c r="IK61" s="533">
        <f t="shared" si="382"/>
        <v>1313</v>
      </c>
      <c r="IL61" s="727">
        <f t="shared" si="225"/>
        <v>75.000384012747077</v>
      </c>
      <c r="IM61" s="759">
        <v>4.5457288895905598E-2</v>
      </c>
      <c r="IN61" s="5">
        <f t="shared" si="226"/>
        <v>0.22</v>
      </c>
      <c r="IO61" s="771">
        <v>110</v>
      </c>
      <c r="IP61" s="9">
        <f t="shared" si="227"/>
        <v>-3.5622762244502608</v>
      </c>
      <c r="IQ61" s="5">
        <f t="shared" si="228"/>
        <v>-0.32210000000000027</v>
      </c>
      <c r="IR61" s="5">
        <f t="shared" si="383"/>
        <v>0.314</v>
      </c>
      <c r="IS61" s="5">
        <f t="shared" si="229"/>
        <v>0.29770452465700614</v>
      </c>
      <c r="IT61" s="727">
        <f t="shared" si="230"/>
        <v>47.599278931272814</v>
      </c>
      <c r="IU61" s="9">
        <f t="shared" si="231"/>
        <v>-3.5623453594897754</v>
      </c>
      <c r="IV61" s="5">
        <f t="shared" si="232"/>
        <v>-0.32210000000000039</v>
      </c>
      <c r="IW61" s="5">
        <f t="shared" si="384"/>
        <v>0.26600000000000001</v>
      </c>
      <c r="IX61" s="5">
        <f t="shared" si="233"/>
        <v>0.25219597132865496</v>
      </c>
      <c r="IY61" s="762">
        <f t="shared" si="234"/>
        <v>47.598506794625521</v>
      </c>
    </row>
    <row r="62" spans="1:259" ht="15" customHeight="1" x14ac:dyDescent="0.25">
      <c r="A62" s="79"/>
      <c r="B62" s="707">
        <v>-2.7912429060844177</v>
      </c>
      <c r="C62" s="708">
        <v>2.9790674377303148</v>
      </c>
      <c r="D62" s="709">
        <v>-0.93580000000000019</v>
      </c>
      <c r="E62" s="710">
        <v>-0.92060082058879411</v>
      </c>
      <c r="F62" s="708">
        <v>-0.38233580672060408</v>
      </c>
      <c r="G62" s="711">
        <v>7.9457284313924889E-2</v>
      </c>
      <c r="H62" s="710">
        <v>0.26600000000000001</v>
      </c>
      <c r="I62" s="708">
        <v>0.52</v>
      </c>
      <c r="J62" s="570">
        <v>6.2169999999999996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6.2169999999999996</v>
      </c>
      <c r="N62" s="632">
        <f t="shared" si="240"/>
        <v>-2.7912429060844177</v>
      </c>
      <c r="O62" s="629">
        <f t="shared" si="241"/>
        <v>2.9790674377303148</v>
      </c>
      <c r="P62" s="633">
        <f t="shared" si="242"/>
        <v>-0.93580000000000019</v>
      </c>
      <c r="Q62" s="585">
        <f t="shared" si="113"/>
        <v>133.13567138381694</v>
      </c>
      <c r="R62" s="629">
        <f t="shared" si="79"/>
        <v>4.0823865274262854</v>
      </c>
      <c r="S62" s="634">
        <f t="shared" si="80"/>
        <v>-0.93580000000000019</v>
      </c>
      <c r="T62" s="635">
        <f t="shared" si="81"/>
        <v>3.0026886614992319</v>
      </c>
      <c r="U62" s="629">
        <f t="shared" si="82"/>
        <v>2.7658164366811473</v>
      </c>
      <c r="V62" s="636">
        <f t="shared" si="114"/>
        <v>-0.93580000000000019</v>
      </c>
      <c r="W62" s="585">
        <f t="shared" si="224"/>
        <v>42.648583449583967</v>
      </c>
      <c r="X62" s="629">
        <f t="shared" si="83"/>
        <v>4.0823865274262854</v>
      </c>
      <c r="Y62" s="630">
        <f t="shared" si="223"/>
        <v>-0.93580000000000019</v>
      </c>
      <c r="Z62" s="632">
        <f t="shared" si="243"/>
        <v>0.92060082058879411</v>
      </c>
      <c r="AA62" s="629">
        <f t="shared" si="244"/>
        <v>0.38233580672060408</v>
      </c>
      <c r="AB62" s="629">
        <f t="shared" si="245"/>
        <v>-7.9457284313924889E-2</v>
      </c>
      <c r="AC62" s="636">
        <f t="shared" si="84"/>
        <v>1</v>
      </c>
      <c r="AD62" s="637">
        <f t="shared" si="115"/>
        <v>0.92060082058879411</v>
      </c>
      <c r="AE62" s="629">
        <f t="shared" si="85"/>
        <v>0.38233580672060408</v>
      </c>
      <c r="AF62" s="633">
        <f t="shared" si="86"/>
        <v>-7.9457284313924889E-2</v>
      </c>
      <c r="AG62" s="602">
        <f t="shared" si="87"/>
        <v>78.25986542146309</v>
      </c>
      <c r="AH62" s="603">
        <f t="shared" si="88"/>
        <v>22.985923559113033</v>
      </c>
      <c r="AI62" s="585">
        <f t="shared" si="89"/>
        <v>-85.442628887707713</v>
      </c>
      <c r="AJ62" s="586">
        <f t="shared" si="90"/>
        <v>112.55365781992326</v>
      </c>
      <c r="AK62" s="635">
        <f t="shared" si="211"/>
        <v>0.93321002566032107</v>
      </c>
      <c r="AL62" s="629">
        <f t="shared" si="91"/>
        <v>-0.3504362823346337</v>
      </c>
      <c r="AM62" s="634">
        <f t="shared" si="92"/>
        <v>-7.9457284313924889E-2</v>
      </c>
      <c r="AN62" s="581">
        <f t="shared" si="93"/>
        <v>-77.224860396948998</v>
      </c>
      <c r="AO62" s="582">
        <f t="shared" si="461"/>
        <v>21.059140092851965</v>
      </c>
      <c r="AP62" s="585">
        <f t="shared" si="95"/>
        <v>-20.582013563893682</v>
      </c>
      <c r="AQ62" s="586">
        <f t="shared" si="246"/>
        <v>0.55841220194499042</v>
      </c>
      <c r="AS62" s="52">
        <f t="shared" si="406"/>
        <v>-317.35141655041605</v>
      </c>
      <c r="AT62" s="72">
        <f t="shared" si="247"/>
        <v>-0.71256516890476085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6.2169999999999996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5.117</v>
      </c>
      <c r="II62" s="734" cm="1">
        <f t="array" ref="II62">IFERROR(ROUND(VALUE(IF($IH62&lt;1,$IH62+LARGE((IF($M$9:$M$150="",0,$M$9:$M$150)-MOD(IF($M$9:$M$150="",0,$M$9:$M$150),1)),1),$IH62)),4),"")</f>
        <v>5.117</v>
      </c>
      <c r="IJ62" s="533">
        <f t="shared" si="112"/>
        <v>1613</v>
      </c>
      <c r="IK62" s="533">
        <f t="shared" si="382"/>
        <v>1313</v>
      </c>
      <c r="IL62" s="727">
        <f t="shared" si="225"/>
        <v>75.0003183686689</v>
      </c>
      <c r="IM62" s="759">
        <v>4.4725658278849903E-2</v>
      </c>
      <c r="IN62" s="5">
        <f t="shared" si="226"/>
        <v>0.24</v>
      </c>
      <c r="IO62" s="771">
        <v>120</v>
      </c>
      <c r="IP62" s="9">
        <f t="shared" si="227"/>
        <v>-4.0823169922618661</v>
      </c>
      <c r="IQ62" s="5">
        <f t="shared" si="228"/>
        <v>-0.93579999999999974</v>
      </c>
      <c r="IR62" s="5">
        <f t="shared" si="383"/>
        <v>0.314</v>
      </c>
      <c r="IS62" s="5">
        <f t="shared" si="229"/>
        <v>0.29302733662329861</v>
      </c>
      <c r="IT62" s="727">
        <f t="shared" si="230"/>
        <v>77.225043226568232</v>
      </c>
      <c r="IU62" s="9">
        <f t="shared" si="231"/>
        <v>-4.0823865274262854</v>
      </c>
      <c r="IV62" s="5">
        <f t="shared" si="232"/>
        <v>-0.93580000000000019</v>
      </c>
      <c r="IW62" s="5">
        <f t="shared" si="384"/>
        <v>0.26600000000000001</v>
      </c>
      <c r="IX62" s="5">
        <f t="shared" si="233"/>
        <v>0.24823386682564541</v>
      </c>
      <c r="IY62" s="762">
        <f t="shared" si="234"/>
        <v>77.224860396948998</v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0.96592582628906831</v>
      </c>
      <c r="F154" s="170">
        <f t="shared" si="929"/>
        <v>0</v>
      </c>
      <c r="G154" s="170">
        <f t="shared" si="929"/>
        <v>-0.25881904510252074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0.96592582628906831</v>
      </c>
      <c r="F155" s="170">
        <f t="shared" si="929"/>
        <v>0</v>
      </c>
      <c r="G155" s="170">
        <f t="shared" si="929"/>
        <v>-0.25881904510252074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-2.3437999999999955E-2</v>
      </c>
      <c r="AM155">
        <v>0.29170000000000007</v>
      </c>
      <c r="AN155">
        <v>-0.56420000000000015</v>
      </c>
      <c r="AO155">
        <v>-0.96592582628906831</v>
      </c>
      <c r="AP155">
        <v>0</v>
      </c>
      <c r="AQ155">
        <v>0.25881904510252074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0.96592582628906831</v>
      </c>
      <c r="F156" s="170">
        <f t="shared" si="929"/>
        <v>0</v>
      </c>
      <c r="G156" s="170">
        <f t="shared" si="929"/>
        <v>-0.25881904510252074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-2.3437999999999955E-2</v>
      </c>
      <c r="AM156">
        <v>1.0425000000000002</v>
      </c>
      <c r="AN156">
        <v>-0.39770000000000005</v>
      </c>
      <c r="AO156">
        <v>-0.96592582628906831</v>
      </c>
      <c r="AP156">
        <v>0</v>
      </c>
      <c r="AQ156">
        <v>0.25881904510252074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0.96560359493203995</v>
      </c>
      <c r="F157" s="170">
        <f t="shared" si="929"/>
        <v>-2.582800048591858E-2</v>
      </c>
      <c r="G157" s="170">
        <f t="shared" si="929"/>
        <v>-0.25873270347062904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-2.3437999999999945E-2</v>
      </c>
      <c r="AM157">
        <v>1.7934000000000001</v>
      </c>
      <c r="AN157">
        <v>-0.23120000000000029</v>
      </c>
      <c r="AO157">
        <v>-0.96592582628906831</v>
      </c>
      <c r="AP157">
        <v>0</v>
      </c>
      <c r="AQ157">
        <v>0.25881904510252074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0.94758632054513248</v>
      </c>
      <c r="F158" s="170">
        <f t="shared" si="929"/>
        <v>-0.19295337797576928</v>
      </c>
      <c r="G158" s="170">
        <f t="shared" si="929"/>
        <v>-0.25465498040187129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-2.1638000000000008E-2</v>
      </c>
      <c r="AM158">
        <v>2.5452000000000004</v>
      </c>
      <c r="AN158">
        <v>-7.2600000000000206E-2</v>
      </c>
      <c r="AO158">
        <v>-0.96560359493203995</v>
      </c>
      <c r="AP158">
        <v>2.582800048591858E-2</v>
      </c>
      <c r="AQ158">
        <v>0.25873270347062904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0.92401710061115305</v>
      </c>
      <c r="F159" s="170">
        <f t="shared" si="929"/>
        <v>-0.35527038270421363</v>
      </c>
      <c r="G159" s="170">
        <f t="shared" si="929"/>
        <v>-0.14133418889766164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1.1262000000000053E-2</v>
      </c>
      <c r="AM159">
        <v>3.3253000000000004</v>
      </c>
      <c r="AN159">
        <v>-0.1907000000000004</v>
      </c>
      <c r="AO159">
        <v>-0.94758632054513248</v>
      </c>
      <c r="AP159">
        <v>0.19295337797576928</v>
      </c>
      <c r="AQ159">
        <v>0.25465498040187129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0.90445434491644661</v>
      </c>
      <c r="F160" s="170">
        <f t="shared" si="929"/>
        <v>-0.42623642436234666</v>
      </c>
      <c r="G160" s="170">
        <f t="shared" si="929"/>
        <v>1.6877455630608412E-2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0.1171870000000001</v>
      </c>
      <c r="AM160">
        <v>3.9456000000000002</v>
      </c>
      <c r="AN160">
        <v>-0.70079999999999998</v>
      </c>
      <c r="AO160">
        <v>-0.92401710061115305</v>
      </c>
      <c r="AP160">
        <v>0.35527038270421363</v>
      </c>
      <c r="AQ160">
        <v>0.14133418889766164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0.84672170317036044</v>
      </c>
      <c r="F161" s="170">
        <f t="shared" si="929"/>
        <v>-0.5317859676143657</v>
      </c>
      <c r="G161" s="170">
        <f t="shared" si="929"/>
        <v>-1.6310794853006017E-2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0.13281200000000051</v>
      </c>
      <c r="AM161">
        <v>4.145900000000001</v>
      </c>
      <c r="AN161">
        <v>-1.4662000000000004</v>
      </c>
      <c r="AO161">
        <v>-0.90445434491644661</v>
      </c>
      <c r="AP161">
        <v>0.42623642436234666</v>
      </c>
      <c r="AQ161">
        <v>-1.6877455630608412E-2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0.8977705808728752</v>
      </c>
      <c r="F162" s="170">
        <f t="shared" si="929"/>
        <v>-0.36799689468315777</v>
      </c>
      <c r="G162" s="170">
        <f t="shared" si="929"/>
        <v>-0.24204600724393932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0.19406200000000004</v>
      </c>
      <c r="AM162">
        <v>4.2014999999999993</v>
      </c>
      <c r="AN162">
        <v>-2.1191</v>
      </c>
      <c r="AO162">
        <v>-0.84672170317036044</v>
      </c>
      <c r="AP162">
        <v>0.5317859676143657</v>
      </c>
      <c r="AQ162">
        <v>1.6310794853006017E-2</v>
      </c>
      <c r="AR162">
        <v>0.26600000000000001</v>
      </c>
      <c r="AS162">
        <v>0.52</v>
      </c>
      <c r="AT162">
        <v>1.1220000000000001</v>
      </c>
    </row>
    <row r="163" spans="5:46" x14ac:dyDescent="0.25">
      <c r="E163" s="170">
        <f t="shared" si="929"/>
        <v>0.83248900023826533</v>
      </c>
      <c r="F163" s="170">
        <f t="shared" si="929"/>
        <v>-0.52892740010740069</v>
      </c>
      <c r="G163" s="170">
        <f t="shared" si="929"/>
        <v>-0.16491776707777556</v>
      </c>
      <c r="H163" s="139"/>
      <c r="I163" s="86"/>
      <c r="J163" s="79">
        <f t="shared" si="930"/>
        <v>1.2150000000000001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0.79184765578558713</v>
      </c>
      <c r="AM163">
        <v>2.9700004232450947</v>
      </c>
      <c r="AN163">
        <v>-0.10510000000000012</v>
      </c>
      <c r="AO163">
        <v>-0.8977705808728752</v>
      </c>
      <c r="AP163">
        <v>0.36799689468315777</v>
      </c>
      <c r="AQ163">
        <v>0.24204600724393932</v>
      </c>
      <c r="AR163">
        <v>0.26600000000000001</v>
      </c>
      <c r="AS163">
        <v>0.52</v>
      </c>
      <c r="AT163">
        <v>1.212</v>
      </c>
    </row>
    <row r="164" spans="5:46" x14ac:dyDescent="0.25">
      <c r="E164" s="170">
        <f t="shared" si="929"/>
        <v>0.78725717854011679</v>
      </c>
      <c r="F164" s="170">
        <f t="shared" si="929"/>
        <v>-0.61627192714662815</v>
      </c>
      <c r="G164" s="170">
        <f t="shared" si="929"/>
        <v>-2.0857771885700455E-2</v>
      </c>
      <c r="H164" s="139"/>
      <c r="I164" s="86"/>
      <c r="J164" s="79">
        <f t="shared" si="930"/>
        <v>1.218</v>
      </c>
      <c r="AL164">
        <v>1.051466472531196</v>
      </c>
      <c r="AM164">
        <v>3.6222303239400944</v>
      </c>
      <c r="AN164">
        <v>-0.49399999999999999</v>
      </c>
      <c r="AO164">
        <v>-0.83248900023826533</v>
      </c>
      <c r="AP164">
        <v>0.52892740010740069</v>
      </c>
      <c r="AQ164">
        <v>0.16491776707777556</v>
      </c>
      <c r="AR164">
        <v>0.26600000000000001</v>
      </c>
      <c r="AS164">
        <v>0.52</v>
      </c>
      <c r="AT164">
        <v>1.2150000000000001</v>
      </c>
    </row>
    <row r="165" spans="5:46" x14ac:dyDescent="0.25">
      <c r="E165" s="170">
        <f t="shared" si="929"/>
        <v>0.35307204530266723</v>
      </c>
      <c r="F165" s="170">
        <f t="shared" si="929"/>
        <v>-0.89948959258206274</v>
      </c>
      <c r="G165" s="170">
        <f t="shared" si="929"/>
        <v>-0.25740746621329036</v>
      </c>
      <c r="H165" s="139"/>
      <c r="I165" s="86"/>
      <c r="J165" s="79">
        <f t="shared" si="930"/>
        <v>2.1110000000000002</v>
      </c>
      <c r="AL165">
        <v>1.2013472001069119</v>
      </c>
      <c r="AM165">
        <v>3.9702984716789738</v>
      </c>
      <c r="AN165">
        <v>-1.1947999999999999</v>
      </c>
      <c r="AO165">
        <v>-0.78725717854011679</v>
      </c>
      <c r="AP165">
        <v>0.61627192714662815</v>
      </c>
      <c r="AQ165">
        <v>2.0857771885700455E-2</v>
      </c>
      <c r="AR165">
        <v>0.26600000000000001</v>
      </c>
      <c r="AS165">
        <v>0.52</v>
      </c>
      <c r="AT165">
        <v>1.218</v>
      </c>
    </row>
    <row r="166" spans="5:46" x14ac:dyDescent="0.25">
      <c r="E166" s="170">
        <f t="shared" si="929"/>
        <v>0.17315677294115064</v>
      </c>
      <c r="F166" s="170">
        <f t="shared" si="929"/>
        <v>-0.96127369902244109</v>
      </c>
      <c r="G166" s="170">
        <f t="shared" si="929"/>
        <v>-0.21440524142921574</v>
      </c>
      <c r="H166" s="139"/>
      <c r="I166" s="86"/>
      <c r="J166" s="79">
        <f t="shared" si="930"/>
        <v>2.1139999999999999</v>
      </c>
      <c r="AL166">
        <v>2.5412156137660196</v>
      </c>
      <c r="AM166">
        <v>1.2015521984077757</v>
      </c>
      <c r="AN166">
        <v>-6.5300000000000122E-2</v>
      </c>
      <c r="AO166">
        <v>-0.35307204530266723</v>
      </c>
      <c r="AP166">
        <v>0.89948959258206274</v>
      </c>
      <c r="AQ166">
        <v>0.25740746621329036</v>
      </c>
      <c r="AR166">
        <v>0.314</v>
      </c>
      <c r="AS166">
        <v>0.52</v>
      </c>
      <c r="AT166">
        <v>2.1110000000000002</v>
      </c>
    </row>
    <row r="167" spans="5:46" x14ac:dyDescent="0.25">
      <c r="E167" s="170">
        <f t="shared" si="929"/>
        <v>4.4414111634072315E-2</v>
      </c>
      <c r="F167" s="170">
        <f t="shared" si="929"/>
        <v>-0.99584834520985799</v>
      </c>
      <c r="G167" s="170">
        <f t="shared" si="929"/>
        <v>-7.9457284313924986E-2</v>
      </c>
      <c r="H167" s="139"/>
      <c r="I167" s="86"/>
      <c r="J167" s="79">
        <f t="shared" si="930"/>
        <v>2.117</v>
      </c>
      <c r="AL167">
        <v>3.251319820130413</v>
      </c>
      <c r="AM167">
        <v>1.4557462025239105</v>
      </c>
      <c r="AN167">
        <v>-0.32210000000000039</v>
      </c>
      <c r="AO167">
        <v>-0.17315677294115064</v>
      </c>
      <c r="AP167">
        <v>0.96127369902244109</v>
      </c>
      <c r="AQ167">
        <v>0.21440524142921574</v>
      </c>
      <c r="AR167">
        <v>0.314</v>
      </c>
      <c r="AS167">
        <v>0.52</v>
      </c>
      <c r="AT167">
        <v>2.1139999999999999</v>
      </c>
    </row>
    <row r="168" spans="5:46" x14ac:dyDescent="0.25">
      <c r="E168" s="170">
        <f t="shared" si="929"/>
        <v>-0.1241217091137367</v>
      </c>
      <c r="F168" s="170">
        <f t="shared" si="929"/>
        <v>-0.99213293428751181</v>
      </c>
      <c r="G168" s="170">
        <f t="shared" si="929"/>
        <v>-1.631079485300611E-2</v>
      </c>
      <c r="H168" s="139"/>
      <c r="I168" s="86"/>
      <c r="J168" s="79">
        <f t="shared" si="930"/>
        <v>2.12</v>
      </c>
      <c r="AL168">
        <v>3.7540761978499999</v>
      </c>
      <c r="AM168">
        <v>1.6039839517218766</v>
      </c>
      <c r="AN168">
        <v>-0.93579999999999985</v>
      </c>
      <c r="AO168">
        <v>-4.4414111634072315E-2</v>
      </c>
      <c r="AP168">
        <v>0.99584834520985799</v>
      </c>
      <c r="AQ168">
        <v>7.9457284313924986E-2</v>
      </c>
      <c r="AR168">
        <v>0.314</v>
      </c>
      <c r="AS168">
        <v>0.52</v>
      </c>
      <c r="AT168">
        <v>2.117</v>
      </c>
    </row>
    <row r="169" spans="5:46" x14ac:dyDescent="0.25">
      <c r="E169" s="170">
        <f t="shared" si="929"/>
        <v>-2.5475344855658777E-2</v>
      </c>
      <c r="F169" s="170">
        <f t="shared" si="929"/>
        <v>-0.96669635758132855</v>
      </c>
      <c r="G169" s="170">
        <f t="shared" si="929"/>
        <v>-0.25465498040187129</v>
      </c>
      <c r="H169" s="139"/>
      <c r="I169" s="86"/>
      <c r="J169" s="79">
        <f t="shared" si="930"/>
        <v>2.2130000000000001</v>
      </c>
      <c r="AL169">
        <v>3.8904249737763403</v>
      </c>
      <c r="AM169">
        <v>1.5986033101812331</v>
      </c>
      <c r="AN169">
        <v>-1.6242999999999999</v>
      </c>
      <c r="AO169">
        <v>0.1241217091137367</v>
      </c>
      <c r="AP169">
        <v>0.99213293428751181</v>
      </c>
      <c r="AQ169">
        <v>1.631079485300611E-2</v>
      </c>
      <c r="AR169">
        <v>0.26600000000000001</v>
      </c>
      <c r="AS169">
        <v>0.52</v>
      </c>
      <c r="AT169">
        <v>2.12</v>
      </c>
    </row>
    <row r="170" spans="5:46" x14ac:dyDescent="0.25">
      <c r="E170" s="170">
        <f t="shared" si="929"/>
        <v>-0.18941914164851675</v>
      </c>
      <c r="F170" s="170">
        <f t="shared" si="929"/>
        <v>-0.97167125913334462</v>
      </c>
      <c r="G170" s="170">
        <f t="shared" si="929"/>
        <v>-0.14133418889766172</v>
      </c>
      <c r="H170" s="139"/>
      <c r="I170" s="86"/>
      <c r="J170" s="79">
        <f t="shared" si="930"/>
        <v>2.2160000000000002</v>
      </c>
      <c r="AL170">
        <v>3.2767415279787899</v>
      </c>
      <c r="AM170">
        <v>0.56632671484056951</v>
      </c>
      <c r="AN170">
        <v>-0.19069999999999995</v>
      </c>
      <c r="AO170">
        <v>2.5475344855658777E-2</v>
      </c>
      <c r="AP170">
        <v>0.96669635758132855</v>
      </c>
      <c r="AQ170">
        <v>0.25465498040187129</v>
      </c>
      <c r="AR170">
        <v>0.26600000000000001</v>
      </c>
      <c r="AS170">
        <v>0.52</v>
      </c>
      <c r="AT170">
        <v>2.2130000000000001</v>
      </c>
    </row>
    <row r="171" spans="5:46" x14ac:dyDescent="0.25">
      <c r="E171" s="170">
        <f t="shared" si="929"/>
        <v>-0.26270408655056265</v>
      </c>
      <c r="F171" s="170">
        <f t="shared" si="929"/>
        <v>-0.9647288294650842</v>
      </c>
      <c r="G171" s="170">
        <f t="shared" si="929"/>
        <v>1.6877455630608412E-2</v>
      </c>
      <c r="H171" s="139"/>
      <c r="I171" s="86"/>
      <c r="J171" s="79">
        <f t="shared" si="930"/>
        <v>2.2189999999999999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3.906007119187191</v>
      </c>
      <c r="AM171">
        <v>0.56974953840337361</v>
      </c>
      <c r="AN171">
        <v>-0.70080000000000009</v>
      </c>
      <c r="AO171">
        <v>0.18941914164851675</v>
      </c>
      <c r="AP171">
        <v>0.97167125913334462</v>
      </c>
      <c r="AQ171">
        <v>0.14133418889766172</v>
      </c>
      <c r="AR171">
        <v>0.26600000000000001</v>
      </c>
      <c r="AS171">
        <v>0.52</v>
      </c>
      <c r="AT171">
        <v>2.2160000000000002</v>
      </c>
    </row>
    <row r="172" spans="5:46" x14ac:dyDescent="0.25">
      <c r="E172" s="170">
        <f t="shared" si="929"/>
        <v>-0.48296291314453466</v>
      </c>
      <c r="F172" s="170">
        <f t="shared" si="929"/>
        <v>-0.83651630373780772</v>
      </c>
      <c r="G172" s="170">
        <f t="shared" si="929"/>
        <v>-0.25881904510252079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4.1059903885049067</v>
      </c>
      <c r="AM172">
        <v>0.58906978666776777</v>
      </c>
      <c r="AN172">
        <v>-1.4661999999999999</v>
      </c>
      <c r="AO172">
        <v>0.26270408655056265</v>
      </c>
      <c r="AP172">
        <v>0.9647288294650842</v>
      </c>
      <c r="AQ172">
        <v>-1.6877455630608412E-2</v>
      </c>
      <c r="AR172">
        <v>0.26600000000000001</v>
      </c>
      <c r="AS172">
        <v>0.52</v>
      </c>
      <c r="AT172">
        <v>2.2189999999999999</v>
      </c>
    </row>
    <row r="173" spans="5:46" x14ac:dyDescent="0.25">
      <c r="E173" s="170">
        <f t="shared" si="929"/>
        <v>-0.48296291314453466</v>
      </c>
      <c r="F173" s="170">
        <f t="shared" si="929"/>
        <v>-0.83651630373780761</v>
      </c>
      <c r="G173" s="170">
        <f t="shared" si="929"/>
        <v>-0.25881904510252074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1313</v>
      </c>
      <c r="AL173">
        <v>0.69773445706890036</v>
      </c>
      <c r="AM173">
        <v>-0.37580209658609931</v>
      </c>
      <c r="AN173">
        <v>-0.45320000000000016</v>
      </c>
      <c r="AO173">
        <v>0.48296291314453466</v>
      </c>
      <c r="AP173">
        <v>0.83651630373780772</v>
      </c>
      <c r="AQ173">
        <v>0.25881904510252079</v>
      </c>
      <c r="AR173">
        <v>0.314</v>
      </c>
      <c r="AS173">
        <v>0.52</v>
      </c>
      <c r="AT173">
        <v>3.1030000000000002</v>
      </c>
    </row>
    <row r="174" spans="5:46" x14ac:dyDescent="0.25">
      <c r="E174" s="170">
        <f t="shared" ref="E174:G193" si="933">E29*-1</f>
        <v>-0.4829629131445346</v>
      </c>
      <c r="F174" s="170">
        <f t="shared" si="933"/>
        <v>-0.83651630373780772</v>
      </c>
      <c r="G174" s="170">
        <f t="shared" si="933"/>
        <v>-0.25881904510252079</v>
      </c>
      <c r="H174" s="139"/>
      <c r="I174" s="86"/>
      <c r="J174" s="79">
        <f t="shared" si="930"/>
        <v>3.109</v>
      </c>
      <c r="AL174">
        <v>1.344286824268762</v>
      </c>
      <c r="AM174">
        <v>-0.75774054684201075</v>
      </c>
      <c r="AN174">
        <v>-0.25873866548068325</v>
      </c>
      <c r="AO174">
        <v>0.48296291314453466</v>
      </c>
      <c r="AP174">
        <v>0.83651630373780761</v>
      </c>
      <c r="AQ174">
        <v>0.25881904510252074</v>
      </c>
      <c r="AR174">
        <v>0.314</v>
      </c>
      <c r="AS174">
        <v>0.52</v>
      </c>
      <c r="AT174">
        <v>3.1059999999999999</v>
      </c>
    </row>
    <row r="175" spans="5:46" x14ac:dyDescent="0.25">
      <c r="E175" s="170">
        <f t="shared" si="933"/>
        <v>-0.58781782903129365</v>
      </c>
      <c r="F175" s="170">
        <f t="shared" si="933"/>
        <v>-0.77193518526506077</v>
      </c>
      <c r="G175" s="170">
        <f t="shared" si="933"/>
        <v>-0.24204600724393938</v>
      </c>
      <c r="H175" s="139"/>
      <c r="I175" s="86"/>
      <c r="J175" s="79">
        <f t="shared" si="930"/>
        <v>3.1120000000000001</v>
      </c>
      <c r="AL175">
        <v>1.9979849983108564</v>
      </c>
      <c r="AM175">
        <v>-1.1265020965861001</v>
      </c>
      <c r="AN175">
        <v>-0.1203000000000001</v>
      </c>
      <c r="AO175">
        <v>0.4829629131445346</v>
      </c>
      <c r="AP175">
        <v>0.83651630373780772</v>
      </c>
      <c r="AQ175">
        <v>0.25881904510252079</v>
      </c>
      <c r="AR175">
        <v>0.314</v>
      </c>
      <c r="AS175">
        <v>0.52</v>
      </c>
      <c r="AT175">
        <v>3.109</v>
      </c>
    </row>
    <row r="176" spans="5:46" x14ac:dyDescent="0.25">
      <c r="E176" s="170">
        <f t="shared" si="933"/>
        <v>-0.7263686440956898</v>
      </c>
      <c r="F176" s="170">
        <f t="shared" si="933"/>
        <v>-0.66722614080735021</v>
      </c>
      <c r="G176" s="170">
        <f t="shared" si="933"/>
        <v>-0.16491776707777556</v>
      </c>
      <c r="H176" s="139"/>
      <c r="I176" s="86"/>
      <c r="J176" s="79">
        <f t="shared" si="930"/>
        <v>3.1150000000000002</v>
      </c>
      <c r="AL176">
        <v>2.6637714158030961</v>
      </c>
      <c r="AM176">
        <v>-1.5335261945002754</v>
      </c>
      <c r="AN176">
        <v>-0.10510000000000003</v>
      </c>
      <c r="AO176">
        <v>0.58781782903129365</v>
      </c>
      <c r="AP176">
        <v>0.77193518526506077</v>
      </c>
      <c r="AQ176">
        <v>0.24204600724393938</v>
      </c>
      <c r="AR176">
        <v>0.314</v>
      </c>
      <c r="AS176">
        <v>0.52</v>
      </c>
      <c r="AT176">
        <v>3.1120000000000001</v>
      </c>
    </row>
    <row r="177" spans="5:46" x14ac:dyDescent="0.25">
      <c r="E177" s="170">
        <f t="shared" si="933"/>
        <v>-0.79903012164772114</v>
      </c>
      <c r="F177" s="170">
        <f t="shared" si="933"/>
        <v>-0.6009291289757821</v>
      </c>
      <c r="G177" s="170">
        <f t="shared" si="933"/>
        <v>-2.0857771885700177E-2</v>
      </c>
      <c r="H177" s="139"/>
      <c r="I177" s="86"/>
      <c r="J177" s="79">
        <f t="shared" si="930"/>
        <v>3.1179999999999999</v>
      </c>
      <c r="AL177">
        <v>3.2265828273216064</v>
      </c>
      <c r="AM177">
        <v>-1.9531082346706603</v>
      </c>
      <c r="AN177">
        <v>-0.49400000000000038</v>
      </c>
      <c r="AO177">
        <v>0.7263686440956898</v>
      </c>
      <c r="AP177">
        <v>0.66722614080735021</v>
      </c>
      <c r="AQ177">
        <v>0.16491776707777556</v>
      </c>
      <c r="AR177">
        <v>0.314</v>
      </c>
      <c r="AS177">
        <v>0.52</v>
      </c>
      <c r="AT177">
        <v>3.1150000000000002</v>
      </c>
    </row>
    <row r="178" spans="5:46" x14ac:dyDescent="0.25">
      <c r="E178" s="170">
        <f t="shared" si="933"/>
        <v>-0.88390100891530987</v>
      </c>
      <c r="F178" s="170">
        <f t="shared" si="933"/>
        <v>-0.46738952107397586</v>
      </c>
      <c r="G178" s="170">
        <f t="shared" si="933"/>
        <v>-1.6310794853006433E-2</v>
      </c>
      <c r="H178" s="139"/>
      <c r="I178" s="86"/>
      <c r="J178" s="79">
        <f t="shared" si="930"/>
        <v>3.121</v>
      </c>
      <c r="AL178">
        <v>3.5239988537407716</v>
      </c>
      <c r="AM178">
        <v>-2.1879685659274188</v>
      </c>
      <c r="AN178">
        <v>-1.1948000000000005</v>
      </c>
      <c r="AO178">
        <v>0.79903012164772114</v>
      </c>
      <c r="AP178">
        <v>0.6009291289757821</v>
      </c>
      <c r="AQ178">
        <v>2.0857771885700177E-2</v>
      </c>
      <c r="AR178">
        <v>0.314</v>
      </c>
      <c r="AS178">
        <v>0.52</v>
      </c>
      <c r="AT178">
        <v>3.1179999999999999</v>
      </c>
    </row>
    <row r="179" spans="5:46" x14ac:dyDescent="0.25">
      <c r="E179" s="170">
        <f t="shared" si="933"/>
        <v>-0.72448598108438289</v>
      </c>
      <c r="F179" s="170">
        <f t="shared" si="933"/>
        <v>-0.63942275495156808</v>
      </c>
      <c r="G179" s="170">
        <f t="shared" si="933"/>
        <v>-0.2574074662132903</v>
      </c>
      <c r="H179" s="139"/>
      <c r="I179" s="86"/>
      <c r="J179" s="79">
        <f t="shared" si="930"/>
        <v>3.2109999999999999</v>
      </c>
      <c r="AL179">
        <v>3.5408998661911868</v>
      </c>
      <c r="AM179">
        <v>-2.2698951536639473</v>
      </c>
      <c r="AN179">
        <v>-1.8568</v>
      </c>
      <c r="AO179">
        <v>0.88390100891530987</v>
      </c>
      <c r="AP179">
        <v>0.46738952107397586</v>
      </c>
      <c r="AQ179">
        <v>1.6310794853006433E-2</v>
      </c>
      <c r="AR179">
        <v>0.26600000000000001</v>
      </c>
      <c r="AS179">
        <v>0.52</v>
      </c>
      <c r="AT179">
        <v>3.121</v>
      </c>
    </row>
    <row r="180" spans="5:46" x14ac:dyDescent="0.25">
      <c r="E180" s="170">
        <f t="shared" si="933"/>
        <v>-0.8440786972278197</v>
      </c>
      <c r="F180" s="170">
        <f t="shared" si="933"/>
        <v>-0.491489110086751</v>
      </c>
      <c r="G180" s="170">
        <f t="shared" si="933"/>
        <v>-0.21440524142921558</v>
      </c>
      <c r="H180" s="139"/>
      <c r="I180" s="86"/>
      <c r="J180" s="79">
        <f t="shared" si="930"/>
        <v>3.214</v>
      </c>
      <c r="AL180">
        <v>1.9982580063227648</v>
      </c>
      <c r="AM180">
        <v>-1.9769910627717979</v>
      </c>
      <c r="AN180">
        <v>-6.5299999999999844E-2</v>
      </c>
      <c r="AO180">
        <v>0.72448598108438289</v>
      </c>
      <c r="AP180">
        <v>0.63942275495156808</v>
      </c>
      <c r="AQ180">
        <v>0.2574074662132903</v>
      </c>
      <c r="AR180">
        <v>0.26600000000000001</v>
      </c>
      <c r="AS180">
        <v>0.52</v>
      </c>
      <c r="AT180">
        <v>3.2109999999999999</v>
      </c>
    </row>
    <row r="181" spans="5:46" x14ac:dyDescent="0.25">
      <c r="E181" s="170">
        <f t="shared" si="933"/>
        <v>-0.92060082058879389</v>
      </c>
      <c r="F181" s="170">
        <f t="shared" si="933"/>
        <v>-0.38233580672060474</v>
      </c>
      <c r="G181" s="170">
        <f t="shared" si="933"/>
        <v>-7.9457284313924625E-2</v>
      </c>
      <c r="H181" s="139"/>
      <c r="I181" s="86"/>
      <c r="J181" s="79">
        <f t="shared" si="930"/>
        <v>3.2170000000000001</v>
      </c>
      <c r="AL181">
        <v>2.4799921786756292</v>
      </c>
      <c r="AM181">
        <v>-2.5573312757611273</v>
      </c>
      <c r="AN181">
        <v>-0.32210000000000016</v>
      </c>
      <c r="AO181">
        <v>0.8440786972278197</v>
      </c>
      <c r="AP181">
        <v>0.491489110086751</v>
      </c>
      <c r="AQ181">
        <v>0.21440524142921558</v>
      </c>
      <c r="AR181">
        <v>0.26600000000000001</v>
      </c>
      <c r="AS181">
        <v>0.52</v>
      </c>
      <c r="AT181">
        <v>3.214</v>
      </c>
    </row>
    <row r="182" spans="5:46" x14ac:dyDescent="0.25">
      <c r="E182" s="170">
        <f t="shared" si="933"/>
        <v>-0.95967812316359069</v>
      </c>
      <c r="F182" s="170">
        <f t="shared" si="933"/>
        <v>0.10988761566249318</v>
      </c>
      <c r="G182" s="170">
        <f t="shared" si="933"/>
        <v>-0.2587327034706291</v>
      </c>
      <c r="H182" s="139"/>
      <c r="I182" s="86"/>
      <c r="J182" s="79">
        <f t="shared" si="930"/>
        <v>4.1100000000000003</v>
      </c>
      <c r="AL182">
        <v>2.7912429060844186</v>
      </c>
      <c r="AM182">
        <v>-2.9790674377303139</v>
      </c>
      <c r="AN182">
        <v>-0.93579999999999985</v>
      </c>
      <c r="AO182">
        <v>0.92060082058879389</v>
      </c>
      <c r="AP182">
        <v>0.38233580672060474</v>
      </c>
      <c r="AQ182">
        <v>7.9457284313924625E-2</v>
      </c>
      <c r="AR182">
        <v>0.26600000000000001</v>
      </c>
      <c r="AS182">
        <v>0.52</v>
      </c>
      <c r="AT182">
        <v>3.2170000000000001</v>
      </c>
    </row>
    <row r="183" spans="5:46" x14ac:dyDescent="0.25">
      <c r="E183" s="170">
        <f t="shared" si="933"/>
        <v>-0.92716347353817863</v>
      </c>
      <c r="F183" s="170">
        <f t="shared" si="933"/>
        <v>0.27480672170298476</v>
      </c>
      <c r="G183" s="170">
        <f t="shared" si="933"/>
        <v>-0.25465498040187134</v>
      </c>
      <c r="H183" s="139"/>
      <c r="I183" s="86"/>
      <c r="J183" s="79">
        <f t="shared" si="930"/>
        <v>4.1130000000000004</v>
      </c>
      <c r="AL183">
        <v>-0.2003141021816979</v>
      </c>
      <c r="AM183">
        <v>-2.537446476372847</v>
      </c>
      <c r="AN183">
        <v>-7.2600000000000442E-2</v>
      </c>
      <c r="AO183">
        <v>0.95967812316359069</v>
      </c>
      <c r="AP183">
        <v>-0.10988761566249318</v>
      </c>
      <c r="AQ183">
        <v>0.2587327034706291</v>
      </c>
      <c r="AR183">
        <v>0.314</v>
      </c>
      <c r="AS183">
        <v>0.52</v>
      </c>
      <c r="AT183">
        <v>4.1100000000000003</v>
      </c>
    </row>
    <row r="184" spans="5:46" x14ac:dyDescent="0.25">
      <c r="E184" s="170">
        <f t="shared" si="933"/>
        <v>-0.88953708249410723</v>
      </c>
      <c r="F184" s="170">
        <f t="shared" si="933"/>
        <v>0.43445186835426564</v>
      </c>
      <c r="G184" s="170">
        <f t="shared" si="933"/>
        <v>-0.14133418889766167</v>
      </c>
      <c r="H184" s="139"/>
      <c r="I184" s="86"/>
      <c r="J184" s="79">
        <f t="shared" si="930"/>
        <v>4.1159999999999997</v>
      </c>
      <c r="AL184">
        <v>-0.30107910266636312</v>
      </c>
      <c r="AM184">
        <v>-3.3117105364178192</v>
      </c>
      <c r="AN184">
        <v>-0.19070000000000045</v>
      </c>
      <c r="AO184">
        <v>0.92716347353817863</v>
      </c>
      <c r="AP184">
        <v>-0.27480672170298476</v>
      </c>
      <c r="AQ184">
        <v>0.25465498040187134</v>
      </c>
      <c r="AR184">
        <v>0.314</v>
      </c>
      <c r="AS184">
        <v>0.52</v>
      </c>
      <c r="AT184">
        <v>4.1130000000000004</v>
      </c>
    </row>
    <row r="185" spans="5:46" x14ac:dyDescent="0.25">
      <c r="E185" s="170">
        <f t="shared" si="933"/>
        <v>-0.86386367092040073</v>
      </c>
      <c r="F185" s="170">
        <f t="shared" si="933"/>
        <v>0.50344285629589247</v>
      </c>
      <c r="G185" s="170">
        <f t="shared" si="933"/>
        <v>1.6877455630608638E-2</v>
      </c>
      <c r="H185" s="139"/>
      <c r="I185" s="86"/>
      <c r="J185" s="79">
        <f t="shared" si="930"/>
        <v>4.1189999999999998</v>
      </c>
      <c r="AL185">
        <v>-0.46066373328810462</v>
      </c>
      <c r="AM185">
        <v>-3.9204181355935819</v>
      </c>
      <c r="AN185">
        <v>-0.7007999999999992</v>
      </c>
      <c r="AO185">
        <v>0.88953708249410723</v>
      </c>
      <c r="AP185">
        <v>-0.43445186835426564</v>
      </c>
      <c r="AQ185">
        <v>0.14133418889766167</v>
      </c>
      <c r="AR185">
        <v>0.314</v>
      </c>
      <c r="AS185">
        <v>0.52</v>
      </c>
      <c r="AT185">
        <v>4.1159999999999997</v>
      </c>
    </row>
    <row r="186" spans="5:46" x14ac:dyDescent="0.25">
      <c r="E186" s="170">
        <f t="shared" si="933"/>
        <v>-0.79715147046731372</v>
      </c>
      <c r="F186" s="170">
        <f t="shared" si="933"/>
        <v>0.60355902039739473</v>
      </c>
      <c r="G186" s="170">
        <f t="shared" si="933"/>
        <v>-1.631079485300627E-2</v>
      </c>
      <c r="H186" s="139"/>
      <c r="I186" s="86"/>
      <c r="J186" s="79">
        <f t="shared" si="930"/>
        <v>4.1219999999999999</v>
      </c>
      <c r="AL186">
        <v>-0.49368657071814365</v>
      </c>
      <c r="AM186">
        <v>-4.1185941251409277</v>
      </c>
      <c r="AN186">
        <v>-1.4662000000000004</v>
      </c>
      <c r="AO186">
        <v>0.86386367092040073</v>
      </c>
      <c r="AP186">
        <v>-0.50344285629589247</v>
      </c>
      <c r="AQ186">
        <v>-1.6877455630608638E-2</v>
      </c>
      <c r="AR186">
        <v>0.314</v>
      </c>
      <c r="AS186">
        <v>0.52</v>
      </c>
      <c r="AT186">
        <v>4.1189999999999998</v>
      </c>
    </row>
    <row r="187" spans="5:46" x14ac:dyDescent="0.25">
      <c r="E187" s="170">
        <f t="shared" si="933"/>
        <v>-0.86228125008336254</v>
      </c>
      <c r="F187" s="170">
        <f t="shared" si="933"/>
        <v>0.44484241719056028</v>
      </c>
      <c r="G187" s="170">
        <f t="shared" si="933"/>
        <v>-0.24204600724393929</v>
      </c>
      <c r="H187" s="139"/>
      <c r="I187" s="86"/>
      <c r="J187" s="79">
        <f t="shared" si="930"/>
        <v>4.2119999999999997</v>
      </c>
      <c r="AL187">
        <v>-0.55954935527303318</v>
      </c>
      <c r="AM187">
        <v>-4.1686442611115355</v>
      </c>
      <c r="AN187">
        <v>-2.1191</v>
      </c>
      <c r="AO187">
        <v>0.79715147046731372</v>
      </c>
      <c r="AP187">
        <v>-0.60355902039739473</v>
      </c>
      <c r="AQ187">
        <v>1.631079485300627E-2</v>
      </c>
      <c r="AR187">
        <v>0.26600000000000001</v>
      </c>
      <c r="AS187">
        <v>0.52</v>
      </c>
      <c r="AT187">
        <v>4.1219999999999999</v>
      </c>
    </row>
    <row r="188" spans="5:46" x14ac:dyDescent="0.25">
      <c r="E188" s="170">
        <f t="shared" si="933"/>
        <v>-0.78322206784110948</v>
      </c>
      <c r="F188" s="170">
        <f t="shared" si="933"/>
        <v>0.59947086880746525</v>
      </c>
      <c r="G188" s="170">
        <f t="shared" si="933"/>
        <v>-0.16491776707777556</v>
      </c>
      <c r="H188" s="139"/>
      <c r="I188" s="86"/>
      <c r="J188" s="79">
        <f t="shared" si="930"/>
        <v>4.2149999999999999</v>
      </c>
      <c r="AL188">
        <v>-1.0476764085877028</v>
      </c>
      <c r="AM188">
        <v>-2.8896095844270029</v>
      </c>
      <c r="AN188">
        <v>-0.10509999999999972</v>
      </c>
      <c r="AO188">
        <v>0.86228125008336254</v>
      </c>
      <c r="AP188">
        <v>-0.44484241719056028</v>
      </c>
      <c r="AQ188">
        <v>0.24204600724393929</v>
      </c>
      <c r="AR188">
        <v>0.26600000000000001</v>
      </c>
      <c r="AS188">
        <v>0.52</v>
      </c>
      <c r="AT188">
        <v>4.2119999999999997</v>
      </c>
    </row>
    <row r="189" spans="5:46" x14ac:dyDescent="0.25">
      <c r="E189" s="170">
        <f t="shared" si="933"/>
        <v>-0.73054978975133611</v>
      </c>
      <c r="F189" s="170">
        <f t="shared" si="933"/>
        <v>0.68254081053534288</v>
      </c>
      <c r="G189" s="170">
        <f t="shared" si="933"/>
        <v>-2.0857771885700205E-2</v>
      </c>
      <c r="H189" s="139"/>
      <c r="I189" s="86"/>
      <c r="J189" s="79">
        <f t="shared" si="930"/>
        <v>4.218</v>
      </c>
      <c r="AL189">
        <v>-1.3631528787918343</v>
      </c>
      <c r="AM189">
        <v>-3.5167302826315359</v>
      </c>
      <c r="AN189">
        <v>-0.49399999999999944</v>
      </c>
      <c r="AO189">
        <v>0.78322206784110948</v>
      </c>
      <c r="AP189">
        <v>-0.59947086880746525</v>
      </c>
      <c r="AQ189">
        <v>0.16491776707777556</v>
      </c>
      <c r="AR189">
        <v>0.26600000000000001</v>
      </c>
      <c r="AS189">
        <v>0.52</v>
      </c>
      <c r="AT189">
        <v>4.2149999999999999</v>
      </c>
    </row>
    <row r="190" spans="5:46" x14ac:dyDescent="0.25">
      <c r="E190" s="170">
        <f t="shared" si="933"/>
        <v>-0.47685847537411308</v>
      </c>
      <c r="F190" s="170">
        <f t="shared" si="933"/>
        <v>0.82594310736779719</v>
      </c>
      <c r="G190" s="170">
        <f t="shared" si="933"/>
        <v>-0.30070579950427317</v>
      </c>
      <c r="H190" s="139"/>
      <c r="I190" s="86"/>
      <c r="J190" s="79">
        <f t="shared" si="930"/>
        <v>5.1020000000000003</v>
      </c>
      <c r="AL190">
        <v>-1.542799402891881</v>
      </c>
      <c r="AM190">
        <v>-3.8504109598482024</v>
      </c>
      <c r="AN190">
        <v>-1.1948000000000001</v>
      </c>
      <c r="AO190">
        <v>0.73054978975133611</v>
      </c>
      <c r="AP190">
        <v>-0.68254081053534288</v>
      </c>
      <c r="AQ190">
        <v>2.0857771885700205E-2</v>
      </c>
      <c r="AR190">
        <v>0.26600000000000001</v>
      </c>
      <c r="AS190">
        <v>0.52</v>
      </c>
      <c r="AT190">
        <v>4.218</v>
      </c>
    </row>
    <row r="191" spans="5:46" x14ac:dyDescent="0.25">
      <c r="E191" s="170">
        <f t="shared" si="933"/>
        <v>-0.48296291314453366</v>
      </c>
      <c r="F191" s="170">
        <f t="shared" si="933"/>
        <v>0.83651630373780828</v>
      </c>
      <c r="G191" s="170">
        <f t="shared" si="933"/>
        <v>-0.25881904510252074</v>
      </c>
      <c r="H191" s="139"/>
      <c r="I191" s="86"/>
      <c r="J191" s="79">
        <f t="shared" si="930"/>
        <v>5.1050000000000004</v>
      </c>
      <c r="AL191">
        <v>-0.45753029850165511</v>
      </c>
      <c r="AM191">
        <v>-0.29124790341389978</v>
      </c>
      <c r="AN191">
        <v>-0.50869999999999982</v>
      </c>
      <c r="AO191">
        <v>0.47685847537411308</v>
      </c>
      <c r="AP191">
        <v>-0.82594310736779719</v>
      </c>
      <c r="AQ191">
        <v>0.30070579950427317</v>
      </c>
      <c r="AR191">
        <v>0.314</v>
      </c>
      <c r="AS191">
        <v>0.52</v>
      </c>
      <c r="AT191">
        <v>5.1020000000000003</v>
      </c>
    </row>
    <row r="192" spans="5:46" x14ac:dyDescent="0.25">
      <c r="E192" s="170">
        <f t="shared" si="933"/>
        <v>-0.4829629131445336</v>
      </c>
      <c r="F192" s="170">
        <f t="shared" si="933"/>
        <v>0.83651630373780828</v>
      </c>
      <c r="G192" s="170">
        <f t="shared" si="933"/>
        <v>-0.25881904510252074</v>
      </c>
      <c r="H192" s="139"/>
      <c r="I192" s="86"/>
      <c r="J192" s="79">
        <f t="shared" si="930"/>
        <v>5.1079999999999997</v>
      </c>
      <c r="AL192">
        <v>-1.1078287742033901</v>
      </c>
      <c r="AM192">
        <v>-0.66669790341389989</v>
      </c>
      <c r="AN192">
        <v>-0.34220000000000012</v>
      </c>
      <c r="AO192">
        <v>0.48296291314453366</v>
      </c>
      <c r="AP192">
        <v>-0.83651630373780828</v>
      </c>
      <c r="AQ192">
        <v>0.25881904510252074</v>
      </c>
      <c r="AR192">
        <v>0.314</v>
      </c>
      <c r="AS192">
        <v>0.52</v>
      </c>
      <c r="AT192">
        <v>5.1050000000000004</v>
      </c>
    </row>
    <row r="193" spans="5:46" x14ac:dyDescent="0.25">
      <c r="E193" s="170">
        <f t="shared" si="933"/>
        <v>-0.43012418311020251</v>
      </c>
      <c r="F193" s="170">
        <f t="shared" si="933"/>
        <v>0.86529450676716702</v>
      </c>
      <c r="G193" s="170">
        <f t="shared" si="933"/>
        <v>-0.25740746621329025</v>
      </c>
      <c r="H193" s="139"/>
      <c r="I193" s="86"/>
      <c r="J193" s="79">
        <f t="shared" si="930"/>
        <v>5.1109999999999998</v>
      </c>
      <c r="AL193">
        <v>-1.7579540448243687</v>
      </c>
      <c r="AM193">
        <v>-1.0420479034139001</v>
      </c>
      <c r="AN193">
        <v>-0.17580000000000001</v>
      </c>
      <c r="AO193">
        <v>0.4829629131445336</v>
      </c>
      <c r="AP193">
        <v>-0.83651630373780828</v>
      </c>
      <c r="AQ193">
        <v>0.25881904510252074</v>
      </c>
      <c r="AR193">
        <v>0.314</v>
      </c>
      <c r="AS193">
        <v>0.52</v>
      </c>
      <c r="AT193">
        <v>5.1079999999999997</v>
      </c>
    </row>
    <row r="194" spans="5:46" x14ac:dyDescent="0.25">
      <c r="E194" s="170">
        <f t="shared" ref="E194:G213" si="934">E49*-1</f>
        <v>-0.25627838236473915</v>
      </c>
      <c r="F194" s="170">
        <f t="shared" si="934"/>
        <v>0.9425241552237229</v>
      </c>
      <c r="G194" s="170">
        <f t="shared" si="934"/>
        <v>-0.21440524142921569</v>
      </c>
      <c r="H194" s="139"/>
      <c r="I194" s="86"/>
      <c r="J194" s="79">
        <f t="shared" si="930"/>
        <v>5.1139999999999999</v>
      </c>
      <c r="AL194">
        <v>-2.4267419396885468</v>
      </c>
      <c r="AM194">
        <v>-1.4184732900221104</v>
      </c>
      <c r="AN194">
        <v>-6.5299999999999969E-2</v>
      </c>
      <c r="AO194">
        <v>0.43012418311020251</v>
      </c>
      <c r="AP194">
        <v>-0.86529450676716702</v>
      </c>
      <c r="AQ194">
        <v>0.25740746621329025</v>
      </c>
      <c r="AR194">
        <v>0.314</v>
      </c>
      <c r="AS194">
        <v>0.52</v>
      </c>
      <c r="AT194">
        <v>5.1109999999999998</v>
      </c>
    </row>
    <row r="195" spans="5:46" x14ac:dyDescent="0.25">
      <c r="E195" s="170">
        <f t="shared" si="934"/>
        <v>-0.13103900472110849</v>
      </c>
      <c r="F195" s="170">
        <f t="shared" si="934"/>
        <v>0.98818789671355389</v>
      </c>
      <c r="G195" s="170">
        <f t="shared" si="934"/>
        <v>-7.9457284313924612E-2</v>
      </c>
      <c r="H195" s="139"/>
      <c r="I195" s="86"/>
      <c r="J195" s="79">
        <f t="shared" si="930"/>
        <v>5.117</v>
      </c>
      <c r="AL195">
        <v>-3.1119895179306609</v>
      </c>
      <c r="AM195">
        <v>-1.7335896687432402</v>
      </c>
      <c r="AN195">
        <v>-0.32210000000000027</v>
      </c>
      <c r="AO195">
        <v>0.25627838236473915</v>
      </c>
      <c r="AP195">
        <v>-0.9425241552237229</v>
      </c>
      <c r="AQ195">
        <v>0.21440524142921569</v>
      </c>
      <c r="AR195">
        <v>0.314</v>
      </c>
      <c r="AS195">
        <v>0.52</v>
      </c>
      <c r="AT195">
        <v>5.1139999999999999</v>
      </c>
    </row>
    <row r="196" spans="5:46" x14ac:dyDescent="0.25">
      <c r="E196" s="170">
        <f t="shared" si="934"/>
        <v>3.7179305744949653E-2</v>
      </c>
      <c r="F196" s="170">
        <f t="shared" si="934"/>
        <v>0.99917548868834183</v>
      </c>
      <c r="G196" s="170">
        <f t="shared" si="934"/>
        <v>-1.6310794853005902E-2</v>
      </c>
      <c r="H196" s="139"/>
      <c r="I196" s="86"/>
      <c r="J196" s="79">
        <f t="shared" si="930"/>
        <v>5.12</v>
      </c>
      <c r="AL196">
        <v>-3.5999129847121338</v>
      </c>
      <c r="AM196">
        <v>-1.9250814340725808</v>
      </c>
      <c r="AN196">
        <v>-0.93579999999999974</v>
      </c>
      <c r="AO196">
        <v>0.13103900472110849</v>
      </c>
      <c r="AP196">
        <v>-0.98818789671355389</v>
      </c>
      <c r="AQ196">
        <v>7.9457284313924612E-2</v>
      </c>
      <c r="AR196">
        <v>0.314</v>
      </c>
      <c r="AS196">
        <v>0.52</v>
      </c>
      <c r="AT196">
        <v>5.117</v>
      </c>
    </row>
    <row r="197" spans="5:46" x14ac:dyDescent="0.25">
      <c r="E197" s="170">
        <f t="shared" si="934"/>
        <v>-5.8874735579191061E-2</v>
      </c>
      <c r="F197" s="170">
        <f t="shared" si="934"/>
        <v>0.96523810868976934</v>
      </c>
      <c r="G197" s="170">
        <f t="shared" si="934"/>
        <v>-0.2546549804018714</v>
      </c>
      <c r="H197" s="139"/>
      <c r="I197" s="86"/>
      <c r="J197" s="79">
        <f t="shared" si="930"/>
        <v>5.2130000000000001</v>
      </c>
      <c r="AL197">
        <v>-3.7362118661911863</v>
      </c>
      <c r="AM197">
        <v>-1.9316048463360536</v>
      </c>
      <c r="AN197">
        <v>-1.6243000000000003</v>
      </c>
      <c r="AO197">
        <v>-3.7179305744949653E-2</v>
      </c>
      <c r="AP197">
        <v>-0.99917548868834183</v>
      </c>
      <c r="AQ197">
        <v>1.6310794853005902E-2</v>
      </c>
      <c r="AR197">
        <v>0.26600000000000001</v>
      </c>
      <c r="AS197">
        <v>0.52</v>
      </c>
      <c r="AT197">
        <v>5.12</v>
      </c>
    </row>
    <row r="198" spans="5:46" x14ac:dyDescent="0.25">
      <c r="E198" s="170">
        <f t="shared" si="934"/>
        <v>0.10401161433102209</v>
      </c>
      <c r="F198" s="170">
        <f t="shared" si="934"/>
        <v>0.98448272261776892</v>
      </c>
      <c r="G198" s="170">
        <f t="shared" si="934"/>
        <v>-0.14133418889766175</v>
      </c>
      <c r="H198" s="139"/>
      <c r="I198" s="86"/>
      <c r="J198" s="79">
        <f t="shared" si="930"/>
        <v>5.2160000000000002</v>
      </c>
      <c r="AL198">
        <v>-3.2149488337302645</v>
      </c>
      <c r="AM198">
        <v>-0.84979549419901101</v>
      </c>
      <c r="AN198">
        <v>-0.19070000000000009</v>
      </c>
      <c r="AO198">
        <v>5.8874735579191061E-2</v>
      </c>
      <c r="AP198">
        <v>-0.96523810868976934</v>
      </c>
      <c r="AQ198">
        <v>0.2546549804018714</v>
      </c>
      <c r="AR198">
        <v>0.26600000000000001</v>
      </c>
      <c r="AS198">
        <v>0.52</v>
      </c>
      <c r="AT198">
        <v>5.2130000000000001</v>
      </c>
    </row>
    <row r="199" spans="5:46" x14ac:dyDescent="0.25">
      <c r="E199" s="170">
        <f t="shared" si="934"/>
        <v>0.17762276050659645</v>
      </c>
      <c r="F199" s="170">
        <f t="shared" si="934"/>
        <v>0.98395391479553207</v>
      </c>
      <c r="G199" s="170">
        <f t="shared" si="934"/>
        <v>1.6877455630608367E-2</v>
      </c>
      <c r="H199" s="139"/>
      <c r="I199" s="86"/>
      <c r="J199" s="79">
        <f t="shared" si="930"/>
        <v>5.2190000000000003</v>
      </c>
      <c r="AL199">
        <v>-3.8415280311298581</v>
      </c>
      <c r="AM199">
        <v>-0.90802525472643536</v>
      </c>
      <c r="AN199">
        <v>-0.70080000000000087</v>
      </c>
      <c r="AO199">
        <v>-0.10401161433102209</v>
      </c>
      <c r="AP199">
        <v>-0.98448272261776892</v>
      </c>
      <c r="AQ199">
        <v>0.14133418889766175</v>
      </c>
      <c r="AR199">
        <v>0.26600000000000001</v>
      </c>
      <c r="AS199">
        <v>0.52</v>
      </c>
      <c r="AT199">
        <v>5.2160000000000002</v>
      </c>
    </row>
    <row r="200" spans="5:46" x14ac:dyDescent="0.25">
      <c r="E200" s="170">
        <f t="shared" si="934"/>
        <v>0.48296291314453399</v>
      </c>
      <c r="F200" s="170">
        <f t="shared" si="934"/>
        <v>0.83651630373780805</v>
      </c>
      <c r="G200" s="170">
        <f t="shared" si="934"/>
        <v>-0.25881904510252079</v>
      </c>
      <c r="H200" s="139"/>
      <c r="I200" s="86"/>
      <c r="J200" s="79">
        <f t="shared" si="930"/>
        <v>6.109</v>
      </c>
      <c r="AL200">
        <v>-4.0390470217152856</v>
      </c>
      <c r="AM200">
        <v>-0.94477411842470316</v>
      </c>
      <c r="AN200">
        <v>-1.4661999999999997</v>
      </c>
      <c r="AO200">
        <v>-0.17762276050659645</v>
      </c>
      <c r="AP200">
        <v>-0.98395391479553207</v>
      </c>
      <c r="AQ200">
        <v>-1.6877455630608367E-2</v>
      </c>
      <c r="AR200">
        <v>0.26600000000000001</v>
      </c>
      <c r="AS200">
        <v>0.52</v>
      </c>
      <c r="AT200">
        <v>5.2190000000000003</v>
      </c>
    </row>
    <row r="201" spans="5:46" x14ac:dyDescent="0.25">
      <c r="E201" s="170">
        <f t="shared" si="934"/>
        <v>0.58781782903129365</v>
      </c>
      <c r="F201" s="170">
        <f t="shared" si="934"/>
        <v>0.77193518526506077</v>
      </c>
      <c r="G201" s="170">
        <f t="shared" si="934"/>
        <v>-0.24204600724393924</v>
      </c>
      <c r="H201" s="139"/>
      <c r="I201" s="86"/>
      <c r="J201" s="79">
        <f t="shared" si="930"/>
        <v>6.1120000000000001</v>
      </c>
      <c r="AL201">
        <v>-1.9979849983108564</v>
      </c>
      <c r="AM201">
        <v>1.1265020965861001</v>
      </c>
      <c r="AN201">
        <v>-0.12030000000000014</v>
      </c>
      <c r="AO201">
        <v>-0.48296291314453399</v>
      </c>
      <c r="AP201">
        <v>-0.83651630373780805</v>
      </c>
      <c r="AQ201">
        <v>0.25881904510252079</v>
      </c>
      <c r="AR201">
        <v>0.314</v>
      </c>
      <c r="AS201">
        <v>0.52</v>
      </c>
      <c r="AT201">
        <v>6.109</v>
      </c>
    </row>
    <row r="202" spans="5:46" x14ac:dyDescent="0.25">
      <c r="E202" s="170">
        <f t="shared" si="934"/>
        <v>0.72636864409568958</v>
      </c>
      <c r="F202" s="170">
        <f t="shared" si="934"/>
        <v>0.66722614080735043</v>
      </c>
      <c r="G202" s="170">
        <f t="shared" si="934"/>
        <v>-0.16491776707777545</v>
      </c>
      <c r="H202" s="139"/>
      <c r="I202" s="86"/>
      <c r="J202" s="79">
        <f t="shared" si="930"/>
        <v>6.1150000000000002</v>
      </c>
      <c r="AL202">
        <v>-2.663771415803097</v>
      </c>
      <c r="AM202">
        <v>1.5335261945002738</v>
      </c>
      <c r="AN202">
        <v>-0.10509999999999958</v>
      </c>
      <c r="AO202">
        <v>-0.58781782903129365</v>
      </c>
      <c r="AP202">
        <v>-0.77193518526506077</v>
      </c>
      <c r="AQ202">
        <v>0.24204600724393924</v>
      </c>
      <c r="AR202">
        <v>0.314</v>
      </c>
      <c r="AS202">
        <v>0.52</v>
      </c>
      <c r="AT202">
        <v>6.1120000000000001</v>
      </c>
    </row>
    <row r="203" spans="5:46" x14ac:dyDescent="0.25">
      <c r="E203" s="170">
        <f t="shared" si="934"/>
        <v>0.79903012164772103</v>
      </c>
      <c r="F203" s="170">
        <f t="shared" si="934"/>
        <v>0.60092912897578232</v>
      </c>
      <c r="G203" s="170">
        <f t="shared" si="934"/>
        <v>-2.0857771885699983E-2</v>
      </c>
      <c r="H203" s="139"/>
      <c r="I203" s="86"/>
      <c r="J203" s="79">
        <f t="shared" si="930"/>
        <v>6.1180000000000003</v>
      </c>
      <c r="AL203">
        <v>-3.2265828273216068</v>
      </c>
      <c r="AM203">
        <v>1.9531082346706594</v>
      </c>
      <c r="AN203">
        <v>-0.49400000000000016</v>
      </c>
      <c r="AO203">
        <v>-0.72636864409568958</v>
      </c>
      <c r="AP203">
        <v>-0.66722614080735043</v>
      </c>
      <c r="AQ203">
        <v>0.16491776707777545</v>
      </c>
      <c r="AR203">
        <v>0.314</v>
      </c>
      <c r="AS203">
        <v>0.52</v>
      </c>
      <c r="AT203">
        <v>6.1150000000000002</v>
      </c>
    </row>
    <row r="204" spans="5:46" x14ac:dyDescent="0.25">
      <c r="E204" s="170">
        <f t="shared" si="934"/>
        <v>0.88390100891530976</v>
      </c>
      <c r="F204" s="170">
        <f t="shared" si="934"/>
        <v>0.46738952107397608</v>
      </c>
      <c r="G204" s="170">
        <f t="shared" si="934"/>
        <v>-1.6310794853005881E-2</v>
      </c>
      <c r="H204" s="139"/>
      <c r="I204" s="86"/>
      <c r="J204" s="79">
        <f t="shared" si="930"/>
        <v>6.1210000000000004</v>
      </c>
      <c r="AL204">
        <v>-3.5239988537407716</v>
      </c>
      <c r="AM204">
        <v>2.1879685659274188</v>
      </c>
      <c r="AN204">
        <v>-1.1948000000000005</v>
      </c>
      <c r="AO204">
        <v>-0.79903012164772103</v>
      </c>
      <c r="AP204">
        <v>-0.60092912897578232</v>
      </c>
      <c r="AQ204">
        <v>2.0857771885699983E-2</v>
      </c>
      <c r="AR204">
        <v>0.314</v>
      </c>
      <c r="AS204">
        <v>0.52</v>
      </c>
      <c r="AT204">
        <v>6.1180000000000003</v>
      </c>
    </row>
    <row r="205" spans="5:46" x14ac:dyDescent="0.25">
      <c r="E205" s="170">
        <f t="shared" si="934"/>
        <v>0.72448598108438311</v>
      </c>
      <c r="F205" s="170">
        <f t="shared" si="934"/>
        <v>0.63942275495156797</v>
      </c>
      <c r="G205" s="170">
        <f t="shared" si="934"/>
        <v>-0.2574074662132903</v>
      </c>
      <c r="H205" s="139"/>
      <c r="I205" s="86"/>
      <c r="J205" s="79">
        <f t="shared" si="930"/>
        <v>6.2110000000000003</v>
      </c>
      <c r="AL205">
        <v>-3.5408998661911864</v>
      </c>
      <c r="AM205">
        <v>2.2698951536639465</v>
      </c>
      <c r="AN205">
        <v>-1.8567999999999998</v>
      </c>
      <c r="AO205">
        <v>-0.88390100891530976</v>
      </c>
      <c r="AP205">
        <v>-0.46738952107397608</v>
      </c>
      <c r="AQ205">
        <v>1.6310794853005881E-2</v>
      </c>
      <c r="AR205">
        <v>0.26600000000000001</v>
      </c>
      <c r="AS205">
        <v>0.52</v>
      </c>
      <c r="AT205">
        <v>6.1210000000000004</v>
      </c>
    </row>
    <row r="206" spans="5:46" x14ac:dyDescent="0.25">
      <c r="E206" s="170">
        <f t="shared" si="934"/>
        <v>0.84407869722782025</v>
      </c>
      <c r="F206" s="170">
        <f t="shared" si="934"/>
        <v>0.49148911008675017</v>
      </c>
      <c r="G206" s="170">
        <f t="shared" si="934"/>
        <v>-0.21440524142921547</v>
      </c>
      <c r="H206" s="139"/>
      <c r="I206" s="86"/>
      <c r="J206" s="79">
        <f t="shared" si="930"/>
        <v>6.2140000000000004</v>
      </c>
      <c r="AL206">
        <v>-1.9982580063227651</v>
      </c>
      <c r="AM206">
        <v>1.976991062771799</v>
      </c>
      <c r="AN206">
        <v>-6.5300000000000261E-2</v>
      </c>
      <c r="AO206">
        <v>-0.72448598108438311</v>
      </c>
      <c r="AP206">
        <v>-0.63942275495156797</v>
      </c>
      <c r="AQ206">
        <v>0.2574074662132903</v>
      </c>
      <c r="AR206">
        <v>0.26600000000000001</v>
      </c>
      <c r="AS206">
        <v>0.52</v>
      </c>
      <c r="AT206">
        <v>6.2110000000000003</v>
      </c>
    </row>
    <row r="207" spans="5:46" x14ac:dyDescent="0.25">
      <c r="E207" s="170">
        <f t="shared" si="934"/>
        <v>0.92060082058879411</v>
      </c>
      <c r="F207" s="170">
        <f t="shared" si="934"/>
        <v>0.38233580672060408</v>
      </c>
      <c r="G207" s="170">
        <f t="shared" si="934"/>
        <v>-7.9457284313924889E-2</v>
      </c>
      <c r="H207" s="139"/>
      <c r="I207" s="86"/>
      <c r="J207" s="79">
        <f t="shared" si="930"/>
        <v>6.2169999999999996</v>
      </c>
      <c r="AL207">
        <v>-2.4799921786756296</v>
      </c>
      <c r="AM207">
        <v>2.5573312757611282</v>
      </c>
      <c r="AN207">
        <v>-0.32210000000000039</v>
      </c>
      <c r="AO207">
        <v>-0.84407869722782025</v>
      </c>
      <c r="AP207">
        <v>-0.49148911008675017</v>
      </c>
      <c r="AQ207">
        <v>0.21440524142921547</v>
      </c>
      <c r="AR207">
        <v>0.26600000000000001</v>
      </c>
      <c r="AS207">
        <v>0.52</v>
      </c>
      <c r="AT207">
        <v>6.2140000000000004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  <c r="AL208">
        <v>-2.7912429060844177</v>
      </c>
      <c r="AM208">
        <v>2.9790674377303148</v>
      </c>
      <c r="AN208">
        <v>-0.93580000000000019</v>
      </c>
      <c r="AO208">
        <v>-0.92060082058879411</v>
      </c>
      <c r="AP208">
        <v>-0.38233580672060408</v>
      </c>
      <c r="AQ208">
        <v>7.9457284313924889E-2</v>
      </c>
      <c r="AR208">
        <v>0.26600000000000001</v>
      </c>
      <c r="AS208">
        <v>0.52</v>
      </c>
      <c r="AT208">
        <v>6.2169999999999996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7A213EF-A51A-447D-8376-865498474380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09939536-82D1-48B9-B431-22086FF21D6C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1.2150000000000001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1.218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2.117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2.2130000000000001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2.2160000000000002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2.2189999999999999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3.1179999999999999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3.2109999999999999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3.214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3.2170000000000001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4.1100000000000003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4.1130000000000004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4.1159999999999997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4.1219999999999999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4.2119999999999997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4.2149999999999999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4.218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5.1020000000000003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5.1050000000000004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5.1079999999999997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5.1109999999999998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5.1139999999999999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5.2130000000000001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5.2160000000000002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5.2190000000000003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6.109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6.1120000000000001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6.1150000000000002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6.1180000000000003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6.1210000000000004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6.2110000000000003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6.2140000000000004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6.2169999999999996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2023-03-29T12:39:24Z</dcterms:modified>
</cp:coreProperties>
</file>