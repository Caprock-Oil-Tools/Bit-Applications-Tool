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96\"/>
    </mc:Choice>
  </mc:AlternateContent>
  <xr:revisionPtr revIDLastSave="0" documentId="13_ncr:1_{CCB58F00-14B6-4BEA-B96F-610BE63F515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20" i="1"/>
  <c r="L15" i="1"/>
  <c r="L13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Y11" i="1"/>
  <c r="IT11" i="1"/>
  <c r="IR11" i="1"/>
  <c r="IX11" i="1"/>
  <c r="IP11" i="1"/>
  <c r="IL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W48" i="1"/>
  <c r="IR48" i="1"/>
  <c r="IN48" i="1"/>
  <c r="IQ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Q11" i="1" l="1"/>
  <c r="IN11" i="1"/>
  <c r="IK11" i="1"/>
  <c r="JA23" i="1" s="1" a="1"/>
  <c r="JA23" i="1" s="1"/>
  <c r="JA9" i="1" a="1"/>
  <c r="JA9" i="1" s="1"/>
  <c r="IF85" i="1"/>
  <c r="IF129" i="1"/>
  <c r="IF73" i="1"/>
  <c r="IF138" i="1"/>
  <c r="IF10" i="1"/>
  <c r="IF150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2" i="1" l="1"/>
  <c r="IV48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2" i="1" l="1"/>
  <c r="IU48" i="1"/>
  <c r="IE48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IL48" i="1" s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32" i="1"/>
  <c r="IL16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48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IT32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45" i="1" l="1"/>
  <c r="IT49" i="1"/>
  <c r="IF4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AP48" i="1"/>
  <c r="AP45" i="1"/>
  <c r="AO45" i="1"/>
  <c r="AP46" i="1"/>
  <c r="AO46" i="1"/>
  <c r="AP43" i="1"/>
  <c r="AO44" i="1"/>
  <c r="IS48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45" i="1" l="1"/>
  <c r="IF45" i="1" s="1"/>
  <c r="IS49" i="1"/>
  <c r="IS52" i="1"/>
  <c r="IX48" i="1"/>
  <c r="IF48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<sst xmlns="http://schemas.openxmlformats.org/spreadsheetml/2006/main" count="734" uniqueCount="391">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</sst>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L31" sqref="L3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6.75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28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1.112's θ about Z Axis</v>
      </c>
      <c r="U5" s="1021"/>
      <c r="V5" s="1072"/>
      <c r="W5" s="1021" t="str">
        <f>CONCATENATE("Relative to ",M8,"'s θ about Z Axis")</f>
        <v>Relative to 1.112's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1.112's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88.005700287941252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-0.1331004014308107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0.28990087434103701</v>
      </c>
      <c r="D9" s="704">
        <v>-0.35330106555601376</v>
      </c>
      <c r="E9" s="705">
        <v>-0.90630781366099955</v>
      </c>
      <c r="F9" s="703">
        <v>-0.10938162473876803</v>
      </c>
      <c r="G9" s="706">
        <v>0.40821784266066358</v>
      </c>
      <c r="H9" s="705">
        <v>0.26600000000000001</v>
      </c>
      <c r="I9" s="703">
        <v>0.315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1308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0.28990087434103701</v>
      </c>
      <c r="P9" s="625">
        <f t="shared" ref="P9:P40" si="4">IF(M9="","",D9)</f>
        <v>-0.35330106555601376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0.28990087434103701</v>
      </c>
      <c r="S9" s="626">
        <f>IF(M9="","",P9)</f>
        <v>-0.35330106555601376</v>
      </c>
      <c r="T9" s="627">
        <f>IF(M9="","",X9*COS(RADIANS(W9)))</f>
        <v>0.28972527969477468</v>
      </c>
      <c r="U9" s="624">
        <f>IF(M9="","",X9*SIN(RADIANS(W9)))</f>
        <v>1.0088570239747595E-2</v>
      </c>
      <c r="V9" s="628">
        <f>IF(M9="","",Y9)</f>
        <v>-0.35330106555601376</v>
      </c>
      <c r="W9" s="583">
        <f t="shared" ref="W9:W14" si="5">IF(M9="","",IF(Q9-$Q$8&lt;0,360+Q9-$Q$8,Q9-$Q$8))</f>
        <v>1.9942997120587478</v>
      </c>
      <c r="X9" s="629">
        <f>IF(M9="","",R9)</f>
        <v>0.28990087434103701</v>
      </c>
      <c r="Y9" s="630">
        <f>IF(M9="","",S9)</f>
        <v>-0.35330106555601376</v>
      </c>
      <c r="Z9" s="623">
        <f t="shared" ref="Z9:Z40" si="6">IF(M9="","",-E9)</f>
        <v>0.90630781366099955</v>
      </c>
      <c r="AA9" s="624">
        <f t="shared" ref="AA9:AA40" si="7">IF(M9="","",-F9)</f>
        <v>0.10938162473876803</v>
      </c>
      <c r="AB9" s="624">
        <f t="shared" ref="AB9:AB40" si="8">IF(M9="","",-G9)</f>
        <v>-0.40821784266066358</v>
      </c>
      <c r="AC9" s="628">
        <f>IF(M9="","",SQRT(Z9^2+AA9^2+AB9^2))</f>
        <v>1</v>
      </c>
      <c r="AD9" s="631">
        <f>IF(M9="","",Z9*(1/SQRT(Z9^2+AA9^2+AB9^2)))</f>
        <v>0.90630781366099955</v>
      </c>
      <c r="AE9" s="624">
        <f>IF(M9="","",AA9*(1/SQRT(Z9^2+AA9^2+AB9^2)))</f>
        <v>0.10938162473876803</v>
      </c>
      <c r="AF9" s="625">
        <f>IF(M9="","",AB9*(1/SQRT(Z9^2+AA9^2+AB9^2)))</f>
        <v>-0.40821784266066358</v>
      </c>
      <c r="AG9" s="599">
        <f>IF(M9="","",DEGREES(ATAN2(-AF9,AE9)))</f>
        <v>14.999997834268262</v>
      </c>
      <c r="AH9" s="600">
        <f>IF(M9="","",DEGREES(ACOS(AD9)))</f>
        <v>24.999996390447112</v>
      </c>
      <c r="AI9" s="583">
        <f>IF(M9="","",DEGREES(-ACOS(-AF9)))</f>
        <v>-65.907068471181375</v>
      </c>
      <c r="AJ9" s="601">
        <f>IF(M9="","",DEGREES(ATAN2(-AE9,AD9)))</f>
        <v>96.881701648961752</v>
      </c>
      <c r="AK9" s="627">
        <f>IF(M9="","",(COS(RADIANS((90-$Q$8)-W9))*AD9)+(-SIN(RADIANS((90-$Q$8)-W9))*AE9))</f>
        <v>0.90630781366099955</v>
      </c>
      <c r="AL9" s="624">
        <f>IF(M9="","",(SIN(RADIANS((90-$Q$8)-W9))*AD9)+(COS(RADIANS((90-$Q$8)-W9))*AE9))</f>
        <v>0.10938162473876803</v>
      </c>
      <c r="AM9" s="626">
        <f>IF(M9="","",AF9)</f>
        <v>-0.40821784266066358</v>
      </c>
      <c r="AN9" s="581">
        <f>IF(M9="","",DEGREES(ATAN2(-AM9,AL9)))</f>
        <v>14.999997834268262</v>
      </c>
      <c r="AO9" s="582">
        <f>IF(ROUND(IF(M9="",0,DEGREES(ACOS(AK9))),4)=90,0,IF(M9="","",DEGREES(ACOS(AK9))))</f>
        <v>24.999996390447112</v>
      </c>
      <c r="AP9" s="781">
        <f>IF(M9="","",DEGREES(ATAN2(AK9,AL9)))</f>
        <v>6.8817016489617515</v>
      </c>
      <c r="AQ9" s="584">
        <f t="shared" ref="AQ9:AQ40" si="9">IF(M9="","",DEGREES(ATAN(($AS$5*SIN(RADIANS(90)))/(($X9*2*PI())-($AS$5*COS(RADIANS(90)))))))</f>
        <v>7.8149869899124713</v>
      </c>
      <c r="AS9" s="51">
        <f>IF(M9="","",W9)</f>
        <v>1.9942997120587478</v>
      </c>
      <c r="AT9" s="71">
        <f t="shared" ref="AT9:AT40" si="10">IF(M9="","",Y9+(((AS9-$AS$9)*$AS$6)*-1))</f>
        <v>-0.35330106555601376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1308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27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0.93540282117490881</v>
      </c>
      <c r="D10" s="709">
        <v>-0.19670059324898925</v>
      </c>
      <c r="E10" s="710">
        <v>-0.96592583607220739</v>
      </c>
      <c r="F10" s="708">
        <v>-6.6987279208207212E-2</v>
      </c>
      <c r="G10" s="711">
        <v>0.24999996726497564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0</v>
      </c>
      <c r="O10" s="629">
        <f t="shared" si="3"/>
        <v>0.93540282117490881</v>
      </c>
      <c r="P10" s="633">
        <f t="shared" si="4"/>
        <v>-0.19670059324898925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0.93540282117490881</v>
      </c>
      <c r="S10" s="634">
        <f t="shared" ref="S10:S105" si="80">IF(M10="","",P10)</f>
        <v>-0.19670059324898925</v>
      </c>
      <c r="T10" s="635">
        <f t="shared" ref="T10:T105" si="81">IF(M10="","",X10*COS(RADIANS(W10)))</f>
        <v>0.93483624224385053</v>
      </c>
      <c r="U10" s="629">
        <f t="shared" ref="U10:U105" si="82">IF(M10="","",X10*SIN(RADIANS(W10)))</f>
        <v>3.2552082105070379E-2</v>
      </c>
      <c r="V10" s="636">
        <f>IF(M10="","",Y10)</f>
        <v>-0.19670059324898925</v>
      </c>
      <c r="W10" s="585">
        <f t="shared" si="5"/>
        <v>1.9942997120587478</v>
      </c>
      <c r="X10" s="629">
        <f t="shared" ref="X10:X105" si="83">IF(M10="","",R10)</f>
        <v>0.93540282117490881</v>
      </c>
      <c r="Y10" s="630">
        <f>IF(M10="","",S10)</f>
        <v>-0.19670059324898925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2.4356920129844082</v>
      </c>
      <c r="AS10" s="52">
        <f>IF($M10="","",IF(AND($W10&lt;($AS$9+180),$W10&gt;($AS$9-180)),$W10,IF($W10&gt;($AS$9+180),$W10-360,IF($W10&lt;($AS$9-180),$W10+360,"Error"))))</f>
        <v>1.9942997120587478</v>
      </c>
      <c r="AT10" s="72">
        <f t="shared" si="10"/>
        <v>-0.19670059324898925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1308</v>
      </c>
      <c r="JB10" s="787" cm="1">
        <f t="array" ref="JB10">IF($JA10="","",COUNT(IF(IF($II$9:$II$150="",$IJ$9:$IJ$150,"")=$JA10,$IG$9:$IG$150,"")))</f>
        <v>1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1.5915681096311269E-2</v>
      </c>
      <c r="C11" s="708">
        <v>1.5622236408256625</v>
      </c>
      <c r="D11" s="709">
        <v>-4.8200145371638442E-2</v>
      </c>
      <c r="E11" s="710">
        <v>-0.96459414325305104</v>
      </c>
      <c r="F11" s="708">
        <v>3.3517147253585587E-2</v>
      </c>
      <c r="G11" s="711">
        <v>0.26160034335201859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1.5915681096311269E-2</v>
      </c>
      <c r="O11" s="629">
        <f t="shared" si="3"/>
        <v>1.5622236408256625</v>
      </c>
      <c r="P11" s="633">
        <f t="shared" si="4"/>
        <v>-4.8200145371638442E-2</v>
      </c>
      <c r="Q11" s="585">
        <f t="shared" ref="Q11:Q73" si="113">IF(M11="","",IF(DEGREES(ATAN2(N11,O11))&lt;0,DEGREES(ATAN2(N11,O11))+360,IF(DEGREES(ATAN2(N11,O11))&gt;360,DEGREES(ATAN2(N11,O11))-360,DEGREES(ATAN2(N11,O11)))))</f>
        <v>89.416300084275846</v>
      </c>
      <c r="R11" s="629">
        <f t="shared" si="79"/>
        <v>1.5623047119110114</v>
      </c>
      <c r="S11" s="634">
        <f t="shared" si="80"/>
        <v>-4.8200145371638442E-2</v>
      </c>
      <c r="T11" s="635">
        <f t="shared" si="81"/>
        <v>1.5618312596671082</v>
      </c>
      <c r="U11" s="629">
        <f t="shared" si="82"/>
        <v>3.8459448592025436E-2</v>
      </c>
      <c r="V11" s="636">
        <f t="shared" ref="V11:V105" si="114">IF(M11="","",Y11)</f>
        <v>-4.8200145371638442E-2</v>
      </c>
      <c r="W11" s="585">
        <f t="shared" si="5"/>
        <v>1.4105997963345942</v>
      </c>
      <c r="X11" s="629">
        <f>IF(M11="","",R11)</f>
        <v>1.5623047119110114</v>
      </c>
      <c r="Y11" s="630">
        <f>IF(M11="","",S11)</f>
        <v>-4.8200145371638442E-2</v>
      </c>
      <c r="Z11" s="632">
        <f t="shared" si="6"/>
        <v>0.96459414325305104</v>
      </c>
      <c r="AA11" s="629">
        <f t="shared" si="7"/>
        <v>-3.3517147253585587E-2</v>
      </c>
      <c r="AB11" s="629">
        <f t="shared" si="8"/>
        <v>-0.26160034335201859</v>
      </c>
      <c r="AC11" s="636">
        <f t="shared" si="84"/>
        <v>1</v>
      </c>
      <c r="AD11" s="637">
        <f t="shared" ref="AD11:AD105" si="115">IF(M11="","",Z11*(1/SQRT(Z11^2+AA11^2+AB11^2)))</f>
        <v>0.96459414325305104</v>
      </c>
      <c r="AE11" s="629">
        <f t="shared" si="85"/>
        <v>-3.3517147253585587E-2</v>
      </c>
      <c r="AF11" s="633">
        <f t="shared" si="86"/>
        <v>-0.26160034335201859</v>
      </c>
      <c r="AG11" s="602">
        <f>IF(M11="","",DEGREES(ATAN2(-AF11,AE11)))</f>
        <v>-7.3011572294414462</v>
      </c>
      <c r="AH11" s="603">
        <f t="shared" si="88"/>
        <v>15.29202377320428</v>
      </c>
      <c r="AI11" s="585">
        <f t="shared" si="89"/>
        <v>-74.834957933941524</v>
      </c>
      <c r="AJ11" s="586">
        <f t="shared" si="90"/>
        <v>88.009920784155966</v>
      </c>
      <c r="AK11" s="635">
        <f>IF(M11="","",(COS(RADIANS((90-$Q$8)-W11))*AD11)+(-SIN(RADIANS((90-$Q$8)-W11))*AE11))</f>
        <v>0.96488553809386579</v>
      </c>
      <c r="AL11" s="629">
        <f t="shared" si="91"/>
        <v>-2.3688789234932138E-2</v>
      </c>
      <c r="AM11" s="634">
        <f t="shared" si="92"/>
        <v>-0.26160034335201859</v>
      </c>
      <c r="AN11" s="581">
        <f>IF(M11="","",DEGREES(ATAN2(-AM11,AL11)))</f>
        <v>-5.174213264130576</v>
      </c>
      <c r="AO11" s="582">
        <f>IF(ROUND(IF(M11="",0,DEGREES(ACOS(AK11))),4)=90,0,IF(M11="","",DEGREES(ACOS(AK11))))</f>
        <v>15.228591431304164</v>
      </c>
      <c r="AP11" s="585">
        <f t="shared" si="95"/>
        <v>-1.406379300119877</v>
      </c>
      <c r="AQ11" s="586">
        <f t="shared" si="9"/>
        <v>1.4588920560487506</v>
      </c>
      <c r="AS11" s="52">
        <f t="shared" ref="AS11:AS42" si="116">IF(G11="","",IF(AND(W11&lt;(AS10+180),W11&gt;(AS10-180)),W11,IF(W11&gt;(AS10+180),W11-360,IF(W11&lt;(AS10-180),W11+360,"Error"))))</f>
        <v>1.4105997963345942</v>
      </c>
      <c r="AT11" s="72">
        <f t="shared" si="10"/>
        <v>-4.7794798207941115E-2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7.8126389059100868E-2</v>
      </c>
      <c r="C12" s="708">
        <v>2.2436469572775759</v>
      </c>
      <c r="D12" s="709">
        <v>-0.1331004014308107</v>
      </c>
      <c r="E12" s="710">
        <v>-0.95569578543251443</v>
      </c>
      <c r="F12" s="708">
        <v>0.19658999446944844</v>
      </c>
      <c r="G12" s="711">
        <v>0.21908432116660409</v>
      </c>
      <c r="H12" s="710">
        <v>0.26600000000000001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1.1120000000000001</v>
      </c>
      <c r="N12" s="632">
        <f t="shared" si="2"/>
        <v>7.8126389059100868E-2</v>
      </c>
      <c r="O12" s="629">
        <f t="shared" si="3"/>
        <v>2.2436469572775759</v>
      </c>
      <c r="P12" s="633">
        <f t="shared" si="4"/>
        <v>-0.1331004014308107</v>
      </c>
      <c r="Q12" s="585">
        <f>IF(M12="","",IF(DEGREES(ATAN2(N12,O12))&lt;0,DEGREES(ATAN2(N12,O12))+360,IF(DEGREES(ATAN2(N12,O12))&gt;360,DEGREES(ATAN2(N12,O12))-360,DEGREES(ATAN2(N12,O12)))))</f>
        <v>88.005700287941252</v>
      </c>
      <c r="R12" s="629">
        <f t="shared" si="79"/>
        <v>2.2450067709404218</v>
      </c>
      <c r="S12" s="634">
        <f t="shared" si="80"/>
        <v>-0.1331004014308107</v>
      </c>
      <c r="T12" s="635">
        <f>IF(M12="","",X12*COS(RADIANS(W12)))</f>
        <v>2.2450067709404218</v>
      </c>
      <c r="U12" s="629">
        <f t="shared" si="82"/>
        <v>0</v>
      </c>
      <c r="V12" s="636">
        <f t="shared" si="114"/>
        <v>-0.1331004014308107</v>
      </c>
      <c r="W12" s="585">
        <f>IF(M12="","",IF(Q12-$Q$8&lt;0,360+Q12-$Q$8,Q12-$Q$8))</f>
        <v>0</v>
      </c>
      <c r="X12" s="629">
        <f t="shared" si="83"/>
        <v>2.2450067709404218</v>
      </c>
      <c r="Y12" s="630">
        <f>IF(M12="","",S12)</f>
        <v>-0.1331004014308107</v>
      </c>
      <c r="Z12" s="632">
        <f t="shared" si="6"/>
        <v>0.95569578543251443</v>
      </c>
      <c r="AA12" s="629">
        <f t="shared" si="7"/>
        <v>-0.19658999446944844</v>
      </c>
      <c r="AB12" s="629">
        <f t="shared" si="8"/>
        <v>-0.21908432116660409</v>
      </c>
      <c r="AC12" s="636">
        <f t="shared" si="84"/>
        <v>1</v>
      </c>
      <c r="AD12" s="637">
        <f t="shared" si="115"/>
        <v>0.95569578543251443</v>
      </c>
      <c r="AE12" s="629">
        <f t="shared" si="85"/>
        <v>-0.19658999446944844</v>
      </c>
      <c r="AF12" s="633">
        <f t="shared" si="86"/>
        <v>-0.21908432116660409</v>
      </c>
      <c r="AG12" s="602">
        <f t="shared" si="87"/>
        <v>-41.902444910228347</v>
      </c>
      <c r="AH12" s="603">
        <f t="shared" si="88"/>
        <v>17.118935639913829</v>
      </c>
      <c r="AI12" s="585">
        <f t="shared" si="89"/>
        <v>-77.344743525399522</v>
      </c>
      <c r="AJ12" s="586">
        <f t="shared" si="90"/>
        <v>78.376195640309874</v>
      </c>
      <c r="AK12" s="635">
        <f t="shared" ref="AK12:AK105" si="211">IF(M12="","",(COS(RADIANS((90-$Q$8)-W12))*AD12)+(-SIN(RADIANS((90-$Q$8)-W12))*AE12))</f>
        <v>0.96195826017801478</v>
      </c>
      <c r="AL12" s="629">
        <f>IF(M12="","",(SIN(RADIANS((90-$Q$8)-W12))*AD12)+(COS(RADIANS((90-$Q$8)-W12))*AE12))</f>
        <v>-0.16321264011790093</v>
      </c>
      <c r="AM12" s="634">
        <f t="shared" si="92"/>
        <v>-0.21908432116660409</v>
      </c>
      <c r="AN12" s="581">
        <f>IF(M12="","",DEGREES(ATAN2(-AM12,AL12)))</f>
        <v>-36.685239652809599</v>
      </c>
      <c r="AO12" s="582">
        <f t="shared" si="94"/>
        <v>15.854563736687119</v>
      </c>
      <c r="AP12" s="585">
        <f t="shared" si="95"/>
        <v>-9.6295046476313928</v>
      </c>
      <c r="AQ12" s="586">
        <f t="shared" si="9"/>
        <v>1.0153590669278287</v>
      </c>
      <c r="AS12" s="52">
        <f t="shared" si="116"/>
        <v>0</v>
      </c>
      <c r="AT12" s="72">
        <f>IF(M12="","",Y12+(((AS12-$AS$9)*$AS$6)*-1))</f>
        <v>-0.13171547107521434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0.16342987028616912</v>
      </c>
      <c r="C13" s="708">
        <v>2.7948341838258339</v>
      </c>
      <c r="D13" s="709">
        <v>-0.48840147301884262</v>
      </c>
      <c r="E13" s="710">
        <v>-0.9367240738845577</v>
      </c>
      <c r="F13" s="708">
        <v>0.32288664508988285</v>
      </c>
      <c r="G13" s="711">
        <v>0.13524874797098063</v>
      </c>
      <c r="H13" s="710">
        <v>0.26600000000000001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>
        <f>IF($L12=$JH$22,$JH$29,IF($L12=$JI$22,$JI$29,""))</f>
        <v>0</v>
      </c>
      <c r="M13" s="168">
        <f t="shared" si="1"/>
        <v>1.117</v>
      </c>
      <c r="N13" s="632">
        <f t="shared" si="2"/>
        <v>0.16342987028616912</v>
      </c>
      <c r="O13" s="629">
        <f t="shared" si="3"/>
        <v>2.7948341838258339</v>
      </c>
      <c r="P13" s="633">
        <f t="shared" si="4"/>
        <v>-0.48840147301884262</v>
      </c>
      <c r="Q13" s="585">
        <f t="shared" si="113"/>
        <v>86.653400483189188</v>
      </c>
      <c r="R13" s="629">
        <f t="shared" si="79"/>
        <v>2.799608443619066</v>
      </c>
      <c r="S13" s="634">
        <f t="shared" si="80"/>
        <v>-0.48840147301884262</v>
      </c>
      <c r="T13" s="635">
        <f>IF(M13="","",X13*COS(RADIANS(W13)))</f>
        <v>2.7988287071552866</v>
      </c>
      <c r="U13" s="629">
        <f t="shared" si="82"/>
        <v>-6.6070459258544656E-2</v>
      </c>
      <c r="V13" s="636">
        <f t="shared" si="114"/>
        <v>-0.48840147301884262</v>
      </c>
      <c r="W13" s="585">
        <f t="shared" si="5"/>
        <v>358.64770019524798</v>
      </c>
      <c r="X13" s="629">
        <f t="shared" si="83"/>
        <v>2.799608443619066</v>
      </c>
      <c r="Y13" s="630">
        <f>IF(M13="","",S13)</f>
        <v>-0.48840147301884262</v>
      </c>
      <c r="Z13" s="632">
        <f t="shared" si="6"/>
        <v>0.9367240738845577</v>
      </c>
      <c r="AA13" s="629">
        <f t="shared" si="7"/>
        <v>-0.32288664508988285</v>
      </c>
      <c r="AB13" s="629">
        <f t="shared" si="8"/>
        <v>-0.13524874797098063</v>
      </c>
      <c r="AC13" s="636">
        <f t="shared" si="84"/>
        <v>1</v>
      </c>
      <c r="AD13" s="637">
        <f>IF(M13="","",Z13*(1/SQRT(Z13^2+AA13^2+AB13^2)))</f>
        <v>0.9367240738845577</v>
      </c>
      <c r="AE13" s="629">
        <f t="shared" si="85"/>
        <v>-0.32288664508988285</v>
      </c>
      <c r="AF13" s="633">
        <f t="shared" si="86"/>
        <v>-0.13524874797098063</v>
      </c>
      <c r="AG13" s="602">
        <f>IF(M13="","",DEGREES(ATAN2(-AF13,AE13)))</f>
        <v>-67.272468349578418</v>
      </c>
      <c r="AH13" s="603">
        <f t="shared" si="88"/>
        <v>20.491509716624769</v>
      </c>
      <c r="AI13" s="585">
        <f t="shared" si="89"/>
        <v>-82.226995980501655</v>
      </c>
      <c r="AJ13" s="586">
        <f t="shared" si="90"/>
        <v>70.981044689536247</v>
      </c>
      <c r="AK13" s="635">
        <f t="shared" si="211"/>
        <v>0.9539754715044485</v>
      </c>
      <c r="AL13" s="629">
        <f t="shared" si="91"/>
        <v>-0.26765383602733506</v>
      </c>
      <c r="AM13" s="634">
        <f t="shared" si="92"/>
        <v>-0.13524874797098063</v>
      </c>
      <c r="AN13" s="581">
        <f t="shared" si="93"/>
        <v>-63.191973392491747</v>
      </c>
      <c r="AO13" s="582">
        <f t="shared" si="94"/>
        <v>17.450674715220938</v>
      </c>
      <c r="AP13" s="585">
        <f t="shared" si="95"/>
        <v>-15.672355793652967</v>
      </c>
      <c r="AQ13" s="586">
        <f t="shared" si="9"/>
        <v>0.81424713632016721</v>
      </c>
      <c r="AS13" s="52">
        <f t="shared" si="116"/>
        <v>-1.3522998047520218</v>
      </c>
      <c r="AT13" s="72">
        <f t="shared" si="10"/>
        <v>-0.48607744557661292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0.2269904498166615</v>
      </c>
      <c r="C14" s="708">
        <v>3.1118415878097836</v>
      </c>
      <c r="D14" s="709">
        <v>-1.0899032871483141</v>
      </c>
      <c r="E14" s="710">
        <v>-0.92088238922555776</v>
      </c>
      <c r="F14" s="708">
        <v>0.38937809105696602</v>
      </c>
      <c r="G14" s="711">
        <v>1.8982292249924926E-2</v>
      </c>
      <c r="H14" s="710">
        <v>0.26600000000000001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1.1220000000000001</v>
      </c>
      <c r="N14" s="632">
        <f t="shared" si="2"/>
        <v>0.2269904498166615</v>
      </c>
      <c r="O14" s="629">
        <f t="shared" si="3"/>
        <v>3.1118415878097836</v>
      </c>
      <c r="P14" s="633">
        <f t="shared" si="4"/>
        <v>-1.0899032871483141</v>
      </c>
      <c r="Q14" s="585">
        <f t="shared" si="113"/>
        <v>85.828000602362195</v>
      </c>
      <c r="R14" s="629">
        <f t="shared" si="79"/>
        <v>3.1201094102499813</v>
      </c>
      <c r="S14" s="634">
        <f t="shared" si="80"/>
        <v>-1.0899032871483141</v>
      </c>
      <c r="T14" s="635">
        <f t="shared" si="81"/>
        <v>3.1178560104218391</v>
      </c>
      <c r="U14" s="629">
        <f t="shared" si="82"/>
        <v>-0.1185606604523539</v>
      </c>
      <c r="V14" s="636">
        <f t="shared" si="114"/>
        <v>-1.0899032871483141</v>
      </c>
      <c r="W14" s="585">
        <f t="shared" si="5"/>
        <v>357.82230031442094</v>
      </c>
      <c r="X14" s="629">
        <f t="shared" si="83"/>
        <v>3.1201094102499813</v>
      </c>
      <c r="Y14" s="630">
        <f t="shared" ref="Y14:Y75" si="223">IF(M14="","",S14)</f>
        <v>-1.0899032871483141</v>
      </c>
      <c r="Z14" s="632">
        <f t="shared" si="6"/>
        <v>0.92088238922555776</v>
      </c>
      <c r="AA14" s="629">
        <f t="shared" si="7"/>
        <v>-0.38937809105696602</v>
      </c>
      <c r="AB14" s="629">
        <f t="shared" si="8"/>
        <v>-1.8982292249924926E-2</v>
      </c>
      <c r="AC14" s="636">
        <f t="shared" si="84"/>
        <v>1</v>
      </c>
      <c r="AD14" s="637">
        <f>IF(M14="","",Z14*(1/SQRT(Z14^2+AA14^2+AB14^2)))</f>
        <v>0.92088238922555776</v>
      </c>
      <c r="AE14" s="629">
        <f t="shared" si="85"/>
        <v>-0.38937809105696602</v>
      </c>
      <c r="AF14" s="633">
        <f t="shared" si="86"/>
        <v>-1.8982292249924926E-2</v>
      </c>
      <c r="AG14" s="602">
        <f t="shared" si="87"/>
        <v>-87.209024119236247</v>
      </c>
      <c r="AH14" s="603">
        <f t="shared" si="88"/>
        <v>22.944575991257686</v>
      </c>
      <c r="AI14" s="585">
        <f t="shared" si="89"/>
        <v>-88.912329442338049</v>
      </c>
      <c r="AJ14" s="586">
        <f t="shared" si="90"/>
        <v>67.079827000304348</v>
      </c>
      <c r="AK14" s="635">
        <f>IF(M14="","",(COS(RADIANS((90-$Q$8)-W14))*AD14)+(-SIN(RADIANS((90-$Q$8)-W14))*AE14))</f>
        <v>0.94676975576789979</v>
      </c>
      <c r="AL14" s="629">
        <f t="shared" si="91"/>
        <v>-0.32135136866696207</v>
      </c>
      <c r="AM14" s="634">
        <f t="shared" si="92"/>
        <v>-1.8982292249924926E-2</v>
      </c>
      <c r="AN14" s="581">
        <f t="shared" si="93"/>
        <v>-86.619454624260158</v>
      </c>
      <c r="AO14" s="582">
        <f t="shared" si="94"/>
        <v>18.778565239410316</v>
      </c>
      <c r="AP14" s="585">
        <f>IF(M14="","",DEGREES(ATAN2(AK14,AL14)))</f>
        <v>-18.748173602057832</v>
      </c>
      <c r="AQ14" s="586">
        <f t="shared" si="9"/>
        <v>0.7306163874378051</v>
      </c>
      <c r="AS14" s="52">
        <f t="shared" si="116"/>
        <v>-2.1776996855790571</v>
      </c>
      <c r="AT14" s="72">
        <f t="shared" si="10"/>
        <v>-1.0870060653443989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0.2398020930273182</v>
      </c>
      <c r="C15" s="708">
        <v>3.1699521946071694</v>
      </c>
      <c r="D15" s="709">
        <v>-1.7381052421254104</v>
      </c>
      <c r="E15" s="710">
        <v>-0.76489273860549278</v>
      </c>
      <c r="F15" s="708">
        <v>0.63482473495452763</v>
      </c>
      <c r="G15" s="711">
        <v>0.10925499676675343</v>
      </c>
      <c r="H15" s="710">
        <v>0.26600000000000001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80</v>
      </c>
      <c r="M15" s="168">
        <f t="shared" si="1"/>
        <v>1.127</v>
      </c>
      <c r="N15" s="632">
        <f t="shared" si="2"/>
        <v>0.2398020930273182</v>
      </c>
      <c r="O15" s="629">
        <f t="shared" si="3"/>
        <v>3.1699521946071694</v>
      </c>
      <c r="P15" s="633">
        <f t="shared" si="4"/>
        <v>-1.7381052421254104</v>
      </c>
      <c r="Q15" s="585">
        <f t="shared" si="113"/>
        <v>85.673900624611477</v>
      </c>
      <c r="R15" s="629">
        <f t="shared" si="79"/>
        <v>3.1790095878929168</v>
      </c>
      <c r="S15" s="634">
        <f t="shared" si="80"/>
        <v>-1.7381052421254104</v>
      </c>
      <c r="T15" s="635">
        <f t="shared" si="81"/>
        <v>3.1763772653459101</v>
      </c>
      <c r="U15" s="629">
        <f t="shared" si="82"/>
        <v>-0.12934229048818077</v>
      </c>
      <c r="V15" s="636">
        <f t="shared" si="114"/>
        <v>-1.7381052421254104</v>
      </c>
      <c r="W15" s="585">
        <f t="shared" ref="W15:W78" si="224">IF(M15="","",IF(Q15-$Q$8&lt;0,360+Q15-$Q$8,Q15-$Q$8))</f>
        <v>357.66820033667022</v>
      </c>
      <c r="X15" s="629">
        <f>IF(M15="","",R15)</f>
        <v>3.1790095878929168</v>
      </c>
      <c r="Y15" s="630">
        <f>IF(M15="","",S15)</f>
        <v>-1.7381052421254104</v>
      </c>
      <c r="Z15" s="632">
        <f t="shared" si="6"/>
        <v>0.76489273860549278</v>
      </c>
      <c r="AA15" s="629">
        <f t="shared" si="7"/>
        <v>-0.63482473495452763</v>
      </c>
      <c r="AB15" s="629">
        <f t="shared" si="8"/>
        <v>-0.10925499676675343</v>
      </c>
      <c r="AC15" s="636">
        <f t="shared" si="84"/>
        <v>1</v>
      </c>
      <c r="AD15" s="637">
        <f t="shared" si="115"/>
        <v>0.76489273860549278</v>
      </c>
      <c r="AE15" s="629">
        <f t="shared" si="85"/>
        <v>-0.63482473495452763</v>
      </c>
      <c r="AF15" s="633">
        <f t="shared" si="86"/>
        <v>-0.10925499676675343</v>
      </c>
      <c r="AG15" s="602">
        <f t="shared" si="87"/>
        <v>-80.234908378577941</v>
      </c>
      <c r="AH15" s="603">
        <f t="shared" si="88"/>
        <v>40.10254948910282</v>
      </c>
      <c r="AI15" s="585">
        <f t="shared" si="89"/>
        <v>-83.727628809523239</v>
      </c>
      <c r="AJ15" s="586">
        <f t="shared" si="90"/>
        <v>50.30893413675291</v>
      </c>
      <c r="AK15" s="635">
        <f t="shared" si="211"/>
        <v>0.81060017099136206</v>
      </c>
      <c r="AL15" s="629">
        <f t="shared" si="91"/>
        <v>-0.57531791947606803</v>
      </c>
      <c r="AM15" s="634">
        <f t="shared" si="92"/>
        <v>-0.10925499676675343</v>
      </c>
      <c r="AN15" s="581">
        <f>IF(M15="","",DEGREES(ATAN2(-AM15,AL15)))</f>
        <v>-79.247358807601202</v>
      </c>
      <c r="AO15" s="582">
        <f t="shared" si="94"/>
        <v>35.845388745189446</v>
      </c>
      <c r="AP15" s="585">
        <f t="shared" si="95"/>
        <v>-35.364966487858574</v>
      </c>
      <c r="AQ15" s="586">
        <f t="shared" si="9"/>
        <v>0.71708107153727785</v>
      </c>
      <c r="AS15" s="52">
        <f t="shared" si="116"/>
        <v>-2.3317996633297753</v>
      </c>
      <c r="AT15" s="72">
        <f t="shared" si="10"/>
        <v>-1.7351010064480572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0.8528814529887272</v>
      </c>
      <c r="C16" s="708">
        <v>1.3050740245421348</v>
      </c>
      <c r="D16" s="709">
        <v>-6.215663223896721E-2</v>
      </c>
      <c r="E16" s="710">
        <v>-4.7679025086538249E-2</v>
      </c>
      <c r="F16" s="708">
        <v>-7.2957740321549266E-2</v>
      </c>
      <c r="G16" s="711">
        <v>0.99619469918985748</v>
      </c>
      <c r="H16" s="710">
        <v>0.19500000000000001</v>
      </c>
      <c r="I16" s="708">
        <v>0.21199999999999999</v>
      </c>
      <c r="J16" s="570">
        <v>1.2070000000000001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1.2070000000000001</v>
      </c>
      <c r="N16" s="632">
        <f t="shared" si="2"/>
        <v>0.8528814529887272</v>
      </c>
      <c r="O16" s="629">
        <f t="shared" si="3"/>
        <v>1.3050740245421348</v>
      </c>
      <c r="P16" s="633">
        <f t="shared" si="4"/>
        <v>-6.215663223896721E-2</v>
      </c>
      <c r="Q16" s="585">
        <f>IF(M16="","",IF(DEGREES(ATAN2(N16,O16))&lt;0,DEGREES(ATAN2(N16,O16))+360,IF(DEGREES(ATAN2(N16,O16))&gt;360,DEGREES(ATAN2(N16,O16))-360,DEGREES(ATAN2(N16,O16)))))</f>
        <v>56.834904788447297</v>
      </c>
      <c r="R16" s="629">
        <f t="shared" si="79"/>
        <v>1.5590461771181658</v>
      </c>
      <c r="S16" s="634">
        <f t="shared" si="80"/>
        <v>-6.215663223896721E-2</v>
      </c>
      <c r="T16" s="635">
        <f t="shared" si="81"/>
        <v>1.3339638664648494</v>
      </c>
      <c r="U16" s="629">
        <f t="shared" si="82"/>
        <v>-0.80694819248382799</v>
      </c>
      <c r="V16" s="636">
        <f t="shared" si="114"/>
        <v>-6.215663223896721E-2</v>
      </c>
      <c r="W16" s="585">
        <f>IF(M16="","",IF(Q16-$Q$8&lt;0,360+Q16-$Q$8,Q16-$Q$8))</f>
        <v>328.82920450050608</v>
      </c>
      <c r="X16" s="629">
        <f t="shared" si="83"/>
        <v>1.5590461771181658</v>
      </c>
      <c r="Y16" s="630">
        <f t="shared" si="223"/>
        <v>-6.215663223896721E-2</v>
      </c>
      <c r="Z16" s="632">
        <f t="shared" si="6"/>
        <v>4.7679025086538249E-2</v>
      </c>
      <c r="AA16" s="629">
        <f t="shared" si="7"/>
        <v>7.2957740321549266E-2</v>
      </c>
      <c r="AB16" s="629">
        <f t="shared" si="8"/>
        <v>-0.99619469918985748</v>
      </c>
      <c r="AC16" s="636">
        <f t="shared" si="84"/>
        <v>1</v>
      </c>
      <c r="AD16" s="637">
        <f t="shared" si="115"/>
        <v>4.7679025086538249E-2</v>
      </c>
      <c r="AE16" s="629">
        <f t="shared" si="85"/>
        <v>7.2957740321549266E-2</v>
      </c>
      <c r="AF16" s="633">
        <f t="shared" si="86"/>
        <v>-0.99619469918985748</v>
      </c>
      <c r="AG16" s="602">
        <f t="shared" si="87"/>
        <v>4.1886601224242881</v>
      </c>
      <c r="AH16" s="603">
        <f t="shared" si="88"/>
        <v>87.267156999694919</v>
      </c>
      <c r="AI16" s="585">
        <f t="shared" si="89"/>
        <v>-4.9999992781062668</v>
      </c>
      <c r="AJ16" s="586">
        <f t="shared" si="90"/>
        <v>146.83475569451662</v>
      </c>
      <c r="AK16" s="635">
        <f t="shared" si="211"/>
        <v>2.2679489672383646E-7</v>
      </c>
      <c r="AL16" s="629">
        <f t="shared" si="91"/>
        <v>8.7155730195885128E-2</v>
      </c>
      <c r="AM16" s="634">
        <f t="shared" si="92"/>
        <v>-0.99619469918985748</v>
      </c>
      <c r="AN16" s="581">
        <f t="shared" si="93"/>
        <v>4.9999992780894198</v>
      </c>
      <c r="AO16" s="582">
        <f t="shared" si="94"/>
        <v>0</v>
      </c>
      <c r="AP16" s="585">
        <f t="shared" si="95"/>
        <v>89.999850906069312</v>
      </c>
      <c r="AQ16" s="586">
        <f t="shared" si="9"/>
        <v>1.4619399385842602</v>
      </c>
      <c r="AS16" s="52">
        <f t="shared" si="116"/>
        <v>-31.17079549949392</v>
      </c>
      <c r="AT16" s="72">
        <f t="shared" si="10"/>
        <v>-3.9125316119833414E-2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1.2070000000000001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1.107</v>
      </c>
      <c r="II16" s="734" cm="1">
        <f t="array" ref="II16">IFERROR(ROUND(VALUE(IF($IH16&lt;1,$IH16+LARGE((IF($M$9:$M$150="",0,$M$9:$M$150)-MOD(IF($M$9:$M$150="",0,$M$9:$M$150),1)),1),$IH16)),4),"")</f>
        <v>1.107</v>
      </c>
      <c r="IJ16" s="533">
        <f t="shared" si="112"/>
        <v>1313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32.581395295828543</v>
      </c>
      <c r="IM16" s="759">
        <v>7.42019847419286E-2</v>
      </c>
      <c r="IN16" s="5">
        <f>IF(ISNUMBER($II16),(($IO16*12)/60)/$AS$3,"")</f>
        <v>0.82</v>
      </c>
      <c r="IO16" s="771">
        <v>410</v>
      </c>
      <c r="IP16" s="9">
        <f>IF(ISNUMBER($II16),(INDEX($X$9:$X$150,MATCH($II16,$M$9:$M$150,0))*-1),"")</f>
        <v>-1.5623047119110114</v>
      </c>
      <c r="IQ16" s="5">
        <f>IF(ISNUMBER($II16),INDEX($Y$9:$Y$150,MATCH($II16,$M$9:$M$150,0)),"")</f>
        <v>-4.8200145371638442E-2</v>
      </c>
      <c r="IR16" s="5">
        <f t="shared" si="71"/>
        <v>0.26600000000000001</v>
      </c>
      <c r="IS16" s="5">
        <f>IF(ISNUMBER($II16),$IR16*COS(RADIANS(INDEX($AO$9:$AO$150,MATCH($II16,$M$9:$M$150,0)))),"")</f>
        <v>0.25665955313296829</v>
      </c>
      <c r="IT16" s="727">
        <f>IF(ISNUMBER($II16),(-1*INDEX($AN$9:$AN$150,MATCH($II16,$M$9:$M$150,0))),"")</f>
        <v>5.174213264130576</v>
      </c>
      <c r="IU16" s="9">
        <f>IF(ISNUMBER($II16),-$X16,"")</f>
        <v>-1.5590461771181658</v>
      </c>
      <c r="IV16" s="5">
        <f>IF(ISNUMBER($II16),$Y16,"")</f>
        <v>-6.215663223896721E-2</v>
      </c>
      <c r="IW16" s="5">
        <f t="shared" si="76"/>
        <v>0.19500000000000001</v>
      </c>
      <c r="IX16" s="5">
        <f>IF(ISNUMBER($II16),$IW16*COS(RADIANS($AO16)),"")</f>
        <v>0.19500000000000001</v>
      </c>
      <c r="IY16" s="762">
        <f>IF(ISNUMBER($II16),(-1*$AN16),"")</f>
        <v>-4.9999992780894198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0.89979779701497087</v>
      </c>
      <c r="C17" s="708">
        <v>2.0757609100116414</v>
      </c>
      <c r="D17" s="709">
        <v>-0.10120814680766405</v>
      </c>
      <c r="E17" s="710">
        <v>-0.78147594179663549</v>
      </c>
      <c r="F17" s="708">
        <v>0.47595883311039044</v>
      </c>
      <c r="G17" s="711">
        <v>0.40343344132242837</v>
      </c>
      <c r="H17" s="710">
        <v>0.219</v>
      </c>
      <c r="I17" s="708">
        <v>0.42</v>
      </c>
      <c r="J17" s="570">
        <v>1.212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1111</v>
      </c>
      <c r="M17" s="168">
        <f t="shared" si="1"/>
        <v>1.212</v>
      </c>
      <c r="N17" s="632">
        <f t="shared" si="2"/>
        <v>0.89979779701497087</v>
      </c>
      <c r="O17" s="629">
        <f t="shared" si="3"/>
        <v>2.0757609100116414</v>
      </c>
      <c r="P17" s="633">
        <f t="shared" si="4"/>
        <v>-0.10120814680766405</v>
      </c>
      <c r="Q17" s="585">
        <f>IF(M17="","",IF(DEGREES(ATAN2(N17,O17))&lt;0,DEGREES(ATAN2(N17,O17))+360,IF(DEGREES(ATAN2(N17,O17))&gt;360,DEGREES(ATAN2(N17,O17))-360,DEGREES(ATAN2(N17,O17)))))</f>
        <v>66.564303383695943</v>
      </c>
      <c r="R17" s="629">
        <f>IF(M17="","",SQRT(N17^2+O17^2))</f>
        <v>2.2623924131426341</v>
      </c>
      <c r="S17" s="634">
        <f>IF(M17="","",P17)</f>
        <v>-0.10120814680766405</v>
      </c>
      <c r="T17" s="635">
        <f>IF(M17="","",X17*COS(RADIANS(W17)))</f>
        <v>2.105816634382403</v>
      </c>
      <c r="U17" s="629">
        <f>IF(M17="","",X17*SIN(RADIANS(W17)))</f>
        <v>-0.82701616272218093</v>
      </c>
      <c r="V17" s="636">
        <f>IF(M17="","",Y17)</f>
        <v>-0.10120814680766405</v>
      </c>
      <c r="W17" s="585">
        <f t="shared" si="224"/>
        <v>338.55860309575468</v>
      </c>
      <c r="X17" s="629">
        <f>IF(M17="","",R17)</f>
        <v>2.2623924131426341</v>
      </c>
      <c r="Y17" s="630">
        <f t="shared" si="223"/>
        <v>-0.10120814680766405</v>
      </c>
      <c r="Z17" s="632">
        <f t="shared" si="6"/>
        <v>0.78147594179663549</v>
      </c>
      <c r="AA17" s="629">
        <f t="shared" si="7"/>
        <v>-0.47595883311039044</v>
      </c>
      <c r="AB17" s="629">
        <f t="shared" si="8"/>
        <v>-0.40343344132242837</v>
      </c>
      <c r="AC17" s="636">
        <f>IF(M17="","",SQRT(Z17^2+AA17^2+AB17^2))</f>
        <v>1</v>
      </c>
      <c r="AD17" s="637">
        <f>IF(M17="","",Z17*(1/SQRT(Z17^2+AA17^2+AB17^2)))</f>
        <v>0.78147594179663549</v>
      </c>
      <c r="AE17" s="629">
        <f>IF(M17="","",AA17*(1/SQRT(Z17^2+AA17^2+AB17^2)))</f>
        <v>-0.47595883311039044</v>
      </c>
      <c r="AF17" s="633">
        <f>IF(M17="","",AB17*(1/SQRT(Z17^2+AA17^2+AB17^2)))</f>
        <v>-0.40343344132242837</v>
      </c>
      <c r="AG17" s="602">
        <f>IF(M17="","",DEGREES(ATAN2(-AF17,AE17)))</f>
        <v>-49.714637639135802</v>
      </c>
      <c r="AH17" s="603">
        <f>IF(M17="","",DEGREES(ACOS(AD17)))</f>
        <v>38.6040894151242</v>
      </c>
      <c r="AI17" s="585">
        <f>IF(M17="","",DEGREES(-ACOS(-AF17)))</f>
        <v>-66.207004296041816</v>
      </c>
      <c r="AJ17" s="586">
        <f>IF(M17="","",DEGREES(ATAN2(-AE17,AD17)))</f>
        <v>58.656446833995425</v>
      </c>
      <c r="AK17" s="635">
        <f>IF(M17="","",(COS(RADIANS((90-$Q$8)-W17))*AD17)+(-SIN(RADIANS((90-$Q$8)-W17))*AE17))</f>
        <v>0.90630781366099977</v>
      </c>
      <c r="AL17" s="629">
        <f>IF(M17="","",(SIN(RADIANS((90-$Q$8)-W17))*AD17)+(COS(RADIANS((90-$Q$8)-W17))*AE17))</f>
        <v>-0.1258872722707165</v>
      </c>
      <c r="AM17" s="634">
        <f>IF(M17="","",AF17)</f>
        <v>-0.40343344132242837</v>
      </c>
      <c r="AN17" s="581">
        <f>IF(M17="","",DEGREES(ATAN2(-AM17,AL17)))</f>
        <v>-17.329997497857875</v>
      </c>
      <c r="AO17" s="582">
        <f t="shared" si="94"/>
        <v>24.999996390447073</v>
      </c>
      <c r="AP17" s="585">
        <f>IF(M17="","",DEGREES(ATAN2(AK17,AL17)))</f>
        <v>-7.9078565497004973</v>
      </c>
      <c r="AQ17" s="586">
        <f t="shared" si="9"/>
        <v>1.0075580257762922</v>
      </c>
      <c r="AS17" s="52">
        <f t="shared" si="116"/>
        <v>-21.441396904245323</v>
      </c>
      <c r="AT17" s="72">
        <f t="shared" si="10"/>
        <v>-8.4933357490786218E-2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1.212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1.1120000000000001</v>
      </c>
      <c r="II17" s="734" cm="1">
        <f t="array" ref="II17">IFERROR(ROUND(VALUE(IF($IH17&lt;1,$IH17+LARGE((IF($M$9:$M$150="",0,$M$9:$M$150)-MOD(IF($M$9:$M$150="",0,$M$9:$M$150),1)),1),$IH17)),4),"")</f>
        <v>1.1120000000000001</v>
      </c>
      <c r="IJ17" s="533">
        <f t="shared" si="112"/>
        <v>1313</v>
      </c>
      <c r="IK17" s="533">
        <f t="shared" si="66"/>
        <v>1111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21.441396904245323</v>
      </c>
      <c r="IM17" s="759">
        <v>1.7919892236677799E-2</v>
      </c>
      <c r="IN17" s="5">
        <f t="shared" ref="IN17:IN80" si="226">IF(ISNUMBER($II17),(($IO17*12)/60)/$AS$3,"")</f>
        <v>0.36</v>
      </c>
      <c r="IO17" s="771">
        <v>180</v>
      </c>
      <c r="IP17" s="9">
        <f t="shared" ref="IP17:IP80" si="227">IF(ISNUMBER($II17),(INDEX($X$9:$X$150,MATCH($II17,$M$9:$M$150,0))*-1),"")</f>
        <v>-2.2450067709404218</v>
      </c>
      <c r="IQ17" s="5">
        <f t="shared" ref="IQ17:IQ80" si="228">IF(ISNUMBER($II17),INDEX($Y$9:$Y$150,MATCH($II17,$M$9:$M$150,0)),"")</f>
        <v>-0.1331004014308107</v>
      </c>
      <c r="IR17" s="5">
        <f t="shared" si="71"/>
        <v>0.26600000000000001</v>
      </c>
      <c r="IS17" s="5">
        <f t="shared" ref="IS17:IS80" si="229">IF(ISNUMBER($II17),$IR17*COS(RADIANS(INDEX($AO$9:$AO$150,MATCH($II17,$M$9:$M$150,0)))),"")</f>
        <v>0.25588089720735196</v>
      </c>
      <c r="IT17" s="727">
        <f t="shared" ref="IT17:IT80" si="230">IF(ISNUMBER($II17),(-1*INDEX($AN$9:$AN$150,MATCH($II17,$M$9:$M$150,0))),"")</f>
        <v>36.685239652809599</v>
      </c>
      <c r="IU17" s="9">
        <f t="shared" ref="IU17:IU80" si="231">IF(ISNUMBER($II17),-$X17,"")</f>
        <v>-2.2623924131426341</v>
      </c>
      <c r="IV17" s="5">
        <f t="shared" ref="IV17:IV80" si="232">IF(ISNUMBER($II17),$Y17,"")</f>
        <v>-0.10120814680766405</v>
      </c>
      <c r="IW17" s="5">
        <f t="shared" si="76"/>
        <v>0.219</v>
      </c>
      <c r="IX17" s="5">
        <f t="shared" ref="IX17:IX80" si="233">IF(ISNUMBER($II17),$IW17*COS(RADIANS($AO17)),"")</f>
        <v>0.19848141119175897</v>
      </c>
      <c r="IY17" s="762">
        <f t="shared" ref="IY17:IY80" si="234">IF(ISNUMBER($II17),(-1*$AN17),"")</f>
        <v>17.329997497857875</v>
      </c>
    </row>
    <row r="18" spans="1:269" ht="15" customHeight="1" x14ac:dyDescent="0.25">
      <c r="A18" s="79"/>
      <c r="B18" s="707">
        <v>1.1192218679504573</v>
      </c>
      <c r="C18" s="708">
        <v>2.6064520097040074</v>
      </c>
      <c r="D18" s="709">
        <v>-0.46483418742864924</v>
      </c>
      <c r="E18" s="710">
        <v>-0.71702166887644958</v>
      </c>
      <c r="F18" s="708">
        <v>0.60812678758112704</v>
      </c>
      <c r="G18" s="711">
        <v>0.34067834769455196</v>
      </c>
      <c r="H18" s="710">
        <v>0.219</v>
      </c>
      <c r="I18" s="708">
        <v>0.42</v>
      </c>
      <c r="J18" s="570">
        <v>1.2170000000000001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1111</v>
      </c>
      <c r="L18" s="779" t="s">
        <v>331</v>
      </c>
      <c r="M18" s="168">
        <f t="shared" si="1"/>
        <v>1.2170000000000001</v>
      </c>
      <c r="N18" s="632">
        <f t="shared" si="2"/>
        <v>1.1192218679504573</v>
      </c>
      <c r="O18" s="629">
        <f t="shared" si="3"/>
        <v>2.6064520097040074</v>
      </c>
      <c r="P18" s="633">
        <f t="shared" si="4"/>
        <v>-0.46483418742864924</v>
      </c>
      <c r="Q18" s="585">
        <f t="shared" si="113"/>
        <v>66.761103355281548</v>
      </c>
      <c r="R18" s="629">
        <f>IF(M18="","",SQRT(N18^2+O18^2))</f>
        <v>2.836591205758872</v>
      </c>
      <c r="S18" s="634">
        <f>IF(M18="","",P18)</f>
        <v>-0.46483418742864924</v>
      </c>
      <c r="T18" s="635">
        <f>IF(M18="","",X18*COS(RADIANS(W18)))</f>
        <v>2.6438222640527105</v>
      </c>
      <c r="U18" s="629">
        <f>IF(M18="","",X18*SIN(RADIANS(W18)))</f>
        <v>-1.0278392406829833</v>
      </c>
      <c r="V18" s="636">
        <f>IF(M18="","",Y18)</f>
        <v>-0.46483418742864924</v>
      </c>
      <c r="W18" s="585">
        <f t="shared" si="224"/>
        <v>338.7554030673403</v>
      </c>
      <c r="X18" s="629">
        <f>IF(M18="","",R18)</f>
        <v>2.836591205758872</v>
      </c>
      <c r="Y18" s="630">
        <f t="shared" si="223"/>
        <v>-0.46483418742864924</v>
      </c>
      <c r="Z18" s="632">
        <f t="shared" si="6"/>
        <v>0.71702166887644958</v>
      </c>
      <c r="AA18" s="629">
        <f t="shared" si="7"/>
        <v>-0.60812678758112704</v>
      </c>
      <c r="AB18" s="629">
        <f t="shared" si="8"/>
        <v>-0.34067834769455196</v>
      </c>
      <c r="AC18" s="636">
        <f>IF(M18="","",SQRT(Z18^2+AA18^2+AB18^2))</f>
        <v>1</v>
      </c>
      <c r="AD18" s="637">
        <f>IF(M18="","",Z18*(1/SQRT(Z18^2+AA18^2+AB18^2)))</f>
        <v>0.71702166887644958</v>
      </c>
      <c r="AE18" s="629">
        <f>IF(M18="","",AA18*(1/SQRT(Z18^2+AA18^2+AB18^2)))</f>
        <v>-0.60812678758112704</v>
      </c>
      <c r="AF18" s="633">
        <f>IF(M18="","",AB18*(1/SQRT(Z18^2+AA18^2+AB18^2)))</f>
        <v>-0.34067834769455196</v>
      </c>
      <c r="AG18" s="602">
        <f>IF(M18="","",DEGREES(ATAN2(-AF18,AE18)))</f>
        <v>-60.742040649782766</v>
      </c>
      <c r="AH18" s="603">
        <f>IF(M18="","",DEGREES(ACOS(AD18)))</f>
        <v>44.190871802375113</v>
      </c>
      <c r="AI18" s="585">
        <f>IF(M18="","",DEGREES(-ACOS(-AF18)))</f>
        <v>-70.081791943136508</v>
      </c>
      <c r="AJ18" s="586">
        <f>IF(M18="","",DEGREES(ATAN2(-AE18,AD18)))</f>
        <v>49.697760150859715</v>
      </c>
      <c r="AK18" s="635">
        <f>IF(M18="","",(COS(RADIANS((90-$Q$8)-W18))*AD18)+(-SIN(RADIANS((90-$Q$8)-W18))*AE18))</f>
        <v>0.89879407502059649</v>
      </c>
      <c r="AL18" s="629">
        <f>IF(M18="","",(SIN(RADIANS((90-$Q$8)-W18))*AD18)+(COS(RADIANS((90-$Q$8)-W18))*AE18))</f>
        <v>-0.27587583098194807</v>
      </c>
      <c r="AM18" s="634">
        <f>IF(M18="","",AF18)</f>
        <v>-0.34067834769455196</v>
      </c>
      <c r="AN18" s="581">
        <f>IF(M18="","",DEGREES(ATAN2(-AM18,AL18)))</f>
        <v>-38.999994369097493</v>
      </c>
      <c r="AO18" s="582">
        <f t="shared" si="94"/>
        <v>25.999996246064971</v>
      </c>
      <c r="AP18" s="585">
        <f>IF(M18="","",DEGREES(ATAN2(AK18,AL18)))</f>
        <v>-17.063343204421805</v>
      </c>
      <c r="AQ18" s="586">
        <f t="shared" si="9"/>
        <v>0.80363258856544817</v>
      </c>
      <c r="AS18" s="52">
        <f t="shared" si="116"/>
        <v>-21.244596932659704</v>
      </c>
      <c r="AT18" s="72">
        <f t="shared" si="10"/>
        <v>-0.44869606475870588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1.2170000000000001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1.117</v>
      </c>
      <c r="II18" s="734" cm="1">
        <f t="array" ref="II18">IFERROR(ROUND(VALUE(IF($IH18&lt;1,$IH18+LARGE((IF($M$9:$M$150="",0,$M$9:$M$150)-MOD(IF($M$9:$M$150="",0,$M$9:$M$150),1)),1),$IH18)),4),"")</f>
        <v>1.117</v>
      </c>
      <c r="IJ18" s="533">
        <f t="shared" si="112"/>
        <v>1313</v>
      </c>
      <c r="IK18" s="533">
        <f t="shared" si="66"/>
        <v>1111</v>
      </c>
      <c r="IL18" s="727">
        <f t="shared" si="225"/>
        <v>19.892297127907682</v>
      </c>
      <c r="IM18" s="759">
        <v>7.6025364119813796E-3</v>
      </c>
      <c r="IN18" s="5">
        <f t="shared" si="226"/>
        <v>0.32</v>
      </c>
      <c r="IO18" s="771">
        <v>160</v>
      </c>
      <c r="IP18" s="9">
        <f t="shared" si="227"/>
        <v>-2.799608443619066</v>
      </c>
      <c r="IQ18" s="5">
        <f t="shared" si="228"/>
        <v>-0.48840147301884262</v>
      </c>
      <c r="IR18" s="5">
        <f t="shared" si="71"/>
        <v>0.26600000000000001</v>
      </c>
      <c r="IS18" s="5">
        <f t="shared" si="229"/>
        <v>0.25375747542018334</v>
      </c>
      <c r="IT18" s="727">
        <f t="shared" si="230"/>
        <v>63.191973392491747</v>
      </c>
      <c r="IU18" s="9">
        <f t="shared" si="231"/>
        <v>-2.836591205758872</v>
      </c>
      <c r="IV18" s="5">
        <f t="shared" si="232"/>
        <v>-0.46483418742864924</v>
      </c>
      <c r="IW18" s="5">
        <f t="shared" si="76"/>
        <v>0.219</v>
      </c>
      <c r="IX18" s="5">
        <f t="shared" si="233"/>
        <v>0.19683590242951063</v>
      </c>
      <c r="IY18" s="762">
        <f t="shared" si="234"/>
        <v>38.999994369097493</v>
      </c>
    </row>
    <row r="19" spans="1:269" ht="15" customHeight="1" thickBot="1" x14ac:dyDescent="0.3">
      <c r="A19" s="79"/>
      <c r="B19" s="707">
        <v>0.76353786376389066</v>
      </c>
      <c r="C19" s="708">
        <v>5.3391238837571221E-2</v>
      </c>
      <c r="D19" s="709">
        <v>-0.22590068131645494</v>
      </c>
      <c r="E19" s="710">
        <v>-0.17233539482541443</v>
      </c>
      <c r="F19" s="708">
        <v>0.89647013593529279</v>
      </c>
      <c r="G19" s="711">
        <v>0.40821784266066352</v>
      </c>
      <c r="H19" s="710">
        <v>0.26600000000000001</v>
      </c>
      <c r="I19" s="708">
        <v>0.52</v>
      </c>
      <c r="J19" s="570">
        <v>2.1030000000000002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2.1030000000000002</v>
      </c>
      <c r="N19" s="632">
        <f t="shared" si="2"/>
        <v>0.76353786376389066</v>
      </c>
      <c r="O19" s="629">
        <f t="shared" si="3"/>
        <v>5.3391238837571221E-2</v>
      </c>
      <c r="P19" s="633">
        <f t="shared" si="4"/>
        <v>-0.22590068131645494</v>
      </c>
      <c r="Q19" s="585">
        <f t="shared" si="113"/>
        <v>3.9999604393003447</v>
      </c>
      <c r="R19" s="629">
        <f>IF(M19="","",SQRT(N19^2+O19^2))</f>
        <v>0.76540230845336243</v>
      </c>
      <c r="S19" s="634">
        <f>IF(M19="","",P19)</f>
        <v>-0.22590068131645494</v>
      </c>
      <c r="T19" s="635">
        <f>IF(M19="","",X19*COS(RADIANS(W19)))</f>
        <v>7.9930069294981268E-2</v>
      </c>
      <c r="U19" s="629">
        <f>IF(M19="","",X19*SIN(RADIANS(W19)))</f>
        <v>-0.76121736567700271</v>
      </c>
      <c r="V19" s="636">
        <f>IF(M19="","",Y19)</f>
        <v>-0.22590068131645494</v>
      </c>
      <c r="W19" s="585">
        <f t="shared" si="224"/>
        <v>275.99426015135913</v>
      </c>
      <c r="X19" s="629">
        <f>IF(M19="","",R19)</f>
        <v>0.76540230845336243</v>
      </c>
      <c r="Y19" s="630">
        <f t="shared" si="223"/>
        <v>-0.22590068131645494</v>
      </c>
      <c r="Z19" s="632">
        <f t="shared" si="6"/>
        <v>0.17233539482541443</v>
      </c>
      <c r="AA19" s="629">
        <f t="shared" si="7"/>
        <v>-0.89647013593529279</v>
      </c>
      <c r="AB19" s="629">
        <f t="shared" si="8"/>
        <v>-0.40821784266066352</v>
      </c>
      <c r="AC19" s="636">
        <f>IF(M19="","",SQRT(Z19^2+AA19^2+AB19^2))</f>
        <v>1</v>
      </c>
      <c r="AD19" s="637">
        <f>IF(M19="","",Z19*(1/SQRT(Z19^2+AA19^2+AB19^2)))</f>
        <v>0.17233539482541443</v>
      </c>
      <c r="AE19" s="629">
        <f>IF(M19="","",AA19*(1/SQRT(Z19^2+AA19^2+AB19^2)))</f>
        <v>-0.89647013593529279</v>
      </c>
      <c r="AF19" s="633">
        <f>IF(M19="","",AB19*(1/SQRT(Z19^2+AA19^2+AB19^2)))</f>
        <v>-0.40821784266066352</v>
      </c>
      <c r="AG19" s="602">
        <f>IF(M19="","",DEGREES(ATAN2(-AF19,AE19)))</f>
        <v>-65.517314908735557</v>
      </c>
      <c r="AH19" s="603">
        <f>IF(M19="","",DEGREES(ACOS(AD19)))</f>
        <v>80.076368306891311</v>
      </c>
      <c r="AI19" s="585">
        <f>IF(M19="","",DEGREES(-ACOS(-AF19)))</f>
        <v>-65.907068471181375</v>
      </c>
      <c r="AJ19" s="586">
        <f>IF(M19="","",DEGREES(ATAN2(-AE19,AD19)))</f>
        <v>10.881662088262091</v>
      </c>
      <c r="AK19" s="635">
        <f>IF(M19="","",(COS(RADIANS((90-$Q$8)-W19))*AD19)+(-SIN(RADIANS((90-$Q$8)-W19))*AE19))</f>
        <v>0.90630781366099955</v>
      </c>
      <c r="AL19" s="629">
        <f>IF(M19="","",(SIN(RADIANS((90-$Q$8)-W19))*AD19)+(COS(RADIANS((90-$Q$8)-W19))*AE19))</f>
        <v>0.10938162473876804</v>
      </c>
      <c r="AM19" s="634">
        <f>IF(M19="","",AF19)</f>
        <v>-0.40821784266066352</v>
      </c>
      <c r="AN19" s="581">
        <f>IF(M19="","",DEGREES(ATAN2(-AM19,AL19)))</f>
        <v>14.999997834268267</v>
      </c>
      <c r="AO19" s="582">
        <f t="shared" si="94"/>
        <v>24.999996390447112</v>
      </c>
      <c r="AP19" s="585">
        <f>IF(M19="","",DEGREES(ATAN2(AK19,AL19)))</f>
        <v>6.8817016489617524</v>
      </c>
      <c r="AQ19" s="586">
        <f t="shared" si="9"/>
        <v>2.975789848387878</v>
      </c>
      <c r="AS19" s="52">
        <f t="shared" si="116"/>
        <v>-84.005739848640872</v>
      </c>
      <c r="AT19" s="72">
        <f t="shared" si="10"/>
        <v>-0.16617843162152465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2.1030000000000002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1313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1.3634302163072733</v>
      </c>
      <c r="C20" s="708">
        <v>8.8571980344836085E-2</v>
      </c>
      <c r="D20" s="709">
        <v>-8.1800246709544083E-2</v>
      </c>
      <c r="E20" s="710">
        <v>-7.6045583594938612E-2</v>
      </c>
      <c r="F20" s="708">
        <v>0.96252859859288564</v>
      </c>
      <c r="G20" s="711">
        <v>0.26029937784505158</v>
      </c>
      <c r="H20" s="710">
        <v>0.26600000000000001</v>
      </c>
      <c r="I20" s="708">
        <v>0.52</v>
      </c>
      <c r="J20" s="570">
        <v>2.1059999999999999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410</v>
      </c>
      <c r="M20" s="168">
        <f t="shared" si="1"/>
        <v>2.1059999999999999</v>
      </c>
      <c r="N20" s="632">
        <f t="shared" si="2"/>
        <v>1.3634302163072733</v>
      </c>
      <c r="O20" s="629">
        <f t="shared" si="3"/>
        <v>8.8571980344836085E-2</v>
      </c>
      <c r="P20" s="633">
        <f t="shared" si="4"/>
        <v>-8.1800246709544083E-2</v>
      </c>
      <c r="Q20" s="585">
        <f t="shared" si="113"/>
        <v>3.7168604801749172</v>
      </c>
      <c r="R20" s="629">
        <f>IF(M20="","",SQRT(N20^2+O20^2))</f>
        <v>1.3663041207732283</v>
      </c>
      <c r="S20" s="634">
        <f>IF(M20="","",P20)</f>
        <v>-8.1800246709544083E-2</v>
      </c>
      <c r="T20" s="635">
        <f>IF(M20="","",X20*COS(RADIANS(W20)))</f>
        <v>0.13596579648935</v>
      </c>
      <c r="U20" s="629">
        <f>IF(M20="","",X20*SIN(RADIANS(W20)))</f>
        <v>-1.3595220677234043</v>
      </c>
      <c r="V20" s="636">
        <f>IF(M20="","",Y20)</f>
        <v>-8.1800246709544083E-2</v>
      </c>
      <c r="W20" s="585">
        <f t="shared" si="224"/>
        <v>275.71116019223371</v>
      </c>
      <c r="X20" s="629">
        <f>IF(M20="","",R20)</f>
        <v>1.3663041207732283</v>
      </c>
      <c r="Y20" s="630">
        <f t="shared" si="223"/>
        <v>-8.1800246709544083E-2</v>
      </c>
      <c r="Z20" s="632">
        <f t="shared" si="6"/>
        <v>7.6045583594938612E-2</v>
      </c>
      <c r="AA20" s="629">
        <f t="shared" si="7"/>
        <v>-0.96252859859288564</v>
      </c>
      <c r="AB20" s="629">
        <f t="shared" si="8"/>
        <v>-0.26029937784505158</v>
      </c>
      <c r="AC20" s="636">
        <f>IF(M20="","",SQRT(Z20^2+AA20^2+AB20^2))</f>
        <v>1</v>
      </c>
      <c r="AD20" s="637">
        <f>IF(M20="","",Z20*(1/SQRT(Z20^2+AA20^2+AB20^2)))</f>
        <v>7.6045583594938612E-2</v>
      </c>
      <c r="AE20" s="629">
        <f>IF(M20="","",AA20*(1/SQRT(Z20^2+AA20^2+AB20^2)))</f>
        <v>-0.96252859859288564</v>
      </c>
      <c r="AF20" s="633">
        <f>IF(M20="","",AB20*(1/SQRT(Z20^2+AA20^2+AB20^2)))</f>
        <v>-0.26029937784505158</v>
      </c>
      <c r="AG20" s="602">
        <f>IF(M20="","",DEGREES(ATAN2(-AF20,AE20)))</f>
        <v>-74.867310601979881</v>
      </c>
      <c r="AH20" s="603">
        <f>IF(M20="","",DEGREES(ACOS(AD20)))</f>
        <v>85.638698584032369</v>
      </c>
      <c r="AI20" s="585">
        <f>IF(M20="","",DEGREES(-ACOS(-AF20)))</f>
        <v>-74.91217309718688</v>
      </c>
      <c r="AJ20" s="586">
        <f>IF(M20="","",DEGREES(ATAN2(-AE20,AD20)))</f>
        <v>4.5173298832754467</v>
      </c>
      <c r="AK20" s="635">
        <f>IF(M20="","",(COS(RADIANS((90-$Q$8)-W20))*AD20)+(-SIN(RADIANS((90-$Q$8)-W20))*AE20))</f>
        <v>0.96543372976904773</v>
      </c>
      <c r="AL20" s="629">
        <f>IF(M20="","",(SIN(RADIANS((90-$Q$8)-W20))*AD20)+(COS(RADIANS((90-$Q$8)-W20))*AE20))</f>
        <v>1.3488784886133816E-2</v>
      </c>
      <c r="AM20" s="634">
        <f>IF(M20="","",AF20)</f>
        <v>-0.26029937784505158</v>
      </c>
      <c r="AN20" s="581">
        <f>IF(M20="","",DEGREES(ATAN2(-AM20,AL20)))</f>
        <v>2.9664295577062658</v>
      </c>
      <c r="AO20" s="582">
        <f t="shared" si="94"/>
        <v>15.108553606302095</v>
      </c>
      <c r="AP20" s="585">
        <f>IF(M20="","",DEGREES(ATAN2(AK20,AL20)))</f>
        <v>0.80046940310052805</v>
      </c>
      <c r="AQ20" s="586">
        <f t="shared" si="9"/>
        <v>1.6680638506927834</v>
      </c>
      <c r="AS20" s="52">
        <f t="shared" si="116"/>
        <v>-84.288839807766294</v>
      </c>
      <c r="AT20" s="72">
        <f t="shared" si="10"/>
        <v>-2.1881399820776692E-2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2.1059999999999999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2.1102910515830957</v>
      </c>
      <c r="C21" s="708">
        <v>8.5103370858291547E-2</v>
      </c>
      <c r="D21" s="709">
        <v>-9.120027506002959E-2</v>
      </c>
      <c r="E21" s="710">
        <v>9.9448060229182011E-2</v>
      </c>
      <c r="F21" s="708">
        <v>0.96743088308412284</v>
      </c>
      <c r="G21" s="711">
        <v>0.23278223680454543</v>
      </c>
      <c r="H21" s="710">
        <v>0.26600000000000001</v>
      </c>
      <c r="I21" s="708">
        <v>0.52</v>
      </c>
      <c r="J21" s="570">
        <v>2.1110000000000002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2.1110000000000002</v>
      </c>
      <c r="N21" s="632">
        <f t="shared" si="2"/>
        <v>2.1102910515830957</v>
      </c>
      <c r="O21" s="629">
        <f t="shared" si="3"/>
        <v>8.5103370858291547E-2</v>
      </c>
      <c r="P21" s="633">
        <f t="shared" si="4"/>
        <v>-9.120027506002959E-2</v>
      </c>
      <c r="Q21" s="585">
        <f t="shared" si="113"/>
        <v>2.309360683392744</v>
      </c>
      <c r="R21" s="629">
        <f>IF(M21="","",SQRT(N21^2+O21^2))</f>
        <v>2.1120063698112115</v>
      </c>
      <c r="S21" s="634">
        <f>IF(M21="","",P21)</f>
        <v>-9.120027506002959E-2</v>
      </c>
      <c r="T21" s="635">
        <f>IF(M21="","",X21*COS(RADIANS(W21)))</f>
        <v>0.1584900960700191</v>
      </c>
      <c r="U21" s="629">
        <f>IF(M21="","",X21*SIN(RADIANS(W21)))</f>
        <v>-2.1060512328931718</v>
      </c>
      <c r="V21" s="636">
        <f>IF(M21="","",Y21)</f>
        <v>-9.120027506002959E-2</v>
      </c>
      <c r="W21" s="585">
        <f t="shared" si="224"/>
        <v>274.30366039545152</v>
      </c>
      <c r="X21" s="629">
        <f>IF(M21="","",R21)</f>
        <v>2.1120063698112115</v>
      </c>
      <c r="Y21" s="630">
        <f t="shared" si="223"/>
        <v>-9.120027506002959E-2</v>
      </c>
      <c r="Z21" s="632">
        <f t="shared" si="6"/>
        <v>-9.9448060229182011E-2</v>
      </c>
      <c r="AA21" s="629">
        <f t="shared" si="7"/>
        <v>-0.96743088308412284</v>
      </c>
      <c r="AB21" s="629">
        <f t="shared" si="8"/>
        <v>-0.23278223680454543</v>
      </c>
      <c r="AC21" s="636">
        <f>IF(M21="","",SQRT(Z21^2+AA21^2+AB21^2))</f>
        <v>1</v>
      </c>
      <c r="AD21" s="637">
        <f>IF(M21="","",Z21*(1/SQRT(Z21^2+AA21^2+AB21^2)))</f>
        <v>-9.9448060229182011E-2</v>
      </c>
      <c r="AE21" s="629">
        <f>IF(M21="","",AA21*(1/SQRT(Z21^2+AA21^2+AB21^2)))</f>
        <v>-0.96743088308412284</v>
      </c>
      <c r="AF21" s="633">
        <f>IF(M21="","",AB21*(1/SQRT(Z21^2+AA21^2+AB21^2)))</f>
        <v>-0.23278223680454543</v>
      </c>
      <c r="AG21" s="602">
        <f>IF(M21="","",DEGREES(ATAN2(-AF21,AE21)))</f>
        <v>-76.47073776410663</v>
      </c>
      <c r="AH21" s="603">
        <f>IF(M21="","",DEGREES(ACOS(AD21)))</f>
        <v>95.70738822719288</v>
      </c>
      <c r="AI21" s="585">
        <f>IF(M21="","",DEGREES(-ACOS(-AF21)))</f>
        <v>-76.539070803854187</v>
      </c>
      <c r="AJ21" s="586">
        <f>IF(M21="","",DEGREES(ATAN2(-AE21,AD21)))</f>
        <v>-5.8691637678008926</v>
      </c>
      <c r="AK21" s="635">
        <f>IF(M21="","",(COS(RADIANS((90-$Q$8)-W21))*AD21)+(-SIN(RADIANS((90-$Q$8)-W21))*AE21))</f>
        <v>0.96263789707626191</v>
      </c>
      <c r="AL21" s="629">
        <f>IF(M21="","",(SIN(RADIANS((90-$Q$8)-W21))*AD21)+(COS(RADIANS((90-$Q$8)-W21))*AE21))</f>
        <v>-0.1383499524425828</v>
      </c>
      <c r="AM21" s="634">
        <f>IF(M21="","",AF21)</f>
        <v>-0.23278223680454543</v>
      </c>
      <c r="AN21" s="581">
        <f>IF(M21="","",DEGREES(ATAN2(-AM21,AL21)))</f>
        <v>-30.724374381168222</v>
      </c>
      <c r="AO21" s="582">
        <f>IF(ROUND(IF(M21="",0,DEGREES(ACOS(AK21))),4)=90,0,IF(M21="","",DEGREES(ACOS(AK21))))</f>
        <v>15.71139779768238</v>
      </c>
      <c r="AP21" s="585">
        <f>IF(M21="","",DEGREES(ATAN2(AK21,AL21)))</f>
        <v>-8.1785244511936614</v>
      </c>
      <c r="AQ21" s="586">
        <f t="shared" si="9"/>
        <v>1.0792850890476819</v>
      </c>
      <c r="AS21" s="52">
        <f t="shared" si="116"/>
        <v>-85.696339604548484</v>
      </c>
      <c r="AT21" s="72">
        <f t="shared" si="10"/>
        <v>-3.0303997756830119E-2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2.1110000000000002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2.7016752824654415</v>
      </c>
      <c r="C22" s="708">
        <v>4.2411163203061174E-2</v>
      </c>
      <c r="D22" s="709">
        <v>-0.3985012018796249</v>
      </c>
      <c r="E22" s="710">
        <v>0.23719325245208839</v>
      </c>
      <c r="F22" s="708">
        <v>0.95846362094017989</v>
      </c>
      <c r="G22" s="711">
        <v>0.158388283422225</v>
      </c>
      <c r="H22" s="710">
        <v>0.26600000000000001</v>
      </c>
      <c r="I22" s="708">
        <v>0.52</v>
      </c>
      <c r="J22" s="570">
        <v>2.1160000000000001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2.1160000000000001</v>
      </c>
      <c r="N22" s="632">
        <f t="shared" si="2"/>
        <v>2.7016752824654415</v>
      </c>
      <c r="O22" s="629">
        <f t="shared" si="3"/>
        <v>4.2411163203061174E-2</v>
      </c>
      <c r="P22" s="633">
        <f t="shared" si="4"/>
        <v>-0.3985012018796249</v>
      </c>
      <c r="Q22" s="585">
        <f t="shared" si="113"/>
        <v>0.89936088697152727</v>
      </c>
      <c r="R22" s="629">
        <f t="shared" si="79"/>
        <v>2.7020081492565784</v>
      </c>
      <c r="S22" s="634">
        <f t="shared" si="80"/>
        <v>-0.3985012018796249</v>
      </c>
      <c r="T22" s="635">
        <f t="shared" si="81"/>
        <v>0.1364039589849993</v>
      </c>
      <c r="U22" s="629">
        <f t="shared" si="82"/>
        <v>-2.6985629506502491</v>
      </c>
      <c r="V22" s="636">
        <f t="shared" si="114"/>
        <v>-0.3985012018796249</v>
      </c>
      <c r="W22" s="585">
        <f t="shared" si="224"/>
        <v>272.89366059903028</v>
      </c>
      <c r="X22" s="629">
        <f t="shared" si="83"/>
        <v>2.7020081492565784</v>
      </c>
      <c r="Y22" s="630">
        <f t="shared" si="223"/>
        <v>-0.3985012018796249</v>
      </c>
      <c r="Z22" s="632">
        <f t="shared" si="6"/>
        <v>-0.23719325245208839</v>
      </c>
      <c r="AA22" s="629">
        <f t="shared" si="7"/>
        <v>-0.95846362094017989</v>
      </c>
      <c r="AB22" s="629">
        <f t="shared" si="8"/>
        <v>-0.158388283422225</v>
      </c>
      <c r="AC22" s="636">
        <f t="shared" si="84"/>
        <v>1</v>
      </c>
      <c r="AD22" s="637">
        <f t="shared" si="115"/>
        <v>-0.23719325245208839</v>
      </c>
      <c r="AE22" s="629">
        <f t="shared" si="85"/>
        <v>-0.95846362094017989</v>
      </c>
      <c r="AF22" s="633">
        <f t="shared" si="86"/>
        <v>-0.158388283422225</v>
      </c>
      <c r="AG22" s="602">
        <f t="shared" si="87"/>
        <v>-80.616544877394674</v>
      </c>
      <c r="AH22" s="603">
        <f t="shared" si="88"/>
        <v>103.72094284659687</v>
      </c>
      <c r="AI22" s="585">
        <f t="shared" si="89"/>
        <v>-80.886641202379664</v>
      </c>
      <c r="AJ22" s="586">
        <f t="shared" si="90"/>
        <v>-13.899858412761926</v>
      </c>
      <c r="AK22" s="635">
        <f t="shared" si="211"/>
        <v>0.95462252132943681</v>
      </c>
      <c r="AL22" s="629">
        <f t="shared" si="91"/>
        <v>-0.25220823429299427</v>
      </c>
      <c r="AM22" s="634">
        <f t="shared" si="92"/>
        <v>-0.158388283422225</v>
      </c>
      <c r="AN22" s="581">
        <f t="shared" si="93"/>
        <v>-57.870932653062795</v>
      </c>
      <c r="AO22" s="582">
        <f t="shared" si="94"/>
        <v>17.326622460257806</v>
      </c>
      <c r="AP22" s="585">
        <f t="shared" si="95"/>
        <v>-14.799219299733439</v>
      </c>
      <c r="AQ22" s="586">
        <f t="shared" si="9"/>
        <v>0.84365469900647061</v>
      </c>
      <c r="AS22" s="52">
        <f t="shared" si="116"/>
        <v>-87.106339400969716</v>
      </c>
      <c r="AT22" s="72">
        <f t="shared" si="10"/>
        <v>-0.33662575805113293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2.1160000000000001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3.0933044335670807</v>
      </c>
      <c r="C23" s="708">
        <v>-5.503522222492372E-3</v>
      </c>
      <c r="D23" s="709">
        <v>-0.95220287184386154</v>
      </c>
      <c r="E23" s="710">
        <v>0.31990227482454542</v>
      </c>
      <c r="F23" s="708">
        <v>0.94640391666011126</v>
      </c>
      <c r="G23" s="711">
        <v>4.4521467770978165E-2</v>
      </c>
      <c r="H23" s="710">
        <v>0.26600000000000001</v>
      </c>
      <c r="I23" s="708">
        <v>0.52</v>
      </c>
      <c r="J23" s="570">
        <v>2.121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2.121</v>
      </c>
      <c r="N23" s="632">
        <f t="shared" si="2"/>
        <v>3.0933044335670807</v>
      </c>
      <c r="O23" s="629">
        <f t="shared" si="3"/>
        <v>-5.503522222492372E-3</v>
      </c>
      <c r="P23" s="633">
        <f t="shared" si="4"/>
        <v>-0.95220287184386154</v>
      </c>
      <c r="Q23" s="585">
        <f t="shared" si="113"/>
        <v>359.89806103154132</v>
      </c>
      <c r="R23" s="629">
        <f t="shared" si="79"/>
        <v>3.0933093294209377</v>
      </c>
      <c r="S23" s="634">
        <f t="shared" si="80"/>
        <v>-0.95220287184386154</v>
      </c>
      <c r="T23" s="635">
        <f t="shared" si="81"/>
        <v>0.10214701698660711</v>
      </c>
      <c r="U23" s="629">
        <f t="shared" si="82"/>
        <v>-3.091622324023966</v>
      </c>
      <c r="V23" s="636">
        <f t="shared" si="114"/>
        <v>-0.95220287184386154</v>
      </c>
      <c r="W23" s="585">
        <f t="shared" si="224"/>
        <v>271.89236074360008</v>
      </c>
      <c r="X23" s="629">
        <f t="shared" si="83"/>
        <v>3.0933093294209377</v>
      </c>
      <c r="Y23" s="630">
        <f t="shared" si="223"/>
        <v>-0.95220287184386154</v>
      </c>
      <c r="Z23" s="632">
        <f t="shared" si="6"/>
        <v>-0.31990227482454542</v>
      </c>
      <c r="AA23" s="629">
        <f t="shared" si="7"/>
        <v>-0.94640391666011126</v>
      </c>
      <c r="AB23" s="629">
        <f t="shared" si="8"/>
        <v>-4.4521467770978165E-2</v>
      </c>
      <c r="AC23" s="636">
        <f t="shared" si="84"/>
        <v>1</v>
      </c>
      <c r="AD23" s="637">
        <f t="shared" si="115"/>
        <v>-0.31990227482454542</v>
      </c>
      <c r="AE23" s="629">
        <f t="shared" si="85"/>
        <v>-0.94640391666011126</v>
      </c>
      <c r="AF23" s="633">
        <f t="shared" si="86"/>
        <v>-4.4521467770978165E-2</v>
      </c>
      <c r="AG23" s="602">
        <f t="shared" si="87"/>
        <v>-87.306633115907744</v>
      </c>
      <c r="AH23" s="603">
        <f t="shared" si="88"/>
        <v>108.65701498531573</v>
      </c>
      <c r="AI23" s="585">
        <f t="shared" si="89"/>
        <v>-87.448264333218162</v>
      </c>
      <c r="AJ23" s="586">
        <f t="shared" si="90"/>
        <v>-18.676217723590607</v>
      </c>
      <c r="AK23" s="635">
        <f t="shared" si="211"/>
        <v>0.9469715791976262</v>
      </c>
      <c r="AL23" s="629">
        <f t="shared" si="91"/>
        <v>-0.3182179553379601</v>
      </c>
      <c r="AM23" s="634">
        <f t="shared" si="92"/>
        <v>-4.4521467770978165E-2</v>
      </c>
      <c r="AN23" s="581">
        <f t="shared" si="93"/>
        <v>-82.035518922747769</v>
      </c>
      <c r="AO23" s="582">
        <f t="shared" si="94"/>
        <v>18.742610290482599</v>
      </c>
      <c r="AP23" s="585">
        <f t="shared" si="95"/>
        <v>-18.574278755131925</v>
      </c>
      <c r="AQ23" s="586">
        <f t="shared" si="9"/>
        <v>0.73694566975782927</v>
      </c>
      <c r="AS23" s="52">
        <f t="shared" si="116"/>
        <v>-88.107639256399921</v>
      </c>
      <c r="AT23" s="72">
        <f t="shared" si="10"/>
        <v>-0.88963208089354306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1111</v>
      </c>
      <c r="JB23" s="859" cm="1">
        <f t="array" ref="JB23">IF($JA23="","",COUNT(IF(IF($II$9:$II$150&lt;&gt;"",$IK$9:$IK$150,"")=$JA23,$IG$9:$IG$150,"")))</f>
        <v>10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6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80</v>
      </c>
    </row>
    <row r="24" spans="1:269" ht="15" customHeight="1" x14ac:dyDescent="0.25">
      <c r="A24" s="79"/>
      <c r="B24" s="707">
        <v>3.1789580862948821</v>
      </c>
      <c r="C24" s="708">
        <v>-1.8095455105461119E-2</v>
      </c>
      <c r="D24" s="709">
        <v>-1.6105048572826501</v>
      </c>
      <c r="E24" s="710">
        <v>0.57992267098929773</v>
      </c>
      <c r="F24" s="708">
        <v>0.80731223287779763</v>
      </c>
      <c r="G24" s="711">
        <v>0.1092549967667534</v>
      </c>
      <c r="H24" s="710">
        <v>0.26600000000000001</v>
      </c>
      <c r="I24" s="708">
        <v>0.52</v>
      </c>
      <c r="J24" s="570">
        <v>2.1259999999999999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2.1259999999999999</v>
      </c>
      <c r="N24" s="632">
        <f t="shared" si="2"/>
        <v>3.1789580862948821</v>
      </c>
      <c r="O24" s="629">
        <f t="shared" si="3"/>
        <v>-1.8095455105461119E-2</v>
      </c>
      <c r="P24" s="633">
        <f t="shared" si="4"/>
        <v>-1.6105048572826501</v>
      </c>
      <c r="Q24" s="585">
        <f t="shared" si="113"/>
        <v>359.67386106391183</v>
      </c>
      <c r="R24" s="629">
        <f t="shared" si="79"/>
        <v>3.1790095878929168</v>
      </c>
      <c r="S24" s="634">
        <f t="shared" si="80"/>
        <v>-1.6105048572826501</v>
      </c>
      <c r="T24" s="635">
        <f t="shared" si="81"/>
        <v>9.2543464079399562E-2</v>
      </c>
      <c r="U24" s="629">
        <f t="shared" si="82"/>
        <v>-3.1776622959608649</v>
      </c>
      <c r="V24" s="636">
        <f t="shared" si="114"/>
        <v>-1.6105048572826501</v>
      </c>
      <c r="W24" s="585">
        <f t="shared" si="224"/>
        <v>271.66816077597059</v>
      </c>
      <c r="X24" s="629">
        <f t="shared" si="83"/>
        <v>3.1790095878929168</v>
      </c>
      <c r="Y24" s="630">
        <f t="shared" si="223"/>
        <v>-1.6105048572826501</v>
      </c>
      <c r="Z24" s="632">
        <f t="shared" si="6"/>
        <v>-0.57992267098929773</v>
      </c>
      <c r="AA24" s="629">
        <f t="shared" si="7"/>
        <v>-0.80731223287779763</v>
      </c>
      <c r="AB24" s="629">
        <f t="shared" si="8"/>
        <v>-0.1092549967667534</v>
      </c>
      <c r="AC24" s="636">
        <f t="shared" si="84"/>
        <v>1</v>
      </c>
      <c r="AD24" s="637">
        <f t="shared" si="115"/>
        <v>-0.57992267098929773</v>
      </c>
      <c r="AE24" s="629">
        <f t="shared" si="85"/>
        <v>-0.80731223287779763</v>
      </c>
      <c r="AF24" s="633">
        <f t="shared" si="86"/>
        <v>-0.1092549967667534</v>
      </c>
      <c r="AG24" s="602">
        <f t="shared" si="87"/>
        <v>-82.292884036307655</v>
      </c>
      <c r="AH24" s="603">
        <f t="shared" si="88"/>
        <v>125.44510391263636</v>
      </c>
      <c r="AI24" s="585">
        <f t="shared" si="89"/>
        <v>-83.727628809523239</v>
      </c>
      <c r="AJ24" s="586">
        <f t="shared" si="90"/>
        <v>-35.691105423946752</v>
      </c>
      <c r="AK24" s="635">
        <f>IF(M24="","",(COS(RADIANS((90-$Q$8)-W24))*AD24)+(-SIN(RADIANS((90-$Q$8)-W24))*AE24))</f>
        <v>0.81060017099136183</v>
      </c>
      <c r="AL24" s="629">
        <f t="shared" si="91"/>
        <v>-0.57531791947606814</v>
      </c>
      <c r="AM24" s="634">
        <f t="shared" si="92"/>
        <v>-0.1092549967667534</v>
      </c>
      <c r="AN24" s="581">
        <f t="shared" si="93"/>
        <v>-79.247358807601216</v>
      </c>
      <c r="AO24" s="582">
        <f t="shared" si="94"/>
        <v>35.845388745189467</v>
      </c>
      <c r="AP24" s="585">
        <f t="shared" si="95"/>
        <v>-35.364966487858588</v>
      </c>
      <c r="AQ24" s="586">
        <f t="shared" si="9"/>
        <v>0.71708107153727785</v>
      </c>
      <c r="AS24" s="52">
        <f t="shared" si="116"/>
        <v>-88.331839224029409</v>
      </c>
      <c r="AT24" s="72">
        <f t="shared" si="10"/>
        <v>-1.5477783719103666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3</v>
      </c>
      <c r="JC24" s="5"/>
      <c r="JD24" s="5"/>
      <c r="JE24" s="10"/>
      <c r="JF24" s="247">
        <v>3</v>
      </c>
      <c r="JG24" s="803" t="str">
        <v/>
      </c>
      <c r="JH24" s="787">
        <v>410</v>
      </c>
      <c r="JI24" s="803" t="str">
        <v/>
      </c>
    </row>
    <row r="25" spans="1:269" ht="15" customHeight="1" x14ac:dyDescent="0.25">
      <c r="A25" s="79"/>
      <c r="B25" s="707">
        <v>1.1507465226658018</v>
      </c>
      <c r="C25" s="708">
        <v>-0.72447961297610375</v>
      </c>
      <c r="D25" s="709">
        <v>-9.988125184892116E-2</v>
      </c>
      <c r="E25" s="710">
        <v>-0.27983669761437591</v>
      </c>
      <c r="F25" s="708">
        <v>-0.12966297909188046</v>
      </c>
      <c r="G25" s="711">
        <v>0.95125124679093009</v>
      </c>
      <c r="H25" s="710">
        <v>0.19500000000000001</v>
      </c>
      <c r="I25" s="708">
        <v>0.21199999999999999</v>
      </c>
      <c r="J25" s="570">
        <v>2.206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Inactive</v>
      </c>
      <c r="L25" s="320"/>
      <c r="M25" s="168">
        <f t="shared" si="1"/>
        <v>2.206</v>
      </c>
      <c r="N25" s="632">
        <f t="shared" si="2"/>
        <v>1.1507465226658018</v>
      </c>
      <c r="O25" s="629">
        <f t="shared" si="3"/>
        <v>-0.72447961297610375</v>
      </c>
      <c r="P25" s="633">
        <f t="shared" si="4"/>
        <v>-9.988125184892116E-2</v>
      </c>
      <c r="Q25" s="585">
        <f t="shared" si="113"/>
        <v>327.80656566497998</v>
      </c>
      <c r="R25" s="629">
        <f>IF(M25="","",SQRT(N25^2+O25^2))</f>
        <v>1.3598118506048695</v>
      </c>
      <c r="S25" s="634">
        <f>IF(M25="","",P25)</f>
        <v>-9.988125184892116E-2</v>
      </c>
      <c r="T25" s="635">
        <f>IF(M25="","",X25*COS(RADIANS(W25)))</f>
        <v>-0.68399473382524889</v>
      </c>
      <c r="U25" s="629">
        <f>IF(M25="","",X25*SIN(RADIANS(W25)))</f>
        <v>-1.1752614488464967</v>
      </c>
      <c r="V25" s="636">
        <f>IF(M25="","",Y25)</f>
        <v>-9.988125184892116E-2</v>
      </c>
      <c r="W25" s="585">
        <f t="shared" si="224"/>
        <v>239.80086537703875</v>
      </c>
      <c r="X25" s="629">
        <f>IF(M25="","",R25)</f>
        <v>1.3598118506048695</v>
      </c>
      <c r="Y25" s="630">
        <f t="shared" si="223"/>
        <v>-9.988125184892116E-2</v>
      </c>
      <c r="Z25" s="632">
        <f t="shared" si="6"/>
        <v>0.27983669761437591</v>
      </c>
      <c r="AA25" s="629">
        <f t="shared" si="7"/>
        <v>0.12966297909188046</v>
      </c>
      <c r="AB25" s="629">
        <f t="shared" si="8"/>
        <v>-0.95125124679093009</v>
      </c>
      <c r="AC25" s="636">
        <f>IF(M25="","",SQRT(Z25^2+AA25^2+AB25^2))</f>
        <v>1</v>
      </c>
      <c r="AD25" s="637">
        <f>IF(M25="","",Z25*(1/SQRT(Z25^2+AA25^2+AB25^2)))</f>
        <v>0.27983669761437591</v>
      </c>
      <c r="AE25" s="629">
        <f>IF(M25="","",AA25*(1/SQRT(Z25^2+AA25^2+AB25^2)))</f>
        <v>0.12966297909188046</v>
      </c>
      <c r="AF25" s="633">
        <f>IF(M25="","",AB25*(1/SQRT(Z25^2+AA25^2+AB25^2)))</f>
        <v>-0.95125124679093009</v>
      </c>
      <c r="AG25" s="602">
        <f>IF(M25="","",DEGREES(ATAN2(-AF25,AE25)))</f>
        <v>7.7620260611948115</v>
      </c>
      <c r="AH25" s="603">
        <f>IF(M25="","",DEGREES(ACOS(AD25)))</f>
        <v>73.749541443175147</v>
      </c>
      <c r="AI25" s="585">
        <f>IF(M25="","",DEGREES(-ACOS(-AF25)))</f>
        <v>-17.963859344615575</v>
      </c>
      <c r="AJ25" s="586">
        <f>IF(M25="","",DEGREES(ATAN2(-AE25,AD25)))</f>
        <v>114.86075668623087</v>
      </c>
      <c r="AK25" s="635">
        <f>IF(M25="","",(COS(RADIANS((90-$Q$8)-W25))*AD25)+(-SIN(RADIANS((90-$Q$8)-W25))*AE25))</f>
        <v>-0.25881904510252091</v>
      </c>
      <c r="AL25" s="629">
        <f>IF(M25="","",(SIN(RADIANS((90-$Q$8)-W25))*AD25)+(COS(RADIANS((90-$Q$8)-W25))*AE25))</f>
        <v>0.16773123552552857</v>
      </c>
      <c r="AM25" s="634">
        <f>IF(M25="","",AF25)</f>
        <v>-0.95125124679093009</v>
      </c>
      <c r="AN25" s="581">
        <f>IF(M25="","",DEGREES(ATAN2(-AM25,AL25)))</f>
        <v>9.9999985561788396</v>
      </c>
      <c r="AO25" s="582">
        <f>IF(ROUND(IF(M25="",0,DEGREES(ACOS(AK25))),4)=90,0,IF(M25="","",DEGREES(ACOS(AK25))))</f>
        <v>105.00000000000001</v>
      </c>
      <c r="AP25" s="585">
        <f>IF(M25="","",DEGREES(ATAN2(AK25,AL25)))</f>
        <v>147.05419102125089</v>
      </c>
      <c r="AQ25" s="586">
        <f t="shared" si="9"/>
        <v>1.6760233041312211</v>
      </c>
      <c r="AS25" s="52">
        <f t="shared" si="116"/>
        <v>-120.19913462296125</v>
      </c>
      <c r="AT25" s="72">
        <f t="shared" si="10"/>
        <v>-1.5024700227379492E-2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2.206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2.1059999999999999</v>
      </c>
      <c r="II25" s="734" cm="1">
        <f t="array" ref="II25">IFERROR(ROUND(VALUE(IF($IH25&lt;1,$IH25+LARGE((IF($M$9:$M$150="",0,$M$9:$M$150)-MOD(IF($M$9:$M$150="",0,$M$9:$M$150),1)),1),$IH25)),4),"")</f>
        <v>2.1059999999999999</v>
      </c>
      <c r="IJ25" s="533">
        <f t="shared" si="112"/>
        <v>1313</v>
      </c>
      <c r="IK25" s="533" t="str">
        <f t="shared" si="66"/>
        <v>Inactive</v>
      </c>
      <c r="IL25" s="727">
        <f t="shared" si="225"/>
        <v>35.910294815194959</v>
      </c>
      <c r="IM25" s="759">
        <v>0.166831606865909</v>
      </c>
      <c r="IN25" s="5">
        <f t="shared" si="226"/>
        <v>2.16</v>
      </c>
      <c r="IO25" s="771">
        <v>1080</v>
      </c>
      <c r="IP25" s="9">
        <f t="shared" si="227"/>
        <v>-1.3663041207732283</v>
      </c>
      <c r="IQ25" s="5">
        <f t="shared" si="228"/>
        <v>-8.1800246709544083E-2</v>
      </c>
      <c r="IR25" s="5">
        <f t="shared" si="71"/>
        <v>0.26600000000000001</v>
      </c>
      <c r="IS25" s="5">
        <f t="shared" si="229"/>
        <v>0.25680537211856669</v>
      </c>
      <c r="IT25" s="727">
        <f t="shared" si="230"/>
        <v>-2.9664295577062658</v>
      </c>
      <c r="IU25" s="9">
        <f t="shared" si="231"/>
        <v>-1.3598118506048695</v>
      </c>
      <c r="IV25" s="5">
        <f t="shared" si="232"/>
        <v>-9.988125184892116E-2</v>
      </c>
      <c r="IW25" s="5">
        <f t="shared" si="76"/>
        <v>0.19500000000000001</v>
      </c>
      <c r="IX25" s="5">
        <f t="shared" si="233"/>
        <v>-5.0469713794991614E-2</v>
      </c>
      <c r="IY25" s="762">
        <f t="shared" si="234"/>
        <v>-9.9999985561788396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2.5833633538797307</v>
      </c>
      <c r="C26" s="708">
        <v>-0.8993612490674926</v>
      </c>
      <c r="D26" s="709">
        <v>-0.37249637451845613</v>
      </c>
      <c r="E26" s="710">
        <v>0.53101050262742444</v>
      </c>
      <c r="F26" s="708">
        <v>0.7668392867829964</v>
      </c>
      <c r="G26" s="711">
        <v>0.36053481710580398</v>
      </c>
      <c r="H26" s="710">
        <v>0.219</v>
      </c>
      <c r="I26" s="708">
        <v>0.42</v>
      </c>
      <c r="J26" s="570">
        <v>2.2160000000000002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1111</v>
      </c>
      <c r="L26" s="843"/>
      <c r="M26" s="168">
        <f t="shared" si="1"/>
        <v>2.2160000000000002</v>
      </c>
      <c r="N26" s="632">
        <f t="shared" si="2"/>
        <v>2.5833633538797307</v>
      </c>
      <c r="O26" s="629">
        <f t="shared" si="3"/>
        <v>-0.8993612490674926</v>
      </c>
      <c r="P26" s="633">
        <f t="shared" si="4"/>
        <v>-0.37249637451845613</v>
      </c>
      <c r="Q26" s="585">
        <f t="shared" si="113"/>
        <v>340.80516378821466</v>
      </c>
      <c r="R26" s="629">
        <f>IF(M26="","",SQRT(N26^2+O26^2))</f>
        <v>2.7354372364382575</v>
      </c>
      <c r="S26" s="634">
        <f>IF(M26="","",P26)</f>
        <v>-0.37249637451845613</v>
      </c>
      <c r="T26" s="635">
        <f>IF(M26="","",X26*COS(RADIANS(W26)))</f>
        <v>-0.80891527945667852</v>
      </c>
      <c r="U26" s="629">
        <f>IF(M26="","",X26*SIN(RADIANS(W26)))</f>
        <v>-2.6130964285985496</v>
      </c>
      <c r="V26" s="636">
        <f>IF(M26="","",Y26)</f>
        <v>-0.37249637451845613</v>
      </c>
      <c r="W26" s="585">
        <f t="shared" si="224"/>
        <v>252.79946350027342</v>
      </c>
      <c r="X26" s="629">
        <f>IF(M26="","",R26)</f>
        <v>2.7354372364382575</v>
      </c>
      <c r="Y26" s="630">
        <f t="shared" si="223"/>
        <v>-0.37249637451845613</v>
      </c>
      <c r="Z26" s="632">
        <f t="shared" si="6"/>
        <v>-0.53101050262742444</v>
      </c>
      <c r="AA26" s="629">
        <f t="shared" si="7"/>
        <v>-0.7668392867829964</v>
      </c>
      <c r="AB26" s="629">
        <f t="shared" si="8"/>
        <v>-0.36053481710580398</v>
      </c>
      <c r="AC26" s="636">
        <f>IF(M26="","",SQRT(Z26^2+AA26^2+AB26^2))</f>
        <v>1</v>
      </c>
      <c r="AD26" s="637">
        <f>IF(M26="","",Z26*(1/SQRT(Z26^2+AA26^2+AB26^2)))</f>
        <v>-0.53101050262742444</v>
      </c>
      <c r="AE26" s="629">
        <f>IF(M26="","",AA26*(1/SQRT(Z26^2+AA26^2+AB26^2)))</f>
        <v>-0.7668392867829964</v>
      </c>
      <c r="AF26" s="633">
        <f>IF(M26="","",AB26*(1/SQRT(Z26^2+AA26^2+AB26^2)))</f>
        <v>-0.36053481710580398</v>
      </c>
      <c r="AG26" s="602">
        <f>IF(M26="","",DEGREES(ATAN2(-AF26,AE26)))</f>
        <v>-64.819110583146838</v>
      </c>
      <c r="AH26" s="603">
        <f>IF(M26="","",DEGREES(ACOS(AD26)))</f>
        <v>122.07375587362459</v>
      </c>
      <c r="AI26" s="585">
        <f>IF(M26="","",DEGREES(-ACOS(-AF26)))</f>
        <v>-68.866955400028218</v>
      </c>
      <c r="AJ26" s="586">
        <f>IF(M26="","",DEGREES(ATAN2(-AE26,AD26)))</f>
        <v>-34.701303280332063</v>
      </c>
      <c r="AK26" s="635">
        <f>IF(M26="","",(COS(RADIANS((90-$Q$8)-W26))*AD26)+(-SIN(RADIANS((90-$Q$8)-W26))*AE26))</f>
        <v>0.89879407502059605</v>
      </c>
      <c r="AL26" s="629">
        <f>IF(M26="","",(SIN(RADIANS((90-$Q$8)-W26))*AD26)+(COS(RADIANS((90-$Q$8)-W26))*AE26))</f>
        <v>-0.24936691112165554</v>
      </c>
      <c r="AM26" s="634">
        <f>IF(M26="","",AF26)</f>
        <v>-0.36053481710580398</v>
      </c>
      <c r="AN26" s="581">
        <f>IF(M26="","",DEGREES(ATAN2(-AM26,AL26)))</f>
        <v>-34.669994994272116</v>
      </c>
      <c r="AO26" s="582">
        <f t="shared" si="94"/>
        <v>25.999996246065034</v>
      </c>
      <c r="AP26" s="585">
        <f>IF(M26="","",DEGREES(ATAN2(AK26,AL26)))</f>
        <v>-15.506467068546741</v>
      </c>
      <c r="AQ26" s="586">
        <f t="shared" si="9"/>
        <v>0.83334607110578596</v>
      </c>
      <c r="AS26" s="52">
        <f t="shared" si="116"/>
        <v>-107.20053649972658</v>
      </c>
      <c r="AT26" s="72">
        <f t="shared" si="10"/>
        <v>-0.29666662714916076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2.2160000000000002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2.1160000000000001</v>
      </c>
      <c r="II26" s="734" cm="1">
        <f t="array" ref="II26">IFERROR(ROUND(VALUE(IF($IH26&lt;1,$IH26+LARGE((IF($M$9:$M$150="",0,$M$9:$M$150)-MOD(IF($M$9:$M$150="",0,$M$9:$M$150),1)),1),$IH26)),4),"")</f>
        <v>2.1160000000000001</v>
      </c>
      <c r="IJ26" s="533">
        <f t="shared" si="112"/>
        <v>1313</v>
      </c>
      <c r="IK26" s="533">
        <f t="shared" si="66"/>
        <v>1111</v>
      </c>
      <c r="IL26" s="727">
        <f t="shared" si="225"/>
        <v>20.094197098756865</v>
      </c>
      <c r="IM26" s="759">
        <v>9.5532578875261297E-3</v>
      </c>
      <c r="IN26" s="5">
        <f t="shared" si="226"/>
        <v>0.34</v>
      </c>
      <c r="IO26" s="771">
        <v>170</v>
      </c>
      <c r="IP26" s="9">
        <f t="shared" si="227"/>
        <v>-2.7020081492565784</v>
      </c>
      <c r="IQ26" s="5">
        <f t="shared" si="228"/>
        <v>-0.3985012018796249</v>
      </c>
      <c r="IR26" s="5">
        <f t="shared" si="71"/>
        <v>0.26600000000000001</v>
      </c>
      <c r="IS26" s="5">
        <f t="shared" si="229"/>
        <v>0.25392959067363019</v>
      </c>
      <c r="IT26" s="727">
        <f t="shared" si="230"/>
        <v>57.870932653062795</v>
      </c>
      <c r="IU26" s="9">
        <f t="shared" si="231"/>
        <v>-2.7354372364382575</v>
      </c>
      <c r="IV26" s="5">
        <f t="shared" si="232"/>
        <v>-0.37249637451845613</v>
      </c>
      <c r="IW26" s="5">
        <f t="shared" si="76"/>
        <v>0.219</v>
      </c>
      <c r="IX26" s="5">
        <f t="shared" si="233"/>
        <v>0.19683590242951055</v>
      </c>
      <c r="IY26" s="762">
        <f t="shared" si="234"/>
        <v>34.669994994272116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2.0008810345710959</v>
      </c>
      <c r="C27" s="708">
        <v>-0.7160147709963639</v>
      </c>
      <c r="D27" s="709">
        <v>-5.8774086712753824E-2</v>
      </c>
      <c r="E27" s="710">
        <v>0.39486904512117382</v>
      </c>
      <c r="F27" s="708">
        <v>0.8212857544484341</v>
      </c>
      <c r="G27" s="711">
        <v>0.41178653055334247</v>
      </c>
      <c r="H27" s="710">
        <v>0.219</v>
      </c>
      <c r="I27" s="708">
        <v>0.42</v>
      </c>
      <c r="J27" s="570">
        <v>2.2210000000000001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1111</v>
      </c>
      <c r="L27" s="843"/>
      <c r="M27" s="168">
        <f t="shared" si="1"/>
        <v>2.2210000000000001</v>
      </c>
      <c r="N27" s="632">
        <f t="shared" si="2"/>
        <v>2.0008810345710959</v>
      </c>
      <c r="O27" s="629">
        <f t="shared" si="3"/>
        <v>-0.7160147709963639</v>
      </c>
      <c r="P27" s="633">
        <f t="shared" si="4"/>
        <v>-5.8774086712753824E-2</v>
      </c>
      <c r="Q27" s="585">
        <f t="shared" si="113"/>
        <v>340.31026385966936</v>
      </c>
      <c r="R27" s="629">
        <f t="shared" si="79"/>
        <v>2.1251357760837952</v>
      </c>
      <c r="S27" s="634">
        <f t="shared" si="80"/>
        <v>-5.8774086712753824E-2</v>
      </c>
      <c r="T27" s="635">
        <f t="shared" si="81"/>
        <v>-0.64595027993454335</v>
      </c>
      <c r="U27" s="629">
        <f t="shared" si="82"/>
        <v>-2.0245864522523509</v>
      </c>
      <c r="V27" s="636">
        <f t="shared" si="114"/>
        <v>-5.8774086712753824E-2</v>
      </c>
      <c r="W27" s="585">
        <f t="shared" si="224"/>
        <v>252.30456357172812</v>
      </c>
      <c r="X27" s="629">
        <f t="shared" si="83"/>
        <v>2.1251357760837952</v>
      </c>
      <c r="Y27" s="630">
        <f t="shared" si="223"/>
        <v>-5.8774086712753824E-2</v>
      </c>
      <c r="Z27" s="632">
        <f t="shared" si="6"/>
        <v>-0.39486904512117382</v>
      </c>
      <c r="AA27" s="629">
        <f t="shared" si="7"/>
        <v>-0.8212857544484341</v>
      </c>
      <c r="AB27" s="629">
        <f t="shared" si="8"/>
        <v>-0.41178653055334247</v>
      </c>
      <c r="AC27" s="636">
        <f t="shared" si="84"/>
        <v>1</v>
      </c>
      <c r="AD27" s="637">
        <f t="shared" si="115"/>
        <v>-0.39486904512117382</v>
      </c>
      <c r="AE27" s="629">
        <f t="shared" si="85"/>
        <v>-0.8212857544484341</v>
      </c>
      <c r="AF27" s="633">
        <f t="shared" si="86"/>
        <v>-0.41178653055334247</v>
      </c>
      <c r="AG27" s="602">
        <f t="shared" si="87"/>
        <v>-63.37115616297649</v>
      </c>
      <c r="AH27" s="603">
        <f t="shared" si="88"/>
        <v>113.25780699267392</v>
      </c>
      <c r="AI27" s="585">
        <f t="shared" si="89"/>
        <v>-65.682888633331615</v>
      </c>
      <c r="AJ27" s="586">
        <f t="shared" si="90"/>
        <v>-25.677956054455194</v>
      </c>
      <c r="AK27" s="635">
        <f t="shared" si="211"/>
        <v>0.90630781366099966</v>
      </c>
      <c r="AL27" s="629">
        <f t="shared" si="91"/>
        <v>-9.5068397229889801E-2</v>
      </c>
      <c r="AM27" s="634">
        <f t="shared" si="92"/>
        <v>-0.41178653055334247</v>
      </c>
      <c r="AN27" s="581">
        <f t="shared" si="93"/>
        <v>-12.999998123032565</v>
      </c>
      <c r="AO27" s="582">
        <f t="shared" si="94"/>
        <v>24.999996390447087</v>
      </c>
      <c r="AP27" s="585">
        <f t="shared" si="95"/>
        <v>-5.98821991412456</v>
      </c>
      <c r="AQ27" s="586">
        <f t="shared" si="9"/>
        <v>1.0726186672104694</v>
      </c>
      <c r="AS27" s="52">
        <f t="shared" si="116"/>
        <v>-107.69543642827188</v>
      </c>
      <c r="AT27" s="72">
        <f t="shared" si="10"/>
        <v>1.7399341162475775E-2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2.2210000000000001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2.121</v>
      </c>
      <c r="II27" s="734" cm="1">
        <f t="array" ref="II27">IFERROR(ROUND(VALUE(IF($IH27&lt;1,$IH27+LARGE((IF($M$9:$M$150="",0,$M$9:$M$150)-MOD(IF($M$9:$M$150="",0,$M$9:$M$150),1)),1),$IH27)),4),"")</f>
        <v>2.121</v>
      </c>
      <c r="IJ27" s="533">
        <f t="shared" si="112"/>
        <v>1313</v>
      </c>
      <c r="IK27" s="533">
        <f t="shared" si="66"/>
        <v>1111</v>
      </c>
      <c r="IL27" s="727">
        <f t="shared" si="225"/>
        <v>19.587797171871955</v>
      </c>
      <c r="IM27" s="759">
        <v>1.1068361826106601</v>
      </c>
      <c r="IN27" s="5">
        <f t="shared" si="226"/>
        <v>0</v>
      </c>
      <c r="IO27" s="771">
        <v>0</v>
      </c>
      <c r="IP27" s="9">
        <f t="shared" si="227"/>
        <v>-3.0933093294209377</v>
      </c>
      <c r="IQ27" s="5">
        <f t="shared" si="228"/>
        <v>-0.95220287184386154</v>
      </c>
      <c r="IR27" s="5">
        <f t="shared" si="71"/>
        <v>0.26600000000000001</v>
      </c>
      <c r="IS27" s="5">
        <f t="shared" si="229"/>
        <v>0.25189444006656858</v>
      </c>
      <c r="IT27" s="727">
        <f t="shared" si="230"/>
        <v>82.035518922747769</v>
      </c>
      <c r="IU27" s="9">
        <f t="shared" si="231"/>
        <v>-2.1251357760837952</v>
      </c>
      <c r="IV27" s="5">
        <f t="shared" si="232"/>
        <v>-5.8774086712753824E-2</v>
      </c>
      <c r="IW27" s="5">
        <f t="shared" si="76"/>
        <v>0.219</v>
      </c>
      <c r="IX27" s="5">
        <f t="shared" si="233"/>
        <v>0.19848141119175894</v>
      </c>
      <c r="IY27" s="762">
        <f t="shared" si="234"/>
        <v>12.999998123032565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0.75954013030220391</v>
      </c>
      <c r="C28" s="708">
        <v>-1.8238730289739105</v>
      </c>
      <c r="D28" s="709">
        <v>-6.1600185786160333E-2</v>
      </c>
      <c r="E28" s="710">
        <v>0.93231267088627845</v>
      </c>
      <c r="F28" s="708">
        <v>0.26692659340536512</v>
      </c>
      <c r="G28" s="711">
        <v>0.24401491232689221</v>
      </c>
      <c r="H28" s="710">
        <v>0.26600000000000001</v>
      </c>
      <c r="I28" s="708">
        <v>0.52</v>
      </c>
      <c r="J28" s="570">
        <v>3.11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3.11</v>
      </c>
      <c r="N28" s="632">
        <f t="shared" si="2"/>
        <v>0.75954013030220391</v>
      </c>
      <c r="O28" s="629">
        <f t="shared" si="3"/>
        <v>-1.8238730289739105</v>
      </c>
      <c r="P28" s="633">
        <f t="shared" si="4"/>
        <v>-6.1600185786160333E-2</v>
      </c>
      <c r="Q28" s="585">
        <f t="shared" si="113"/>
        <v>292.60897074688398</v>
      </c>
      <c r="R28" s="629">
        <f t="shared" si="79"/>
        <v>1.9757059587291717</v>
      </c>
      <c r="S28" s="634">
        <f t="shared" si="80"/>
        <v>-6.1600185786160333E-2</v>
      </c>
      <c r="T28" s="635">
        <f t="shared" si="81"/>
        <v>-1.7963362500250482</v>
      </c>
      <c r="U28" s="629">
        <f t="shared" si="82"/>
        <v>-0.82255097848334158</v>
      </c>
      <c r="V28" s="636">
        <f t="shared" si="114"/>
        <v>-6.1600185786160333E-2</v>
      </c>
      <c r="W28" s="585">
        <f t="shared" si="224"/>
        <v>204.60327045894275</v>
      </c>
      <c r="X28" s="629">
        <f t="shared" si="83"/>
        <v>1.9757059587291717</v>
      </c>
      <c r="Y28" s="630">
        <f t="shared" si="223"/>
        <v>-6.1600185786160333E-2</v>
      </c>
      <c r="Z28" s="632">
        <f t="shared" si="6"/>
        <v>-0.93231267088627845</v>
      </c>
      <c r="AA28" s="629">
        <f t="shared" si="7"/>
        <v>-0.26692659340536512</v>
      </c>
      <c r="AB28" s="629">
        <f t="shared" si="8"/>
        <v>-0.24401491232689221</v>
      </c>
      <c r="AC28" s="636">
        <f t="shared" si="84"/>
        <v>1</v>
      </c>
      <c r="AD28" s="637">
        <f t="shared" si="115"/>
        <v>-0.93231267088627845</v>
      </c>
      <c r="AE28" s="629">
        <f t="shared" si="85"/>
        <v>-0.26692659340536512</v>
      </c>
      <c r="AF28" s="633">
        <f t="shared" si="86"/>
        <v>-0.24401491232689221</v>
      </c>
      <c r="AG28" s="602">
        <f t="shared" si="87"/>
        <v>-47.567542036919747</v>
      </c>
      <c r="AH28" s="603">
        <f t="shared" si="88"/>
        <v>158.79823658113338</v>
      </c>
      <c r="AI28" s="585">
        <f t="shared" si="89"/>
        <v>-75.876374408025896</v>
      </c>
      <c r="AJ28" s="586">
        <f t="shared" si="90"/>
        <v>-74.023271676630898</v>
      </c>
      <c r="AK28" s="635">
        <f t="shared" si="211"/>
        <v>0.96328169995524693</v>
      </c>
      <c r="AL28" s="629">
        <f t="shared" si="91"/>
        <v>-0.11200486191870801</v>
      </c>
      <c r="AM28" s="634">
        <f t="shared" si="92"/>
        <v>-0.24401491232689221</v>
      </c>
      <c r="AN28" s="581">
        <f t="shared" si="93"/>
        <v>-24.655514140305353</v>
      </c>
      <c r="AO28" s="582">
        <f t="shared" si="94"/>
        <v>15.574597442779707</v>
      </c>
      <c r="AP28" s="585">
        <f t="shared" si="95"/>
        <v>-6.6322424235148745</v>
      </c>
      <c r="AQ28" s="586">
        <f t="shared" si="9"/>
        <v>1.1537235556915708</v>
      </c>
      <c r="AS28" s="52">
        <f t="shared" si="116"/>
        <v>-155.39672954105725</v>
      </c>
      <c r="AT28" s="72">
        <f t="shared" si="10"/>
        <v>4.7699140084059122E-2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0.93745197583978934</v>
      </c>
      <c r="C29" s="708">
        <v>-2.4217997609877324</v>
      </c>
      <c r="D29" s="709">
        <v>-0.3174009572812872</v>
      </c>
      <c r="E29" s="710">
        <v>0.9767606986031232</v>
      </c>
      <c r="F29" s="708">
        <v>0.13581502994385236</v>
      </c>
      <c r="G29" s="711">
        <v>0.16580957543425967</v>
      </c>
      <c r="H29" s="710">
        <v>0.26600000000000001</v>
      </c>
      <c r="I29" s="708">
        <v>0.52</v>
      </c>
      <c r="J29" s="570">
        <v>3.1150000000000002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843"/>
      <c r="M29" s="168">
        <f t="shared" si="1"/>
        <v>3.1150000000000002</v>
      </c>
      <c r="N29" s="632">
        <f t="shared" si="2"/>
        <v>0.93745197583978934</v>
      </c>
      <c r="O29" s="629">
        <f t="shared" si="3"/>
        <v>-2.4217997609877324</v>
      </c>
      <c r="P29" s="633">
        <f t="shared" si="4"/>
        <v>-0.3174009572812872</v>
      </c>
      <c r="Q29" s="585">
        <f t="shared" si="113"/>
        <v>291.16087095596373</v>
      </c>
      <c r="R29" s="629">
        <f>IF(M29="","",SQRT(N29^2+O29^2))</f>
        <v>2.5969078322740224</v>
      </c>
      <c r="S29" s="634">
        <f>IF(M29="","",P29)</f>
        <v>-0.3174009572812872</v>
      </c>
      <c r="T29" s="635">
        <f>IF(M29="","",X29*COS(RADIANS(W29)))</f>
        <v>-2.3877094699547605</v>
      </c>
      <c r="U29" s="629">
        <f>IF(M29="","",X29*SIN(RADIANS(W29)))</f>
        <v>-1.0211629529191308</v>
      </c>
      <c r="V29" s="636">
        <f>IF(M29="","",Y29)</f>
        <v>-0.3174009572812872</v>
      </c>
      <c r="W29" s="585">
        <f t="shared" si="224"/>
        <v>203.15517066802249</v>
      </c>
      <c r="X29" s="629">
        <f>IF(M29="","",R29)</f>
        <v>2.5969078322740224</v>
      </c>
      <c r="Y29" s="630">
        <f t="shared" si="223"/>
        <v>-0.3174009572812872</v>
      </c>
      <c r="Z29" s="632">
        <f t="shared" si="6"/>
        <v>-0.9767606986031232</v>
      </c>
      <c r="AA29" s="629">
        <f t="shared" si="7"/>
        <v>-0.13581502994385236</v>
      </c>
      <c r="AB29" s="629">
        <f t="shared" si="8"/>
        <v>-0.16580957543425967</v>
      </c>
      <c r="AC29" s="636">
        <f>IF(M29="","",SQRT(Z29^2+AA29^2+AB29^2))</f>
        <v>1</v>
      </c>
      <c r="AD29" s="637">
        <f>IF(M29="","",Z29*(1/SQRT(Z29^2+AA29^2+AB29^2)))</f>
        <v>-0.9767606986031232</v>
      </c>
      <c r="AE29" s="629">
        <f>IF(M29="","",AA29*(1/SQRT(Z29^2+AA29^2+AB29^2)))</f>
        <v>-0.13581502994385236</v>
      </c>
      <c r="AF29" s="633">
        <f>IF(M29="","",AB29*(1/SQRT(Z29^2+AA29^2+AB29^2)))</f>
        <v>-0.16580957543425967</v>
      </c>
      <c r="AG29" s="602">
        <f>IF(M29="","",DEGREES(ATAN2(-AF29,AE29)))</f>
        <v>-39.320989471440946</v>
      </c>
      <c r="AH29" s="603">
        <f>IF(M29="","",DEGREES(ACOS(AD29)))</f>
        <v>167.62361447126267</v>
      </c>
      <c r="AI29" s="585">
        <f>IF(M29="","",DEGREES(-ACOS(-AF29)))</f>
        <v>-80.455732429409537</v>
      </c>
      <c r="AJ29" s="586">
        <f>IF(M29="","",DEGREES(ATAN2(-AE29,AD29)))</f>
        <v>-82.08398521931295</v>
      </c>
      <c r="AK29" s="635">
        <f>IF(M29="","",(COS(RADIANS((90-$Q$8)-W29))*AD29)+(-SIN(RADIANS((90-$Q$8)-W29))*AE29))</f>
        <v>0.95992582547912975</v>
      </c>
      <c r="AL29" s="629">
        <f>IF(M29="","",(SIN(RADIANS((90-$Q$8)-W29))*AD29)+(COS(RADIANS((90-$Q$8)-W29))*AE29))</f>
        <v>-0.22594157269639861</v>
      </c>
      <c r="AM29" s="634">
        <f>IF(M29="","",AF29)</f>
        <v>-0.16580957543425967</v>
      </c>
      <c r="AN29" s="581">
        <f>IF(M29="","",DEGREES(ATAN2(-AM29,AL29)))</f>
        <v>-53.72652890283743</v>
      </c>
      <c r="AO29" s="582">
        <f t="shared" si="94"/>
        <v>16.27537598971853</v>
      </c>
      <c r="AP29" s="585">
        <f>IF(M29="","",DEGREES(ATAN2(AK29,AL29)))</f>
        <v>-13.244856175276681</v>
      </c>
      <c r="AQ29" s="586">
        <f t="shared" si="9"/>
        <v>0.87779328918629496</v>
      </c>
      <c r="AS29" s="52">
        <f t="shared" si="116"/>
        <v>-156.84482933197751</v>
      </c>
      <c r="AT29" s="72">
        <f t="shared" si="10"/>
        <v>-0.20709600655626201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3.1150000000000002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80</v>
      </c>
    </row>
    <row r="30" spans="1:269" ht="15" customHeight="1" x14ac:dyDescent="0.25">
      <c r="A30" s="79"/>
      <c r="B30" s="707">
        <v>1.0416933375679254</v>
      </c>
      <c r="C30" s="708">
        <v>-2.85660272317608</v>
      </c>
      <c r="D30" s="709">
        <v>-0.8192024707146518</v>
      </c>
      <c r="E30" s="710">
        <v>0.99713981542593777</v>
      </c>
      <c r="F30" s="708">
        <v>4.5171543363070152E-2</v>
      </c>
      <c r="G30" s="711">
        <v>6.0594720582945343E-2</v>
      </c>
      <c r="H30" s="710">
        <v>0.26600000000000001</v>
      </c>
      <c r="I30" s="708">
        <v>0.52</v>
      </c>
      <c r="J30" s="570">
        <v>3.12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843"/>
      <c r="M30" s="168">
        <f t="shared" si="1"/>
        <v>3.12</v>
      </c>
      <c r="N30" s="632">
        <f t="shared" si="2"/>
        <v>1.0416933375679254</v>
      </c>
      <c r="O30" s="629">
        <f t="shared" si="3"/>
        <v>-2.85660272317608</v>
      </c>
      <c r="P30" s="633">
        <f t="shared" si="4"/>
        <v>-0.8192024707146518</v>
      </c>
      <c r="Q30" s="585">
        <f t="shared" si="113"/>
        <v>290.03497111852352</v>
      </c>
      <c r="R30" s="629">
        <f>IF(M30="","",SQRT(N30^2+O30^2))</f>
        <v>3.040609170477258</v>
      </c>
      <c r="S30" s="634">
        <f>IF(M30="","",P30)</f>
        <v>-0.8192024707146518</v>
      </c>
      <c r="T30" s="635">
        <f>IF(M30="","",X30*COS(RADIANS(W30)))</f>
        <v>-2.8186214629468811</v>
      </c>
      <c r="U30" s="629">
        <f>IF(M30="","",X30*SIN(RADIANS(W30)))</f>
        <v>-1.140472347847848</v>
      </c>
      <c r="V30" s="636">
        <f>IF(M30="","",Y30)</f>
        <v>-0.8192024707146518</v>
      </c>
      <c r="W30" s="585">
        <f t="shared" si="224"/>
        <v>202.02927083058228</v>
      </c>
      <c r="X30" s="629">
        <f>IF(M30="","",R30)</f>
        <v>3.040609170477258</v>
      </c>
      <c r="Y30" s="630">
        <f t="shared" si="223"/>
        <v>-0.8192024707146518</v>
      </c>
      <c r="Z30" s="632">
        <f t="shared" si="6"/>
        <v>-0.99713981542593777</v>
      </c>
      <c r="AA30" s="629">
        <f t="shared" si="7"/>
        <v>-4.5171543363070152E-2</v>
      </c>
      <c r="AB30" s="629">
        <f t="shared" si="8"/>
        <v>-6.0594720582945343E-2</v>
      </c>
      <c r="AC30" s="636">
        <f>IF(M30="","",SQRT(Z30^2+AA30^2+AB30^2))</f>
        <v>1</v>
      </c>
      <c r="AD30" s="637">
        <f>IF(M30="","",Z30*(1/SQRT(Z30^2+AA30^2+AB30^2)))</f>
        <v>-0.99713981542593777</v>
      </c>
      <c r="AE30" s="629">
        <f>IF(M30="","",AA30*(1/SQRT(Z30^2+AA30^2+AB30^2)))</f>
        <v>-4.5171543363070152E-2</v>
      </c>
      <c r="AF30" s="633">
        <f>IF(M30="","",AB30*(1/SQRT(Z30^2+AA30^2+AB30^2)))</f>
        <v>-6.0594720582945343E-2</v>
      </c>
      <c r="AG30" s="602">
        <f>IF(M30="","",DEGREES(ATAN2(-AF30,AE30)))</f>
        <v>-36.703422392242359</v>
      </c>
      <c r="AH30" s="603">
        <f>IF(M30="","",DEGREES(ACOS(AD30)))</f>
        <v>175.66550777666717</v>
      </c>
      <c r="AI30" s="585">
        <f>IF(M30="","",DEGREES(-ACOS(-AF30)))</f>
        <v>-86.526050138734632</v>
      </c>
      <c r="AJ30" s="586">
        <f>IF(M30="","",DEGREES(ATAN2(-AE30,AD30)))</f>
        <v>-87.406210770031336</v>
      </c>
      <c r="AK30" s="635">
        <f>IF(M30="","",(COS(RADIANS((90-$Q$8)-W30))*AD30)+(-SIN(RADIANS((90-$Q$8)-W30))*AE30))</f>
        <v>0.9522720762719793</v>
      </c>
      <c r="AL30" s="629">
        <f>IF(M30="","",(SIN(RADIANS((90-$Q$8)-W30))*AD30)+(COS(RADIANS((90-$Q$8)-W30))*AE30))</f>
        <v>-0.29917582220180955</v>
      </c>
      <c r="AM30" s="634">
        <f>IF(M30="","",AF30)</f>
        <v>-6.0594720582945343E-2</v>
      </c>
      <c r="AN30" s="581">
        <f>IF(M30="","",DEGREES(ATAN2(-AM30,AL30)))</f>
        <v>-78.550266669629565</v>
      </c>
      <c r="AO30" s="582">
        <f>IF(ROUND(IF(M30="",0,DEGREES(ACOS(AK30))),4)=90,0,IF(M30="","",DEGREES(ACOS(AK30))))</f>
        <v>17.773237680649125</v>
      </c>
      <c r="AP30" s="585">
        <f>IF(M30="","",DEGREES(ATAN2(AK30,AL30)))</f>
        <v>-17.441181888554834</v>
      </c>
      <c r="AQ30" s="586">
        <f t="shared" si="9"/>
        <v>0.74971704436655318</v>
      </c>
      <c r="AS30" s="52">
        <f t="shared" si="116"/>
        <v>-157.97072916941772</v>
      </c>
      <c r="AT30" s="72">
        <f t="shared" si="10"/>
        <v>-0.70811564510251535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3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410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1.0702640626980946</v>
      </c>
      <c r="C31" s="708">
        <v>-2.9934322768374204</v>
      </c>
      <c r="D31" s="709">
        <v>-1.482904472439889</v>
      </c>
      <c r="E31" s="710">
        <v>0.95697063037591001</v>
      </c>
      <c r="F31" s="708">
        <v>-0.26883184015185041</v>
      </c>
      <c r="G31" s="711">
        <v>0.10925499676675343</v>
      </c>
      <c r="H31" s="710">
        <v>0.26600000000000001</v>
      </c>
      <c r="I31" s="708">
        <v>0.52</v>
      </c>
      <c r="J31" s="570">
        <v>3.125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3.125</v>
      </c>
      <c r="N31" s="632">
        <f t="shared" si="2"/>
        <v>1.0702640626980946</v>
      </c>
      <c r="O31" s="629">
        <f t="shared" si="3"/>
        <v>-2.9934322768374204</v>
      </c>
      <c r="P31" s="633">
        <f t="shared" si="4"/>
        <v>-1.482904472439889</v>
      </c>
      <c r="Q31" s="585">
        <f t="shared" si="113"/>
        <v>289.67387117065994</v>
      </c>
      <c r="R31" s="629">
        <f>IF(M31="","",SQRT(N31^2+O31^2))</f>
        <v>3.1790095878929168</v>
      </c>
      <c r="S31" s="634">
        <f>IF(M31="","",P31)</f>
        <v>-1.482904472439889</v>
      </c>
      <c r="T31" s="635">
        <f>IF(M31="","",X31*COS(RADIANS(W31)))</f>
        <v>-2.9543738749643418</v>
      </c>
      <c r="U31" s="629">
        <f>IF(M31="","",X31*SIN(RADIANS(W31)))</f>
        <v>-1.1737874453423296</v>
      </c>
      <c r="V31" s="636">
        <f>IF(M31="","",Y31)</f>
        <v>-1.482904472439889</v>
      </c>
      <c r="W31" s="585">
        <f t="shared" si="224"/>
        <v>201.6681708827187</v>
      </c>
      <c r="X31" s="629">
        <f>IF(M31="","",R31)</f>
        <v>3.1790095878929168</v>
      </c>
      <c r="Y31" s="630">
        <f t="shared" si="223"/>
        <v>-1.482904472439889</v>
      </c>
      <c r="Z31" s="632">
        <f t="shared" si="6"/>
        <v>-0.95697063037591001</v>
      </c>
      <c r="AA31" s="629">
        <f t="shared" si="7"/>
        <v>0.26883184015185041</v>
      </c>
      <c r="AB31" s="629">
        <f t="shared" si="8"/>
        <v>-0.10925499676675343</v>
      </c>
      <c r="AC31" s="636">
        <f>IF(M31="","",SQRT(Z31^2+AA31^2+AB31^2))</f>
        <v>1</v>
      </c>
      <c r="AD31" s="637">
        <f>IF(M31="","",Z31*(1/SQRT(Z31^2+AA31^2+AB31^2)))</f>
        <v>-0.95697063037591001</v>
      </c>
      <c r="AE31" s="629">
        <f>IF(M31="","",AA31*(1/SQRT(Z31^2+AA31^2+AB31^2)))</f>
        <v>0.26883184015185041</v>
      </c>
      <c r="AF31" s="633">
        <f>IF(M31="","",AB31*(1/SQRT(Z31^2+AA31^2+AB31^2)))</f>
        <v>-0.10925499676675343</v>
      </c>
      <c r="AG31" s="602">
        <f>IF(M31="","",DEGREES(ATAN2(-AF31,AE31)))</f>
        <v>67.882857435924876</v>
      </c>
      <c r="AH31" s="603">
        <f>IF(M31="","",DEGREES(ACOS(AD31)))</f>
        <v>163.13098052204631</v>
      </c>
      <c r="AI31" s="585">
        <f>IF(M31="","",DEGREES(-ACOS(-AF31)))</f>
        <v>-83.727628809523239</v>
      </c>
      <c r="AJ31" s="586">
        <f>IF(M31="","",DEGREES(ATAN2(-AE31,AD31)))</f>
        <v>-105.69109531719864</v>
      </c>
      <c r="AK31" s="635">
        <f>IF(M31="","",(COS(RADIANS((90-$Q$8)-W31))*AD31)+(-SIN(RADIANS((90-$Q$8)-W31))*AE31))</f>
        <v>0.81060017099136161</v>
      </c>
      <c r="AL31" s="629">
        <f>IF(M31="","",(SIN(RADIANS((90-$Q$8)-W31))*AD31)+(COS(RADIANS((90-$Q$8)-W31))*AE31))</f>
        <v>-0.57531791947606825</v>
      </c>
      <c r="AM31" s="634">
        <f>IF(M31="","",AF31)</f>
        <v>-0.10925499676675343</v>
      </c>
      <c r="AN31" s="581">
        <f>IF(M31="","",DEGREES(ATAN2(-AM31,AL31)))</f>
        <v>-79.247358807601216</v>
      </c>
      <c r="AO31" s="582">
        <f t="shared" si="94"/>
        <v>35.845388745189481</v>
      </c>
      <c r="AP31" s="585">
        <f>IF(M31="","",DEGREES(ATAN2(AK31,AL31)))</f>
        <v>-35.364966487858595</v>
      </c>
      <c r="AQ31" s="586">
        <f t="shared" si="9"/>
        <v>0.71708107153727785</v>
      </c>
      <c r="AS31" s="52">
        <f t="shared" si="116"/>
        <v>-158.3318291172813</v>
      </c>
      <c r="AT31" s="72">
        <f t="shared" si="10"/>
        <v>-1.3715668829750696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3.125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3.7590084265908284E-2</v>
      </c>
      <c r="C32" s="708">
        <v>-2.6261122601546441</v>
      </c>
      <c r="D32" s="709">
        <v>-0.28962472876728079</v>
      </c>
      <c r="E32" s="710">
        <v>0.90926946307623402</v>
      </c>
      <c r="F32" s="708">
        <v>-0.20042016456516143</v>
      </c>
      <c r="G32" s="711">
        <v>0.36477500072336499</v>
      </c>
      <c r="H32" s="710">
        <v>0.219</v>
      </c>
      <c r="I32" s="708">
        <v>0.42</v>
      </c>
      <c r="J32" s="570">
        <v>3.2149999999999999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1111</v>
      </c>
      <c r="L32" s="320"/>
      <c r="M32" s="168">
        <f t="shared" si="1"/>
        <v>3.2149999999999999</v>
      </c>
      <c r="N32" s="632">
        <f t="shared" si="2"/>
        <v>3.7590084265908284E-2</v>
      </c>
      <c r="O32" s="629">
        <f t="shared" si="3"/>
        <v>-2.6261122601546441</v>
      </c>
      <c r="P32" s="633">
        <f t="shared" si="4"/>
        <v>-0.28962472876728079</v>
      </c>
      <c r="Q32" s="585">
        <f t="shared" si="113"/>
        <v>270.82007389281142</v>
      </c>
      <c r="R32" s="629">
        <f t="shared" si="79"/>
        <v>2.6263812779887177</v>
      </c>
      <c r="S32" s="634">
        <f t="shared" si="80"/>
        <v>-0.28962472876728079</v>
      </c>
      <c r="T32" s="635">
        <f t="shared" si="81"/>
        <v>-2.6232134711781985</v>
      </c>
      <c r="U32" s="629">
        <f t="shared" si="82"/>
        <v>-0.12895620186279236</v>
      </c>
      <c r="V32" s="636">
        <f t="shared" si="114"/>
        <v>-0.28962472876728079</v>
      </c>
      <c r="W32" s="585">
        <f t="shared" si="224"/>
        <v>182.81437360487018</v>
      </c>
      <c r="X32" s="629">
        <f t="shared" si="83"/>
        <v>2.6263812779887177</v>
      </c>
      <c r="Y32" s="630">
        <f t="shared" si="223"/>
        <v>-0.28962472876728079</v>
      </c>
      <c r="Z32" s="632">
        <f t="shared" si="6"/>
        <v>-0.90926946307623402</v>
      </c>
      <c r="AA32" s="629">
        <f t="shared" si="7"/>
        <v>0.20042016456516143</v>
      </c>
      <c r="AB32" s="629">
        <f t="shared" si="8"/>
        <v>-0.36477500072336499</v>
      </c>
      <c r="AC32" s="636">
        <f t="shared" si="84"/>
        <v>1</v>
      </c>
      <c r="AD32" s="637">
        <f t="shared" si="115"/>
        <v>-0.90926946307623402</v>
      </c>
      <c r="AE32" s="629">
        <f t="shared" si="85"/>
        <v>0.20042016456516143</v>
      </c>
      <c r="AF32" s="633">
        <f t="shared" si="86"/>
        <v>-0.36477500072336499</v>
      </c>
      <c r="AG32" s="602">
        <f t="shared" si="87"/>
        <v>28.785935435032254</v>
      </c>
      <c r="AH32" s="603">
        <f t="shared" si="88"/>
        <v>155.40459116151811</v>
      </c>
      <c r="AI32" s="585">
        <f t="shared" si="89"/>
        <v>-68.606263476920262</v>
      </c>
      <c r="AJ32" s="586">
        <f t="shared" si="90"/>
        <v>-102.43030906811748</v>
      </c>
      <c r="AK32" s="635">
        <f t="shared" si="211"/>
        <v>0.90630781366099966</v>
      </c>
      <c r="AL32" s="629">
        <f t="shared" si="91"/>
        <v>-0.21341355567134876</v>
      </c>
      <c r="AM32" s="634">
        <f t="shared" si="92"/>
        <v>-0.36477500072336499</v>
      </c>
      <c r="AN32" s="581">
        <f t="shared" si="93"/>
        <v>-30.329995620890386</v>
      </c>
      <c r="AO32" s="582">
        <f t="shared" si="94"/>
        <v>24.999996390447087</v>
      </c>
      <c r="AP32" s="585">
        <f t="shared" si="95"/>
        <v>-13.250382960928901</v>
      </c>
      <c r="AQ32" s="586">
        <f t="shared" si="9"/>
        <v>0.86794414319469892</v>
      </c>
      <c r="AS32" s="52">
        <f t="shared" si="116"/>
        <v>-177.18562639512982</v>
      </c>
      <c r="AT32" s="72">
        <f t="shared" si="10"/>
        <v>-0.1651942245261776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3.2149999999999999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3.1150000000000002</v>
      </c>
      <c r="II32" s="734" cm="1">
        <f t="array" ref="II32">IFERROR(ROUND(VALUE(IF($IH32&lt;1,$IH32+LARGE((IF($M$9:$M$150="",0,$M$9:$M$150)-MOD(IF($M$9:$M$150="",0,$M$9:$M$150),1)),1),$IH32)),4),"")</f>
        <v>3.1150000000000002</v>
      </c>
      <c r="IJ32" s="533">
        <f t="shared" si="112"/>
        <v>1313</v>
      </c>
      <c r="IK32" s="533">
        <f t="shared" si="66"/>
        <v>1111</v>
      </c>
      <c r="IL32" s="727">
        <f t="shared" si="225"/>
        <v>20.340797063152309</v>
      </c>
      <c r="IM32" s="759">
        <v>1.1887831032987701E-2</v>
      </c>
      <c r="IN32" s="5">
        <f t="shared" si="226"/>
        <v>0.34</v>
      </c>
      <c r="IO32" s="771">
        <v>170</v>
      </c>
      <c r="IP32" s="9">
        <f t="shared" si="227"/>
        <v>-2.5969078322740224</v>
      </c>
      <c r="IQ32" s="5">
        <f t="shared" si="228"/>
        <v>-0.3174009572812872</v>
      </c>
      <c r="IR32" s="5">
        <f t="shared" si="71"/>
        <v>0.26600000000000001</v>
      </c>
      <c r="IS32" s="5">
        <f t="shared" si="229"/>
        <v>0.25534026957744854</v>
      </c>
      <c r="IT32" s="727">
        <f t="shared" si="230"/>
        <v>53.72652890283743</v>
      </c>
      <c r="IU32" s="9">
        <f t="shared" si="231"/>
        <v>-2.6263812779887177</v>
      </c>
      <c r="IV32" s="5">
        <f t="shared" si="232"/>
        <v>-0.28962472876728079</v>
      </c>
      <c r="IW32" s="5">
        <f t="shared" si="76"/>
        <v>0.219</v>
      </c>
      <c r="IX32" s="5">
        <f t="shared" si="233"/>
        <v>0.19848141119175894</v>
      </c>
      <c r="IY32" s="762">
        <f t="shared" si="234"/>
        <v>30.329995620890386</v>
      </c>
    </row>
    <row r="33" spans="1:267" ht="15" customHeight="1" x14ac:dyDescent="0.25">
      <c r="A33" s="79"/>
      <c r="B33" s="707">
        <v>2.9414924238993868E-2</v>
      </c>
      <c r="C33" s="708">
        <v>-3.0867774116366093</v>
      </c>
      <c r="D33" s="709">
        <v>-0.80467690077610177</v>
      </c>
      <c r="E33" s="710">
        <v>0.9020449420401041</v>
      </c>
      <c r="F33" s="708">
        <v>-0.33686089505581412</v>
      </c>
      <c r="G33" s="711">
        <v>0.26988823598308442</v>
      </c>
      <c r="H33" s="710">
        <v>0.219</v>
      </c>
      <c r="I33" s="708">
        <v>0.42</v>
      </c>
      <c r="J33" s="570">
        <v>3.22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1111</v>
      </c>
      <c r="L33" s="320"/>
      <c r="M33" s="168">
        <f t="shared" si="1"/>
        <v>3.22</v>
      </c>
      <c r="N33" s="632">
        <f t="shared" si="2"/>
        <v>2.9414924238993868E-2</v>
      </c>
      <c r="O33" s="629">
        <f t="shared" si="3"/>
        <v>-3.0867774116366093</v>
      </c>
      <c r="P33" s="633">
        <f t="shared" si="4"/>
        <v>-0.80467690077610177</v>
      </c>
      <c r="Q33" s="585">
        <f t="shared" si="113"/>
        <v>270.54597393238657</v>
      </c>
      <c r="R33" s="629">
        <f t="shared" si="79"/>
        <v>3.0869175607323869</v>
      </c>
      <c r="S33" s="634">
        <f t="shared" si="80"/>
        <v>-0.80467690077610177</v>
      </c>
      <c r="T33" s="635">
        <f t="shared" si="81"/>
        <v>-3.0838840912253636</v>
      </c>
      <c r="U33" s="629">
        <f t="shared" si="82"/>
        <v>-0.13681717233265628</v>
      </c>
      <c r="V33" s="636">
        <f t="shared" si="114"/>
        <v>-0.80467690077610177</v>
      </c>
      <c r="W33" s="585">
        <f t="shared" si="224"/>
        <v>182.54027364444534</v>
      </c>
      <c r="X33" s="629">
        <f t="shared" si="83"/>
        <v>3.0869175607323869</v>
      </c>
      <c r="Y33" s="630">
        <f t="shared" si="223"/>
        <v>-0.80467690077610177</v>
      </c>
      <c r="Z33" s="632">
        <f t="shared" si="6"/>
        <v>-0.9020449420401041</v>
      </c>
      <c r="AA33" s="629">
        <f t="shared" si="7"/>
        <v>0.33686089505581412</v>
      </c>
      <c r="AB33" s="629">
        <f t="shared" si="8"/>
        <v>-0.26988823598308442</v>
      </c>
      <c r="AC33" s="636">
        <f t="shared" si="84"/>
        <v>1</v>
      </c>
      <c r="AD33" s="637">
        <f t="shared" si="115"/>
        <v>-0.9020449420401041</v>
      </c>
      <c r="AE33" s="629">
        <f t="shared" si="85"/>
        <v>0.33686089505581412</v>
      </c>
      <c r="AF33" s="633">
        <f t="shared" si="86"/>
        <v>-0.26988823598308442</v>
      </c>
      <c r="AG33" s="602">
        <f t="shared" si="87"/>
        <v>51.298780777748995</v>
      </c>
      <c r="AH33" s="603">
        <f t="shared" si="88"/>
        <v>154.42818137410262</v>
      </c>
      <c r="AI33" s="585">
        <f t="shared" si="89"/>
        <v>-74.342383648314936</v>
      </c>
      <c r="AJ33" s="586">
        <f t="shared" si="90"/>
        <v>-110.47771193929422</v>
      </c>
      <c r="AK33" s="635">
        <f t="shared" si="211"/>
        <v>0.89879407502059638</v>
      </c>
      <c r="AL33" s="629">
        <f t="shared" si="91"/>
        <v>-0.34544109597123712</v>
      </c>
      <c r="AM33" s="634">
        <f t="shared" si="92"/>
        <v>-0.26988823598308442</v>
      </c>
      <c r="AN33" s="581">
        <f t="shared" si="93"/>
        <v>-51.999992492129962</v>
      </c>
      <c r="AO33" s="582">
        <f t="shared" si="94"/>
        <v>25.999996246064981</v>
      </c>
      <c r="AP33" s="585">
        <f t="shared" si="95"/>
        <v>-21.023685871680797</v>
      </c>
      <c r="AQ33" s="586">
        <f t="shared" si="9"/>
        <v>0.73847141997979715</v>
      </c>
      <c r="AS33" s="52">
        <f t="shared" si="116"/>
        <v>-177.45972635555466</v>
      </c>
      <c r="AT33" s="72">
        <f t="shared" si="10"/>
        <v>-0.68005604934025909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3.12</v>
      </c>
      <c r="II33" s="734" cm="1">
        <f t="array" ref="II33">IFERROR(ROUND(VALUE(IF($IH33&lt;1,$IH33+LARGE((IF($M$9:$M$150="",0,$M$9:$M$150)-MOD(IF($M$9:$M$150="",0,$M$9:$M$150),1)),1),$IH33)),4),"")</f>
        <v>3.12</v>
      </c>
      <c r="IJ33" s="533">
        <f t="shared" si="112"/>
        <v>1313</v>
      </c>
      <c r="IK33" s="533">
        <f t="shared" si="66"/>
        <v>1111</v>
      </c>
      <c r="IL33" s="727">
        <f t="shared" si="225"/>
        <v>19.488997186136942</v>
      </c>
      <c r="IM33" s="759">
        <v>1.9591326054392601E-3</v>
      </c>
      <c r="IN33" s="5">
        <f t="shared" si="226"/>
        <v>0.16</v>
      </c>
      <c r="IO33" s="771">
        <v>80</v>
      </c>
      <c r="IP33" s="9">
        <f t="shared" si="227"/>
        <v>-3.040609170477258</v>
      </c>
      <c r="IQ33" s="5">
        <f t="shared" si="228"/>
        <v>-0.8192024707146518</v>
      </c>
      <c r="IR33" s="5">
        <f t="shared" si="71"/>
        <v>0.26600000000000001</v>
      </c>
      <c r="IS33" s="5">
        <f t="shared" si="229"/>
        <v>0.25330437228834651</v>
      </c>
      <c r="IT33" s="727">
        <f t="shared" si="230"/>
        <v>78.550266669629565</v>
      </c>
      <c r="IU33" s="9">
        <f t="shared" si="231"/>
        <v>-3.0869175607323869</v>
      </c>
      <c r="IV33" s="5">
        <f t="shared" si="232"/>
        <v>-0.80467690077610177</v>
      </c>
      <c r="IW33" s="5">
        <f t="shared" si="76"/>
        <v>0.219</v>
      </c>
      <c r="IX33" s="5">
        <f t="shared" si="233"/>
        <v>0.1968359024295106</v>
      </c>
      <c r="IY33" s="762">
        <f t="shared" si="234"/>
        <v>51.999992492129962</v>
      </c>
    </row>
    <row r="34" spans="1:267" ht="15" customHeight="1" x14ac:dyDescent="0.25">
      <c r="A34" s="79"/>
      <c r="B34" s="707">
        <v>-0.3271218693992477</v>
      </c>
      <c r="C34" s="708">
        <v>-0.40396157288348616</v>
      </c>
      <c r="D34" s="709">
        <v>-0.29170087976985343</v>
      </c>
      <c r="E34" s="710">
        <v>0.77316937162619237</v>
      </c>
      <c r="F34" s="708">
        <v>-0.48535277449771808</v>
      </c>
      <c r="G34" s="711">
        <v>0.40821784266066358</v>
      </c>
      <c r="H34" s="710">
        <v>0.26600000000000001</v>
      </c>
      <c r="I34" s="708">
        <v>0.52</v>
      </c>
      <c r="J34" s="570">
        <v>4.1020000000000003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4.1020000000000003</v>
      </c>
      <c r="N34" s="632">
        <f t="shared" si="2"/>
        <v>-0.3271218693992477</v>
      </c>
      <c r="O34" s="629">
        <f t="shared" si="3"/>
        <v>-0.40396157288348616</v>
      </c>
      <c r="P34" s="633">
        <f t="shared" si="4"/>
        <v>-0.29170087976985343</v>
      </c>
      <c r="Q34" s="585">
        <f t="shared" si="113"/>
        <v>230.99997964212173</v>
      </c>
      <c r="R34" s="629">
        <f>IF(M34="","",SQRT(N34^2+O34^2))</f>
        <v>0.5198015677215283</v>
      </c>
      <c r="S34" s="634">
        <f>IF(M34="","",P34)</f>
        <v>-0.29170087976985343</v>
      </c>
      <c r="T34" s="635">
        <f>IF(M34="","",X34*COS(RADIANS(W34)))</f>
        <v>-0.41510075442006533</v>
      </c>
      <c r="U34" s="629">
        <f>IF(M34="","",X34*SIN(RADIANS(W34)))</f>
        <v>0.31286583943545387</v>
      </c>
      <c r="V34" s="636">
        <f>IF(M34="","",Y34)</f>
        <v>-0.29170087976985343</v>
      </c>
      <c r="W34" s="585">
        <f t="shared" si="224"/>
        <v>142.99427935418049</v>
      </c>
      <c r="X34" s="629">
        <f>IF(M34="","",R34)</f>
        <v>0.5198015677215283</v>
      </c>
      <c r="Y34" s="630">
        <f t="shared" si="223"/>
        <v>-0.29170087976985343</v>
      </c>
      <c r="Z34" s="632">
        <f t="shared" si="6"/>
        <v>-0.77316937162619237</v>
      </c>
      <c r="AA34" s="629">
        <f t="shared" si="7"/>
        <v>0.48535277449771808</v>
      </c>
      <c r="AB34" s="629">
        <f t="shared" si="8"/>
        <v>-0.40821784266066358</v>
      </c>
      <c r="AC34" s="636">
        <f>IF(M34="","",SQRT(Z34^2+AA34^2+AB34^2))</f>
        <v>1</v>
      </c>
      <c r="AD34" s="637">
        <f>IF(M34="","",Z34*(1/SQRT(Z34^2+AA34^2+AB34^2)))</f>
        <v>-0.77316937162619237</v>
      </c>
      <c r="AE34" s="629">
        <f>IF(M34="","",AA34*(1/SQRT(Z34^2+AA34^2+AB34^2)))</f>
        <v>0.48535277449771808</v>
      </c>
      <c r="AF34" s="633">
        <f>IF(M34="","",AB34*(1/SQRT(Z34^2+AA34^2+AB34^2)))</f>
        <v>-0.40821784266066358</v>
      </c>
      <c r="AG34" s="602">
        <f>IF(M34="","",DEGREES(ATAN2(-AF34,AE34)))</f>
        <v>49.933664387072874</v>
      </c>
      <c r="AH34" s="603">
        <f>IF(M34="","",DEGREES(ACOS(AD34)))</f>
        <v>140.63935503210743</v>
      </c>
      <c r="AI34" s="585">
        <f>IF(M34="","",DEGREES(-ACOS(-AF34)))</f>
        <v>-65.907068471181375</v>
      </c>
      <c r="AJ34" s="586">
        <f>IF(M34="","",DEGREES(ATAN2(-AE34,AD34)))</f>
        <v>-122.11831870891653</v>
      </c>
      <c r="AK34" s="635">
        <f>IF(M34="","",(COS(RADIANS((90-$Q$8)-W34))*AD34)+(-SIN(RADIANS((90-$Q$8)-W34))*AE34))</f>
        <v>0.90630781366099966</v>
      </c>
      <c r="AL34" s="629">
        <f>IF(M34="","",(SIN(RADIANS((90-$Q$8)-W34))*AD34)+(COS(RADIANS((90-$Q$8)-W34))*AE34))</f>
        <v>0.10938162473876795</v>
      </c>
      <c r="AM34" s="634">
        <f>IF(M34="","",AF34)</f>
        <v>-0.40821784266066358</v>
      </c>
      <c r="AN34" s="581">
        <f>IF(M34="","",DEGREES(ATAN2(-AM34,AL34)))</f>
        <v>14.999997834268255</v>
      </c>
      <c r="AO34" s="582">
        <f t="shared" si="94"/>
        <v>24.999996390447087</v>
      </c>
      <c r="AP34" s="585">
        <f>IF(M34="","",DEGREES(ATAN2(AK34,AL34)))</f>
        <v>6.8817016489617453</v>
      </c>
      <c r="AQ34" s="586">
        <f t="shared" si="9"/>
        <v>4.3772274528138384</v>
      </c>
      <c r="AS34" s="52">
        <f t="shared" si="116"/>
        <v>-217.00572064581951</v>
      </c>
      <c r="AT34" s="72">
        <f t="shared" si="10"/>
        <v>-0.13961753229910462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4.1020000000000003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-0.73127119943269925</v>
      </c>
      <c r="C35" s="708">
        <v>-0.90098763319751962</v>
      </c>
      <c r="D35" s="709">
        <v>-0.13640041138364073</v>
      </c>
      <c r="E35" s="710">
        <v>0.78296483106880965</v>
      </c>
      <c r="F35" s="708">
        <v>-0.56790905630759281</v>
      </c>
      <c r="G35" s="711">
        <v>0.25386094042449647</v>
      </c>
      <c r="H35" s="710">
        <v>0.26600000000000001</v>
      </c>
      <c r="I35" s="708">
        <v>0.52</v>
      </c>
      <c r="J35" s="570">
        <v>4.1050000000000004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4.1050000000000004</v>
      </c>
      <c r="N35" s="632">
        <f t="shared" si="2"/>
        <v>-0.73127119943269925</v>
      </c>
      <c r="O35" s="629">
        <f t="shared" si="3"/>
        <v>-0.90098763319751962</v>
      </c>
      <c r="P35" s="633">
        <f t="shared" si="4"/>
        <v>-0.13640041138364073</v>
      </c>
      <c r="Q35" s="585">
        <f t="shared" si="113"/>
        <v>230.93607965134774</v>
      </c>
      <c r="R35" s="629">
        <f>IF(M35="","",SQRT(N35^2+O35^2))</f>
        <v>1.1604034997769554</v>
      </c>
      <c r="S35" s="634">
        <f>IF(M35="","",P35)</f>
        <v>-0.13640041138364073</v>
      </c>
      <c r="T35" s="635">
        <f>IF(M35="","",X35*COS(RADIANS(W35)))</f>
        <v>-0.92589018746353557</v>
      </c>
      <c r="U35" s="629">
        <f>IF(M35="","",X35*SIN(RADIANS(W35)))</f>
        <v>0.69947383300116783</v>
      </c>
      <c r="V35" s="636">
        <f>IF(M35="","",Y35)</f>
        <v>-0.13640041138364073</v>
      </c>
      <c r="W35" s="585">
        <f t="shared" si="224"/>
        <v>142.93037936340647</v>
      </c>
      <c r="X35" s="629">
        <f>IF(M35="","",R35)</f>
        <v>1.1604034997769554</v>
      </c>
      <c r="Y35" s="630">
        <f t="shared" si="223"/>
        <v>-0.13640041138364073</v>
      </c>
      <c r="Z35" s="632">
        <f t="shared" si="6"/>
        <v>-0.78296483106880965</v>
      </c>
      <c r="AA35" s="629">
        <f t="shared" si="7"/>
        <v>0.56790905630759281</v>
      </c>
      <c r="AB35" s="629">
        <f t="shared" si="8"/>
        <v>-0.25386094042449647</v>
      </c>
      <c r="AC35" s="636">
        <f>IF(M35="","",SQRT(Z35^2+AA35^2+AB35^2))</f>
        <v>1</v>
      </c>
      <c r="AD35" s="637">
        <f>IF(M35="","",Z35*(1/SQRT(Z35^2+AA35^2+AB35^2)))</f>
        <v>-0.78296483106880965</v>
      </c>
      <c r="AE35" s="629">
        <f>IF(M35="","",AA35*(1/SQRT(Z35^2+AA35^2+AB35^2)))</f>
        <v>0.56790905630759281</v>
      </c>
      <c r="AF35" s="633">
        <f>IF(M35="","",AB35*(1/SQRT(Z35^2+AA35^2+AB35^2)))</f>
        <v>-0.25386094042449647</v>
      </c>
      <c r="AG35" s="602">
        <f>IF(M35="","",DEGREES(ATAN2(-AF35,AE35)))</f>
        <v>65.914886456234797</v>
      </c>
      <c r="AH35" s="603">
        <f>IF(M35="","",DEGREES(ACOS(AD35)))</f>
        <v>141.53283986037079</v>
      </c>
      <c r="AI35" s="585">
        <f>IF(M35="","",DEGREES(-ACOS(-AF35)))</f>
        <v>-75.29389899090188</v>
      </c>
      <c r="AJ35" s="586">
        <f>IF(M35="","",DEGREES(ATAN2(-AE35,AD35)))</f>
        <v>-125.9545596405319</v>
      </c>
      <c r="AK35" s="635">
        <f>IF(M35="","",(COS(RADIANS((90-$Q$8)-W35))*AD35)+(-SIN(RADIANS((90-$Q$8)-W35))*AE35))</f>
        <v>0.96581677581267933</v>
      </c>
      <c r="AL35" s="629">
        <f>IF(M35="","",(SIN(RADIANS((90-$Q$8)-W35))*AD35)+(COS(RADIANS((90-$Q$8)-W35))*AE35))</f>
        <v>5.2465021543796564E-2</v>
      </c>
      <c r="AM35" s="634">
        <f>IF(M35="","",AF35)</f>
        <v>-0.25386094042449647</v>
      </c>
      <c r="AN35" s="581">
        <f>IF(M35="","",DEGREES(ATAN2(-AM35,AL35)))</f>
        <v>11.676830297166751</v>
      </c>
      <c r="AO35" s="582">
        <f t="shared" si="94"/>
        <v>15.024121978664732</v>
      </c>
      <c r="AP35" s="585">
        <f>IF(M35="","",DEGREES(ATAN2(AK35,AL35)))</f>
        <v>3.1093607081204104</v>
      </c>
      <c r="AQ35" s="586">
        <f t="shared" si="9"/>
        <v>1.9638288108575077</v>
      </c>
      <c r="AS35" s="52">
        <f t="shared" si="116"/>
        <v>-217.06962063659353</v>
      </c>
      <c r="AT35" s="72">
        <f t="shared" si="10"/>
        <v>1.5727311080701134E-2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4.1050000000000004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-1.1834818439467432</v>
      </c>
      <c r="C36" s="708">
        <v>-1.4053691248884608</v>
      </c>
      <c r="D36" s="709">
        <v>-4.4600134514005761E-2</v>
      </c>
      <c r="E36" s="710">
        <v>0.68292937793122521</v>
      </c>
      <c r="F36" s="708">
        <v>-0.68541224047518035</v>
      </c>
      <c r="G36" s="711">
        <v>0.25262130821699008</v>
      </c>
      <c r="H36" s="710">
        <v>0.26600000000000001</v>
      </c>
      <c r="I36" s="708">
        <v>0.52</v>
      </c>
      <c r="J36" s="570">
        <v>4.109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4.109</v>
      </c>
      <c r="N36" s="632">
        <f t="shared" si="2"/>
        <v>-1.1834818439467432</v>
      </c>
      <c r="O36" s="629">
        <f t="shared" si="3"/>
        <v>-1.4053691248884608</v>
      </c>
      <c r="P36" s="633">
        <f t="shared" si="4"/>
        <v>-4.4600134514005761E-2</v>
      </c>
      <c r="Q36" s="585">
        <f t="shared" si="113"/>
        <v>229.89877980111532</v>
      </c>
      <c r="R36" s="629">
        <f>IF(M36="","",SQRT(N36^2+O36^2))</f>
        <v>1.8373055413135131</v>
      </c>
      <c r="S36" s="634">
        <f>IF(M36="","",P36)</f>
        <v>-4.4600134514005761E-2</v>
      </c>
      <c r="T36" s="635">
        <f>IF(M36="","",X36*COS(RADIANS(W36)))</f>
        <v>-1.4457031336849113</v>
      </c>
      <c r="U36" s="629">
        <f>IF(M36="","",X36*SIN(RADIANS(W36)))</f>
        <v>1.1338580605150581</v>
      </c>
      <c r="V36" s="636">
        <f>IF(M36="","",Y36)</f>
        <v>-4.4600134514005761E-2</v>
      </c>
      <c r="W36" s="585">
        <f t="shared" si="224"/>
        <v>141.89307951317409</v>
      </c>
      <c r="X36" s="629">
        <f>IF(M36="","",R36)</f>
        <v>1.8373055413135131</v>
      </c>
      <c r="Y36" s="630">
        <f t="shared" si="223"/>
        <v>-4.4600134514005761E-2</v>
      </c>
      <c r="Z36" s="632">
        <f t="shared" si="6"/>
        <v>-0.68292937793122521</v>
      </c>
      <c r="AA36" s="629">
        <f t="shared" si="7"/>
        <v>0.68541224047518035</v>
      </c>
      <c r="AB36" s="629">
        <f t="shared" si="8"/>
        <v>-0.25262130821699008</v>
      </c>
      <c r="AC36" s="636">
        <f>IF(M36="","",SQRT(Z36^2+AA36^2+AB36^2))</f>
        <v>1</v>
      </c>
      <c r="AD36" s="637">
        <f>IF(M36="","",Z36*(1/SQRT(Z36^2+AA36^2+AB36^2)))</f>
        <v>-0.68292937793122521</v>
      </c>
      <c r="AE36" s="629">
        <f>IF(M36="","",AA36*(1/SQRT(Z36^2+AA36^2+AB36^2)))</f>
        <v>0.68541224047518035</v>
      </c>
      <c r="AF36" s="633">
        <f>IF(M36="","",AB36*(1/SQRT(Z36^2+AA36^2+AB36^2)))</f>
        <v>-0.25262130821699008</v>
      </c>
      <c r="AG36" s="602">
        <f>IF(M36="","",DEGREES(ATAN2(-AF36,AE36)))</f>
        <v>69.767706375755637</v>
      </c>
      <c r="AH36" s="603">
        <f>IF(M36="","",DEGREES(ACOS(AD36)))</f>
        <v>133.07298125162441</v>
      </c>
      <c r="AI36" s="585">
        <f>IF(M36="","",DEGREES(-ACOS(-AF36)))</f>
        <v>-75.367317913018056</v>
      </c>
      <c r="AJ36" s="586">
        <f>IF(M36="","",DEGREES(ATAN2(-AE36,AD36)))</f>
        <v>-135.10396335742641</v>
      </c>
      <c r="AK36" s="635">
        <f>IF(M36="","",(COS(RADIANS((90-$Q$8)-W36))*AD36)+(-SIN(RADIANS((90-$Q$8)-W36))*AE36))</f>
        <v>0.96387931382332503</v>
      </c>
      <c r="AL36" s="629">
        <f>IF(M36="","",(SIN(RADIANS((90-$Q$8)-W36))*AD36)+(COS(RADIANS((90-$Q$8)-W36))*AE36))</f>
        <v>-8.4375014182000052E-2</v>
      </c>
      <c r="AM36" s="634">
        <f>IF(M36="","",AF36)</f>
        <v>-0.25262130821699008</v>
      </c>
      <c r="AN36" s="581">
        <f>IF(M36="","",DEGREES(ATAN2(-AM36,AL36)))</f>
        <v>-18.469216827256648</v>
      </c>
      <c r="AO36" s="582">
        <f t="shared" si="94"/>
        <v>15.446554512213453</v>
      </c>
      <c r="AP36" s="585">
        <f>IF(M36="","",DEGREES(ATAN2(AK36,AL36)))</f>
        <v>-5.0027431585417244</v>
      </c>
      <c r="AQ36" s="586">
        <f t="shared" si="9"/>
        <v>1.240604949077075</v>
      </c>
      <c r="AS36" s="52">
        <f t="shared" si="116"/>
        <v>-218.10692048682591</v>
      </c>
      <c r="AT36" s="72">
        <f t="shared" si="10"/>
        <v>0.10824793506855304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4.109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-1.6487963866209552</v>
      </c>
      <c r="C37" s="708">
        <v>-1.8593627235129169</v>
      </c>
      <c r="D37" s="709">
        <v>-0.2458007413350356</v>
      </c>
      <c r="E37" s="710">
        <v>0.58137754665077923</v>
      </c>
      <c r="F37" s="708">
        <v>-0.79222746780125586</v>
      </c>
      <c r="G37" s="711">
        <v>0.18540708592589206</v>
      </c>
      <c r="H37" s="710">
        <v>0.26600000000000001</v>
      </c>
      <c r="I37" s="708">
        <v>0.52</v>
      </c>
      <c r="J37" s="570">
        <v>4.1139999999999999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4.1139999999999999</v>
      </c>
      <c r="N37" s="632">
        <f t="shared" si="2"/>
        <v>-1.6487963866209552</v>
      </c>
      <c r="O37" s="629">
        <f t="shared" si="3"/>
        <v>-1.8593627235129169</v>
      </c>
      <c r="P37" s="633">
        <f t="shared" si="4"/>
        <v>-0.2458007413350356</v>
      </c>
      <c r="Q37" s="585">
        <f t="shared" si="113"/>
        <v>228.4348800124763</v>
      </c>
      <c r="R37" s="629">
        <f t="shared" si="79"/>
        <v>2.4851074950842045</v>
      </c>
      <c r="S37" s="634">
        <f t="shared" si="80"/>
        <v>-0.2458007413350356</v>
      </c>
      <c r="T37" s="635">
        <f t="shared" si="81"/>
        <v>-1.9156147236313263</v>
      </c>
      <c r="U37" s="629">
        <f t="shared" si="82"/>
        <v>1.5830917512041323</v>
      </c>
      <c r="V37" s="636">
        <f t="shared" si="114"/>
        <v>-0.2458007413350356</v>
      </c>
      <c r="W37" s="585">
        <f t="shared" si="224"/>
        <v>140.42917972453506</v>
      </c>
      <c r="X37" s="629">
        <f t="shared" si="83"/>
        <v>2.4851074950842045</v>
      </c>
      <c r="Y37" s="630">
        <f t="shared" si="223"/>
        <v>-0.2458007413350356</v>
      </c>
      <c r="Z37" s="632">
        <f t="shared" si="6"/>
        <v>-0.58137754665077923</v>
      </c>
      <c r="AA37" s="629">
        <f t="shared" si="7"/>
        <v>0.79222746780125586</v>
      </c>
      <c r="AB37" s="629">
        <f t="shared" si="8"/>
        <v>-0.18540708592589206</v>
      </c>
      <c r="AC37" s="636">
        <f t="shared" si="84"/>
        <v>1</v>
      </c>
      <c r="AD37" s="637">
        <f t="shared" si="115"/>
        <v>-0.58137754665077923</v>
      </c>
      <c r="AE37" s="629">
        <f t="shared" si="85"/>
        <v>0.79222746780125586</v>
      </c>
      <c r="AF37" s="633">
        <f t="shared" si="86"/>
        <v>-0.18540708592589206</v>
      </c>
      <c r="AG37" s="602">
        <f t="shared" si="87"/>
        <v>76.827985055038766</v>
      </c>
      <c r="AH37" s="603">
        <f t="shared" si="88"/>
        <v>125.547490370123</v>
      </c>
      <c r="AI37" s="585">
        <f t="shared" si="89"/>
        <v>-79.315132686945262</v>
      </c>
      <c r="AJ37" s="586">
        <f t="shared" si="90"/>
        <v>-143.72684989451022</v>
      </c>
      <c r="AK37" s="635">
        <f t="shared" si="211"/>
        <v>0.96060775219767414</v>
      </c>
      <c r="AL37" s="629">
        <f t="shared" si="91"/>
        <v>-0.20701922351849511</v>
      </c>
      <c r="AM37" s="634">
        <f t="shared" si="92"/>
        <v>-0.18540708592589206</v>
      </c>
      <c r="AN37" s="581">
        <f t="shared" si="93"/>
        <v>-48.152272385647066</v>
      </c>
      <c r="AO37" s="582">
        <f t="shared" si="94"/>
        <v>16.135375401328812</v>
      </c>
      <c r="AP37" s="585">
        <f t="shared" si="95"/>
        <v>-12.161729906986512</v>
      </c>
      <c r="AQ37" s="586">
        <f t="shared" si="9"/>
        <v>0.91727696500152922</v>
      </c>
      <c r="AS37" s="52">
        <f t="shared" si="116"/>
        <v>-219.57082027546494</v>
      </c>
      <c r="AT37" s="72">
        <f t="shared" si="10"/>
        <v>-9.1936074677033019E-2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4.1139999999999999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-2.0169644897454826</v>
      </c>
      <c r="C38" s="708">
        <v>-2.1795484855088971</v>
      </c>
      <c r="D38" s="709">
        <v>-0.69210208737989554</v>
      </c>
      <c r="E38" s="710">
        <v>0.50152958985326301</v>
      </c>
      <c r="F38" s="708">
        <v>-0.86085089381642443</v>
      </c>
      <c r="G38" s="711">
        <v>8.6045389865356398E-2</v>
      </c>
      <c r="H38" s="710">
        <v>0.26600000000000001</v>
      </c>
      <c r="I38" s="708">
        <v>0.52</v>
      </c>
      <c r="J38" s="570">
        <v>4.1189999999999998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4.1189999999999998</v>
      </c>
      <c r="N38" s="632">
        <f t="shared" si="2"/>
        <v>-2.0169644897454826</v>
      </c>
      <c r="O38" s="629">
        <f t="shared" si="3"/>
        <v>-2.1795484855088971</v>
      </c>
      <c r="P38" s="633">
        <f t="shared" si="4"/>
        <v>-0.69210208737989554</v>
      </c>
      <c r="Q38" s="585">
        <f t="shared" si="113"/>
        <v>227.21868018807382</v>
      </c>
      <c r="R38" s="629">
        <f t="shared" si="79"/>
        <v>2.9696089563406125</v>
      </c>
      <c r="S38" s="634">
        <f t="shared" si="80"/>
        <v>-0.69210208737989554</v>
      </c>
      <c r="T38" s="635">
        <f t="shared" si="81"/>
        <v>-2.2484188223988162</v>
      </c>
      <c r="U38" s="629">
        <f t="shared" si="82"/>
        <v>1.9398943663666592</v>
      </c>
      <c r="V38" s="636">
        <f t="shared" si="114"/>
        <v>-0.69210208737989554</v>
      </c>
      <c r="W38" s="585">
        <f t="shared" si="224"/>
        <v>139.21297990013255</v>
      </c>
      <c r="X38" s="629">
        <f t="shared" si="83"/>
        <v>2.9696089563406125</v>
      </c>
      <c r="Y38" s="630">
        <f t="shared" si="223"/>
        <v>-0.69210208737989554</v>
      </c>
      <c r="Z38" s="632">
        <f t="shared" si="6"/>
        <v>-0.50152958985326301</v>
      </c>
      <c r="AA38" s="629">
        <f t="shared" si="7"/>
        <v>0.86085089381642443</v>
      </c>
      <c r="AB38" s="629">
        <f t="shared" si="8"/>
        <v>-8.6045389865356398E-2</v>
      </c>
      <c r="AC38" s="636">
        <f t="shared" si="84"/>
        <v>1</v>
      </c>
      <c r="AD38" s="637">
        <f t="shared" si="115"/>
        <v>-0.50152958985326301</v>
      </c>
      <c r="AE38" s="629">
        <f t="shared" si="85"/>
        <v>0.86085089381642443</v>
      </c>
      <c r="AF38" s="633">
        <f t="shared" si="86"/>
        <v>-8.6045389865356398E-2</v>
      </c>
      <c r="AG38" s="602">
        <f t="shared" si="87"/>
        <v>84.292022999733518</v>
      </c>
      <c r="AH38" s="603">
        <f t="shared" si="88"/>
        <v>120.10124855208507</v>
      </c>
      <c r="AI38" s="585">
        <f t="shared" si="89"/>
        <v>-85.063858446204918</v>
      </c>
      <c r="AJ38" s="586">
        <f t="shared" si="90"/>
        <v>-149.77502862557344</v>
      </c>
      <c r="AK38" s="635">
        <f t="shared" si="211"/>
        <v>0.95279000817757264</v>
      </c>
      <c r="AL38" s="629">
        <f t="shared" si="91"/>
        <v>-0.29118274536775024</v>
      </c>
      <c r="AM38" s="634">
        <f t="shared" si="92"/>
        <v>-8.6045389865356398E-2</v>
      </c>
      <c r="AN38" s="581">
        <f t="shared" si="93"/>
        <v>-73.537429145700258</v>
      </c>
      <c r="AO38" s="582">
        <f t="shared" si="94"/>
        <v>17.675762720512012</v>
      </c>
      <c r="AP38" s="585">
        <f t="shared" si="95"/>
        <v>-16.993708813647228</v>
      </c>
      <c r="AQ38" s="586">
        <f t="shared" si="9"/>
        <v>0.76763986724136712</v>
      </c>
      <c r="AS38" s="52">
        <f t="shared" si="116"/>
        <v>-220.78702009986745</v>
      </c>
      <c r="AT38" s="72">
        <f t="shared" si="10"/>
        <v>-0.53739283751050237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4.1189999999999998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-2.1812776045601248</v>
      </c>
      <c r="C39" s="708">
        <v>-2.3126024240581295</v>
      </c>
      <c r="D39" s="709">
        <v>-1.3535040821683118</v>
      </c>
      <c r="E39" s="710">
        <v>0.19492480597770348</v>
      </c>
      <c r="F39" s="708">
        <v>-0.97471414563247794</v>
      </c>
      <c r="G39" s="711">
        <v>0.10925499676675361</v>
      </c>
      <c r="H39" s="710">
        <v>0.26600000000000001</v>
      </c>
      <c r="I39" s="708">
        <v>0.52</v>
      </c>
      <c r="J39" s="570">
        <v>4.1239999999999997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4.1239999999999997</v>
      </c>
      <c r="N39" s="632">
        <f t="shared" si="2"/>
        <v>-2.1812776045601248</v>
      </c>
      <c r="O39" s="629">
        <f t="shared" si="3"/>
        <v>-2.3126024240581295</v>
      </c>
      <c r="P39" s="633">
        <f t="shared" si="4"/>
        <v>-1.3535040821683118</v>
      </c>
      <c r="Q39" s="585">
        <f t="shared" si="113"/>
        <v>226.67388026673319</v>
      </c>
      <c r="R39" s="629">
        <f t="shared" si="79"/>
        <v>3.1790095878929168</v>
      </c>
      <c r="S39" s="634">
        <f t="shared" si="80"/>
        <v>-1.3535040821683118</v>
      </c>
      <c r="T39" s="635">
        <f t="shared" si="81"/>
        <v>-2.3871102770285404</v>
      </c>
      <c r="U39" s="629">
        <f t="shared" si="82"/>
        <v>2.0994776696168542</v>
      </c>
      <c r="V39" s="636">
        <f t="shared" si="114"/>
        <v>-1.3535040821683118</v>
      </c>
      <c r="W39" s="585">
        <f t="shared" si="224"/>
        <v>138.66817997879195</v>
      </c>
      <c r="X39" s="629">
        <f t="shared" si="83"/>
        <v>3.1790095878929168</v>
      </c>
      <c r="Y39" s="630">
        <f t="shared" si="223"/>
        <v>-1.3535040821683118</v>
      </c>
      <c r="Z39" s="632">
        <f t="shared" si="6"/>
        <v>-0.19492480597770348</v>
      </c>
      <c r="AA39" s="629">
        <f t="shared" si="7"/>
        <v>0.97471414563247794</v>
      </c>
      <c r="AB39" s="629">
        <f t="shared" si="8"/>
        <v>-0.10925499676675361</v>
      </c>
      <c r="AC39" s="636">
        <f t="shared" si="84"/>
        <v>1</v>
      </c>
      <c r="AD39" s="637">
        <f t="shared" si="115"/>
        <v>-0.19492480597770348</v>
      </c>
      <c r="AE39" s="629">
        <f t="shared" si="85"/>
        <v>0.97471414563247794</v>
      </c>
      <c r="AF39" s="633">
        <f t="shared" si="86"/>
        <v>-0.10925499676675361</v>
      </c>
      <c r="AG39" s="602">
        <f t="shared" si="87"/>
        <v>83.604453322149652</v>
      </c>
      <c r="AH39" s="603">
        <f t="shared" si="88"/>
        <v>101.2403310015826</v>
      </c>
      <c r="AI39" s="585">
        <f t="shared" si="89"/>
        <v>-83.727628809523225</v>
      </c>
      <c r="AJ39" s="586">
        <f t="shared" si="90"/>
        <v>-168.69108622112537</v>
      </c>
      <c r="AK39" s="635">
        <f t="shared" si="211"/>
        <v>0.81060017099136195</v>
      </c>
      <c r="AL39" s="629">
        <f t="shared" si="91"/>
        <v>-0.57531791947606803</v>
      </c>
      <c r="AM39" s="634">
        <f t="shared" si="92"/>
        <v>-0.10925499676675361</v>
      </c>
      <c r="AN39" s="581">
        <f t="shared" si="93"/>
        <v>-79.247358807601202</v>
      </c>
      <c r="AO39" s="582">
        <f t="shared" si="94"/>
        <v>35.845388745189453</v>
      </c>
      <c r="AP39" s="585">
        <f t="shared" si="95"/>
        <v>-35.364966487858574</v>
      </c>
      <c r="AQ39" s="586">
        <f t="shared" si="9"/>
        <v>0.71708107153727785</v>
      </c>
      <c r="AS39" s="52">
        <f t="shared" si="116"/>
        <v>-221.33182002120805</v>
      </c>
      <c r="AT39" s="72">
        <f t="shared" si="10"/>
        <v>-1.1984164990202097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4.1239999999999997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-1.7227397657134662</v>
      </c>
      <c r="C40" s="708">
        <v>-0.64671474792450312</v>
      </c>
      <c r="D40" s="709">
        <v>-5.4900275682127138E-2</v>
      </c>
      <c r="E40" s="710">
        <v>-7.0684274818686041E-2</v>
      </c>
      <c r="F40" s="708">
        <v>-2.6535046797607997E-2</v>
      </c>
      <c r="G40" s="711">
        <v>0.99714573888915825</v>
      </c>
      <c r="H40" s="710">
        <v>0.19500000000000001</v>
      </c>
      <c r="I40" s="708">
        <v>0.21199999999999999</v>
      </c>
      <c r="J40" s="570">
        <v>4.2089999999999996</v>
      </c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Inactive</v>
      </c>
      <c r="L40" s="320"/>
      <c r="M40" s="168">
        <f t="shared" si="1"/>
        <v>4.2089999999999996</v>
      </c>
      <c r="N40" s="632">
        <f t="shared" si="2"/>
        <v>-1.7227397657134662</v>
      </c>
      <c r="O40" s="629">
        <f t="shared" si="3"/>
        <v>-0.64671474792450312</v>
      </c>
      <c r="P40" s="633">
        <f t="shared" si="4"/>
        <v>-5.4900275682127138E-2</v>
      </c>
      <c r="Q40" s="585">
        <f t="shared" si="113"/>
        <v>200.57608403478875</v>
      </c>
      <c r="R40" s="629">
        <f t="shared" si="79"/>
        <v>1.8401283285557946</v>
      </c>
      <c r="S40" s="634">
        <f t="shared" si="80"/>
        <v>-5.4900275682127138E-2</v>
      </c>
      <c r="T40" s="635">
        <f t="shared" si="81"/>
        <v>-0.70627449062296765</v>
      </c>
      <c r="U40" s="629">
        <f t="shared" si="82"/>
        <v>1.6991905747881284</v>
      </c>
      <c r="V40" s="636">
        <f t="shared" si="114"/>
        <v>-5.4900275682127138E-2</v>
      </c>
      <c r="W40" s="585">
        <f t="shared" si="224"/>
        <v>112.5703837468475</v>
      </c>
      <c r="X40" s="629">
        <f t="shared" si="83"/>
        <v>1.8401283285557946</v>
      </c>
      <c r="Y40" s="630">
        <f t="shared" si="223"/>
        <v>-5.4900275682127138E-2</v>
      </c>
      <c r="Z40" s="632">
        <f t="shared" si="6"/>
        <v>7.0684274818686041E-2</v>
      </c>
      <c r="AA40" s="629">
        <f t="shared" si="7"/>
        <v>2.6535046797607997E-2</v>
      </c>
      <c r="AB40" s="629">
        <f t="shared" si="8"/>
        <v>-0.99714573888915825</v>
      </c>
      <c r="AC40" s="636">
        <f t="shared" si="84"/>
        <v>1</v>
      </c>
      <c r="AD40" s="637">
        <f t="shared" si="115"/>
        <v>7.0684274818686041E-2</v>
      </c>
      <c r="AE40" s="629">
        <f t="shared" si="85"/>
        <v>2.6535046797607997E-2</v>
      </c>
      <c r="AF40" s="633">
        <f t="shared" si="86"/>
        <v>-0.99714573888915825</v>
      </c>
      <c r="AG40" s="602">
        <f t="shared" si="87"/>
        <v>1.5243383273082245</v>
      </c>
      <c r="AH40" s="603">
        <f t="shared" si="88"/>
        <v>85.946709364469626</v>
      </c>
      <c r="AI40" s="585">
        <f t="shared" si="89"/>
        <v>-4.3299993748448387</v>
      </c>
      <c r="AJ40" s="586">
        <f t="shared" si="90"/>
        <v>110.5762561440265</v>
      </c>
      <c r="AK40" s="635">
        <f t="shared" si="211"/>
        <v>2.2679489674465314E-7</v>
      </c>
      <c r="AL40" s="629">
        <f t="shared" si="91"/>
        <v>-7.550083055929481E-2</v>
      </c>
      <c r="AM40" s="634">
        <f t="shared" si="92"/>
        <v>-0.99714573888915825</v>
      </c>
      <c r="AN40" s="581">
        <f t="shared" si="93"/>
        <v>-4.3299993748254364</v>
      </c>
      <c r="AO40" s="582">
        <f t="shared" si="94"/>
        <v>0</v>
      </c>
      <c r="AP40" s="585">
        <f t="shared" si="95"/>
        <v>-89.999827890762234</v>
      </c>
      <c r="AQ40" s="586">
        <f t="shared" si="9"/>
        <v>1.2387024340073742</v>
      </c>
      <c r="AS40" s="52">
        <f t="shared" si="116"/>
        <v>-247.42961625315252</v>
      </c>
      <c r="AT40" s="72">
        <f t="shared" si="10"/>
        <v>0.11831077707149182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Nose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4.2089999999999996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4.109</v>
      </c>
      <c r="II40" s="734" cm="1">
        <f t="array" ref="II40">IFERROR(ROUND(VALUE(IF($IH40&lt;1,$IH40+LARGE((IF($M$9:$M$150="",0,$M$9:$M$150)-MOD(IF($M$9:$M$150="",0,$M$9:$M$150),1)),1),$IH40)),4),"")</f>
        <v>4.109</v>
      </c>
      <c r="IJ40" s="533">
        <f t="shared" si="112"/>
        <v>1313</v>
      </c>
      <c r="IK40" s="533" t="str">
        <f t="shared" si="66"/>
        <v>Inactive</v>
      </c>
      <c r="IL40" s="727">
        <f t="shared" si="225"/>
        <v>29.322695766326589</v>
      </c>
      <c r="IM40" s="759">
        <v>6.8311415237270898E-2</v>
      </c>
      <c r="IN40" s="5">
        <f t="shared" si="226"/>
        <v>0.88</v>
      </c>
      <c r="IO40" s="771">
        <v>440</v>
      </c>
      <c r="IP40" s="9">
        <f t="shared" si="227"/>
        <v>-1.8373055413135131</v>
      </c>
      <c r="IQ40" s="5">
        <f t="shared" si="228"/>
        <v>-4.4600134514005761E-2</v>
      </c>
      <c r="IR40" s="5">
        <f t="shared" si="71"/>
        <v>0.26600000000000001</v>
      </c>
      <c r="IS40" s="5">
        <f t="shared" si="229"/>
        <v>0.25639189747700447</v>
      </c>
      <c r="IT40" s="727">
        <f t="shared" si="230"/>
        <v>18.469216827256648</v>
      </c>
      <c r="IU40" s="9">
        <f t="shared" si="231"/>
        <v>-1.8401283285557946</v>
      </c>
      <c r="IV40" s="5">
        <f t="shared" si="232"/>
        <v>-5.4900275682127138E-2</v>
      </c>
      <c r="IW40" s="5">
        <f t="shared" si="76"/>
        <v>0.19500000000000001</v>
      </c>
      <c r="IX40" s="5">
        <f t="shared" si="233"/>
        <v>0.19500000000000001</v>
      </c>
      <c r="IY40" s="762">
        <f t="shared" si="234"/>
        <v>4.3299993748254364</v>
      </c>
    </row>
    <row r="41" spans="1:267" ht="15" customHeight="1" x14ac:dyDescent="0.25">
      <c r="A41" s="79"/>
      <c r="B41" s="707">
        <v>-2.2210263083149626</v>
      </c>
      <c r="C41" s="708">
        <v>-1.1707360779340992</v>
      </c>
      <c r="D41" s="709">
        <v>-0.21627603355691816</v>
      </c>
      <c r="E41" s="710">
        <v>0.25872213140927519</v>
      </c>
      <c r="F41" s="708">
        <v>-0.88813248679394519</v>
      </c>
      <c r="G41" s="711">
        <v>0.37984673833040172</v>
      </c>
      <c r="H41" s="710">
        <v>0.219</v>
      </c>
      <c r="I41" s="708">
        <v>0.42</v>
      </c>
      <c r="J41" s="570">
        <v>4.2140000000000004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1111</v>
      </c>
      <c r="L41" s="320"/>
      <c r="M41" s="168">
        <f t="shared" ref="M41:M72" si="239">IF(J41="","",VALUE(J41))</f>
        <v>4.2140000000000004</v>
      </c>
      <c r="N41" s="632">
        <f t="shared" ref="N41:N72" si="240">IF(M41="","",B41)</f>
        <v>-2.2210263083149626</v>
      </c>
      <c r="O41" s="629">
        <f t="shared" ref="O41:O72" si="241">IF(M41="","",C41)</f>
        <v>-1.1707360779340992</v>
      </c>
      <c r="P41" s="633">
        <f t="shared" ref="P41:P72" si="242">IF(M41="","",D41)</f>
        <v>-0.21627603355691816</v>
      </c>
      <c r="Q41" s="585">
        <f t="shared" si="113"/>
        <v>207.79438299259533</v>
      </c>
      <c r="R41" s="629">
        <f t="shared" si="79"/>
        <v>2.5106932959650226</v>
      </c>
      <c r="S41" s="634">
        <f t="shared" si="80"/>
        <v>-0.21627603355691816</v>
      </c>
      <c r="T41" s="635">
        <f t="shared" si="81"/>
        <v>-1.2473188236010673</v>
      </c>
      <c r="U41" s="629">
        <f t="shared" si="82"/>
        <v>2.1789393242341921</v>
      </c>
      <c r="V41" s="636">
        <f t="shared" si="114"/>
        <v>-0.21627603355691816</v>
      </c>
      <c r="W41" s="585">
        <f t="shared" si="224"/>
        <v>119.78868270465408</v>
      </c>
      <c r="X41" s="629">
        <f t="shared" si="83"/>
        <v>2.5106932959650226</v>
      </c>
      <c r="Y41" s="630">
        <f t="shared" si="223"/>
        <v>-0.21627603355691816</v>
      </c>
      <c r="Z41" s="632">
        <f t="shared" ref="Z41:Z72" si="243">IF(M41="","",-E41)</f>
        <v>-0.25872213140927519</v>
      </c>
      <c r="AA41" s="629">
        <f t="shared" ref="AA41:AA72" si="244">IF(M41="","",-F41)</f>
        <v>0.88813248679394519</v>
      </c>
      <c r="AB41" s="629">
        <f t="shared" ref="AB41:AB72" si="245">IF(M41="","",-G41)</f>
        <v>-0.37984673833040172</v>
      </c>
      <c r="AC41" s="636">
        <f t="shared" si="84"/>
        <v>1</v>
      </c>
      <c r="AD41" s="637">
        <f t="shared" si="115"/>
        <v>-0.25872213140927519</v>
      </c>
      <c r="AE41" s="629">
        <f t="shared" si="85"/>
        <v>0.88813248679394519</v>
      </c>
      <c r="AF41" s="633">
        <f t="shared" si="86"/>
        <v>-0.37984673833040172</v>
      </c>
      <c r="AG41" s="602">
        <f t="shared" si="87"/>
        <v>66.844014797293354</v>
      </c>
      <c r="AH41" s="603">
        <f t="shared" si="88"/>
        <v>104.99425145200574</v>
      </c>
      <c r="AI41" s="585">
        <f t="shared" si="89"/>
        <v>-67.675810397666922</v>
      </c>
      <c r="AJ41" s="586">
        <f t="shared" si="90"/>
        <v>-163.75861518480713</v>
      </c>
      <c r="AK41" s="635">
        <f t="shared" si="211"/>
        <v>0.90630781366099966</v>
      </c>
      <c r="AL41" s="629">
        <f t="shared" si="91"/>
        <v>-0.18526360213699331</v>
      </c>
      <c r="AM41" s="634">
        <f t="shared" si="92"/>
        <v>-0.37984673833040172</v>
      </c>
      <c r="AN41" s="581">
        <f t="shared" si="93"/>
        <v>-25.999996246065013</v>
      </c>
      <c r="AO41" s="582">
        <f t="shared" si="94"/>
        <v>24.999996390447087</v>
      </c>
      <c r="AP41" s="585">
        <f t="shared" si="95"/>
        <v>-11.552998177402474</v>
      </c>
      <c r="AQ41" s="586">
        <f t="shared" ref="AQ41:AQ72" si="246">IF(M41="","",DEGREES(ATAN(($AS$5*SIN(RADIANS(90)))/(($X41*2*PI())-($AS$5*COS(RADIANS(90)))))))</f>
        <v>0.90793081470993808</v>
      </c>
      <c r="AS41" s="52">
        <f t="shared" si="116"/>
        <v>-240.21131729534591</v>
      </c>
      <c r="AT41" s="72">
        <f t="shared" ref="AT41:AT72" si="247">IF(M41="","",Y41+(((AS41-$AS$9)*$AS$6)*-1))</f>
        <v>-4.8077688412887121E-2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4.2140000000000004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4.1139999999999999</v>
      </c>
      <c r="II41" s="734" cm="1">
        <f t="array" ref="II41">IFERROR(ROUND(VALUE(IF($IH41&lt;1,$IH41+LARGE((IF($M$9:$M$150="",0,$M$9:$M$150)-MOD(IF($M$9:$M$150="",0,$M$9:$M$150),1)),1),$IH41)),4),"")</f>
        <v>4.1139999999999999</v>
      </c>
      <c r="IJ41" s="533">
        <f t="shared" si="112"/>
        <v>1313</v>
      </c>
      <c r="IK41" s="533">
        <f t="shared" ref="IK41:IK72" si="382">IF(ISNUMBER($II41),INDEX($K$9:$K$150,MATCH($IG41,$M$9:$M$150,0)),"")</f>
        <v>1111</v>
      </c>
      <c r="IL41" s="727">
        <f t="shared" si="225"/>
        <v>20.640497019880982</v>
      </c>
      <c r="IM41" s="759">
        <v>1.3878890438258001E-2</v>
      </c>
      <c r="IN41" s="5">
        <f t="shared" si="226"/>
        <v>0.36</v>
      </c>
      <c r="IO41" s="771">
        <v>180</v>
      </c>
      <c r="IP41" s="9">
        <f t="shared" si="227"/>
        <v>-2.4851074950842045</v>
      </c>
      <c r="IQ41" s="5">
        <f t="shared" si="228"/>
        <v>-0.2458007413350356</v>
      </c>
      <c r="IR41" s="5">
        <f t="shared" ref="IR41:IR72" si="383">IF(ISNUMBER($II41),INDEX($H$9:$H$150,MATCH($II41,$M$9:$M$150,0)),"")</f>
        <v>0.26600000000000001</v>
      </c>
      <c r="IS41" s="5">
        <f t="shared" si="229"/>
        <v>0.25552166208458132</v>
      </c>
      <c r="IT41" s="727">
        <f t="shared" si="230"/>
        <v>48.152272385647066</v>
      </c>
      <c r="IU41" s="9">
        <f t="shared" si="231"/>
        <v>-2.5106932959650226</v>
      </c>
      <c r="IV41" s="5">
        <f t="shared" si="232"/>
        <v>-0.21627603355691816</v>
      </c>
      <c r="IW41" s="5">
        <f t="shared" ref="IW41:IW72" si="384">IF(ISNUMBER($II41),$H41,"")</f>
        <v>0.219</v>
      </c>
      <c r="IX41" s="5">
        <f t="shared" si="233"/>
        <v>0.19848141119175894</v>
      </c>
      <c r="IY41" s="762">
        <f t="shared" si="234"/>
        <v>25.999996246065013</v>
      </c>
    </row>
    <row r="42" spans="1:267" ht="15" customHeight="1" x14ac:dyDescent="0.25">
      <c r="A42" s="79"/>
      <c r="B42" s="707">
        <v>-2.6696016015541559</v>
      </c>
      <c r="C42" s="708">
        <v>-1.3970393506078713</v>
      </c>
      <c r="D42" s="709">
        <v>-0.67430124056863072</v>
      </c>
      <c r="E42" s="710">
        <v>0.12959964168785634</v>
      </c>
      <c r="F42" s="708">
        <v>-0.94660524334694796</v>
      </c>
      <c r="G42" s="711">
        <v>0.29519899414199358</v>
      </c>
      <c r="H42" s="710">
        <v>0.219</v>
      </c>
      <c r="I42" s="708">
        <v>0.42</v>
      </c>
      <c r="J42" s="570">
        <v>4.2190000000000003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1111</v>
      </c>
      <c r="L42" s="320"/>
      <c r="M42" s="168">
        <f t="shared" si="239"/>
        <v>4.2190000000000003</v>
      </c>
      <c r="N42" s="632">
        <f t="shared" si="240"/>
        <v>-2.6696016015541559</v>
      </c>
      <c r="O42" s="629">
        <f t="shared" si="241"/>
        <v>-1.3970393506078713</v>
      </c>
      <c r="P42" s="633">
        <f t="shared" si="242"/>
        <v>-0.67430124056863072</v>
      </c>
      <c r="Q42" s="585">
        <f t="shared" si="113"/>
        <v>207.62368301724138</v>
      </c>
      <c r="R42" s="629">
        <f t="shared" ref="R42:R47" si="385">IF(M42="","",SQRT(N42^2+O42^2))</f>
        <v>3.0130535438600119</v>
      </c>
      <c r="S42" s="634">
        <f t="shared" ref="S42:S47" si="386">IF(M42="","",P42)</f>
        <v>-0.67430124056863072</v>
      </c>
      <c r="T42" s="635">
        <f t="shared" ref="T42:T47" si="387">IF(M42="","",X42*COS(RADIANS(W42)))</f>
        <v>-1.4890954739276052</v>
      </c>
      <c r="U42" s="629">
        <f t="shared" ref="U42:U47" si="388">IF(M42="","",X42*SIN(RADIANS(W42)))</f>
        <v>2.6193675434531327</v>
      </c>
      <c r="V42" s="636">
        <f t="shared" ref="V42:V47" si="389">IF(M42="","",Y42)</f>
        <v>-0.67430124056863072</v>
      </c>
      <c r="W42" s="585">
        <f t="shared" si="224"/>
        <v>119.61798272930012</v>
      </c>
      <c r="X42" s="629">
        <f t="shared" ref="X42:X47" si="390">IF(M42="","",R42)</f>
        <v>3.0130535438600119</v>
      </c>
      <c r="Y42" s="630">
        <f t="shared" si="223"/>
        <v>-0.67430124056863072</v>
      </c>
      <c r="Z42" s="632">
        <f t="shared" si="243"/>
        <v>-0.12959964168785634</v>
      </c>
      <c r="AA42" s="629">
        <f t="shared" si="244"/>
        <v>0.94660524334694796</v>
      </c>
      <c r="AB42" s="629">
        <f t="shared" si="245"/>
        <v>-0.29519899414199358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-0.12959964168785634</v>
      </c>
      <c r="AE42" s="629">
        <f t="shared" ref="AE42:AE47" si="393">IF(M42="","",AA42*(1/SQRT(Z42^2+AA42^2+AB42^2)))</f>
        <v>0.94660524334694796</v>
      </c>
      <c r="AF42" s="633">
        <f t="shared" ref="AF42:AF47" si="394">IF(M42="","",AB42*(1/SQRT(Z42^2+AA42^2+AB42^2)))</f>
        <v>-0.29519899414199358</v>
      </c>
      <c r="AG42" s="602">
        <f t="shared" ref="AG42:AG47" si="395">IF(M42="","",DEGREES(ATAN2(-AF42,AE42)))</f>
        <v>72.679902308716677</v>
      </c>
      <c r="AH42" s="603">
        <f t="shared" ref="AH42:AH47" si="396">IF(M42="","",DEGREES(ACOS(AD42)))</f>
        <v>97.446457761412589</v>
      </c>
      <c r="AI42" s="585">
        <f t="shared" ref="AI42:AI47" si="397">IF(M42="","",DEGREES(-ACOS(-AF42)))</f>
        <v>-72.830529688557633</v>
      </c>
      <c r="AJ42" s="586">
        <f t="shared" ref="AJ42:AJ47" si="398">IF(M42="","",DEGREES(ATAN2(-AE42,AD42)))</f>
        <v>-172.20410826305385</v>
      </c>
      <c r="AK42" s="635">
        <f t="shared" ref="AK42:AK47" si="399">IF(M42="","",(COS(RADIANS((90-$Q$8)-W42))*AD42)+(-SIN(RADIANS((90-$Q$8)-W42))*AE42))</f>
        <v>0.89879407502059638</v>
      </c>
      <c r="AL42" s="629">
        <f t="shared" ref="AL42:AL47" si="400">IF(M42="","",(SIN(RADIANS((90-$Q$8)-W42))*AD42)+(COS(RADIANS((90-$Q$8)-W42))*AE42))</f>
        <v>-0.32407833091002231</v>
      </c>
      <c r="AM42" s="634">
        <f t="shared" ref="AM42:AM47" si="401">IF(M42="","",AF42)</f>
        <v>-0.29519899414199358</v>
      </c>
      <c r="AN42" s="581">
        <f t="shared" ref="AN42:AN47" si="402">IF(M42="","",DEGREES(ATAN2(-AM42,AL42)))</f>
        <v>-47.669993117304493</v>
      </c>
      <c r="AO42" s="582">
        <f t="shared" si="94"/>
        <v>25.999996246064981</v>
      </c>
      <c r="AP42" s="585">
        <f t="shared" ref="AP42:AP47" si="403">IF(M42="","",DEGREES(ATAN2(AK42,AL42)))</f>
        <v>-19.827791280295251</v>
      </c>
      <c r="AQ42" s="586">
        <f t="shared" si="246"/>
        <v>0.75657272487840999</v>
      </c>
      <c r="AS42" s="52">
        <f t="shared" si="116"/>
        <v>-240.38201727069986</v>
      </c>
      <c r="AT42" s="72">
        <f t="shared" si="247"/>
        <v>-0.50598435377504836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4.2190000000000003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4.1189999999999998</v>
      </c>
      <c r="II42" s="734" cm="1">
        <f t="array" ref="II42">IFERROR(ROUND(VALUE(IF($IH42&lt;1,$IH42+LARGE((IF($M$9:$M$150="",0,$M$9:$M$150)-MOD(IF($M$9:$M$150="",0,$M$9:$M$150),1)),1),$IH42)),4),"")</f>
        <v>4.1189999999999998</v>
      </c>
      <c r="IJ42" s="533">
        <f t="shared" si="112"/>
        <v>1313</v>
      </c>
      <c r="IK42" s="533">
        <f t="shared" si="382"/>
        <v>1111</v>
      </c>
      <c r="IL42" s="727">
        <f t="shared" si="225"/>
        <v>19.594997170832428</v>
      </c>
      <c r="IM42" s="759">
        <v>3.8048356650119599E-3</v>
      </c>
      <c r="IN42" s="5">
        <f t="shared" si="226"/>
        <v>0.26</v>
      </c>
      <c r="IO42" s="771">
        <v>130</v>
      </c>
      <c r="IP42" s="9">
        <f t="shared" si="227"/>
        <v>-2.9696089563406125</v>
      </c>
      <c r="IQ42" s="5">
        <f t="shared" si="228"/>
        <v>-0.69210208737989554</v>
      </c>
      <c r="IR42" s="5">
        <f t="shared" si="383"/>
        <v>0.26600000000000001</v>
      </c>
      <c r="IS42" s="5">
        <f t="shared" si="229"/>
        <v>0.25344214217523436</v>
      </c>
      <c r="IT42" s="727">
        <f t="shared" si="230"/>
        <v>73.537429145700258</v>
      </c>
      <c r="IU42" s="9">
        <f t="shared" si="231"/>
        <v>-3.0130535438600119</v>
      </c>
      <c r="IV42" s="5">
        <f t="shared" si="232"/>
        <v>-0.67430124056863072</v>
      </c>
      <c r="IW42" s="5">
        <f t="shared" si="384"/>
        <v>0.219</v>
      </c>
      <c r="IX42" s="5">
        <f t="shared" si="233"/>
        <v>0.1968359024295106</v>
      </c>
      <c r="IY42" s="762">
        <f t="shared" si="234"/>
        <v>47.669993117304493</v>
      </c>
    </row>
    <row r="43" spans="1:267" ht="15" customHeight="1" x14ac:dyDescent="0.25">
      <c r="A43" s="79"/>
      <c r="B43" s="707">
        <v>-1.565008792393801</v>
      </c>
      <c r="C43" s="708">
        <v>0.65876313747454396</v>
      </c>
      <c r="D43" s="709">
        <v>-4.030012154516658E-2</v>
      </c>
      <c r="E43" s="710">
        <v>-0.42559116845627259</v>
      </c>
      <c r="F43" s="708">
        <v>-0.86723322687826243</v>
      </c>
      <c r="G43" s="711">
        <v>0.25841572616685132</v>
      </c>
      <c r="H43" s="710">
        <v>0.26600000000000001</v>
      </c>
      <c r="I43" s="708">
        <v>0.52</v>
      </c>
      <c r="J43" s="570">
        <v>5.1079999999999997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5.1079999999999997</v>
      </c>
      <c r="N43" s="632">
        <f t="shared" si="240"/>
        <v>-1.565008792393801</v>
      </c>
      <c r="O43" s="629">
        <f t="shared" si="241"/>
        <v>0.65876313747454396</v>
      </c>
      <c r="P43" s="633">
        <f t="shared" si="242"/>
        <v>-4.030012154516658E-2</v>
      </c>
      <c r="Q43" s="585">
        <f t="shared" si="113"/>
        <v>157.17219030153566</v>
      </c>
      <c r="R43" s="629">
        <f t="shared" si="385"/>
        <v>1.6980051211834457</v>
      </c>
      <c r="S43" s="634">
        <f t="shared" si="386"/>
        <v>-4.030012154516658E-2</v>
      </c>
      <c r="T43" s="635">
        <f t="shared" si="387"/>
        <v>0.60390170787680797</v>
      </c>
      <c r="U43" s="629">
        <f t="shared" si="388"/>
        <v>1.5869858596687882</v>
      </c>
      <c r="V43" s="636">
        <f t="shared" si="389"/>
        <v>-4.030012154516658E-2</v>
      </c>
      <c r="W43" s="585">
        <f t="shared" si="224"/>
        <v>69.166490013594412</v>
      </c>
      <c r="X43" s="629">
        <f t="shared" si="390"/>
        <v>1.6980051211834457</v>
      </c>
      <c r="Y43" s="630">
        <f t="shared" si="223"/>
        <v>-4.030012154516658E-2</v>
      </c>
      <c r="Z43" s="632">
        <f t="shared" si="243"/>
        <v>0.42559116845627259</v>
      </c>
      <c r="AA43" s="629">
        <f t="shared" si="244"/>
        <v>0.86723322687826243</v>
      </c>
      <c r="AB43" s="629">
        <f t="shared" si="245"/>
        <v>-0.25841572616685132</v>
      </c>
      <c r="AC43" s="636">
        <f t="shared" si="391"/>
        <v>1</v>
      </c>
      <c r="AD43" s="637">
        <f t="shared" si="392"/>
        <v>0.42559116845627259</v>
      </c>
      <c r="AE43" s="629">
        <f t="shared" si="393"/>
        <v>0.86723322687826243</v>
      </c>
      <c r="AF43" s="633">
        <f t="shared" si="394"/>
        <v>-0.25841572616685132</v>
      </c>
      <c r="AG43" s="602">
        <f t="shared" si="395"/>
        <v>73.407143377743779</v>
      </c>
      <c r="AH43" s="603">
        <f t="shared" si="396"/>
        <v>64.811911815629628</v>
      </c>
      <c r="AI43" s="585">
        <f t="shared" si="397"/>
        <v>-75.023922314008232</v>
      </c>
      <c r="AJ43" s="586">
        <f t="shared" si="398"/>
        <v>153.86069270911906</v>
      </c>
      <c r="AK43" s="635">
        <f t="shared" si="399"/>
        <v>0.96442076534663246</v>
      </c>
      <c r="AL43" s="629">
        <f t="shared" si="400"/>
        <v>-5.5802328247798016E-2</v>
      </c>
      <c r="AM43" s="634">
        <f t="shared" si="401"/>
        <v>-0.25841572616685132</v>
      </c>
      <c r="AN43" s="581">
        <f t="shared" si="402"/>
        <v>-12.18535635452313</v>
      </c>
      <c r="AO43" s="582">
        <f t="shared" si="94"/>
        <v>15.329643989767053</v>
      </c>
      <c r="AP43" s="585">
        <f t="shared" si="403"/>
        <v>-3.3114975924165821</v>
      </c>
      <c r="AQ43" s="586">
        <f t="shared" si="246"/>
        <v>1.342345487514051</v>
      </c>
      <c r="AS43" s="52">
        <f t="shared" ref="AS43:AS74" si="406">IF(G43="","",IF(AND(W43&lt;(AS42+180),W43&gt;(AS42-180)),W43,IF(W43&gt;(AS42+180),W43-360,IF(W43&lt;(AS42-180),W43+360,"Error"))))</f>
        <v>-290.8335099864056</v>
      </c>
      <c r="AT43" s="72">
        <f t="shared" si="247"/>
        <v>0.16305252407876702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5.1079999999999997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-2.1580544735970704</v>
      </c>
      <c r="C44" s="708">
        <v>0.97359691291618677</v>
      </c>
      <c r="D44" s="709">
        <v>-0.18420055554887554</v>
      </c>
      <c r="E44" s="710">
        <v>-0.56491642395010855</v>
      </c>
      <c r="F44" s="708">
        <v>-0.79972833342934546</v>
      </c>
      <c r="G44" s="711">
        <v>0.20323392104110699</v>
      </c>
      <c r="H44" s="710">
        <v>0.26600000000000001</v>
      </c>
      <c r="I44" s="708">
        <v>0.52</v>
      </c>
      <c r="J44" s="570">
        <v>5.1130000000000004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5.1130000000000004</v>
      </c>
      <c r="N44" s="632">
        <f t="shared" si="240"/>
        <v>-2.1580544735970704</v>
      </c>
      <c r="O44" s="629">
        <f t="shared" si="241"/>
        <v>0.97359691291618677</v>
      </c>
      <c r="P44" s="633">
        <f t="shared" si="242"/>
        <v>-0.18420055554887554</v>
      </c>
      <c r="Q44" s="585">
        <f t="shared" si="113"/>
        <v>155.71769051153944</v>
      </c>
      <c r="R44" s="629">
        <f t="shared" si="385"/>
        <v>2.3675071404015355</v>
      </c>
      <c r="S44" s="634">
        <f t="shared" si="386"/>
        <v>-0.18420055554887554</v>
      </c>
      <c r="T44" s="635">
        <f t="shared" si="387"/>
        <v>0.8979067564325679</v>
      </c>
      <c r="U44" s="629">
        <f t="shared" si="388"/>
        <v>2.1906285665545862</v>
      </c>
      <c r="V44" s="636">
        <f t="shared" si="389"/>
        <v>-0.18420055554887554</v>
      </c>
      <c r="W44" s="585">
        <f t="shared" si="224"/>
        <v>67.711990223598193</v>
      </c>
      <c r="X44" s="629">
        <f t="shared" si="390"/>
        <v>2.3675071404015355</v>
      </c>
      <c r="Y44" s="630">
        <f t="shared" si="223"/>
        <v>-0.18420055554887554</v>
      </c>
      <c r="Z44" s="632">
        <f t="shared" si="243"/>
        <v>0.56491642395010855</v>
      </c>
      <c r="AA44" s="629">
        <f t="shared" si="244"/>
        <v>0.79972833342934546</v>
      </c>
      <c r="AB44" s="629">
        <f t="shared" si="245"/>
        <v>-0.20323392104110699</v>
      </c>
      <c r="AC44" s="636">
        <f t="shared" si="391"/>
        <v>1</v>
      </c>
      <c r="AD44" s="637">
        <f t="shared" si="392"/>
        <v>0.56491642395010855</v>
      </c>
      <c r="AE44" s="629">
        <f t="shared" si="393"/>
        <v>0.79972833342934546</v>
      </c>
      <c r="AF44" s="633">
        <f t="shared" si="394"/>
        <v>-0.20323392104110699</v>
      </c>
      <c r="AG44" s="602">
        <f t="shared" si="395"/>
        <v>75.741331810963544</v>
      </c>
      <c r="AH44" s="603">
        <f t="shared" si="396"/>
        <v>55.603512158787183</v>
      </c>
      <c r="AI44" s="585">
        <f t="shared" si="397"/>
        <v>-78.273866033343779</v>
      </c>
      <c r="AJ44" s="586">
        <f t="shared" si="398"/>
        <v>144.76317416934879</v>
      </c>
      <c r="AK44" s="635">
        <f t="shared" si="399"/>
        <v>0.96128884056798003</v>
      </c>
      <c r="AL44" s="629">
        <f t="shared" si="400"/>
        <v>-0.1860638017931644</v>
      </c>
      <c r="AM44" s="634">
        <f t="shared" si="401"/>
        <v>-0.20323392104110699</v>
      </c>
      <c r="AN44" s="581">
        <f t="shared" si="402"/>
        <v>-42.474585271961104</v>
      </c>
      <c r="AO44" s="582">
        <f t="shared" si="94"/>
        <v>15.994356570878328</v>
      </c>
      <c r="AP44" s="585">
        <f t="shared" si="403"/>
        <v>-10.954516342190633</v>
      </c>
      <c r="AQ44" s="586">
        <f t="shared" si="246"/>
        <v>0.96283216852060716</v>
      </c>
      <c r="AS44" s="52">
        <f t="shared" si="406"/>
        <v>-292.28800977640179</v>
      </c>
      <c r="AT44" s="72">
        <f t="shared" si="247"/>
        <v>2.0162159373666527E-2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5.1130000000000004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-2.6060495125051517</v>
      </c>
      <c r="C45" s="708">
        <v>1.2471788552942451</v>
      </c>
      <c r="D45" s="709">
        <v>-0.58660176919093587</v>
      </c>
      <c r="E45" s="710">
        <v>-0.66470955580544466</v>
      </c>
      <c r="F45" s="708">
        <v>-0.73880124711356654</v>
      </c>
      <c r="G45" s="711">
        <v>0.11105819953685267</v>
      </c>
      <c r="H45" s="710">
        <v>0.26600000000000001</v>
      </c>
      <c r="I45" s="708">
        <v>0.52</v>
      </c>
      <c r="J45" s="570">
        <v>5.1180000000000003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5.1180000000000003</v>
      </c>
      <c r="N45" s="632">
        <f t="shared" si="240"/>
        <v>-2.6060495125051517</v>
      </c>
      <c r="O45" s="629">
        <f t="shared" si="241"/>
        <v>1.2471788552942451</v>
      </c>
      <c r="P45" s="633">
        <f t="shared" si="242"/>
        <v>-0.58660176919093587</v>
      </c>
      <c r="Q45" s="585">
        <f t="shared" si="113"/>
        <v>154.42559069809556</v>
      </c>
      <c r="R45" s="629">
        <f t="shared" si="385"/>
        <v>2.8891087135518805</v>
      </c>
      <c r="S45" s="634">
        <f t="shared" si="386"/>
        <v>-0.58660176919093587</v>
      </c>
      <c r="T45" s="635">
        <f t="shared" si="387"/>
        <v>1.1557327306650984</v>
      </c>
      <c r="U45" s="629">
        <f t="shared" si="388"/>
        <v>2.6478729225532702</v>
      </c>
      <c r="V45" s="636">
        <f t="shared" si="389"/>
        <v>-0.58660176919093587</v>
      </c>
      <c r="W45" s="585">
        <f t="shared" si="224"/>
        <v>66.419890410154309</v>
      </c>
      <c r="X45" s="629">
        <f t="shared" si="390"/>
        <v>2.8891087135518805</v>
      </c>
      <c r="Y45" s="630">
        <f t="shared" si="223"/>
        <v>-0.58660176919093587</v>
      </c>
      <c r="Z45" s="632">
        <f t="shared" si="243"/>
        <v>0.66470955580544466</v>
      </c>
      <c r="AA45" s="629">
        <f t="shared" si="244"/>
        <v>0.73880124711356654</v>
      </c>
      <c r="AB45" s="629">
        <f t="shared" si="245"/>
        <v>-0.11105819953685267</v>
      </c>
      <c r="AC45" s="636">
        <f t="shared" si="391"/>
        <v>1</v>
      </c>
      <c r="AD45" s="637">
        <f t="shared" si="392"/>
        <v>0.66470955580544466</v>
      </c>
      <c r="AE45" s="629">
        <f t="shared" si="393"/>
        <v>0.73880124711356654</v>
      </c>
      <c r="AF45" s="633">
        <f t="shared" si="394"/>
        <v>-0.11105819953685267</v>
      </c>
      <c r="AG45" s="602">
        <f t="shared" si="395"/>
        <v>81.451182990963616</v>
      </c>
      <c r="AH45" s="603">
        <f t="shared" si="396"/>
        <v>48.339952834809715</v>
      </c>
      <c r="AI45" s="585">
        <f t="shared" si="397"/>
        <v>-83.623680281089861</v>
      </c>
      <c r="AJ45" s="586">
        <f t="shared" si="398"/>
        <v>138.02185370591513</v>
      </c>
      <c r="AK45" s="635">
        <f t="shared" si="399"/>
        <v>0.95336126324054593</v>
      </c>
      <c r="AL45" s="629">
        <f t="shared" si="400"/>
        <v>-0.28065704706638561</v>
      </c>
      <c r="AM45" s="634">
        <f t="shared" si="401"/>
        <v>-0.11105819953685267</v>
      </c>
      <c r="AN45" s="581">
        <f t="shared" si="402"/>
        <v>-68.410905069777499</v>
      </c>
      <c r="AO45" s="582">
        <f t="shared" si="94"/>
        <v>17.567645232956206</v>
      </c>
      <c r="AP45" s="585">
        <f t="shared" si="403"/>
        <v>-16.40373699218042</v>
      </c>
      <c r="AQ45" s="586">
        <f t="shared" si="246"/>
        <v>0.78902621690137409</v>
      </c>
      <c r="AS45" s="52">
        <f t="shared" si="406"/>
        <v>-293.58010958984568</v>
      </c>
      <c r="AT45" s="72">
        <f t="shared" si="247"/>
        <v>-0.38134176273128001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5.1180000000000003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-2.8204068029877671</v>
      </c>
      <c r="C46" s="708">
        <v>1.3899595648927989</v>
      </c>
      <c r="D46" s="709">
        <v>-1.2235036900871292</v>
      </c>
      <c r="E46" s="710">
        <v>-0.76610149410758321</v>
      </c>
      <c r="F46" s="708">
        <v>-0.64196148872555336</v>
      </c>
      <c r="G46" s="711">
        <v>3.1208135468176468E-2</v>
      </c>
      <c r="H46" s="710">
        <v>0.26600000000000001</v>
      </c>
      <c r="I46" s="708">
        <v>0.52</v>
      </c>
      <c r="J46" s="570">
        <v>5.1230000000000002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5.1230000000000002</v>
      </c>
      <c r="N46" s="632">
        <f t="shared" si="240"/>
        <v>-2.8204068029877671</v>
      </c>
      <c r="O46" s="629">
        <f t="shared" si="241"/>
        <v>1.3899595648927989</v>
      </c>
      <c r="P46" s="633">
        <f t="shared" si="242"/>
        <v>-1.2235036900871292</v>
      </c>
      <c r="Q46" s="585">
        <f t="shared" si="113"/>
        <v>153.76489079348886</v>
      </c>
      <c r="R46" s="629">
        <f t="shared" si="385"/>
        <v>3.1443094832374014</v>
      </c>
      <c r="S46" s="634">
        <f t="shared" si="386"/>
        <v>-1.2235036900871292</v>
      </c>
      <c r="T46" s="635">
        <f t="shared" si="387"/>
        <v>1.2909673087985296</v>
      </c>
      <c r="U46" s="629">
        <f t="shared" si="388"/>
        <v>2.8670691540299718</v>
      </c>
      <c r="V46" s="636">
        <f t="shared" si="389"/>
        <v>-1.2235036900871292</v>
      </c>
      <c r="W46" s="585">
        <f t="shared" si="224"/>
        <v>65.759190505547608</v>
      </c>
      <c r="X46" s="629">
        <f t="shared" si="390"/>
        <v>3.1443094832374014</v>
      </c>
      <c r="Y46" s="630">
        <f t="shared" si="223"/>
        <v>-1.2235036900871292</v>
      </c>
      <c r="Z46" s="632">
        <f t="shared" si="243"/>
        <v>0.76610149410758321</v>
      </c>
      <c r="AA46" s="629">
        <f t="shared" si="244"/>
        <v>0.64196148872555336</v>
      </c>
      <c r="AB46" s="629">
        <f t="shared" si="245"/>
        <v>-3.1208135468176468E-2</v>
      </c>
      <c r="AC46" s="636">
        <f t="shared" si="391"/>
        <v>1</v>
      </c>
      <c r="AD46" s="637">
        <f t="shared" si="392"/>
        <v>0.76610149410758321</v>
      </c>
      <c r="AE46" s="629">
        <f t="shared" si="393"/>
        <v>0.64196148872555336</v>
      </c>
      <c r="AF46" s="633">
        <f t="shared" si="394"/>
        <v>-3.1208135468176468E-2</v>
      </c>
      <c r="AG46" s="602">
        <f t="shared" si="395"/>
        <v>87.216830173254948</v>
      </c>
      <c r="AH46" s="603">
        <f t="shared" si="396"/>
        <v>39.994914410740435</v>
      </c>
      <c r="AI46" s="585">
        <f t="shared" si="397"/>
        <v>-88.211615172164898</v>
      </c>
      <c r="AJ46" s="586">
        <f t="shared" si="398"/>
        <v>129.96162080220236</v>
      </c>
      <c r="AK46" s="635">
        <f t="shared" si="399"/>
        <v>0.91449097641324739</v>
      </c>
      <c r="AL46" s="629">
        <f t="shared" si="400"/>
        <v>-0.40340092506010145</v>
      </c>
      <c r="AM46" s="634">
        <f t="shared" si="401"/>
        <v>-3.1208135468176468E-2</v>
      </c>
      <c r="AN46" s="581">
        <f t="shared" si="402"/>
        <v>-85.576262066682446</v>
      </c>
      <c r="AO46" s="582">
        <f t="shared" si="94"/>
        <v>23.866457923196787</v>
      </c>
      <c r="AP46" s="585">
        <f t="shared" si="403"/>
        <v>-23.80326999128652</v>
      </c>
      <c r="AQ46" s="586">
        <f t="shared" si="246"/>
        <v>0.72499382532967582</v>
      </c>
      <c r="AS46" s="52">
        <f t="shared" si="406"/>
        <v>-294.24080949445238</v>
      </c>
      <c r="AT46" s="72">
        <f t="shared" si="247"/>
        <v>-1.0177848642492742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5.1230000000000002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-2.8492968078430292</v>
      </c>
      <c r="C47" s="708">
        <v>1.4098261101038734</v>
      </c>
      <c r="D47" s="709">
        <v>-1.8677056330001891</v>
      </c>
      <c r="E47" s="710">
        <v>-0.87513318864203815</v>
      </c>
      <c r="F47" s="708">
        <v>-0.47138651637347018</v>
      </c>
      <c r="G47" s="711">
        <v>0.10925499676675329</v>
      </c>
      <c r="H47" s="710">
        <v>0.26600000000000001</v>
      </c>
      <c r="I47" s="708">
        <v>0.52</v>
      </c>
      <c r="J47" s="570">
        <v>5.1280000000000001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5.1280000000000001</v>
      </c>
      <c r="N47" s="632">
        <f t="shared" si="240"/>
        <v>-2.8492968078430292</v>
      </c>
      <c r="O47" s="629">
        <f t="shared" si="241"/>
        <v>1.4098261101038734</v>
      </c>
      <c r="P47" s="633">
        <f t="shared" si="242"/>
        <v>-1.8677056330001891</v>
      </c>
      <c r="Q47" s="585">
        <f t="shared" si="113"/>
        <v>153.67389080662761</v>
      </c>
      <c r="R47" s="629">
        <f t="shared" si="385"/>
        <v>3.1790095878929172</v>
      </c>
      <c r="S47" s="634">
        <f t="shared" si="386"/>
        <v>-1.8677056330001891</v>
      </c>
      <c r="T47" s="635">
        <f t="shared" si="387"/>
        <v>1.3098164465841939</v>
      </c>
      <c r="U47" s="629">
        <f t="shared" si="388"/>
        <v>2.8966330171722912</v>
      </c>
      <c r="V47" s="636">
        <f t="shared" si="389"/>
        <v>-1.8677056330001891</v>
      </c>
      <c r="W47" s="585">
        <f t="shared" si="224"/>
        <v>65.668190518686359</v>
      </c>
      <c r="X47" s="629">
        <f t="shared" si="390"/>
        <v>3.1790095878929172</v>
      </c>
      <c r="Y47" s="630">
        <f t="shared" si="223"/>
        <v>-1.8677056330001891</v>
      </c>
      <c r="Z47" s="632">
        <f t="shared" si="243"/>
        <v>0.87513318864203815</v>
      </c>
      <c r="AA47" s="629">
        <f t="shared" si="244"/>
        <v>0.47138651637347018</v>
      </c>
      <c r="AB47" s="629">
        <f t="shared" si="245"/>
        <v>-0.10925499676675329</v>
      </c>
      <c r="AC47" s="636">
        <f t="shared" si="391"/>
        <v>1</v>
      </c>
      <c r="AD47" s="637">
        <f t="shared" si="392"/>
        <v>0.87513318864203815</v>
      </c>
      <c r="AE47" s="629">
        <f t="shared" si="393"/>
        <v>0.47138651637347018</v>
      </c>
      <c r="AF47" s="633">
        <f t="shared" si="394"/>
        <v>-0.10925499676675329</v>
      </c>
      <c r="AG47" s="602">
        <f t="shared" si="395"/>
        <v>76.950753355273108</v>
      </c>
      <c r="AH47" s="603">
        <f t="shared" si="396"/>
        <v>28.939257621171816</v>
      </c>
      <c r="AI47" s="585">
        <f t="shared" si="397"/>
        <v>-83.727628809523239</v>
      </c>
      <c r="AJ47" s="586">
        <f t="shared" si="398"/>
        <v>118.30892431876907</v>
      </c>
      <c r="AK47" s="635">
        <f t="shared" si="399"/>
        <v>0.81060017099136228</v>
      </c>
      <c r="AL47" s="629">
        <f t="shared" si="400"/>
        <v>-0.5753179194760677</v>
      </c>
      <c r="AM47" s="634">
        <f t="shared" si="401"/>
        <v>-0.10925499676675329</v>
      </c>
      <c r="AN47" s="581">
        <f t="shared" si="402"/>
        <v>-79.247358807601216</v>
      </c>
      <c r="AO47" s="582">
        <f t="shared" si="94"/>
        <v>35.845388745189425</v>
      </c>
      <c r="AP47" s="585">
        <f t="shared" si="403"/>
        <v>-35.364966487858545</v>
      </c>
      <c r="AQ47" s="586">
        <f t="shared" si="246"/>
        <v>0.71708107153727774</v>
      </c>
      <c r="AS47" s="52">
        <f t="shared" si="406"/>
        <v>-294.33180948131366</v>
      </c>
      <c r="AT47" s="72">
        <f t="shared" si="247"/>
        <v>-1.6619236127270138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5.1280000000000001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-1.680878158893707</v>
      </c>
      <c r="C48" s="708">
        <v>1.6977198425557212</v>
      </c>
      <c r="D48" s="709">
        <v>-0.15329694137528721</v>
      </c>
      <c r="E48" s="710">
        <v>-0.75383982282053186</v>
      </c>
      <c r="F48" s="708">
        <v>-0.52675693706573279</v>
      </c>
      <c r="G48" s="711">
        <v>0.39275011239086499</v>
      </c>
      <c r="H48" s="710">
        <v>0.219</v>
      </c>
      <c r="I48" s="708">
        <v>0.42</v>
      </c>
      <c r="J48" s="570">
        <v>5.2130000000000001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1111</v>
      </c>
      <c r="L48" s="320"/>
      <c r="M48" s="168">
        <f t="shared" si="239"/>
        <v>5.2130000000000001</v>
      </c>
      <c r="N48" s="632">
        <f t="shared" si="240"/>
        <v>-1.680878158893707</v>
      </c>
      <c r="O48" s="629">
        <f t="shared" si="241"/>
        <v>1.6977198425557212</v>
      </c>
      <c r="P48" s="633">
        <f t="shared" si="242"/>
        <v>-0.15329694137528721</v>
      </c>
      <c r="Q48" s="585">
        <f t="shared" si="113"/>
        <v>134.71439354404035</v>
      </c>
      <c r="R48" s="629">
        <f t="shared" si="79"/>
        <v>2.3890592392934336</v>
      </c>
      <c r="S48" s="634">
        <f t="shared" si="80"/>
        <v>-0.15329694137528721</v>
      </c>
      <c r="T48" s="635">
        <f t="shared" si="81"/>
        <v>1.6381968489639063</v>
      </c>
      <c r="U48" s="629">
        <f t="shared" si="82"/>
        <v>1.738940807761451</v>
      </c>
      <c r="V48" s="636">
        <f t="shared" si="114"/>
        <v>-0.15329694137528721</v>
      </c>
      <c r="W48" s="585">
        <f t="shared" si="224"/>
        <v>46.708693256099096</v>
      </c>
      <c r="X48" s="629">
        <f t="shared" si="83"/>
        <v>2.3890592392934336</v>
      </c>
      <c r="Y48" s="630">
        <f t="shared" si="223"/>
        <v>-0.15329694137528721</v>
      </c>
      <c r="Z48" s="632">
        <f t="shared" si="243"/>
        <v>0.75383982282053186</v>
      </c>
      <c r="AA48" s="629">
        <f t="shared" si="244"/>
        <v>0.52675693706573279</v>
      </c>
      <c r="AB48" s="629">
        <f t="shared" si="245"/>
        <v>-0.39275011239086499</v>
      </c>
      <c r="AC48" s="636">
        <f t="shared" si="84"/>
        <v>1</v>
      </c>
      <c r="AD48" s="637">
        <f t="shared" si="115"/>
        <v>0.75383982282053186</v>
      </c>
      <c r="AE48" s="629">
        <f t="shared" si="85"/>
        <v>0.52675693706573279</v>
      </c>
      <c r="AF48" s="633">
        <f t="shared" si="86"/>
        <v>-0.39275011239086499</v>
      </c>
      <c r="AG48" s="602">
        <f t="shared" si="87"/>
        <v>53.291778526644499</v>
      </c>
      <c r="AH48" s="603">
        <f t="shared" si="88"/>
        <v>41.075900945793805</v>
      </c>
      <c r="AI48" s="585">
        <f t="shared" si="89"/>
        <v>-66.874271983484121</v>
      </c>
      <c r="AJ48" s="586">
        <f t="shared" si="90"/>
        <v>124.94450523424868</v>
      </c>
      <c r="AK48" s="635">
        <f t="shared" si="211"/>
        <v>0.90630781366099966</v>
      </c>
      <c r="AL48" s="629">
        <f t="shared" si="91"/>
        <v>-0.15605606721297899</v>
      </c>
      <c r="AM48" s="634">
        <f t="shared" si="92"/>
        <v>-0.39275011239086499</v>
      </c>
      <c r="AN48" s="581">
        <f t="shared" si="93"/>
        <v>-21.669996871239604</v>
      </c>
      <c r="AO48" s="582">
        <f t="shared" si="94"/>
        <v>24.999996390447087</v>
      </c>
      <c r="AP48" s="585">
        <f t="shared" si="95"/>
        <v>-9.7698883097916607</v>
      </c>
      <c r="AQ48" s="586">
        <f t="shared" si="246"/>
        <v>0.95414791321669057</v>
      </c>
      <c r="AS48" s="52">
        <f t="shared" si="406"/>
        <v>-313.29130674390092</v>
      </c>
      <c r="AT48" s="72">
        <f t="shared" si="247"/>
        <v>6.5651396441351456E-2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5.2130000000000001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0.113</v>
      </c>
      <c r="II48" s="734" cm="1">
        <f t="array" ref="II48">IFERROR(ROUND(VALUE(IF($IH48&lt;1,$IH48+LARGE((IF($M$9:$M$150="",0,$M$9:$M$150)-MOD(IF($M$9:$M$150="",0,$M$9:$M$150),1)),1),$IH48)),4),"")</f>
        <v>5.1130000000000004</v>
      </c>
      <c r="IJ48" s="533">
        <f t="shared" si="112"/>
        <v>1313</v>
      </c>
      <c r="IK48" s="533">
        <f t="shared" si="382"/>
        <v>1111</v>
      </c>
      <c r="IL48" s="727">
        <f t="shared" si="225"/>
        <v>21.003296967499097</v>
      </c>
      <c r="IM48" s="759">
        <v>1.58842199436286E-2</v>
      </c>
      <c r="IN48" s="5">
        <f t="shared" si="226"/>
        <v>0.36</v>
      </c>
      <c r="IO48" s="771">
        <v>180</v>
      </c>
      <c r="IP48" s="9">
        <f t="shared" si="227"/>
        <v>-2.3675071404015355</v>
      </c>
      <c r="IQ48" s="5">
        <f t="shared" si="228"/>
        <v>-0.18420055554887554</v>
      </c>
      <c r="IR48" s="5">
        <f t="shared" si="383"/>
        <v>0.26600000000000001</v>
      </c>
      <c r="IS48" s="5">
        <f t="shared" si="229"/>
        <v>0.2557028315910827</v>
      </c>
      <c r="IT48" s="727">
        <f t="shared" si="230"/>
        <v>42.474585271961104</v>
      </c>
      <c r="IU48" s="9">
        <f t="shared" si="231"/>
        <v>-2.3890592392934336</v>
      </c>
      <c r="IV48" s="5">
        <f t="shared" si="232"/>
        <v>-0.15329694137528721</v>
      </c>
      <c r="IW48" s="5">
        <f t="shared" si="384"/>
        <v>0.219</v>
      </c>
      <c r="IX48" s="5">
        <f t="shared" si="233"/>
        <v>0.19848141119175894</v>
      </c>
      <c r="IY48" s="762">
        <f t="shared" si="234"/>
        <v>21.669996871239604</v>
      </c>
    </row>
    <row r="49" spans="1:259" ht="15" customHeight="1" x14ac:dyDescent="0.25">
      <c r="A49" s="79"/>
      <c r="B49" s="707">
        <v>-2.0604681931700051</v>
      </c>
      <c r="C49" s="708">
        <v>2.0823195198036291</v>
      </c>
      <c r="D49" s="709">
        <v>-0.5657742888114301</v>
      </c>
      <c r="E49" s="710">
        <v>-0.85046656272915</v>
      </c>
      <c r="F49" s="708">
        <v>-0.41835871622377396</v>
      </c>
      <c r="G49" s="711">
        <v>0.31887710836505745</v>
      </c>
      <c r="H49" s="710">
        <v>0.219</v>
      </c>
      <c r="I49" s="708">
        <v>0.42</v>
      </c>
      <c r="J49" s="570">
        <v>5.218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1111</v>
      </c>
      <c r="L49" s="320"/>
      <c r="M49" s="168">
        <f t="shared" si="239"/>
        <v>5.218</v>
      </c>
      <c r="N49" s="632">
        <f t="shared" si="240"/>
        <v>-2.0604681931700051</v>
      </c>
      <c r="O49" s="629">
        <f t="shared" si="241"/>
        <v>2.0823195198036291</v>
      </c>
      <c r="P49" s="633">
        <f t="shared" si="242"/>
        <v>-0.5657742888114301</v>
      </c>
      <c r="Q49" s="585">
        <f t="shared" si="113"/>
        <v>134.69779354643708</v>
      </c>
      <c r="R49" s="629">
        <f t="shared" si="79"/>
        <v>2.9294340336693847</v>
      </c>
      <c r="S49" s="634">
        <f t="shared" si="80"/>
        <v>-0.5657742888114301</v>
      </c>
      <c r="T49" s="635">
        <f t="shared" si="81"/>
        <v>2.0093538128145485</v>
      </c>
      <c r="U49" s="629">
        <f t="shared" si="82"/>
        <v>2.1316850171983943</v>
      </c>
      <c r="V49" s="636">
        <f t="shared" si="114"/>
        <v>-0.5657742888114301</v>
      </c>
      <c r="W49" s="585">
        <f t="shared" si="224"/>
        <v>46.692093258495831</v>
      </c>
      <c r="X49" s="629">
        <f t="shared" si="83"/>
        <v>2.9294340336693847</v>
      </c>
      <c r="Y49" s="630">
        <f t="shared" si="223"/>
        <v>-0.5657742888114301</v>
      </c>
      <c r="Z49" s="632">
        <f t="shared" si="243"/>
        <v>0.85046656272915</v>
      </c>
      <c r="AA49" s="629">
        <f t="shared" si="244"/>
        <v>0.41835871622377396</v>
      </c>
      <c r="AB49" s="629">
        <f t="shared" si="245"/>
        <v>-0.31887710836505745</v>
      </c>
      <c r="AC49" s="636">
        <f t="shared" si="84"/>
        <v>1</v>
      </c>
      <c r="AD49" s="637">
        <f t="shared" si="115"/>
        <v>0.85046656272915</v>
      </c>
      <c r="AE49" s="629">
        <f t="shared" si="85"/>
        <v>0.41835871622377396</v>
      </c>
      <c r="AF49" s="633">
        <f t="shared" si="86"/>
        <v>-0.31887710836505745</v>
      </c>
      <c r="AG49" s="602">
        <f t="shared" si="87"/>
        <v>52.68499563478575</v>
      </c>
      <c r="AH49" s="603">
        <f t="shared" si="88"/>
        <v>31.737548371751089</v>
      </c>
      <c r="AI49" s="585">
        <f t="shared" si="89"/>
        <v>-71.404969249615178</v>
      </c>
      <c r="AJ49" s="586">
        <f t="shared" si="90"/>
        <v>116.19334395404314</v>
      </c>
      <c r="AK49" s="635">
        <f t="shared" si="211"/>
        <v>0.89879407502059638</v>
      </c>
      <c r="AL49" s="629">
        <f t="shared" si="91"/>
        <v>-0.30080990753066972</v>
      </c>
      <c r="AM49" s="634">
        <f t="shared" si="92"/>
        <v>-0.31887710836505745</v>
      </c>
      <c r="AN49" s="581">
        <f t="shared" si="93"/>
        <v>-43.329993743922891</v>
      </c>
      <c r="AO49" s="582">
        <f t="shared" si="94"/>
        <v>25.999996246064981</v>
      </c>
      <c r="AP49" s="585">
        <f t="shared" si="95"/>
        <v>-18.504449592393946</v>
      </c>
      <c r="AQ49" s="586">
        <f t="shared" si="246"/>
        <v>0.77816616866382537</v>
      </c>
      <c r="AS49" s="52">
        <f t="shared" si="406"/>
        <v>-313.30790674150415</v>
      </c>
      <c r="AT49" s="72">
        <f t="shared" si="247"/>
        <v>-0.34681442321867806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5.218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0.11799999999999999</v>
      </c>
      <c r="II49" s="734" cm="1">
        <f t="array" ref="II49">IFERROR(ROUND(VALUE(IF($IH49&lt;1,$IH49+LARGE((IF($M$9:$M$150="",0,$M$9:$M$150)-MOD(IF($M$9:$M$150="",0,$M$9:$M$150),1)),1),$IH49)),4),"")</f>
        <v>5.1180000000000003</v>
      </c>
      <c r="IJ49" s="533">
        <f t="shared" si="112"/>
        <v>1313</v>
      </c>
      <c r="IK49" s="533">
        <f t="shared" si="382"/>
        <v>1111</v>
      </c>
      <c r="IL49" s="727">
        <f t="shared" si="225"/>
        <v>19.727797151658478</v>
      </c>
      <c r="IM49" s="759">
        <v>5.6816007365486296E-3</v>
      </c>
      <c r="IN49" s="5">
        <f t="shared" si="226"/>
        <v>0.3</v>
      </c>
      <c r="IO49" s="771">
        <v>150</v>
      </c>
      <c r="IP49" s="9">
        <f t="shared" si="227"/>
        <v>-2.8891087135518805</v>
      </c>
      <c r="IQ49" s="5">
        <f t="shared" si="228"/>
        <v>-0.58660176919093587</v>
      </c>
      <c r="IR49" s="5">
        <f t="shared" si="383"/>
        <v>0.26600000000000001</v>
      </c>
      <c r="IS49" s="5">
        <f t="shared" si="229"/>
        <v>0.25359409602198524</v>
      </c>
      <c r="IT49" s="727">
        <f t="shared" si="230"/>
        <v>68.410905069777499</v>
      </c>
      <c r="IU49" s="9">
        <f t="shared" si="231"/>
        <v>-2.9294340336693847</v>
      </c>
      <c r="IV49" s="5">
        <f t="shared" si="232"/>
        <v>-0.5657742888114301</v>
      </c>
      <c r="IW49" s="5">
        <f t="shared" si="384"/>
        <v>0.219</v>
      </c>
      <c r="IX49" s="5">
        <f t="shared" si="233"/>
        <v>0.1968359024295106</v>
      </c>
      <c r="IY49" s="762">
        <f t="shared" si="234"/>
        <v>43.329993743922891</v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0.90630781366099955</v>
      </c>
      <c r="F154" s="170">
        <f t="shared" si="929"/>
        <v>0.10938162473876803</v>
      </c>
      <c r="G154" s="170">
        <f t="shared" si="929"/>
        <v>-0.40821784266066358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0.96459414325305104</v>
      </c>
      <c r="F156" s="170">
        <f t="shared" si="929"/>
        <v>-3.3517147253585587E-2</v>
      </c>
      <c r="G156" s="170">
        <f t="shared" si="929"/>
        <v>-0.26160034335201859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0.95569578543251443</v>
      </c>
      <c r="F157" s="170">
        <f t="shared" si="929"/>
        <v>-0.19658999446944844</v>
      </c>
      <c r="G157" s="170">
        <f t="shared" si="929"/>
        <v>-0.21908432116660409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0.9367240738845577</v>
      </c>
      <c r="F158" s="170">
        <f t="shared" si="929"/>
        <v>-0.32288664508988285</v>
      </c>
      <c r="G158" s="170">
        <f t="shared" si="929"/>
        <v>-0.13524874797098063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0.92088238922555776</v>
      </c>
      <c r="F159" s="170">
        <f t="shared" si="929"/>
        <v>-0.38937809105696602</v>
      </c>
      <c r="G159" s="170">
        <f t="shared" si="929"/>
        <v>-1.8982292249924926E-2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0.76489273860549278</v>
      </c>
      <c r="F160" s="170">
        <f t="shared" si="929"/>
        <v>-0.63482473495452763</v>
      </c>
      <c r="G160" s="170">
        <f t="shared" si="929"/>
        <v>-0.10925499676675343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4.7679025086538249E-2</v>
      </c>
      <c r="F161" s="170">
        <f t="shared" si="929"/>
        <v>7.2957740321549266E-2</v>
      </c>
      <c r="G161" s="170">
        <f t="shared" si="929"/>
        <v>-0.99619469918985748</v>
      </c>
      <c r="H161" s="139"/>
      <c r="I161" s="86"/>
      <c r="J161" s="79">
        <f t="shared" si="930"/>
        <v>1.2070000000000001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0.78147594179663549</v>
      </c>
      <c r="F162" s="170">
        <f t="shared" si="929"/>
        <v>-0.47595883311039044</v>
      </c>
      <c r="G162" s="170">
        <f t="shared" si="929"/>
        <v>-0.40343344132242837</v>
      </c>
      <c r="H162" s="139"/>
      <c r="I162" s="86"/>
      <c r="J162" s="79">
        <f t="shared" si="930"/>
        <v>1.212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0.71702166887644958</v>
      </c>
      <c r="F163" s="170">
        <f t="shared" si="929"/>
        <v>-0.60812678758112704</v>
      </c>
      <c r="G163" s="170">
        <f t="shared" si="929"/>
        <v>-0.34067834769455196</v>
      </c>
      <c r="H163" s="139"/>
      <c r="I163" s="86"/>
      <c r="J163" s="79">
        <f t="shared" si="930"/>
        <v>1.2170000000000001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0.17233539482541443</v>
      </c>
      <c r="F164" s="170">
        <f t="shared" si="929"/>
        <v>-0.89647013593529279</v>
      </c>
      <c r="G164" s="170">
        <f t="shared" si="929"/>
        <v>-0.40821784266066352</v>
      </c>
      <c r="H164" s="139"/>
      <c r="I164" s="86"/>
      <c r="J164" s="79">
        <f t="shared" si="930"/>
        <v>2.1030000000000002</v>
      </c>
    </row>
    <row r="165" spans="5:16" x14ac:dyDescent="0.25">
      <c r="E165" s="170">
        <f t="shared" si="929"/>
        <v>7.6045583594938612E-2</v>
      </c>
      <c r="F165" s="170">
        <f t="shared" si="929"/>
        <v>-0.96252859859288564</v>
      </c>
      <c r="G165" s="170">
        <f t="shared" si="929"/>
        <v>-0.26029937784505158</v>
      </c>
      <c r="H165" s="139"/>
      <c r="I165" s="86"/>
      <c r="J165" s="79">
        <f t="shared" si="930"/>
        <v>2.1059999999999999</v>
      </c>
    </row>
    <row r="166" spans="5:16" x14ac:dyDescent="0.25">
      <c r="E166" s="170">
        <f t="shared" si="929"/>
        <v>-9.9448060229182011E-2</v>
      </c>
      <c r="F166" s="170">
        <f t="shared" si="929"/>
        <v>-0.96743088308412284</v>
      </c>
      <c r="G166" s="170">
        <f t="shared" si="929"/>
        <v>-0.23278223680454543</v>
      </c>
      <c r="H166" s="139"/>
      <c r="I166" s="86"/>
      <c r="J166" s="79">
        <f t="shared" si="930"/>
        <v>2.1110000000000002</v>
      </c>
    </row>
    <row r="167" spans="5:16" x14ac:dyDescent="0.25">
      <c r="E167" s="170">
        <f t="shared" si="929"/>
        <v>-0.23719325245208839</v>
      </c>
      <c r="F167" s="170">
        <f t="shared" si="929"/>
        <v>-0.95846362094017989</v>
      </c>
      <c r="G167" s="170">
        <f t="shared" si="929"/>
        <v>-0.158388283422225</v>
      </c>
      <c r="H167" s="139"/>
      <c r="I167" s="86"/>
      <c r="J167" s="79">
        <f t="shared" si="930"/>
        <v>2.1160000000000001</v>
      </c>
    </row>
    <row r="168" spans="5:16" x14ac:dyDescent="0.25">
      <c r="E168" s="170">
        <f t="shared" si="929"/>
        <v>-0.31990227482454542</v>
      </c>
      <c r="F168" s="170">
        <f t="shared" si="929"/>
        <v>-0.94640391666011126</v>
      </c>
      <c r="G168" s="170">
        <f t="shared" si="929"/>
        <v>-4.4521467770978165E-2</v>
      </c>
      <c r="H168" s="139"/>
      <c r="I168" s="86"/>
      <c r="J168" s="79">
        <f t="shared" si="930"/>
        <v>2.121</v>
      </c>
    </row>
    <row r="169" spans="5:16" x14ac:dyDescent="0.25">
      <c r="E169" s="170">
        <f t="shared" si="929"/>
        <v>-0.57992267098929773</v>
      </c>
      <c r="F169" s="170">
        <f t="shared" si="929"/>
        <v>-0.80731223287779763</v>
      </c>
      <c r="G169" s="170">
        <f t="shared" si="929"/>
        <v>-0.1092549967667534</v>
      </c>
      <c r="H169" s="139"/>
      <c r="I169" s="86"/>
      <c r="J169" s="79">
        <f t="shared" si="930"/>
        <v>2.1259999999999999</v>
      </c>
    </row>
    <row r="170" spans="5:16" x14ac:dyDescent="0.25">
      <c r="E170" s="170">
        <f t="shared" si="929"/>
        <v>0.27983669761437591</v>
      </c>
      <c r="F170" s="170">
        <f t="shared" si="929"/>
        <v>0.12966297909188046</v>
      </c>
      <c r="G170" s="170">
        <f t="shared" si="929"/>
        <v>-0.95125124679093009</v>
      </c>
      <c r="H170" s="139"/>
      <c r="I170" s="86"/>
      <c r="J170" s="79">
        <f t="shared" si="930"/>
        <v>2.206</v>
      </c>
    </row>
    <row r="171" spans="5:16" x14ac:dyDescent="0.25">
      <c r="E171" s="170">
        <f t="shared" si="929"/>
        <v>-0.53101050262742444</v>
      </c>
      <c r="F171" s="170">
        <f t="shared" si="929"/>
        <v>-0.7668392867829964</v>
      </c>
      <c r="G171" s="170">
        <f t="shared" si="929"/>
        <v>-0.36053481710580398</v>
      </c>
      <c r="H171" s="139"/>
      <c r="I171" s="86"/>
      <c r="J171" s="79">
        <f t="shared" si="930"/>
        <v>2.2160000000000002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-0.39486904512117382</v>
      </c>
      <c r="F172" s="170">
        <f t="shared" si="929"/>
        <v>-0.8212857544484341</v>
      </c>
      <c r="G172" s="170">
        <f t="shared" si="929"/>
        <v>-0.41178653055334247</v>
      </c>
      <c r="H172" s="139"/>
      <c r="I172" s="86"/>
      <c r="J172" s="79">
        <f t="shared" si="930"/>
        <v>2.2210000000000001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-0.93231267088627845</v>
      </c>
      <c r="F173" s="170">
        <f t="shared" si="929"/>
        <v>-0.26692659340536512</v>
      </c>
      <c r="G173" s="170">
        <f t="shared" si="929"/>
        <v>-0.24401491232689221</v>
      </c>
      <c r="H173" s="139"/>
      <c r="I173" s="86"/>
      <c r="J173" s="79">
        <f t="shared" si="930"/>
        <v>3.11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-0.9767606986031232</v>
      </c>
      <c r="F174" s="170">
        <f t="shared" si="933"/>
        <v>-0.13581502994385236</v>
      </c>
      <c r="G174" s="170">
        <f t="shared" si="933"/>
        <v>-0.16580957543425967</v>
      </c>
      <c r="H174" s="139"/>
      <c r="I174" s="86"/>
      <c r="J174" s="79">
        <f t="shared" si="930"/>
        <v>3.1150000000000002</v>
      </c>
    </row>
    <row r="175" spans="5:16" x14ac:dyDescent="0.25">
      <c r="E175" s="170">
        <f t="shared" si="933"/>
        <v>-0.99713981542593777</v>
      </c>
      <c r="F175" s="170">
        <f t="shared" si="933"/>
        <v>-4.5171543363070152E-2</v>
      </c>
      <c r="G175" s="170">
        <f t="shared" si="933"/>
        <v>-6.0594720582945343E-2</v>
      </c>
      <c r="H175" s="139"/>
      <c r="I175" s="86"/>
      <c r="J175" s="79">
        <f t="shared" si="930"/>
        <v>3.12</v>
      </c>
    </row>
    <row r="176" spans="5:16" x14ac:dyDescent="0.25">
      <c r="E176" s="170">
        <f t="shared" si="933"/>
        <v>-0.95697063037591001</v>
      </c>
      <c r="F176" s="170">
        <f t="shared" si="933"/>
        <v>0.26883184015185041</v>
      </c>
      <c r="G176" s="170">
        <f t="shared" si="933"/>
        <v>-0.10925499676675343</v>
      </c>
      <c r="H176" s="139"/>
      <c r="I176" s="86"/>
      <c r="J176" s="79">
        <f t="shared" si="930"/>
        <v>3.125</v>
      </c>
    </row>
    <row r="177" spans="5:10" x14ac:dyDescent="0.25">
      <c r="E177" s="170">
        <f t="shared" si="933"/>
        <v>-0.90926946307623402</v>
      </c>
      <c r="F177" s="170">
        <f t="shared" si="933"/>
        <v>0.20042016456516143</v>
      </c>
      <c r="G177" s="170">
        <f t="shared" si="933"/>
        <v>-0.36477500072336499</v>
      </c>
      <c r="H177" s="139"/>
      <c r="I177" s="86"/>
      <c r="J177" s="79">
        <f t="shared" si="930"/>
        <v>3.2149999999999999</v>
      </c>
    </row>
    <row r="178" spans="5:10" x14ac:dyDescent="0.25">
      <c r="E178" s="170">
        <f t="shared" si="933"/>
        <v>-0.9020449420401041</v>
      </c>
      <c r="F178" s="170">
        <f t="shared" si="933"/>
        <v>0.33686089505581412</v>
      </c>
      <c r="G178" s="170">
        <f t="shared" si="933"/>
        <v>-0.26988823598308442</v>
      </c>
      <c r="H178" s="139"/>
      <c r="I178" s="86"/>
      <c r="J178" s="79">
        <f t="shared" si="930"/>
        <v>3.22</v>
      </c>
    </row>
    <row r="179" spans="5:10" x14ac:dyDescent="0.25">
      <c r="E179" s="170">
        <f t="shared" si="933"/>
        <v>-0.77316937162619237</v>
      </c>
      <c r="F179" s="170">
        <f t="shared" si="933"/>
        <v>0.48535277449771808</v>
      </c>
      <c r="G179" s="170">
        <f t="shared" si="933"/>
        <v>-0.40821784266066358</v>
      </c>
      <c r="H179" s="139"/>
      <c r="I179" s="86"/>
      <c r="J179" s="79">
        <f t="shared" si="930"/>
        <v>4.1020000000000003</v>
      </c>
    </row>
    <row r="180" spans="5:10" x14ac:dyDescent="0.25">
      <c r="E180" s="170">
        <f t="shared" si="933"/>
        <v>-0.78296483106880965</v>
      </c>
      <c r="F180" s="170">
        <f t="shared" si="933"/>
        <v>0.56790905630759281</v>
      </c>
      <c r="G180" s="170">
        <f t="shared" si="933"/>
        <v>-0.25386094042449647</v>
      </c>
      <c r="H180" s="139"/>
      <c r="I180" s="86"/>
      <c r="J180" s="79">
        <f t="shared" si="930"/>
        <v>4.1050000000000004</v>
      </c>
    </row>
    <row r="181" spans="5:10" x14ac:dyDescent="0.25">
      <c r="E181" s="170">
        <f t="shared" si="933"/>
        <v>-0.68292937793122521</v>
      </c>
      <c r="F181" s="170">
        <f t="shared" si="933"/>
        <v>0.68541224047518035</v>
      </c>
      <c r="G181" s="170">
        <f t="shared" si="933"/>
        <v>-0.25262130821699008</v>
      </c>
      <c r="H181" s="139"/>
      <c r="I181" s="86"/>
      <c r="J181" s="79">
        <f t="shared" si="930"/>
        <v>4.109</v>
      </c>
    </row>
    <row r="182" spans="5:10" x14ac:dyDescent="0.25">
      <c r="E182" s="170">
        <f t="shared" si="933"/>
        <v>-0.58137754665077923</v>
      </c>
      <c r="F182" s="170">
        <f t="shared" si="933"/>
        <v>0.79222746780125586</v>
      </c>
      <c r="G182" s="170">
        <f t="shared" si="933"/>
        <v>-0.18540708592589206</v>
      </c>
      <c r="H182" s="139"/>
      <c r="I182" s="86"/>
      <c r="J182" s="79">
        <f t="shared" si="930"/>
        <v>4.1139999999999999</v>
      </c>
    </row>
    <row r="183" spans="5:10" x14ac:dyDescent="0.25">
      <c r="E183" s="170">
        <f t="shared" si="933"/>
        <v>-0.50152958985326301</v>
      </c>
      <c r="F183" s="170">
        <f t="shared" si="933"/>
        <v>0.86085089381642443</v>
      </c>
      <c r="G183" s="170">
        <f t="shared" si="933"/>
        <v>-8.6045389865356398E-2</v>
      </c>
      <c r="H183" s="139"/>
      <c r="I183" s="86"/>
      <c r="J183" s="79">
        <f t="shared" si="930"/>
        <v>4.1189999999999998</v>
      </c>
    </row>
    <row r="184" spans="5:10" x14ac:dyDescent="0.25">
      <c r="E184" s="170">
        <f t="shared" si="933"/>
        <v>-0.19492480597770348</v>
      </c>
      <c r="F184" s="170">
        <f t="shared" si="933"/>
        <v>0.97471414563247794</v>
      </c>
      <c r="G184" s="170">
        <f t="shared" si="933"/>
        <v>-0.10925499676675361</v>
      </c>
      <c r="H184" s="139"/>
      <c r="I184" s="86"/>
      <c r="J184" s="79">
        <f t="shared" si="930"/>
        <v>4.1239999999999997</v>
      </c>
    </row>
    <row r="185" spans="5:10" x14ac:dyDescent="0.25">
      <c r="E185" s="170">
        <f t="shared" si="933"/>
        <v>7.0684274818686041E-2</v>
      </c>
      <c r="F185" s="170">
        <f t="shared" si="933"/>
        <v>2.6535046797607997E-2</v>
      </c>
      <c r="G185" s="170">
        <f t="shared" si="933"/>
        <v>-0.99714573888915825</v>
      </c>
      <c r="H185" s="139"/>
      <c r="I185" s="86"/>
      <c r="J185" s="79">
        <f t="shared" si="930"/>
        <v>4.2089999999999996</v>
      </c>
    </row>
    <row r="186" spans="5:10" x14ac:dyDescent="0.25">
      <c r="E186" s="170">
        <f t="shared" si="933"/>
        <v>-0.25872213140927519</v>
      </c>
      <c r="F186" s="170">
        <f t="shared" si="933"/>
        <v>0.88813248679394519</v>
      </c>
      <c r="G186" s="170">
        <f t="shared" si="933"/>
        <v>-0.37984673833040172</v>
      </c>
      <c r="H186" s="139"/>
      <c r="I186" s="86"/>
      <c r="J186" s="79">
        <f t="shared" si="930"/>
        <v>4.2140000000000004</v>
      </c>
    </row>
    <row r="187" spans="5:10" x14ac:dyDescent="0.25">
      <c r="E187" s="170">
        <f t="shared" si="933"/>
        <v>-0.12959964168785634</v>
      </c>
      <c r="F187" s="170">
        <f t="shared" si="933"/>
        <v>0.94660524334694796</v>
      </c>
      <c r="G187" s="170">
        <f t="shared" si="933"/>
        <v>-0.29519899414199358</v>
      </c>
      <c r="H187" s="139"/>
      <c r="I187" s="86"/>
      <c r="J187" s="79">
        <f t="shared" si="930"/>
        <v>4.2190000000000003</v>
      </c>
    </row>
    <row r="188" spans="5:10" x14ac:dyDescent="0.25">
      <c r="E188" s="170">
        <f t="shared" si="933"/>
        <v>0.42559116845627259</v>
      </c>
      <c r="F188" s="170">
        <f t="shared" si="933"/>
        <v>0.86723322687826243</v>
      </c>
      <c r="G188" s="170">
        <f t="shared" si="933"/>
        <v>-0.25841572616685132</v>
      </c>
      <c r="H188" s="139"/>
      <c r="I188" s="86"/>
      <c r="J188" s="79">
        <f t="shared" si="930"/>
        <v>5.1079999999999997</v>
      </c>
    </row>
    <row r="189" spans="5:10" x14ac:dyDescent="0.25">
      <c r="E189" s="170">
        <f t="shared" si="933"/>
        <v>0.56491642395010855</v>
      </c>
      <c r="F189" s="170">
        <f t="shared" si="933"/>
        <v>0.79972833342934546</v>
      </c>
      <c r="G189" s="170">
        <f t="shared" si="933"/>
        <v>-0.20323392104110699</v>
      </c>
      <c r="H189" s="139"/>
      <c r="I189" s="86"/>
      <c r="J189" s="79">
        <f t="shared" si="930"/>
        <v>5.1130000000000004</v>
      </c>
    </row>
    <row r="190" spans="5:10" x14ac:dyDescent="0.25">
      <c r="E190" s="170">
        <f t="shared" si="933"/>
        <v>0.66470955580544466</v>
      </c>
      <c r="F190" s="170">
        <f t="shared" si="933"/>
        <v>0.73880124711356654</v>
      </c>
      <c r="G190" s="170">
        <f t="shared" si="933"/>
        <v>-0.11105819953685267</v>
      </c>
      <c r="H190" s="139"/>
      <c r="I190" s="86"/>
      <c r="J190" s="79">
        <f t="shared" si="930"/>
        <v>5.1180000000000003</v>
      </c>
    </row>
    <row r="191" spans="5:10" x14ac:dyDescent="0.25">
      <c r="E191" s="170">
        <f t="shared" si="933"/>
        <v>0.76610149410758321</v>
      </c>
      <c r="F191" s="170">
        <f t="shared" si="933"/>
        <v>0.64196148872555336</v>
      </c>
      <c r="G191" s="170">
        <f t="shared" si="933"/>
        <v>-3.1208135468176468E-2</v>
      </c>
      <c r="H191" s="139"/>
      <c r="I191" s="86"/>
      <c r="J191" s="79">
        <f t="shared" si="930"/>
        <v>5.1230000000000002</v>
      </c>
    </row>
    <row r="192" spans="5:10" x14ac:dyDescent="0.25">
      <c r="E192" s="170">
        <f t="shared" si="933"/>
        <v>0.87513318864203815</v>
      </c>
      <c r="F192" s="170">
        <f t="shared" si="933"/>
        <v>0.47138651637347018</v>
      </c>
      <c r="G192" s="170">
        <f t="shared" si="933"/>
        <v>-0.10925499676675329</v>
      </c>
      <c r="H192" s="139"/>
      <c r="I192" s="86"/>
      <c r="J192" s="79">
        <f t="shared" si="930"/>
        <v>5.1280000000000001</v>
      </c>
    </row>
    <row r="193" spans="5:10" x14ac:dyDescent="0.25">
      <c r="E193" s="170">
        <f t="shared" si="933"/>
        <v>0.75383982282053186</v>
      </c>
      <c r="F193" s="170">
        <f t="shared" si="933"/>
        <v>0.52675693706573279</v>
      </c>
      <c r="G193" s="170">
        <f t="shared" si="933"/>
        <v>-0.39275011239086499</v>
      </c>
      <c r="H193" s="139"/>
      <c r="I193" s="86"/>
      <c r="J193" s="79">
        <f t="shared" si="930"/>
        <v>5.2130000000000001</v>
      </c>
    </row>
    <row r="194" spans="5:10" x14ac:dyDescent="0.25">
      <c r="E194" s="170">
        <f t="shared" ref="E194:G213" si="934">E49*-1</f>
        <v>0.85046656272915</v>
      </c>
      <c r="F194" s="170">
        <f t="shared" si="934"/>
        <v>0.41835871622377396</v>
      </c>
      <c r="G194" s="170">
        <f t="shared" si="934"/>
        <v>-0.31887710836505745</v>
      </c>
      <c r="H194" s="139"/>
      <c r="I194" s="86"/>
      <c r="J194" s="79">
        <f t="shared" si="930"/>
        <v>5.218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D5AD24D-531B-4BAB-A983-9CDD65ADA0A5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0472C455-DE45-4795-837E-C826BB3079EE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6.75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1308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1.2070000000000001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1.212</v>
      </c>
      <c r="N172" s="869">
        <f>Assy.Model!K17</f>
        <v>1111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1.2170000000000001</v>
      </c>
      <c r="N173" s="869">
        <f>Assy.Model!K18</f>
        <v>1111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2.1030000000000002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2.1059999999999999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2.1110000000000002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2.1160000000000001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2.1259999999999999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2.206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2.2160000000000002</v>
      </c>
      <c r="N181" s="869">
        <f>Assy.Model!K26</f>
        <v>1111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2.2210000000000001</v>
      </c>
      <c r="N182" s="869">
        <f>Assy.Model!K27</f>
        <v>1111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3.1150000000000002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3.12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3.125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3.2149999999999999</v>
      </c>
      <c r="N187" s="869">
        <f>Assy.Model!K32</f>
        <v>1111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3.22</v>
      </c>
      <c r="N188" s="869">
        <f>Assy.Model!K33</f>
        <v>1111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4.1020000000000003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4.1050000000000004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4.109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4.1139999999999999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4.1189999999999998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4.1239999999999997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4.2089999999999996</v>
      </c>
      <c r="N195" s="869" t="str">
        <f>Assy.Model!K40</f>
        <v>Inactive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4.2140000000000004</v>
      </c>
      <c r="N196" s="869">
        <f>Assy.Model!K41</f>
        <v>1111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4.2190000000000003</v>
      </c>
      <c r="N197" s="869">
        <f>Assy.Model!K42</f>
        <v>1111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5.1079999999999997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5.1130000000000004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5.1180000000000003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5.1230000000000002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5.1280000000000001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5.2130000000000001</v>
      </c>
      <c r="N203" s="869">
        <f>Assy.Model!K48</f>
        <v>1111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5.218</v>
      </c>
      <c r="N204" s="869">
        <f>Assy.Model!K49</f>
        <v>1111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2023-03-28T17:50:09Z</dcterms:modified>
</cp:coreProperties>
</file>