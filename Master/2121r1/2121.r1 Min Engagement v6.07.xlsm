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21\"/>
    </mc:Choice>
  </mc:AlternateContent>
  <xr:revisionPtr revIDLastSave="0" documentId="13_ncr:1_{218336A3-BA14-45F1-8B09-8BDE076D913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P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W48" i="1"/>
  <c r="IR48" i="1"/>
  <c r="IN48" i="1"/>
  <c r="IQ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23" i="1" a="1"/>
  <c r="JA23" i="1" s="1"/>
  <c r="IF85" i="1"/>
  <c r="IF129" i="1"/>
  <c r="IF73" i="1"/>
  <c r="IF49" i="1"/>
  <c r="IF138" i="1"/>
  <c r="IF10" i="1"/>
  <c r="IF150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133" i="1"/>
  <c r="IF149" i="1"/>
  <c r="IF87" i="1"/>
  <c r="IF104" i="1"/>
  <c r="IF130" i="1"/>
  <c r="IF90" i="1"/>
  <c r="IF132" i="1"/>
  <c r="IF119" i="1"/>
  <c r="IF32" i="1"/>
  <c r="IF110" i="1"/>
  <c r="IF125" i="1"/>
  <c r="IF72" i="1"/>
  <c r="IF144" i="1"/>
  <c r="IF120" i="1"/>
  <c r="IF70" i="1"/>
  <c r="IF139" i="1"/>
  <c r="IF126" i="1"/>
  <c r="IF38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A9" i="1" l="1"/>
  <c r="JB15" i="1" s="1" a="1"/>
  <c r="JB15" i="1" s="1"/>
  <c r="JB11" i="1" a="1"/>
  <c r="JB11" i="1" s="1"/>
  <c r="JB10" i="1" a="1"/>
  <c r="JB10" i="1" s="1"/>
  <c r="JB24" i="1" a="1"/>
  <c r="JB24" i="1" s="1"/>
  <c r="JB25" i="1" a="1"/>
  <c r="JB25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9" i="1" l="1"/>
  <c r="IV56" i="1"/>
  <c r="IQ64" i="1"/>
  <c r="IV55" i="1"/>
  <c r="IQ52" i="1"/>
  <c r="IV48" i="1"/>
  <c r="JB16" i="1" a="1"/>
  <c r="JB16" i="1" s="1"/>
  <c r="JB9" i="1" a="1"/>
  <c r="JB9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U56" i="1"/>
  <c r="IE56" i="1" s="1"/>
  <c r="IP52" i="1"/>
  <c r="IU48" i="1"/>
  <c r="IE48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IL56" i="1" s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7" i="1" l="1"/>
  <c r="IL55" i="1"/>
  <c r="IL48" i="1"/>
  <c r="IL47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IT57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IT48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55" i="1" l="1"/>
  <c r="IY52" i="1"/>
  <c r="IT56" i="1"/>
  <c r="IY51" i="1"/>
  <c r="IT55" i="1"/>
  <c r="IX43" i="1"/>
  <c r="IS47" i="1"/>
  <c r="IY43" i="1"/>
  <c r="IT47" i="1"/>
  <c r="IT37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IS57" i="1" s="1"/>
  <c r="AP53" i="1"/>
  <c r="AP54" i="1"/>
  <c r="AO54" i="1"/>
  <c r="AP51" i="1"/>
  <c r="AO51" i="1"/>
  <c r="AO52" i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IS48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IS37" i="1" s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0" i="1" l="1"/>
  <c r="IY57" i="1"/>
  <c r="IF57" i="1" s="1"/>
  <c r="IX52" i="1"/>
  <c r="IF52" i="1" s="1"/>
  <c r="IS56" i="1"/>
  <c r="IX51" i="1"/>
  <c r="IF51" i="1" s="1"/>
  <c r="IS55" i="1"/>
  <c r="IS52" i="1"/>
  <c r="IX48" i="1"/>
  <c r="IF48" i="1" s="1"/>
  <c r="IF43" i="1"/>
  <c r="IT29" i="1"/>
  <c r="IY47" i="1"/>
  <c r="IF47" i="1" s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<sst xmlns="http://schemas.openxmlformats.org/spreadsheetml/2006/main" count="734" uniqueCount="391">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</sst>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9.875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4.9375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9.875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34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1.112's θ about Z Axis</v>
      </c>
      <c r="U5" s="1021"/>
      <c r="V5" s="1072"/>
      <c r="W5" s="1021" t="str">
        <f>CONCATENATE("Relative to ",M8,"'s θ about Z Axis")</f>
        <v>Relative to 1.112's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1.112's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89.630000053421384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-5.0900153514863017E-2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0.29420088730987615</v>
      </c>
      <c r="D9" s="704">
        <v>-0.58700177039733958</v>
      </c>
      <c r="E9" s="705">
        <v>-0.90630781366099944</v>
      </c>
      <c r="F9" s="703">
        <v>-0.109381624738768</v>
      </c>
      <c r="G9" s="706">
        <v>0.40821784266066352</v>
      </c>
      <c r="H9" s="705">
        <v>0.26600000000000001</v>
      </c>
      <c r="I9" s="703">
        <v>0.315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1308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0.29420088730987615</v>
      </c>
      <c r="P9" s="625">
        <f t="shared" ref="P9:P40" si="4">IF(M9="","",D9)</f>
        <v>-0.58700177039733958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0.29420088730987615</v>
      </c>
      <c r="S9" s="626">
        <f>IF(M9="","",P9)</f>
        <v>-0.58700177039733958</v>
      </c>
      <c r="T9" s="627">
        <f>IF(M9="","",X9*COS(RADIANS(W9)))</f>
        <v>0.29419475293191077</v>
      </c>
      <c r="U9" s="624">
        <f>IF(M9="","",X9*SIN(RADIANS(W9)))</f>
        <v>1.8998529549450734E-3</v>
      </c>
      <c r="V9" s="628">
        <f>IF(M9="","",Y9)</f>
        <v>-0.58700177039733958</v>
      </c>
      <c r="W9" s="583">
        <f t="shared" ref="W9:W14" si="5">IF(M9="","",IF(Q9-$Q$8&lt;0,360+Q9-$Q$8,Q9-$Q$8))</f>
        <v>0.36999994657861635</v>
      </c>
      <c r="X9" s="629">
        <f>IF(M9="","",R9)</f>
        <v>0.29420088730987615</v>
      </c>
      <c r="Y9" s="630">
        <f>IF(M9="","",S9)</f>
        <v>-0.58700177039733958</v>
      </c>
      <c r="Z9" s="623">
        <f t="shared" ref="Z9:Z40" si="6">IF(M9="","",-E9)</f>
        <v>0.90630781366099944</v>
      </c>
      <c r="AA9" s="624">
        <f t="shared" ref="AA9:AA40" si="7">IF(M9="","",-F9)</f>
        <v>0.109381624738768</v>
      </c>
      <c r="AB9" s="624">
        <f t="shared" ref="AB9:AB40" si="8">IF(M9="","",-G9)</f>
        <v>-0.40821784266066352</v>
      </c>
      <c r="AC9" s="628">
        <f>IF(M9="","",SQRT(Z9^2+AA9^2+AB9^2))</f>
        <v>0.99999999999999978</v>
      </c>
      <c r="AD9" s="631">
        <f>IF(M9="","",Z9*(1/SQRT(Z9^2+AA9^2+AB9^2)))</f>
        <v>0.90630781366099966</v>
      </c>
      <c r="AE9" s="624">
        <f>IF(M9="","",AA9*(1/SQRT(Z9^2+AA9^2+AB9^2)))</f>
        <v>0.10938162473876803</v>
      </c>
      <c r="AF9" s="625">
        <f>IF(M9="","",AB9*(1/SQRT(Z9^2+AA9^2+AB9^2)))</f>
        <v>-0.40821784266066363</v>
      </c>
      <c r="AG9" s="599">
        <f>IF(M9="","",DEGREES(ATAN2(-AF9,AE9)))</f>
        <v>14.999997834268262</v>
      </c>
      <c r="AH9" s="600">
        <f>IF(M9="","",DEGREES(ACOS(AD9)))</f>
        <v>24.999996390447087</v>
      </c>
      <c r="AI9" s="583">
        <f>IF(M9="","",DEGREES(-ACOS(-AF9)))</f>
        <v>-65.907068471181361</v>
      </c>
      <c r="AJ9" s="601">
        <f>IF(M9="","",DEGREES(ATAN2(-AE9,AD9)))</f>
        <v>96.881701648961752</v>
      </c>
      <c r="AK9" s="627">
        <f>IF(M9="","",(COS(RADIANS((90-$Q$8)-W9))*AD9)+(-SIN(RADIANS((90-$Q$8)-W9))*AE9))</f>
        <v>0.90630781366099966</v>
      </c>
      <c r="AL9" s="624">
        <f>IF(M9="","",(SIN(RADIANS((90-$Q$8)-W9))*AD9)+(COS(RADIANS((90-$Q$8)-W9))*AE9))</f>
        <v>0.10938162473876803</v>
      </c>
      <c r="AM9" s="626">
        <f>IF(M9="","",AF9)</f>
        <v>-0.40821784266066363</v>
      </c>
      <c r="AN9" s="581">
        <f>IF(M9="","",DEGREES(ATAN2(-AM9,AL9)))</f>
        <v>14.999997834268262</v>
      </c>
      <c r="AO9" s="582">
        <f>IF(ROUND(IF(M9="",0,DEGREES(ACOS(AK9))),4)=90,0,IF(M9="","",DEGREES(ACOS(AK9))))</f>
        <v>24.999996390447087</v>
      </c>
      <c r="AP9" s="781">
        <f>IF(M9="","",DEGREES(ATAN2(AK9,AL9)))</f>
        <v>6.8817016489617506</v>
      </c>
      <c r="AQ9" s="584">
        <f t="shared" ref="AQ9:AQ40" si="9">IF(M9="","",DEGREES(ATAN(($AS$5*SIN(RADIANS(90)))/(($X9*2*PI())-($AS$5*COS(RADIANS(90)))))))</f>
        <v>7.7021449400370443</v>
      </c>
      <c r="AS9" s="51">
        <f>IF(M9="","",W9)</f>
        <v>0.36999994657861635</v>
      </c>
      <c r="AT9" s="71">
        <f t="shared" ref="AT9:AT40" si="10">IF(M9="","",Y9+(((AS9-$AS$9)*$AS$6)*-1))</f>
        <v>-0.58700177039733958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1308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1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1.0633032069224722</v>
      </c>
      <c r="D10" s="709">
        <v>-0.43910132432959426</v>
      </c>
      <c r="E10" s="710">
        <v>-0.96592583607220739</v>
      </c>
      <c r="F10" s="708">
        <v>-6.6987279208207212E-2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1.0633032069224722</v>
      </c>
      <c r="P10" s="633">
        <f t="shared" si="4"/>
        <v>-0.43910132432959426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1.0633032069224722</v>
      </c>
      <c r="S10" s="634">
        <f t="shared" ref="S10:S105" si="80">IF(M10="","",P10)</f>
        <v>-0.43910132432959426</v>
      </c>
      <c r="T10" s="635">
        <f t="shared" ref="T10:T105" si="81">IF(M10="","",X10*COS(RADIANS(W10)))</f>
        <v>1.0632810360044214</v>
      </c>
      <c r="U10" s="629">
        <f t="shared" ref="U10:U105" si="82">IF(M10="","",X10*SIN(RADIANS(W10)))</f>
        <v>6.8664637899153516E-3</v>
      </c>
      <c r="V10" s="636">
        <f>IF(M10="","",Y10)</f>
        <v>-0.43910132432959426</v>
      </c>
      <c r="W10" s="585">
        <f t="shared" si="5"/>
        <v>0.36999994657861635</v>
      </c>
      <c r="X10" s="629">
        <f t="shared" ref="X10:X105" si="83">IF(M10="","",R10)</f>
        <v>1.0633032069224722</v>
      </c>
      <c r="Y10" s="630">
        <f>IF(M10="","",S10)</f>
        <v>-0.43910132432959426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2.1430044099235896</v>
      </c>
      <c r="AS10" s="52">
        <f>IF($M10="","",IF(AND($W10&lt;($AS$9+180),$W10&gt;($AS$9-180)),$W10,IF($W10&gt;($AS$9+180),$W10-360,IF($W10&lt;($AS$9-180),$W10+360,"Error"))))</f>
        <v>0.36999994657861635</v>
      </c>
      <c r="AT10" s="72">
        <f t="shared" si="10"/>
        <v>-0.43910132432959426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5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1.8661056281745747</v>
      </c>
      <c r="D11" s="709">
        <v>-0.22400067558603756</v>
      </c>
      <c r="E11" s="710">
        <v>-0.96592583607220739</v>
      </c>
      <c r="F11" s="708">
        <v>-6.6987279208207212E-2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1.8661056281745747</v>
      </c>
      <c r="P11" s="633">
        <f t="shared" si="4"/>
        <v>-0.22400067558603756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1.8661056281745747</v>
      </c>
      <c r="S11" s="634">
        <f t="shared" si="80"/>
        <v>-0.22400067558603756</v>
      </c>
      <c r="T11" s="635">
        <f t="shared" si="81"/>
        <v>1.8660667180361614</v>
      </c>
      <c r="U11" s="629">
        <f t="shared" si="82"/>
        <v>1.2050698841682535E-2</v>
      </c>
      <c r="V11" s="636">
        <f t="shared" ref="V11:V105" si="114">IF(M11="","",Y11)</f>
        <v>-0.22400067558603756</v>
      </c>
      <c r="W11" s="585">
        <f t="shared" si="5"/>
        <v>0.36999994657861635</v>
      </c>
      <c r="X11" s="629">
        <f>IF(M11="","",R11)</f>
        <v>1.8661056281745747</v>
      </c>
      <c r="Y11" s="630">
        <f>IF(M11="","",S11)</f>
        <v>-0.22400067558603756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-0.24999996726497561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-0.24999996726497561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1.2214642207423332</v>
      </c>
      <c r="AS11" s="52">
        <f t="shared" ref="AS11:AS42" si="116">IF(G11="","",IF(AND(W11&lt;(AS10+180),W11&gt;(AS10-180)),W11,IF(W11&gt;(AS10+180),W11-360,IF(W11&lt;(AS10-180),W11+360,"Error"))))</f>
        <v>0.36999994657861635</v>
      </c>
      <c r="AT11" s="72">
        <f t="shared" si="10"/>
        <v>-0.22400067558603756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1308</v>
      </c>
      <c r="JB11" s="787" cm="1">
        <f t="array" ref="JB11">IF($JA11="","",COUNT(IF(IF($II$9:$II$150="",$IJ$9:$IJ$150,"")=$JA11,$IG$9:$IG$150,"")))</f>
        <v>1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1.7402833882669926E-2</v>
      </c>
      <c r="C12" s="708">
        <v>2.6948519363569221</v>
      </c>
      <c r="D12" s="709">
        <v>-5.0900153514863017E-2</v>
      </c>
      <c r="E12" s="710">
        <v>-0.97508183710772722</v>
      </c>
      <c r="F12" s="708">
        <v>4.9568437488503723E-2</v>
      </c>
      <c r="G12" s="711">
        <v>0.21623686306355838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1.7402833882669926E-2</v>
      </c>
      <c r="O12" s="629">
        <f t="shared" si="3"/>
        <v>2.6948519363569221</v>
      </c>
      <c r="P12" s="633">
        <f t="shared" si="4"/>
        <v>-5.0900153514863017E-2</v>
      </c>
      <c r="Q12" s="585">
        <f>IF(M12="","",IF(DEGREES(ATAN2(N12,O12))&lt;0,DEGREES(ATAN2(N12,O12))+360,IF(DEGREES(ATAN2(N12,O12))&gt;360,DEGREES(ATAN2(N12,O12))-360,DEGREES(ATAN2(N12,O12)))))</f>
        <v>89.630000053421384</v>
      </c>
      <c r="R12" s="629">
        <f t="shared" si="79"/>
        <v>2.6949081278429143</v>
      </c>
      <c r="S12" s="634">
        <f t="shared" si="80"/>
        <v>-5.0900153514863017E-2</v>
      </c>
      <c r="T12" s="635">
        <f>IF(M12="","",X12*COS(RADIANS(W12)))</f>
        <v>2.6949081278429143</v>
      </c>
      <c r="U12" s="629">
        <f t="shared" si="82"/>
        <v>0</v>
      </c>
      <c r="V12" s="636">
        <f t="shared" si="114"/>
        <v>-5.0900153514863017E-2</v>
      </c>
      <c r="W12" s="585">
        <f>IF(M12="","",IF(Q12-$Q$8&lt;0,360+Q12-$Q$8,Q12-$Q$8))</f>
        <v>0</v>
      </c>
      <c r="X12" s="629">
        <f t="shared" si="83"/>
        <v>2.6949081278429143</v>
      </c>
      <c r="Y12" s="630">
        <f>IF(M12="","",S12)</f>
        <v>-5.0900153514863017E-2</v>
      </c>
      <c r="Z12" s="632">
        <f t="shared" si="6"/>
        <v>0.97508183710772722</v>
      </c>
      <c r="AA12" s="629">
        <f t="shared" si="7"/>
        <v>-4.9568437488503723E-2</v>
      </c>
      <c r="AB12" s="629">
        <f t="shared" si="8"/>
        <v>-0.21623686306355838</v>
      </c>
      <c r="AC12" s="636">
        <f t="shared" si="84"/>
        <v>1</v>
      </c>
      <c r="AD12" s="637">
        <f t="shared" si="115"/>
        <v>0.97508183710772722</v>
      </c>
      <c r="AE12" s="629">
        <f t="shared" si="85"/>
        <v>-4.9568437488503723E-2</v>
      </c>
      <c r="AF12" s="633">
        <f t="shared" si="86"/>
        <v>-0.21623686306355838</v>
      </c>
      <c r="AG12" s="602">
        <f t="shared" si="87"/>
        <v>-12.910972438567921</v>
      </c>
      <c r="AH12" s="603">
        <f t="shared" si="88"/>
        <v>12.817449269791448</v>
      </c>
      <c r="AI12" s="585">
        <f t="shared" si="89"/>
        <v>-77.511898545109617</v>
      </c>
      <c r="AJ12" s="586">
        <f t="shared" si="90"/>
        <v>87.089865177046661</v>
      </c>
      <c r="AK12" s="635">
        <f t="shared" ref="AK12:AK105" si="211">IF(M12="","",(COS(RADIANS((90-$Q$8)-W12))*AD12)+(-SIN(RADIANS((90-$Q$8)-W12))*AE12))</f>
        <v>0.97538160242354588</v>
      </c>
      <c r="AL12" s="629">
        <f>IF(M12="","",(SIN(RADIANS((90-$Q$8)-W12))*AD12)+(COS(RADIANS((90-$Q$8)-W12))*AE12))</f>
        <v>-4.3270644854311029E-2</v>
      </c>
      <c r="AM12" s="634">
        <f t="shared" si="92"/>
        <v>-0.21623686306355838</v>
      </c>
      <c r="AN12" s="581">
        <f>IF(M12="","",DEGREES(ATAN2(-AM12,AL12)))</f>
        <v>-11.315861574188387</v>
      </c>
      <c r="AO12" s="582">
        <f t="shared" si="94"/>
        <v>12.739797915642784</v>
      </c>
      <c r="AP12" s="585">
        <f t="shared" si="95"/>
        <v>-2.54013487637472</v>
      </c>
      <c r="AQ12" s="586">
        <f t="shared" si="9"/>
        <v>0.8458770743004711</v>
      </c>
      <c r="AS12" s="52">
        <f t="shared" si="116"/>
        <v>0</v>
      </c>
      <c r="AT12" s="72">
        <f>IF(M12="","",Y12+(((AS12-$AS$9)*$AS$6)*-1))</f>
        <v>-5.0643209107516754E-2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8.3694322426985129E-2</v>
      </c>
      <c r="C13" s="708">
        <v>3.5253172846420924</v>
      </c>
      <c r="D13" s="709">
        <v>-0.21170063848912568</v>
      </c>
      <c r="E13" s="710">
        <v>-0.96685928649355213</v>
      </c>
      <c r="F13" s="708">
        <v>0.17727857247269524</v>
      </c>
      <c r="G13" s="711">
        <v>0.18372650288737044</v>
      </c>
      <c r="H13" s="710">
        <v>0.314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70</v>
      </c>
      <c r="M13" s="168">
        <f t="shared" si="1"/>
        <v>1.117</v>
      </c>
      <c r="N13" s="632">
        <f t="shared" si="2"/>
        <v>8.3694322426985129E-2</v>
      </c>
      <c r="O13" s="629">
        <f t="shared" si="3"/>
        <v>3.5253172846420924</v>
      </c>
      <c r="P13" s="633">
        <f t="shared" si="4"/>
        <v>-0.21170063848912568</v>
      </c>
      <c r="Q13" s="585">
        <f t="shared" si="113"/>
        <v>88.640000196359679</v>
      </c>
      <c r="R13" s="629">
        <f t="shared" si="79"/>
        <v>3.5263106353528766</v>
      </c>
      <c r="S13" s="634">
        <f t="shared" si="80"/>
        <v>-0.21170063848912568</v>
      </c>
      <c r="T13" s="635">
        <f>IF(M13="","",X13*COS(RADIANS(W13)))</f>
        <v>3.5257842488255093</v>
      </c>
      <c r="U13" s="629">
        <f t="shared" si="82"/>
        <v>-6.0927233128921142E-2</v>
      </c>
      <c r="V13" s="636">
        <f t="shared" si="114"/>
        <v>-0.21170063848912568</v>
      </c>
      <c r="W13" s="585">
        <f t="shared" si="5"/>
        <v>359.01000014293828</v>
      </c>
      <c r="X13" s="629">
        <f t="shared" si="83"/>
        <v>3.5263106353528766</v>
      </c>
      <c r="Y13" s="630">
        <f>IF(M13="","",S13)</f>
        <v>-0.21170063848912568</v>
      </c>
      <c r="Z13" s="632">
        <f t="shared" si="6"/>
        <v>0.96685928649355213</v>
      </c>
      <c r="AA13" s="629">
        <f t="shared" si="7"/>
        <v>-0.17727857247269524</v>
      </c>
      <c r="AB13" s="629">
        <f t="shared" si="8"/>
        <v>-0.18372650288737044</v>
      </c>
      <c r="AC13" s="636">
        <f t="shared" si="84"/>
        <v>1</v>
      </c>
      <c r="AD13" s="637">
        <f>IF(M13="","",Z13*(1/SQRT(Z13^2+AA13^2+AB13^2)))</f>
        <v>0.96685928649355213</v>
      </c>
      <c r="AE13" s="629">
        <f t="shared" si="85"/>
        <v>-0.17727857247269524</v>
      </c>
      <c r="AF13" s="633">
        <f t="shared" si="86"/>
        <v>-0.18372650288737044</v>
      </c>
      <c r="AG13" s="602">
        <f>IF(M13="","",DEGREES(ATAN2(-AF13,AE13)))</f>
        <v>-43.976745906722826</v>
      </c>
      <c r="AH13" s="603">
        <f t="shared" si="88"/>
        <v>14.791946059922763</v>
      </c>
      <c r="AI13" s="585">
        <f t="shared" si="89"/>
        <v>-79.413106202840694</v>
      </c>
      <c r="AJ13" s="586">
        <f t="shared" si="90"/>
        <v>79.609936103784889</v>
      </c>
      <c r="AK13" s="635">
        <f t="shared" si="211"/>
        <v>0.97079449841315379</v>
      </c>
      <c r="AL13" s="629">
        <f t="shared" si="91"/>
        <v>-0.15428095795505839</v>
      </c>
      <c r="AM13" s="634">
        <f t="shared" si="92"/>
        <v>-0.18372650288737044</v>
      </c>
      <c r="AN13" s="581">
        <f t="shared" si="93"/>
        <v>-40.021243200686285</v>
      </c>
      <c r="AO13" s="582">
        <f t="shared" si="94"/>
        <v>13.881380307322152</v>
      </c>
      <c r="AP13" s="585">
        <f t="shared" si="95"/>
        <v>-9.0300640925747899</v>
      </c>
      <c r="AQ13" s="586">
        <f t="shared" si="9"/>
        <v>0.64646315295782875</v>
      </c>
      <c r="AS13" s="52">
        <f t="shared" si="116"/>
        <v>-0.98999985706171856</v>
      </c>
      <c r="AT13" s="72">
        <f t="shared" si="10"/>
        <v>-0.21075619418104211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0.17376787507115982</v>
      </c>
      <c r="C14" s="708">
        <v>4.1985182680305426</v>
      </c>
      <c r="D14" s="709">
        <v>-0.7219021772569667</v>
      </c>
      <c r="E14" s="710">
        <v>-0.94819011720557955</v>
      </c>
      <c r="F14" s="708">
        <v>0.28993209586882596</v>
      </c>
      <c r="G14" s="711">
        <v>0.12990335414753257</v>
      </c>
      <c r="H14" s="710">
        <v>0.314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1.1220000000000001</v>
      </c>
      <c r="N14" s="632">
        <f t="shared" si="2"/>
        <v>0.17376787507115982</v>
      </c>
      <c r="O14" s="629">
        <f t="shared" si="3"/>
        <v>4.1985182680305426</v>
      </c>
      <c r="P14" s="633">
        <f t="shared" si="4"/>
        <v>-0.7219021772569667</v>
      </c>
      <c r="Q14" s="585">
        <f t="shared" si="113"/>
        <v>87.630000342185625</v>
      </c>
      <c r="R14" s="629">
        <f t="shared" si="79"/>
        <v>4.2021126735718228</v>
      </c>
      <c r="S14" s="634">
        <f t="shared" si="80"/>
        <v>-0.7219021772569667</v>
      </c>
      <c r="T14" s="635">
        <f t="shared" si="81"/>
        <v>4.1995528608074748</v>
      </c>
      <c r="U14" s="629">
        <f t="shared" si="82"/>
        <v>-0.14665159622958976</v>
      </c>
      <c r="V14" s="636">
        <f t="shared" si="114"/>
        <v>-0.7219021772569667</v>
      </c>
      <c r="W14" s="585">
        <f t="shared" si="5"/>
        <v>358.00000028876423</v>
      </c>
      <c r="X14" s="629">
        <f t="shared" si="83"/>
        <v>4.2021126735718228</v>
      </c>
      <c r="Y14" s="630">
        <f t="shared" ref="Y14:Y75" si="223">IF(M14="","",S14)</f>
        <v>-0.7219021772569667</v>
      </c>
      <c r="Z14" s="632">
        <f t="shared" si="6"/>
        <v>0.94819011720557955</v>
      </c>
      <c r="AA14" s="629">
        <f t="shared" si="7"/>
        <v>-0.28993209586882596</v>
      </c>
      <c r="AB14" s="629">
        <f t="shared" si="8"/>
        <v>-0.12990335414753257</v>
      </c>
      <c r="AC14" s="636">
        <f t="shared" si="84"/>
        <v>1</v>
      </c>
      <c r="AD14" s="637">
        <f>IF(M14="","",Z14*(1/SQRT(Z14^2+AA14^2+AB14^2)))</f>
        <v>0.94819011720557955</v>
      </c>
      <c r="AE14" s="629">
        <f t="shared" si="85"/>
        <v>-0.28993209586882596</v>
      </c>
      <c r="AF14" s="633">
        <f t="shared" si="86"/>
        <v>-0.12990335414753257</v>
      </c>
      <c r="AG14" s="602">
        <f t="shared" si="87"/>
        <v>-65.865353253929882</v>
      </c>
      <c r="AH14" s="603">
        <f t="shared" si="88"/>
        <v>18.524097844674902</v>
      </c>
      <c r="AI14" s="585">
        <f t="shared" si="89"/>
        <v>-82.535992439939079</v>
      </c>
      <c r="AJ14" s="586">
        <f t="shared" si="90"/>
        <v>72.997718561489918</v>
      </c>
      <c r="AK14" s="635">
        <f>IF(M14="","",(COS(RADIANS((90-$Q$8)-W14))*AD14)+(-SIN(RADIANS((90-$Q$8)-W14))*AE14))</f>
        <v>0.95936847153624916</v>
      </c>
      <c r="AL14" s="629">
        <f t="shared" si="91"/>
        <v>-0.25047405934232353</v>
      </c>
      <c r="AM14" s="634">
        <f t="shared" si="92"/>
        <v>-0.12990335414753257</v>
      </c>
      <c r="AN14" s="581">
        <f t="shared" si="93"/>
        <v>-62.58739212205527</v>
      </c>
      <c r="AO14" s="582">
        <f t="shared" si="94"/>
        <v>16.388937251777651</v>
      </c>
      <c r="AP14" s="585">
        <f>IF(M14="","",DEGREES(ATAN2(AK14,AL14)))</f>
        <v>-14.632281780695665</v>
      </c>
      <c r="AQ14" s="586">
        <f t="shared" si="9"/>
        <v>0.54250294588627679</v>
      </c>
      <c r="AS14" s="52">
        <f t="shared" si="116"/>
        <v>-1.9999997112357732</v>
      </c>
      <c r="AT14" s="72">
        <f t="shared" si="10"/>
        <v>-0.72025634416126227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0.23994011403948684</v>
      </c>
      <c r="C15" s="708">
        <v>4.5783307750953384</v>
      </c>
      <c r="D15" s="709">
        <v>-1.4773044555502379</v>
      </c>
      <c r="E15" s="710">
        <v>-0.92999354619332397</v>
      </c>
      <c r="F15" s="708">
        <v>0.36488492237760228</v>
      </c>
      <c r="G15" s="711">
        <v>4.4395917157517659E-2</v>
      </c>
      <c r="H15" s="710">
        <v>0.314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50</v>
      </c>
      <c r="M15" s="168">
        <f t="shared" si="1"/>
        <v>1.127</v>
      </c>
      <c r="N15" s="632">
        <f t="shared" si="2"/>
        <v>0.23994011403948684</v>
      </c>
      <c r="O15" s="629">
        <f t="shared" si="3"/>
        <v>4.5783307750953384</v>
      </c>
      <c r="P15" s="633">
        <f t="shared" si="4"/>
        <v>-1.4773044555502379</v>
      </c>
      <c r="Q15" s="585">
        <f t="shared" si="113"/>
        <v>87.000000433146354</v>
      </c>
      <c r="R15" s="629">
        <f t="shared" si="79"/>
        <v>4.5846138271953034</v>
      </c>
      <c r="S15" s="634">
        <f t="shared" si="80"/>
        <v>-1.4773044555502379</v>
      </c>
      <c r="T15" s="635">
        <f t="shared" si="81"/>
        <v>4.5797847670501364</v>
      </c>
      <c r="U15" s="629">
        <f t="shared" si="82"/>
        <v>-0.21036975069124225</v>
      </c>
      <c r="V15" s="636">
        <f t="shared" si="114"/>
        <v>-1.4773044555502379</v>
      </c>
      <c r="W15" s="585">
        <f t="shared" ref="W15:W78" si="224">IF(M15="","",IF(Q15-$Q$8&lt;0,360+Q15-$Q$8,Q15-$Q$8))</f>
        <v>357.37000037972496</v>
      </c>
      <c r="X15" s="629">
        <f>IF(M15="","",R15)</f>
        <v>4.5846138271953034</v>
      </c>
      <c r="Y15" s="630">
        <f>IF(M15="","",S15)</f>
        <v>-1.4773044555502379</v>
      </c>
      <c r="Z15" s="632">
        <f t="shared" si="6"/>
        <v>0.92999354619332397</v>
      </c>
      <c r="AA15" s="629">
        <f t="shared" si="7"/>
        <v>-0.36488492237760228</v>
      </c>
      <c r="AB15" s="629">
        <f t="shared" si="8"/>
        <v>-4.4395917157517659E-2</v>
      </c>
      <c r="AC15" s="636">
        <f t="shared" si="84"/>
        <v>1</v>
      </c>
      <c r="AD15" s="637">
        <f t="shared" si="115"/>
        <v>0.92999354619332397</v>
      </c>
      <c r="AE15" s="629">
        <f t="shared" si="85"/>
        <v>-0.36488492237760228</v>
      </c>
      <c r="AF15" s="633">
        <f t="shared" si="86"/>
        <v>-4.4395917157517659E-2</v>
      </c>
      <c r="AG15" s="602">
        <f t="shared" si="87"/>
        <v>-83.062862598298835</v>
      </c>
      <c r="AH15" s="603">
        <f t="shared" si="88"/>
        <v>21.56619102284596</v>
      </c>
      <c r="AI15" s="585">
        <f t="shared" si="89"/>
        <v>-87.455464973313269</v>
      </c>
      <c r="AJ15" s="586">
        <f t="shared" si="90"/>
        <v>68.577335821253314</v>
      </c>
      <c r="AK15" s="635">
        <f t="shared" si="211"/>
        <v>0.94781562130432495</v>
      </c>
      <c r="AL15" s="629">
        <f t="shared" si="91"/>
        <v>-0.31571276589843433</v>
      </c>
      <c r="AM15" s="634">
        <f t="shared" si="92"/>
        <v>-4.4395917157517659E-2</v>
      </c>
      <c r="AN15" s="581">
        <f>IF(M15="","",DEGREES(ATAN2(-AM15,AL15)))</f>
        <v>-81.995483014291679</v>
      </c>
      <c r="AO15" s="582">
        <f t="shared" si="94"/>
        <v>18.591517403666987</v>
      </c>
      <c r="AP15" s="585">
        <f t="shared" si="95"/>
        <v>-18.422664611893012</v>
      </c>
      <c r="AQ15" s="586">
        <f t="shared" si="9"/>
        <v>0.49724349389983602</v>
      </c>
      <c r="AS15" s="52">
        <f t="shared" si="116"/>
        <v>-2.6299996202750435</v>
      </c>
      <c r="AT15" s="72">
        <f t="shared" si="10"/>
        <v>-1.4752211225177008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0.26946523775515119</v>
      </c>
      <c r="C16" s="708">
        <v>4.7308462430157272</v>
      </c>
      <c r="D16" s="709">
        <v>-2.2810068795167489</v>
      </c>
      <c r="E16" s="710">
        <v>-0.83619049385616684</v>
      </c>
      <c r="F16" s="708">
        <v>0.54843911055336581</v>
      </c>
      <c r="G16" s="711">
        <v>1.1339743340279487E-7</v>
      </c>
      <c r="H16" s="710">
        <v>0.26600000000000001</v>
      </c>
      <c r="I16" s="708">
        <v>0.52</v>
      </c>
      <c r="J16" s="570">
        <v>1.1319999999999999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1.1319999999999999</v>
      </c>
      <c r="N16" s="632">
        <f t="shared" si="2"/>
        <v>0.26946523775515119</v>
      </c>
      <c r="O16" s="629">
        <f t="shared" si="3"/>
        <v>4.7308462430157272</v>
      </c>
      <c r="P16" s="633">
        <f t="shared" si="4"/>
        <v>-2.2810068795167489</v>
      </c>
      <c r="Q16" s="585">
        <f>IF(M16="","",IF(DEGREES(ATAN2(N16,O16))&lt;0,DEGREES(ATAN2(N16,O16))+360,IF(DEGREES(ATAN2(N16,O16))&gt;360,DEGREES(ATAN2(N16,O16))-360,DEGREES(ATAN2(N16,O16)))))</f>
        <v>86.7400004706857</v>
      </c>
      <c r="R16" s="629">
        <f t="shared" si="79"/>
        <v>4.7385142913591025</v>
      </c>
      <c r="S16" s="634">
        <f t="shared" si="80"/>
        <v>-2.2810068795167489</v>
      </c>
      <c r="T16" s="635">
        <f t="shared" si="81"/>
        <v>4.7324877184499758</v>
      </c>
      <c r="U16" s="629">
        <f t="shared" si="82"/>
        <v>-0.23890936384871889</v>
      </c>
      <c r="V16" s="636">
        <f t="shared" si="114"/>
        <v>-2.2810068795167489</v>
      </c>
      <c r="W16" s="585">
        <f>IF(M16="","",IF(Q16-$Q$8&lt;0,360+Q16-$Q$8,Q16-$Q$8))</f>
        <v>357.1100004172643</v>
      </c>
      <c r="X16" s="629">
        <f t="shared" si="83"/>
        <v>4.7385142913591025</v>
      </c>
      <c r="Y16" s="630">
        <f t="shared" si="223"/>
        <v>-2.2810068795167489</v>
      </c>
      <c r="Z16" s="632">
        <f t="shared" si="6"/>
        <v>0.83619049385616684</v>
      </c>
      <c r="AA16" s="629">
        <f t="shared" si="7"/>
        <v>-0.54843911055336581</v>
      </c>
      <c r="AB16" s="629">
        <f t="shared" si="8"/>
        <v>-1.1339743340279487E-7</v>
      </c>
      <c r="AC16" s="636">
        <f t="shared" si="84"/>
        <v>1</v>
      </c>
      <c r="AD16" s="637">
        <f t="shared" si="115"/>
        <v>0.83619049385616684</v>
      </c>
      <c r="AE16" s="629">
        <f t="shared" si="85"/>
        <v>-0.54843911055336581</v>
      </c>
      <c r="AF16" s="633">
        <f t="shared" si="86"/>
        <v>-1.1339743340279487E-7</v>
      </c>
      <c r="AG16" s="602">
        <f t="shared" si="87"/>
        <v>-89.999988153298673</v>
      </c>
      <c r="AH16" s="603">
        <f t="shared" si="88"/>
        <v>33.259995197850749</v>
      </c>
      <c r="AI16" s="585">
        <f t="shared" si="89"/>
        <v>-89.999993502805651</v>
      </c>
      <c r="AJ16" s="586">
        <f t="shared" si="90"/>
        <v>56.740004802149805</v>
      </c>
      <c r="AK16" s="635">
        <f t="shared" si="211"/>
        <v>0.86602544158358574</v>
      </c>
      <c r="AL16" s="629">
        <f t="shared" si="91"/>
        <v>-0.49999993452993824</v>
      </c>
      <c r="AM16" s="634">
        <f t="shared" si="92"/>
        <v>-1.1339743340279487E-7</v>
      </c>
      <c r="AN16" s="581">
        <f t="shared" si="93"/>
        <v>-89.999987005609626</v>
      </c>
      <c r="AO16" s="582">
        <f t="shared" si="94"/>
        <v>29.99999566853651</v>
      </c>
      <c r="AP16" s="585">
        <f t="shared" si="95"/>
        <v>-29.999995668535888</v>
      </c>
      <c r="AQ16" s="586">
        <f t="shared" si="9"/>
        <v>0.48109447702418523</v>
      </c>
      <c r="AS16" s="52">
        <f t="shared" si="116"/>
        <v>-2.8899995827356975</v>
      </c>
      <c r="AT16" s="72">
        <f t="shared" si="10"/>
        <v>-2.2787429909547252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1.0332846990611422</v>
      </c>
      <c r="C17" s="708">
        <v>3.3924243690203517</v>
      </c>
      <c r="D17" s="709">
        <v>-0.161925963705843</v>
      </c>
      <c r="E17" s="710">
        <v>-0.81661676730024035</v>
      </c>
      <c r="F17" s="708">
        <v>0.46656427610969653</v>
      </c>
      <c r="G17" s="711">
        <v>0.3397864500275723</v>
      </c>
      <c r="H17" s="710">
        <v>0.26600000000000001</v>
      </c>
      <c r="I17" s="708">
        <v>0.52</v>
      </c>
      <c r="J17" s="570">
        <v>1.2170000000000001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1.2170000000000001</v>
      </c>
      <c r="N17" s="632">
        <f t="shared" si="2"/>
        <v>1.0332846990611422</v>
      </c>
      <c r="O17" s="629">
        <f t="shared" si="3"/>
        <v>3.3924243690203517</v>
      </c>
      <c r="P17" s="633">
        <f t="shared" si="4"/>
        <v>-0.161925963705843</v>
      </c>
      <c r="Q17" s="585">
        <f>IF(M17="","",IF(DEGREES(ATAN2(N17,O17))&lt;0,DEGREES(ATAN2(N17,O17))+360,IF(DEGREES(ATAN2(N17,O17))&gt;360,DEGREES(ATAN2(N17,O17))-360,DEGREES(ATAN2(N17,O17)))))</f>
        <v>73.060002445833035</v>
      </c>
      <c r="R17" s="629">
        <f>IF(M17="","",SQRT(N17^2+O17^2))</f>
        <v>3.5462967119005997</v>
      </c>
      <c r="S17" s="634">
        <f>IF(M17="","",P17)</f>
        <v>-0.161925963705843</v>
      </c>
      <c r="T17" s="635">
        <f>IF(M17="","",X17*COS(RADIANS(W17)))</f>
        <v>3.3990262477341524</v>
      </c>
      <c r="U17" s="629">
        <f>IF(M17="","",X17*SIN(RADIANS(W17)))</f>
        <v>-1.0113559887850043</v>
      </c>
      <c r="V17" s="636">
        <f>IF(M17="","",Y17)</f>
        <v>-0.161925963705843</v>
      </c>
      <c r="W17" s="585">
        <f t="shared" si="224"/>
        <v>343.43000239241167</v>
      </c>
      <c r="X17" s="629">
        <f>IF(M17="","",R17)</f>
        <v>3.5462967119005997</v>
      </c>
      <c r="Y17" s="630">
        <f t="shared" si="223"/>
        <v>-0.161925963705843</v>
      </c>
      <c r="Z17" s="632">
        <f t="shared" si="6"/>
        <v>0.81661676730024035</v>
      </c>
      <c r="AA17" s="629">
        <f t="shared" si="7"/>
        <v>-0.46656427610969653</v>
      </c>
      <c r="AB17" s="629">
        <f t="shared" si="8"/>
        <v>-0.3397864500275723</v>
      </c>
      <c r="AC17" s="636">
        <f>IF(M17="","",SQRT(Z17^2+AA17^2+AB17^2))</f>
        <v>1</v>
      </c>
      <c r="AD17" s="637">
        <f>IF(M17="","",Z17*(1/SQRT(Z17^2+AA17^2+AB17^2)))</f>
        <v>0.81661676730024035</v>
      </c>
      <c r="AE17" s="629">
        <f>IF(M17="","",AA17*(1/SQRT(Z17^2+AA17^2+AB17^2)))</f>
        <v>-0.46656427610969653</v>
      </c>
      <c r="AF17" s="633">
        <f>IF(M17="","",AB17*(1/SQRT(Z17^2+AA17^2+AB17^2)))</f>
        <v>-0.3397864500275723</v>
      </c>
      <c r="AG17" s="602">
        <f>IF(M17="","",DEGREES(ATAN2(-AF17,AE17)))</f>
        <v>-53.935136822752646</v>
      </c>
      <c r="AH17" s="603">
        <f>IF(M17="","",DEGREES(ACOS(AD17)))</f>
        <v>35.25246072689518</v>
      </c>
      <c r="AI17" s="585">
        <f>IF(M17="","",DEGREES(-ACOS(-AF17)))</f>
        <v>-70.136136009791102</v>
      </c>
      <c r="AJ17" s="586">
        <f>IF(M17="","",DEGREES(ATAN2(-AE17,AD17)))</f>
        <v>60.259026311891411</v>
      </c>
      <c r="AK17" s="635">
        <f>IF(M17="","",(COS(RADIANS((90-$Q$8)-W17))*AD17)+(-SIN(RADIANS((90-$Q$8)-W17))*AE17))</f>
        <v>0.91712696748083244</v>
      </c>
      <c r="AL17" s="629">
        <f>IF(M17="","",(SIN(RADIANS((90-$Q$8)-W17))*AD17)+(COS(RADIANS((90-$Q$8)-W17))*AE17))</f>
        <v>-0.20838256620233875</v>
      </c>
      <c r="AM17" s="634">
        <f>IF(M17="","",AF17)</f>
        <v>-0.3397864500275723</v>
      </c>
      <c r="AN17" s="581">
        <f>IF(M17="","",DEGREES(ATAN2(-AM17,AL17)))</f>
        <v>-31.51975234005846</v>
      </c>
      <c r="AO17" s="582">
        <f t="shared" si="94"/>
        <v>23.490386355678634</v>
      </c>
      <c r="AP17" s="585">
        <f>IF(M17="","",DEGREES(ATAN2(AK17,AL17)))</f>
        <v>-12.800976133941626</v>
      </c>
      <c r="AQ17" s="586">
        <f t="shared" si="9"/>
        <v>0.64282014847899849</v>
      </c>
      <c r="AS17" s="52">
        <f t="shared" si="116"/>
        <v>-16.569997607588334</v>
      </c>
      <c r="AT17" s="72">
        <f t="shared" si="10"/>
        <v>-0.15016207651544927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1.2170000000000001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1.117</v>
      </c>
      <c r="II17" s="734" cm="1">
        <f t="array" ref="II17">IFERROR(ROUND(VALUE(IF($IH17&lt;1,$IH17+LARGE((IF($M$9:$M$150="",0,$M$9:$M$150)-MOD(IF($M$9:$M$150="",0,$M$9:$M$150),1)),1),$IH17)),4),"")</f>
        <v>1.117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15.579997750526616</v>
      </c>
      <c r="IM17" s="759">
        <v>7.4105711801035496E-3</v>
      </c>
      <c r="IN17" s="5">
        <f t="shared" ref="IN17:IN80" si="226">IF(ISNUMBER($II17),(($IO17*12)/60)/$AS$3,"")</f>
        <v>0.14000000000000001</v>
      </c>
      <c r="IO17" s="771">
        <v>70</v>
      </c>
      <c r="IP17" s="9">
        <f t="shared" ref="IP17:IP80" si="227">IF(ISNUMBER($II17),(INDEX($X$9:$X$150,MATCH($II17,$M$9:$M$150,0))*-1),"")</f>
        <v>-3.5263106353528766</v>
      </c>
      <c r="IQ17" s="5">
        <f t="shared" ref="IQ17:IQ80" si="228">IF(ISNUMBER($II17),INDEX($Y$9:$Y$150,MATCH($II17,$M$9:$M$150,0)),"")</f>
        <v>-0.21170063848912568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0.30482947250173031</v>
      </c>
      <c r="IT17" s="727">
        <f t="shared" ref="IT17:IT80" si="230">IF(ISNUMBER($II17),(-1*INDEX($AN$9:$AN$150,MATCH($II17,$M$9:$M$150,0))),"")</f>
        <v>40.021243200686285</v>
      </c>
      <c r="IU17" s="9">
        <f t="shared" ref="IU17:IU80" si="231">IF(ISNUMBER($II17),-$X17,"")</f>
        <v>-3.5462967119005997</v>
      </c>
      <c r="IV17" s="5">
        <f t="shared" ref="IV17:IV80" si="232">IF(ISNUMBER($II17),$Y17,"")</f>
        <v>-0.161925963705843</v>
      </c>
      <c r="IW17" s="5">
        <f t="shared" si="76"/>
        <v>0.26600000000000001</v>
      </c>
      <c r="IX17" s="5">
        <f t="shared" ref="IX17:IX80" si="233">IF(ISNUMBER($II17),$IW17*COS(RADIANS($AO17)),"")</f>
        <v>0.24395577334990146</v>
      </c>
      <c r="IY17" s="762">
        <f t="shared" ref="IY17:IY80" si="234">IF(ISNUMBER($II17),(-1*$AN17),"")</f>
        <v>31.51975234005846</v>
      </c>
    </row>
    <row r="18" spans="1:269" ht="15" customHeight="1" x14ac:dyDescent="0.25">
      <c r="A18" s="79"/>
      <c r="B18" s="707">
        <v>1.2398227083673923</v>
      </c>
      <c r="C18" s="708">
        <v>4.0552779734586464</v>
      </c>
      <c r="D18" s="709">
        <v>-0.68049719757760563</v>
      </c>
      <c r="E18" s="710">
        <v>-0.75815040889891772</v>
      </c>
      <c r="F18" s="708">
        <v>0.59900581158908439</v>
      </c>
      <c r="G18" s="711">
        <v>0.25768196516036274</v>
      </c>
      <c r="H18" s="710">
        <v>0.26600000000000001</v>
      </c>
      <c r="I18" s="708">
        <v>0.52</v>
      </c>
      <c r="J18" s="570">
        <v>1.222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1.222</v>
      </c>
      <c r="N18" s="632">
        <f t="shared" si="2"/>
        <v>1.2398227083673923</v>
      </c>
      <c r="O18" s="629">
        <f t="shared" si="3"/>
        <v>4.0552779734586464</v>
      </c>
      <c r="P18" s="633">
        <f t="shared" si="4"/>
        <v>-0.68049719757760563</v>
      </c>
      <c r="Q18" s="585">
        <f t="shared" si="113"/>
        <v>73.00000245449597</v>
      </c>
      <c r="R18" s="629">
        <f>IF(M18="","",SQRT(N18^2+O18^2))</f>
        <v>4.2405706915699826</v>
      </c>
      <c r="S18" s="634">
        <f>IF(M18="","",P18)</f>
        <v>-0.68049719757760563</v>
      </c>
      <c r="T18" s="635">
        <f>IF(M18="","",X18*COS(RADIANS(W18)))</f>
        <v>4.0631997858283047</v>
      </c>
      <c r="U18" s="629">
        <f>IF(M18="","",X18*SIN(RADIANS(W18)))</f>
        <v>-1.2136092001328669</v>
      </c>
      <c r="V18" s="636">
        <f>IF(M18="","",Y18)</f>
        <v>-0.68049719757760563</v>
      </c>
      <c r="W18" s="585">
        <f t="shared" si="224"/>
        <v>343.3700024010746</v>
      </c>
      <c r="X18" s="629">
        <f>IF(M18="","",R18)</f>
        <v>4.2405706915699826</v>
      </c>
      <c r="Y18" s="630">
        <f t="shared" si="223"/>
        <v>-0.68049719757760563</v>
      </c>
      <c r="Z18" s="632">
        <f t="shared" si="6"/>
        <v>0.75815040889891772</v>
      </c>
      <c r="AA18" s="629">
        <f t="shared" si="7"/>
        <v>-0.59900581158908439</v>
      </c>
      <c r="AB18" s="629">
        <f t="shared" si="8"/>
        <v>-0.25768196516036274</v>
      </c>
      <c r="AC18" s="636">
        <f>IF(M18="","",SQRT(Z18^2+AA18^2+AB18^2))</f>
        <v>1</v>
      </c>
      <c r="AD18" s="637">
        <f>IF(M18="","",Z18*(1/SQRT(Z18^2+AA18^2+AB18^2)))</f>
        <v>0.75815040889891772</v>
      </c>
      <c r="AE18" s="629">
        <f>IF(M18="","",AA18*(1/SQRT(Z18^2+AA18^2+AB18^2)))</f>
        <v>-0.59900581158908439</v>
      </c>
      <c r="AF18" s="633">
        <f>IF(M18="","",AB18*(1/SQRT(Z18^2+AA18^2+AB18^2)))</f>
        <v>-0.25768196516036274</v>
      </c>
      <c r="AG18" s="602">
        <f>IF(M18="","",DEGREES(ATAN2(-AF18,AE18)))</f>
        <v>-66.723459081363345</v>
      </c>
      <c r="AH18" s="603">
        <f>IF(M18="","",DEGREES(ACOS(AD18)))</f>
        <v>40.698587772738946</v>
      </c>
      <c r="AI18" s="585">
        <f>IF(M18="","",DEGREES(-ACOS(-AF18)))</f>
        <v>-75.067437502055682</v>
      </c>
      <c r="AJ18" s="586">
        <f>IF(M18="","",DEGREES(ATAN2(-AE18,AD18)))</f>
        <v>51.688147434993532</v>
      </c>
      <c r="AK18" s="635">
        <f>IF(M18="","",(COS(RADIANS((90-$Q$8)-W18))*AD18)+(-SIN(RADIANS((90-$Q$8)-W18))*AE18))</f>
        <v>0.90015517699468084</v>
      </c>
      <c r="AL18" s="629">
        <f>IF(M18="","",(SIN(RADIANS((90-$Q$8)-W18))*AD18)+(COS(RADIANS((90-$Q$8)-W18))*AE18))</f>
        <v>-0.35117041754790312</v>
      </c>
      <c r="AM18" s="634">
        <f>IF(M18="","",AF18)</f>
        <v>-0.25768196516036274</v>
      </c>
      <c r="AN18" s="581">
        <f>IF(M18="","",DEGREES(ATAN2(-AM18,AL18)))</f>
        <v>-53.729509094393627</v>
      </c>
      <c r="AO18" s="582">
        <f t="shared" si="94"/>
        <v>25.821527937922706</v>
      </c>
      <c r="AP18" s="585">
        <f>IF(M18="","",DEGREES(ATAN2(AK18,AL18)))</f>
        <v>-21.311855019502424</v>
      </c>
      <c r="AQ18" s="586">
        <f t="shared" si="9"/>
        <v>0.53758324060713114</v>
      </c>
      <c r="AS18" s="52">
        <f t="shared" si="116"/>
        <v>-16.629997598925399</v>
      </c>
      <c r="AT18" s="72">
        <f t="shared" si="10"/>
        <v>-0.6686916437265612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1.222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1.1220000000000001</v>
      </c>
      <c r="II18" s="734" cm="1">
        <f t="array" ref="II18">IFERROR(ROUND(VALUE(IF($IH18&lt;1,$IH18+LARGE((IF($M$9:$M$150="",0,$M$9:$M$150)-MOD(IF($M$9:$M$150="",0,$M$9:$M$150),1)),1),$IH18)),4),"")</f>
        <v>1.1220000000000001</v>
      </c>
      <c r="IJ18" s="533">
        <f t="shared" si="112"/>
        <v>1613</v>
      </c>
      <c r="IK18" s="533">
        <f t="shared" si="66"/>
        <v>1313</v>
      </c>
      <c r="IL18" s="727">
        <f t="shared" si="225"/>
        <v>14.629997887689626</v>
      </c>
      <c r="IM18" s="759">
        <v>5.6946479638485198E-3</v>
      </c>
      <c r="IN18" s="5">
        <f t="shared" si="226"/>
        <v>0.14000000000000001</v>
      </c>
      <c r="IO18" s="771">
        <v>70</v>
      </c>
      <c r="IP18" s="9">
        <f t="shared" si="227"/>
        <v>-4.2021126735718228</v>
      </c>
      <c r="IQ18" s="5">
        <f t="shared" si="228"/>
        <v>-0.7219021772569667</v>
      </c>
      <c r="IR18" s="5">
        <f t="shared" si="71"/>
        <v>0.314</v>
      </c>
      <c r="IS18" s="5">
        <f t="shared" si="229"/>
        <v>0.30124170006238221</v>
      </c>
      <c r="IT18" s="727">
        <f t="shared" si="230"/>
        <v>62.58739212205527</v>
      </c>
      <c r="IU18" s="9">
        <f t="shared" si="231"/>
        <v>-4.2405706915699826</v>
      </c>
      <c r="IV18" s="5">
        <f t="shared" si="232"/>
        <v>-0.68049719757760563</v>
      </c>
      <c r="IW18" s="5">
        <f t="shared" si="76"/>
        <v>0.26600000000000001</v>
      </c>
      <c r="IX18" s="5">
        <f t="shared" si="233"/>
        <v>0.23944127708058513</v>
      </c>
      <c r="IY18" s="762">
        <f t="shared" si="234"/>
        <v>53.729509094393627</v>
      </c>
    </row>
    <row r="19" spans="1:269" ht="15" customHeight="1" thickBot="1" x14ac:dyDescent="0.3">
      <c r="A19" s="79"/>
      <c r="B19" s="707">
        <v>1.3729826038229376</v>
      </c>
      <c r="C19" s="708">
        <v>4.4299161778580753</v>
      </c>
      <c r="D19" s="709">
        <v>-1.4504106319580798</v>
      </c>
      <c r="E19" s="710">
        <v>-0.71012052961721495</v>
      </c>
      <c r="F19" s="708">
        <v>0.69182075928023223</v>
      </c>
      <c r="G19" s="711">
        <v>0.13081617042663043</v>
      </c>
      <c r="H19" s="710">
        <v>0.26600000000000001</v>
      </c>
      <c r="I19" s="708">
        <v>0.52</v>
      </c>
      <c r="J19" s="570">
        <v>1.2270000000000001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1.2270000000000001</v>
      </c>
      <c r="N19" s="632">
        <f t="shared" si="2"/>
        <v>1.3729826038229376</v>
      </c>
      <c r="O19" s="629">
        <f t="shared" si="3"/>
        <v>4.4299161778580753</v>
      </c>
      <c r="P19" s="633">
        <f t="shared" si="4"/>
        <v>-1.4504106319580798</v>
      </c>
      <c r="Q19" s="585">
        <f t="shared" si="113"/>
        <v>72.780002486260031</v>
      </c>
      <c r="R19" s="629">
        <f>IF(M19="","",SQRT(N19^2+O19^2))</f>
        <v>4.6378053617254258</v>
      </c>
      <c r="S19" s="634">
        <f>IF(M19="","",P19)</f>
        <v>-1.4504106319580798</v>
      </c>
      <c r="T19" s="635">
        <f>IF(M19="","",X19*COS(RADIANS(W19)))</f>
        <v>4.438690081636457</v>
      </c>
      <c r="U19" s="629">
        <f>IF(M19="","",X19*SIN(RADIANS(W19)))</f>
        <v>-1.3443470282747876</v>
      </c>
      <c r="V19" s="636">
        <f>IF(M19="","",Y19)</f>
        <v>-1.4504106319580798</v>
      </c>
      <c r="W19" s="585">
        <f t="shared" si="224"/>
        <v>343.15000243283868</v>
      </c>
      <c r="X19" s="629">
        <f>IF(M19="","",R19)</f>
        <v>4.6378053617254258</v>
      </c>
      <c r="Y19" s="630">
        <f t="shared" si="223"/>
        <v>-1.4504106319580798</v>
      </c>
      <c r="Z19" s="632">
        <f t="shared" si="6"/>
        <v>0.71012052961721495</v>
      </c>
      <c r="AA19" s="629">
        <f t="shared" si="7"/>
        <v>-0.69182075928023223</v>
      </c>
      <c r="AB19" s="629">
        <f t="shared" si="8"/>
        <v>-0.13081617042663043</v>
      </c>
      <c r="AC19" s="636">
        <f>IF(M19="","",SQRT(Z19^2+AA19^2+AB19^2))</f>
        <v>1</v>
      </c>
      <c r="AD19" s="637">
        <f>IF(M19="","",Z19*(1/SQRT(Z19^2+AA19^2+AB19^2)))</f>
        <v>0.71012052961721495</v>
      </c>
      <c r="AE19" s="629">
        <f>IF(M19="","",AA19*(1/SQRT(Z19^2+AA19^2+AB19^2)))</f>
        <v>-0.69182075928023223</v>
      </c>
      <c r="AF19" s="633">
        <f>IF(M19="","",AB19*(1/SQRT(Z19^2+AA19^2+AB19^2)))</f>
        <v>-0.13081617042663043</v>
      </c>
      <c r="AG19" s="602">
        <f>IF(M19="","",DEGREES(ATAN2(-AF19,AE19)))</f>
        <v>-79.292381161130791</v>
      </c>
      <c r="AH19" s="603">
        <f>IF(M19="","",DEGREES(ACOS(AD19)))</f>
        <v>44.755277204791021</v>
      </c>
      <c r="AI19" s="585">
        <f>IF(M19="","",DEGREES(-ACOS(-AF19)))</f>
        <v>-82.483241783621139</v>
      </c>
      <c r="AJ19" s="586">
        <f>IF(M19="","",DEGREES(ATAN2(-AE19,AD19)))</f>
        <v>45.74784876598337</v>
      </c>
      <c r="AK19" s="635">
        <f>IF(M19="","",(COS(RADIANS((90-$Q$8)-W19))*AD19)+(-SIN(RADIANS((90-$Q$8)-W19))*AE19))</f>
        <v>0.88309706216564043</v>
      </c>
      <c r="AL19" s="629">
        <f>IF(M19="","",(SIN(RADIANS((90-$Q$8)-W19))*AD19)+(COS(RADIANS((90-$Q$8)-W19))*AE19))</f>
        <v>-0.45058485144235139</v>
      </c>
      <c r="AM19" s="634">
        <f>IF(M19="","",AF19)</f>
        <v>-0.13081617042663043</v>
      </c>
      <c r="AN19" s="581">
        <f>IF(M19="","",DEGREES(ATAN2(-AM19,AL19)))</f>
        <v>-73.810651424485528</v>
      </c>
      <c r="AO19" s="582">
        <f t="shared" si="94"/>
        <v>27.981752832818316</v>
      </c>
      <c r="AP19" s="585">
        <f>IF(M19="","",DEGREES(ATAN2(AK19,AL19)))</f>
        <v>-27.032153720276671</v>
      </c>
      <c r="AQ19" s="586">
        <f t="shared" si="9"/>
        <v>0.49154083129446996</v>
      </c>
      <c r="AS19" s="52">
        <f t="shared" si="116"/>
        <v>-16.849997567161324</v>
      </c>
      <c r="AT19" s="72">
        <f t="shared" si="10"/>
        <v>-1.4384523003513161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1.2270000000000001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1.127</v>
      </c>
      <c r="II19" s="734" cm="1">
        <f t="array" ref="II19">IFERROR(ROUND(VALUE(IF($IH19&lt;1,$IH19+LARGE((IF($M$9:$M$150="",0,$M$9:$M$150)-MOD(IF($M$9:$M$150="",0,$M$9:$M$150),1)),1),$IH19)),4),"")</f>
        <v>1.127</v>
      </c>
      <c r="IJ19" s="533">
        <f t="shared" si="112"/>
        <v>1613</v>
      </c>
      <c r="IK19" s="533">
        <f t="shared" si="66"/>
        <v>1313</v>
      </c>
      <c r="IL19" s="727">
        <f t="shared" si="225"/>
        <v>14.219997946886281</v>
      </c>
      <c r="IM19" s="759">
        <v>3.6700520949869398E-3</v>
      </c>
      <c r="IN19" s="5">
        <f t="shared" si="226"/>
        <v>0.1</v>
      </c>
      <c r="IO19" s="771">
        <v>50</v>
      </c>
      <c r="IP19" s="9">
        <f t="shared" si="227"/>
        <v>-4.5846138271953034</v>
      </c>
      <c r="IQ19" s="5">
        <f t="shared" si="228"/>
        <v>-1.4773044555502379</v>
      </c>
      <c r="IR19" s="5">
        <f t="shared" si="71"/>
        <v>0.314</v>
      </c>
      <c r="IS19" s="5">
        <f t="shared" si="229"/>
        <v>0.29761410508955805</v>
      </c>
      <c r="IT19" s="727">
        <f t="shared" si="230"/>
        <v>81.995483014291679</v>
      </c>
      <c r="IU19" s="9">
        <f t="shared" si="231"/>
        <v>-4.6378053617254258</v>
      </c>
      <c r="IV19" s="5">
        <f t="shared" si="232"/>
        <v>-1.4504106319580798</v>
      </c>
      <c r="IW19" s="5">
        <f t="shared" si="76"/>
        <v>0.26600000000000001</v>
      </c>
      <c r="IX19" s="5">
        <f t="shared" si="233"/>
        <v>0.23490381853606038</v>
      </c>
      <c r="IY19" s="762">
        <f t="shared" si="234"/>
        <v>73.810651424485528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0.80982497753269711</v>
      </c>
      <c r="C20" s="708">
        <v>5.6627917021609984E-2</v>
      </c>
      <c r="D20" s="709">
        <v>-0.50650152760860734</v>
      </c>
      <c r="E20" s="710">
        <v>-0.13420301969909798</v>
      </c>
      <c r="F20" s="708">
        <v>0.95890018556216505</v>
      </c>
      <c r="G20" s="711">
        <v>0.24999996726497561</v>
      </c>
      <c r="H20" s="710">
        <v>0.314</v>
      </c>
      <c r="I20" s="708">
        <v>0.52</v>
      </c>
      <c r="J20" s="570">
        <v>2.1030000000000002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2.1030000000000002</v>
      </c>
      <c r="N20" s="632">
        <f t="shared" si="2"/>
        <v>0.80982497753269711</v>
      </c>
      <c r="O20" s="629">
        <f t="shared" si="3"/>
        <v>5.6627917021609984E-2</v>
      </c>
      <c r="P20" s="633">
        <f t="shared" si="4"/>
        <v>-0.50650152760860734</v>
      </c>
      <c r="Q20" s="585">
        <f t="shared" si="113"/>
        <v>3.9999604393003412</v>
      </c>
      <c r="R20" s="629">
        <f>IF(M20="","",SQRT(N20^2+O20^2))</f>
        <v>0.81180244839618443</v>
      </c>
      <c r="S20" s="634">
        <f>IF(M20="","",P20)</f>
        <v>-0.50650152760860734</v>
      </c>
      <c r="T20" s="635">
        <f>IF(M20="","",X20*COS(RADIANS(W20)))</f>
        <v>6.1856320693578722E-2</v>
      </c>
      <c r="U20" s="629">
        <f>IF(M20="","",X20*SIN(RADIANS(W20)))</f>
        <v>-0.80944240734736206</v>
      </c>
      <c r="V20" s="636">
        <f>IF(M20="","",Y20)</f>
        <v>-0.50650152760860734</v>
      </c>
      <c r="W20" s="585">
        <f t="shared" si="224"/>
        <v>274.36996038587898</v>
      </c>
      <c r="X20" s="629">
        <f>IF(M20="","",R20)</f>
        <v>0.81180244839618443</v>
      </c>
      <c r="Y20" s="630">
        <f t="shared" si="223"/>
        <v>-0.50650152760860734</v>
      </c>
      <c r="Z20" s="632">
        <f t="shared" si="6"/>
        <v>0.13420301969909798</v>
      </c>
      <c r="AA20" s="629">
        <f t="shared" si="7"/>
        <v>-0.95890018556216505</v>
      </c>
      <c r="AB20" s="629">
        <f t="shared" si="8"/>
        <v>-0.24999996726497561</v>
      </c>
      <c r="AC20" s="636">
        <f>IF(M20="","",SQRT(Z20^2+AA20^2+AB20^2))</f>
        <v>1</v>
      </c>
      <c r="AD20" s="637">
        <f>IF(M20="","",Z20*(1/SQRT(Z20^2+AA20^2+AB20^2)))</f>
        <v>0.13420301969909798</v>
      </c>
      <c r="AE20" s="629">
        <f>IF(M20="","",AA20*(1/SQRT(Z20^2+AA20^2+AB20^2)))</f>
        <v>-0.95890018556216505</v>
      </c>
      <c r="AF20" s="633">
        <f>IF(M20="","",AB20*(1/SQRT(Z20^2+AA20^2+AB20^2)))</f>
        <v>-0.24999996726497561</v>
      </c>
      <c r="AG20" s="602">
        <f>IF(M20="","",DEGREES(ATAN2(-AF20,AE20)))</f>
        <v>-75.387400901100847</v>
      </c>
      <c r="AH20" s="603">
        <f>IF(M20="","",DEGREES(ACOS(AD20)))</f>
        <v>82.287463084114179</v>
      </c>
      <c r="AI20" s="585">
        <f>IF(M20="","",DEGREES(-ACOS(-AF20)))</f>
        <v>-75.522489751159469</v>
      </c>
      <c r="AJ20" s="586">
        <f>IF(M20="","",DEGREES(ATAN2(-AE20,AD20)))</f>
        <v>7.9670900843869141</v>
      </c>
      <c r="AK20" s="635">
        <f>IF(M20="","",(COS(RADIANS((90-$Q$8)-W20))*AD20)+(-SIN(RADIANS((90-$Q$8)-W20))*AE20))</f>
        <v>0.96592583607220739</v>
      </c>
      <c r="AL20" s="629">
        <f>IF(M20="","",(SIN(RADIANS((90-$Q$8)-W20))*AD20)+(COS(RADIANS((90-$Q$8)-W20))*AE20))</f>
        <v>6.6987279208207226E-2</v>
      </c>
      <c r="AM20" s="634">
        <f>IF(M20="","",AF20)</f>
        <v>-0.24999996726497561</v>
      </c>
      <c r="AN20" s="581">
        <f>IF(M20="","",DEGREES(ATAN2(-AM20,AL20)))</f>
        <v>14.999997834268274</v>
      </c>
      <c r="AO20" s="582">
        <f t="shared" si="94"/>
        <v>14.999997834268255</v>
      </c>
      <c r="AP20" s="585">
        <f>IF(M20="","",DEGREES(ATAN2(AK20,AL20)))</f>
        <v>3.9671296450865725</v>
      </c>
      <c r="AQ20" s="586">
        <f t="shared" si="9"/>
        <v>2.8059828672563305</v>
      </c>
      <c r="AS20" s="52">
        <f t="shared" si="116"/>
        <v>-85.630039614121017</v>
      </c>
      <c r="AT20" s="72">
        <f t="shared" si="10"/>
        <v>-0.44677927791367705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2.1030000000000002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1.594611020677527</v>
      </c>
      <c r="C21" s="708">
        <v>0.1115049585600438</v>
      </c>
      <c r="D21" s="709">
        <v>-0.29570089183388976</v>
      </c>
      <c r="E21" s="710">
        <v>-0.13420301969909798</v>
      </c>
      <c r="F21" s="708">
        <v>0.95890018556216505</v>
      </c>
      <c r="G21" s="711">
        <v>0.24999996726497564</v>
      </c>
      <c r="H21" s="710">
        <v>0.314</v>
      </c>
      <c r="I21" s="708">
        <v>0.52</v>
      </c>
      <c r="J21" s="570">
        <v>2.1059999999999999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2.1059999999999999</v>
      </c>
      <c r="N21" s="632">
        <f t="shared" si="2"/>
        <v>1.594611020677527</v>
      </c>
      <c r="O21" s="629">
        <f t="shared" si="3"/>
        <v>0.1115049585600438</v>
      </c>
      <c r="P21" s="633">
        <f t="shared" si="4"/>
        <v>-0.29570089183388976</v>
      </c>
      <c r="Q21" s="585">
        <f t="shared" si="113"/>
        <v>3.9999604393003412</v>
      </c>
      <c r="R21" s="629">
        <f>IF(M21="","",SQRT(N21^2+O21^2))</f>
        <v>1.5985048210905408</v>
      </c>
      <c r="S21" s="634">
        <f>IF(M21="","",P21)</f>
        <v>-0.29570089183388976</v>
      </c>
      <c r="T21" s="635">
        <f>IF(M21="","",X21*COS(RADIANS(W21)))</f>
        <v>0.12180010917551812</v>
      </c>
      <c r="U21" s="629">
        <f>IF(M21="","",X21*SIN(RADIANS(W21)))</f>
        <v>-1.5938577089735877</v>
      </c>
      <c r="V21" s="636">
        <f>IF(M21="","",Y21)</f>
        <v>-0.29570089183388976</v>
      </c>
      <c r="W21" s="585">
        <f t="shared" si="224"/>
        <v>274.36996038587898</v>
      </c>
      <c r="X21" s="629">
        <f>IF(M21="","",R21)</f>
        <v>1.5985048210905408</v>
      </c>
      <c r="Y21" s="630">
        <f t="shared" si="223"/>
        <v>-0.29570089183388976</v>
      </c>
      <c r="Z21" s="632">
        <f t="shared" si="6"/>
        <v>0.13420301969909798</v>
      </c>
      <c r="AA21" s="629">
        <f t="shared" si="7"/>
        <v>-0.95890018556216505</v>
      </c>
      <c r="AB21" s="629">
        <f t="shared" si="8"/>
        <v>-0.24999996726497564</v>
      </c>
      <c r="AC21" s="636">
        <f>IF(M21="","",SQRT(Z21^2+AA21^2+AB21^2))</f>
        <v>1</v>
      </c>
      <c r="AD21" s="637">
        <f>IF(M21="","",Z21*(1/SQRT(Z21^2+AA21^2+AB21^2)))</f>
        <v>0.13420301969909798</v>
      </c>
      <c r="AE21" s="629">
        <f>IF(M21="","",AA21*(1/SQRT(Z21^2+AA21^2+AB21^2)))</f>
        <v>-0.95890018556216505</v>
      </c>
      <c r="AF21" s="633">
        <f>IF(M21="","",AB21*(1/SQRT(Z21^2+AA21^2+AB21^2)))</f>
        <v>-0.24999996726497564</v>
      </c>
      <c r="AG21" s="602">
        <f>IF(M21="","",DEGREES(ATAN2(-AF21,AE21)))</f>
        <v>-75.387400901100847</v>
      </c>
      <c r="AH21" s="603">
        <f>IF(M21="","",DEGREES(ACOS(AD21)))</f>
        <v>82.287463084114179</v>
      </c>
      <c r="AI21" s="585">
        <f>IF(M21="","",DEGREES(-ACOS(-AF21)))</f>
        <v>-75.522489751159469</v>
      </c>
      <c r="AJ21" s="586">
        <f>IF(M21="","",DEGREES(ATAN2(-AE21,AD21)))</f>
        <v>7.9670900843869141</v>
      </c>
      <c r="AK21" s="635">
        <f>IF(M21="","",(COS(RADIANS((90-$Q$8)-W21))*AD21)+(-SIN(RADIANS((90-$Q$8)-W21))*AE21))</f>
        <v>0.96592583607220739</v>
      </c>
      <c r="AL21" s="629">
        <f>IF(M21="","",(SIN(RADIANS((90-$Q$8)-W21))*AD21)+(COS(RADIANS((90-$Q$8)-W21))*AE21))</f>
        <v>6.6987279208207226E-2</v>
      </c>
      <c r="AM21" s="634">
        <f>IF(M21="","",AF21)</f>
        <v>-0.24999996726497564</v>
      </c>
      <c r="AN21" s="581">
        <f>IF(M21="","",DEGREES(ATAN2(-AM21,AL21)))</f>
        <v>14.999997834268274</v>
      </c>
      <c r="AO21" s="582">
        <f>IF(ROUND(IF(M21="",0,DEGREES(ACOS(AK21))),4)=90,0,IF(M21="","",DEGREES(ACOS(AK21))))</f>
        <v>14.999997834268255</v>
      </c>
      <c r="AP21" s="585">
        <f>IF(M21="","",DEGREES(ATAN2(AK21,AL21)))</f>
        <v>3.9671296450865725</v>
      </c>
      <c r="AQ21" s="586">
        <f t="shared" si="9"/>
        <v>1.4258674468269483</v>
      </c>
      <c r="AS21" s="52">
        <f t="shared" si="116"/>
        <v>-85.630039614121017</v>
      </c>
      <c r="AT21" s="72">
        <f t="shared" si="10"/>
        <v>-0.23597864213895944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2.1059999999999999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2.5193151153603441</v>
      </c>
      <c r="C22" s="708">
        <v>0.16644771361834226</v>
      </c>
      <c r="D22" s="709">
        <v>-6.4900195738990293E-2</v>
      </c>
      <c r="E22" s="710">
        <v>-5.0273504304695613E-2</v>
      </c>
      <c r="F22" s="708">
        <v>0.97261890225501635</v>
      </c>
      <c r="G22" s="711">
        <v>0.22690316379718625</v>
      </c>
      <c r="H22" s="710">
        <v>0.314</v>
      </c>
      <c r="I22" s="708">
        <v>0.52</v>
      </c>
      <c r="J22" s="570">
        <v>2.1110000000000002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2.1110000000000002</v>
      </c>
      <c r="N22" s="632">
        <f t="shared" si="2"/>
        <v>2.5193151153603441</v>
      </c>
      <c r="O22" s="629">
        <f t="shared" si="3"/>
        <v>0.16644771361834226</v>
      </c>
      <c r="P22" s="633">
        <f t="shared" si="4"/>
        <v>-6.4900195738990293E-2</v>
      </c>
      <c r="Q22" s="585">
        <f t="shared" si="113"/>
        <v>3.7799604710644052</v>
      </c>
      <c r="R22" s="629">
        <f t="shared" si="79"/>
        <v>2.5248076148197662</v>
      </c>
      <c r="S22" s="634">
        <f t="shared" si="80"/>
        <v>-6.4900195738990293E-2</v>
      </c>
      <c r="T22" s="635">
        <f t="shared" si="81"/>
        <v>0.18271315474914235</v>
      </c>
      <c r="U22" s="629">
        <f t="shared" si="82"/>
        <v>-2.5181877203523753</v>
      </c>
      <c r="V22" s="636">
        <f t="shared" si="114"/>
        <v>-6.4900195738990293E-2</v>
      </c>
      <c r="W22" s="585">
        <f t="shared" si="224"/>
        <v>274.149960417643</v>
      </c>
      <c r="X22" s="629">
        <f t="shared" si="83"/>
        <v>2.5248076148197662</v>
      </c>
      <c r="Y22" s="630">
        <f t="shared" si="223"/>
        <v>-6.4900195738990293E-2</v>
      </c>
      <c r="Z22" s="632">
        <f t="shared" si="6"/>
        <v>5.0273504304695613E-2</v>
      </c>
      <c r="AA22" s="629">
        <f t="shared" si="7"/>
        <v>-0.97261890225501635</v>
      </c>
      <c r="AB22" s="629">
        <f t="shared" si="8"/>
        <v>-0.22690316379718625</v>
      </c>
      <c r="AC22" s="636">
        <f t="shared" si="84"/>
        <v>1</v>
      </c>
      <c r="AD22" s="637">
        <f t="shared" si="115"/>
        <v>5.0273504304695613E-2</v>
      </c>
      <c r="AE22" s="629">
        <f t="shared" si="85"/>
        <v>-0.97261890225501635</v>
      </c>
      <c r="AF22" s="633">
        <f t="shared" si="86"/>
        <v>-0.22690316379718625</v>
      </c>
      <c r="AG22" s="602">
        <f t="shared" si="87"/>
        <v>-76.868282050867549</v>
      </c>
      <c r="AH22" s="603">
        <f t="shared" si="88"/>
        <v>87.118325642205377</v>
      </c>
      <c r="AI22" s="585">
        <f t="shared" si="89"/>
        <v>-76.885183678722385</v>
      </c>
      <c r="AJ22" s="586">
        <f t="shared" si="90"/>
        <v>2.9589168415204945</v>
      </c>
      <c r="AK22" s="635">
        <f t="shared" si="211"/>
        <v>0.9738173306162422</v>
      </c>
      <c r="AL22" s="629">
        <f t="shared" si="91"/>
        <v>-1.3955674483297362E-2</v>
      </c>
      <c r="AM22" s="634">
        <f t="shared" si="92"/>
        <v>-0.22690316379718625</v>
      </c>
      <c r="AN22" s="581">
        <f t="shared" si="93"/>
        <v>-3.5195422424051412</v>
      </c>
      <c r="AO22" s="582">
        <f t="shared" si="94"/>
        <v>13.14004205497918</v>
      </c>
      <c r="AP22" s="585">
        <f t="shared" si="95"/>
        <v>-0.82104362954387999</v>
      </c>
      <c r="AQ22" s="586">
        <f t="shared" si="9"/>
        <v>0.90285609229079922</v>
      </c>
      <c r="AS22" s="52">
        <f t="shared" si="116"/>
        <v>-85.850039582356999</v>
      </c>
      <c r="AT22" s="72">
        <f t="shared" si="10"/>
        <v>-5.0251682883405563E-3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2.1110000000000002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3.3631160654176337</v>
      </c>
      <c r="C23" s="708">
        <v>0.16801195175842551</v>
      </c>
      <c r="D23" s="709">
        <v>-0.14940045059175897</v>
      </c>
      <c r="E23" s="710">
        <v>8.3352269197518966E-2</v>
      </c>
      <c r="F23" s="708">
        <v>0.97870426249506626</v>
      </c>
      <c r="G23" s="711">
        <v>0.18759095338958345</v>
      </c>
      <c r="H23" s="710">
        <v>0.314</v>
      </c>
      <c r="I23" s="708">
        <v>0.52</v>
      </c>
      <c r="J23" s="570">
        <v>2.1160000000000001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2.1160000000000001</v>
      </c>
      <c r="N23" s="632">
        <f t="shared" si="2"/>
        <v>3.3631160654176337</v>
      </c>
      <c r="O23" s="629">
        <f t="shared" si="3"/>
        <v>0.16801195175842551</v>
      </c>
      <c r="P23" s="633">
        <f t="shared" si="4"/>
        <v>-0.14940045059175897</v>
      </c>
      <c r="Q23" s="585">
        <f t="shared" si="113"/>
        <v>2.8599606038959511</v>
      </c>
      <c r="R23" s="629">
        <f t="shared" si="79"/>
        <v>3.3673101558074303</v>
      </c>
      <c r="S23" s="634">
        <f t="shared" si="80"/>
        <v>-0.14940045059175897</v>
      </c>
      <c r="T23" s="635">
        <f t="shared" si="81"/>
        <v>0.18972635039367952</v>
      </c>
      <c r="U23" s="629">
        <f t="shared" si="82"/>
        <v>-3.3619609749921482</v>
      </c>
      <c r="V23" s="636">
        <f t="shared" si="114"/>
        <v>-0.14940045059175897</v>
      </c>
      <c r="W23" s="585">
        <f t="shared" si="224"/>
        <v>273.22996055047457</v>
      </c>
      <c r="X23" s="629">
        <f t="shared" si="83"/>
        <v>3.3673101558074303</v>
      </c>
      <c r="Y23" s="630">
        <f t="shared" si="223"/>
        <v>-0.14940045059175897</v>
      </c>
      <c r="Z23" s="632">
        <f t="shared" si="6"/>
        <v>-8.3352269197518966E-2</v>
      </c>
      <c r="AA23" s="629">
        <f t="shared" si="7"/>
        <v>-0.97870426249506626</v>
      </c>
      <c r="AB23" s="629">
        <f t="shared" si="8"/>
        <v>-0.18759095338958345</v>
      </c>
      <c r="AC23" s="636">
        <f t="shared" si="84"/>
        <v>1</v>
      </c>
      <c r="AD23" s="637">
        <f t="shared" si="115"/>
        <v>-8.3352269197518966E-2</v>
      </c>
      <c r="AE23" s="629">
        <f t="shared" si="85"/>
        <v>-0.97870426249506626</v>
      </c>
      <c r="AF23" s="633">
        <f t="shared" si="86"/>
        <v>-0.18759095338958345</v>
      </c>
      <c r="AG23" s="602">
        <f t="shared" si="87"/>
        <v>-79.149558270635168</v>
      </c>
      <c r="AH23" s="603">
        <f t="shared" si="88"/>
        <v>94.781280580068909</v>
      </c>
      <c r="AI23" s="585">
        <f t="shared" si="89"/>
        <v>-79.187771740619553</v>
      </c>
      <c r="AJ23" s="586">
        <f t="shared" si="90"/>
        <v>-4.8679022889975005</v>
      </c>
      <c r="AK23" s="635">
        <f t="shared" si="211"/>
        <v>0.97332639388919373</v>
      </c>
      <c r="AL23" s="629">
        <f t="shared" si="91"/>
        <v>-0.13208090386216043</v>
      </c>
      <c r="AM23" s="634">
        <f t="shared" si="92"/>
        <v>-0.18759095338958345</v>
      </c>
      <c r="AN23" s="581">
        <f t="shared" si="93"/>
        <v>-35.148991031140454</v>
      </c>
      <c r="AO23" s="582">
        <f t="shared" si="94"/>
        <v>13.263208680983324</v>
      </c>
      <c r="AP23" s="585">
        <f t="shared" si="95"/>
        <v>-7.7278628928934463</v>
      </c>
      <c r="AQ23" s="586">
        <f t="shared" si="9"/>
        <v>0.67698561620939768</v>
      </c>
      <c r="AS23" s="52">
        <f t="shared" si="116"/>
        <v>-86.770039449525427</v>
      </c>
      <c r="AT23" s="72">
        <f t="shared" si="10"/>
        <v>-8.8886534344464488E-2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2.1160000000000001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15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9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70</v>
      </c>
      <c r="JI23" s="801">
        <v>50</v>
      </c>
    </row>
    <row r="24" spans="1:269" ht="15" customHeight="1" x14ac:dyDescent="0.25">
      <c r="A24" s="79"/>
      <c r="B24" s="707">
        <v>4.084673401665369</v>
      </c>
      <c r="C24" s="708">
        <v>0.12907685044307579</v>
      </c>
      <c r="D24" s="709">
        <v>-0.59600179754142146</v>
      </c>
      <c r="E24" s="710">
        <v>0.20673610852361551</v>
      </c>
      <c r="F24" s="708">
        <v>0.96693696807152874</v>
      </c>
      <c r="G24" s="711">
        <v>0.14930867760834082</v>
      </c>
      <c r="H24" s="710">
        <v>0.314</v>
      </c>
      <c r="I24" s="708">
        <v>0.52</v>
      </c>
      <c r="J24" s="570">
        <v>2.121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2.121</v>
      </c>
      <c r="N24" s="632">
        <f t="shared" si="2"/>
        <v>4.084673401665369</v>
      </c>
      <c r="O24" s="629">
        <f t="shared" si="3"/>
        <v>0.12907685044307579</v>
      </c>
      <c r="P24" s="633">
        <f t="shared" si="4"/>
        <v>-0.59600179754142146</v>
      </c>
      <c r="Q24" s="585">
        <f t="shared" si="113"/>
        <v>1.8099607554971739</v>
      </c>
      <c r="R24" s="629">
        <f t="shared" si="79"/>
        <v>4.086712325524374</v>
      </c>
      <c r="S24" s="634">
        <f t="shared" si="80"/>
        <v>-0.59600179754142146</v>
      </c>
      <c r="T24" s="635">
        <f t="shared" si="81"/>
        <v>0.15545164182084434</v>
      </c>
      <c r="U24" s="629">
        <f t="shared" si="82"/>
        <v>-4.0837546961892848</v>
      </c>
      <c r="V24" s="636">
        <f t="shared" si="114"/>
        <v>-0.59600179754142146</v>
      </c>
      <c r="W24" s="585">
        <f t="shared" si="224"/>
        <v>272.17996070207579</v>
      </c>
      <c r="X24" s="629">
        <f t="shared" si="83"/>
        <v>4.086712325524374</v>
      </c>
      <c r="Y24" s="630">
        <f t="shared" si="223"/>
        <v>-0.59600179754142146</v>
      </c>
      <c r="Z24" s="632">
        <f t="shared" si="6"/>
        <v>-0.20673610852361551</v>
      </c>
      <c r="AA24" s="629">
        <f t="shared" si="7"/>
        <v>-0.96693696807152874</v>
      </c>
      <c r="AB24" s="629">
        <f t="shared" si="8"/>
        <v>-0.14930867760834082</v>
      </c>
      <c r="AC24" s="636">
        <f t="shared" si="84"/>
        <v>1</v>
      </c>
      <c r="AD24" s="637">
        <f t="shared" si="115"/>
        <v>-0.20673610852361551</v>
      </c>
      <c r="AE24" s="629">
        <f t="shared" si="85"/>
        <v>-0.96693696807152874</v>
      </c>
      <c r="AF24" s="633">
        <f t="shared" si="86"/>
        <v>-0.14930867760834082</v>
      </c>
      <c r="AG24" s="602">
        <f t="shared" si="87"/>
        <v>-81.22205332060328</v>
      </c>
      <c r="AH24" s="603">
        <f t="shared" si="88"/>
        <v>101.93114810187886</v>
      </c>
      <c r="AI24" s="585">
        <f t="shared" si="89"/>
        <v>-81.41313444946465</v>
      </c>
      <c r="AJ24" s="586">
        <f t="shared" si="90"/>
        <v>-12.068429289199422</v>
      </c>
      <c r="AK24" s="635">
        <f>IF(M24="","",(COS(RADIANS((90-$Q$8)-W24))*AD24)+(-SIN(RADIANS((90-$Q$8)-W24))*AE24))</f>
        <v>0.95992488737368686</v>
      </c>
      <c r="AL24" s="629">
        <f t="shared" si="91"/>
        <v>-0.23717320546693973</v>
      </c>
      <c r="AM24" s="634">
        <f t="shared" si="92"/>
        <v>-0.14930867760834082</v>
      </c>
      <c r="AN24" s="581">
        <f t="shared" si="93"/>
        <v>-57.808175933211743</v>
      </c>
      <c r="AO24" s="582">
        <f t="shared" si="94"/>
        <v>16.275567776949202</v>
      </c>
      <c r="AP24" s="585">
        <f t="shared" si="95"/>
        <v>-13.8783900446966</v>
      </c>
      <c r="AQ24" s="586">
        <f t="shared" si="9"/>
        <v>0.5578211582089585</v>
      </c>
      <c r="AS24" s="52">
        <f t="shared" si="116"/>
        <v>-87.820039297924211</v>
      </c>
      <c r="AT24" s="72">
        <f t="shared" si="10"/>
        <v>-0.53475871473273895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4.5355078746028257</v>
      </c>
      <c r="C25" s="708">
        <v>8.5499336722688959E-2</v>
      </c>
      <c r="D25" s="709">
        <v>-1.313503961527948</v>
      </c>
      <c r="E25" s="710">
        <v>0.29296010641369608</v>
      </c>
      <c r="F25" s="708">
        <v>0.95377088551485267</v>
      </c>
      <c r="G25" s="711">
        <v>6.7048295983491601E-2</v>
      </c>
      <c r="H25" s="710">
        <v>0.314</v>
      </c>
      <c r="I25" s="708">
        <v>0.52</v>
      </c>
      <c r="J25" s="570">
        <v>2.1259999999999999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2.1259999999999999</v>
      </c>
      <c r="N25" s="632">
        <f t="shared" si="2"/>
        <v>4.5355078746028257</v>
      </c>
      <c r="O25" s="629">
        <f t="shared" si="3"/>
        <v>8.5499336722688959E-2</v>
      </c>
      <c r="P25" s="633">
        <f t="shared" si="4"/>
        <v>-1.313503961527948</v>
      </c>
      <c r="Q25" s="585">
        <f t="shared" si="113"/>
        <v>1.079960860896118</v>
      </c>
      <c r="R25" s="629">
        <f>IF(M25="","",SQRT(N25^2+O25^2))</f>
        <v>4.5363136815220644</v>
      </c>
      <c r="S25" s="634">
        <f>IF(M25="","",P25)</f>
        <v>-1.313503961527948</v>
      </c>
      <c r="T25" s="635">
        <f>IF(M25="","",X25*COS(RADIANS(W25)))</f>
        <v>0.11478637807487348</v>
      </c>
      <c r="U25" s="629">
        <f>IF(M25="","",X25*SIN(RADIANS(W25)))</f>
        <v>-4.5348611780927444</v>
      </c>
      <c r="V25" s="636">
        <f>IF(M25="","",Y25)</f>
        <v>-1.313503961527948</v>
      </c>
      <c r="W25" s="585">
        <f t="shared" si="224"/>
        <v>271.44996080747472</v>
      </c>
      <c r="X25" s="629">
        <f>IF(M25="","",R25)</f>
        <v>4.5363136815220644</v>
      </c>
      <c r="Y25" s="630">
        <f t="shared" si="223"/>
        <v>-1.313503961527948</v>
      </c>
      <c r="Z25" s="632">
        <f t="shared" si="6"/>
        <v>-0.29296010641369608</v>
      </c>
      <c r="AA25" s="629">
        <f t="shared" si="7"/>
        <v>-0.95377088551485267</v>
      </c>
      <c r="AB25" s="629">
        <f t="shared" si="8"/>
        <v>-6.7048295983491601E-2</v>
      </c>
      <c r="AC25" s="636">
        <f>IF(M25="","",SQRT(Z25^2+AA25^2+AB25^2))</f>
        <v>1</v>
      </c>
      <c r="AD25" s="637">
        <f>IF(M25="","",Z25*(1/SQRT(Z25^2+AA25^2+AB25^2)))</f>
        <v>-0.29296010641369608</v>
      </c>
      <c r="AE25" s="629">
        <f>IF(M25="","",AA25*(1/SQRT(Z25^2+AA25^2+AB25^2)))</f>
        <v>-0.95377088551485267</v>
      </c>
      <c r="AF25" s="633">
        <f>IF(M25="","",AB25*(1/SQRT(Z25^2+AA25^2+AB25^2)))</f>
        <v>-6.7048295983491601E-2</v>
      </c>
      <c r="AG25" s="602">
        <f>IF(M25="","",DEGREES(ATAN2(-AF25,AE25)))</f>
        <v>-85.978829933657337</v>
      </c>
      <c r="AH25" s="603">
        <f>IF(M25="","",DEGREES(ACOS(AD25)))</f>
        <v>107.03525665533851</v>
      </c>
      <c r="AI25" s="585">
        <f>IF(M25="","",DEGREES(-ACOS(-AF25)))</f>
        <v>-86.15553148784872</v>
      </c>
      <c r="AJ25" s="586">
        <f>IF(M25="","",DEGREES(ATAN2(-AE25,AD25)))</f>
        <v>-17.074854851695573</v>
      </c>
      <c r="AK25" s="635">
        <f>IF(M25="","",(COS(RADIANS((90-$Q$8)-W25))*AD25)+(-SIN(RADIANS((90-$Q$8)-W25))*AE25))</f>
        <v>0.9480798218503943</v>
      </c>
      <c r="AL25" s="629">
        <f>IF(M25="","",(SIN(RADIANS((90-$Q$8)-W25))*AD25)+(COS(RADIANS((90-$Q$8)-W25))*AE25))</f>
        <v>-0.3108845081470526</v>
      </c>
      <c r="AM25" s="634">
        <f>IF(M25="","",AF25)</f>
        <v>-6.7048295983491601E-2</v>
      </c>
      <c r="AN25" s="581">
        <f>IF(M25="","",DEGREES(ATAN2(-AM25,AL25)))</f>
        <v>-77.829462019098671</v>
      </c>
      <c r="AO25" s="582">
        <f>IF(ROUND(IF(M25="",0,DEGREES(ACOS(AK25))),4)=90,0,IF(M25="","",DEGREES(ACOS(AK25))))</f>
        <v>18.543978608979209</v>
      </c>
      <c r="AP25" s="585">
        <f>IF(M25="","",DEGREES(ATAN2(AK25,AL25)))</f>
        <v>-18.154815712591695</v>
      </c>
      <c r="AQ25" s="586">
        <f t="shared" si="9"/>
        <v>0.50253759603776493</v>
      </c>
      <c r="AS25" s="52">
        <f t="shared" si="116"/>
        <v>-88.550039192525276</v>
      </c>
      <c r="AT25" s="72">
        <f t="shared" si="10"/>
        <v>-1.2517539343480149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2.1259999999999999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4.7381191263757971</v>
      </c>
      <c r="C26" s="708">
        <v>6.1195046256299519E-2</v>
      </c>
      <c r="D26" s="709">
        <v>-2.1207063960504904</v>
      </c>
      <c r="E26" s="710">
        <v>0.48877404258325319</v>
      </c>
      <c r="F26" s="708">
        <v>0.87241041677458864</v>
      </c>
      <c r="G26" s="711">
        <v>1.1339743347903692E-7</v>
      </c>
      <c r="H26" s="710">
        <v>0.26600000000000001</v>
      </c>
      <c r="I26" s="708">
        <v>0.52</v>
      </c>
      <c r="J26" s="570">
        <v>2.1309999999999998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2.1309999999999998</v>
      </c>
      <c r="N26" s="632">
        <f t="shared" si="2"/>
        <v>4.7381191263757971</v>
      </c>
      <c r="O26" s="629">
        <f t="shared" si="3"/>
        <v>6.1195046256299519E-2</v>
      </c>
      <c r="P26" s="633">
        <f t="shared" si="4"/>
        <v>-2.1207063960504904</v>
      </c>
      <c r="Q26" s="585">
        <f t="shared" si="113"/>
        <v>0.73996090998603758</v>
      </c>
      <c r="R26" s="629">
        <f>IF(M26="","",SQRT(N26^2+O26^2))</f>
        <v>4.7385142913591025</v>
      </c>
      <c r="S26" s="634">
        <f>IF(M26="","",P26)</f>
        <v>-2.1207063960504904</v>
      </c>
      <c r="T26" s="635">
        <f>IF(M26="","",X26*COS(RADIANS(W26)))</f>
        <v>9.1790991468737843E-2</v>
      </c>
      <c r="U26" s="629">
        <f>IF(M26="","",X26*SIN(RADIANS(W26)))</f>
        <v>-4.737625154367918</v>
      </c>
      <c r="V26" s="636">
        <f>IF(M26="","",Y26)</f>
        <v>-2.1207063960504904</v>
      </c>
      <c r="W26" s="585">
        <f t="shared" si="224"/>
        <v>271.10996085656467</v>
      </c>
      <c r="X26" s="629">
        <f>IF(M26="","",R26)</f>
        <v>4.7385142913591025</v>
      </c>
      <c r="Y26" s="630">
        <f t="shared" si="223"/>
        <v>-2.1207063960504904</v>
      </c>
      <c r="Z26" s="632">
        <f t="shared" si="6"/>
        <v>-0.48877404258325319</v>
      </c>
      <c r="AA26" s="629">
        <f t="shared" si="7"/>
        <v>-0.87241041677458864</v>
      </c>
      <c r="AB26" s="629">
        <f t="shared" si="8"/>
        <v>-1.1339743347903692E-7</v>
      </c>
      <c r="AC26" s="636">
        <f>IF(M26="","",SQRT(Z26^2+AA26^2+AB26^2))</f>
        <v>1</v>
      </c>
      <c r="AD26" s="637">
        <f>IF(M26="","",Z26*(1/SQRT(Z26^2+AA26^2+AB26^2)))</f>
        <v>-0.48877404258325319</v>
      </c>
      <c r="AE26" s="629">
        <f>IF(M26="","",AA26*(1/SQRT(Z26^2+AA26^2+AB26^2)))</f>
        <v>-0.87241041677458864</v>
      </c>
      <c r="AF26" s="633">
        <f>IF(M26="","",AB26*(1/SQRT(Z26^2+AA26^2+AB26^2)))</f>
        <v>-1.1339743347903692E-7</v>
      </c>
      <c r="AG26" s="602">
        <f>IF(M26="","",DEGREES(ATAN2(-AF26,AE26)))</f>
        <v>-89.999992552594264</v>
      </c>
      <c r="AH26" s="603">
        <f>IF(M26="","",DEGREES(ACOS(AD26)))</f>
        <v>119.26003475854966</v>
      </c>
      <c r="AI26" s="585">
        <f>IF(M26="","",DEGREES(-ACOS(-AF26)))</f>
        <v>-89.999993502805651</v>
      </c>
      <c r="AJ26" s="586">
        <f>IF(M26="","",DEGREES(ATAN2(-AE26,AD26)))</f>
        <v>-29.260034758549857</v>
      </c>
      <c r="AK26" s="635">
        <f>IF(M26="","",(COS(RADIANS((90-$Q$8)-W26))*AD26)+(-SIN(RADIANS((90-$Q$8)-W26))*AE26))</f>
        <v>0.86602544158358563</v>
      </c>
      <c r="AL26" s="629">
        <f>IF(M26="","",(SIN(RADIANS((90-$Q$8)-W26))*AD26)+(COS(RADIANS((90-$Q$8)-W26))*AE26))</f>
        <v>-0.49999993452993852</v>
      </c>
      <c r="AM26" s="634">
        <f>IF(M26="","",AF26)</f>
        <v>-1.1339743347903692E-7</v>
      </c>
      <c r="AN26" s="581">
        <f>IF(M26="","",DEGREES(ATAN2(-AM26,AL26)))</f>
        <v>-89.999987005609611</v>
      </c>
      <c r="AO26" s="582">
        <f t="shared" si="94"/>
        <v>29.999995668536535</v>
      </c>
      <c r="AP26" s="585">
        <f>IF(M26="","",DEGREES(ATAN2(AK26,AL26)))</f>
        <v>-29.999995668535906</v>
      </c>
      <c r="AQ26" s="586">
        <f t="shared" si="9"/>
        <v>0.48109447702418523</v>
      </c>
      <c r="AS26" s="52">
        <f t="shared" si="116"/>
        <v>-88.890039143435331</v>
      </c>
      <c r="AT26" s="72">
        <f t="shared" si="10"/>
        <v>-2.0587202577935364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2.1309999999999998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3.2964762789993389</v>
      </c>
      <c r="C27" s="708">
        <v>-0.76165979834635933</v>
      </c>
      <c r="D27" s="709">
        <v>-9.8846602254175742E-2</v>
      </c>
      <c r="E27" s="710">
        <v>0.37862722730376219</v>
      </c>
      <c r="F27" s="708">
        <v>0.85785267637827289</v>
      </c>
      <c r="G27" s="711">
        <v>0.34746252801546718</v>
      </c>
      <c r="H27" s="710">
        <v>0.26600000000000001</v>
      </c>
      <c r="I27" s="708">
        <v>0.52</v>
      </c>
      <c r="J27" s="570">
        <v>2.2160000000000002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2.2160000000000002</v>
      </c>
      <c r="N27" s="632">
        <f t="shared" si="2"/>
        <v>3.2964762789993389</v>
      </c>
      <c r="O27" s="629">
        <f t="shared" si="3"/>
        <v>-0.76165979834635933</v>
      </c>
      <c r="P27" s="633">
        <f t="shared" si="4"/>
        <v>-9.8846602254175742E-2</v>
      </c>
      <c r="Q27" s="585">
        <f t="shared" si="113"/>
        <v>346.98996289524013</v>
      </c>
      <c r="R27" s="629">
        <f t="shared" si="79"/>
        <v>3.383324032135016</v>
      </c>
      <c r="S27" s="634">
        <f t="shared" si="80"/>
        <v>-9.8846602254175742E-2</v>
      </c>
      <c r="T27" s="635">
        <f t="shared" si="81"/>
        <v>-0.74035635305101599</v>
      </c>
      <c r="U27" s="629">
        <f t="shared" si="82"/>
        <v>-3.3013260936961899</v>
      </c>
      <c r="V27" s="636">
        <f t="shared" si="114"/>
        <v>-9.8846602254175742E-2</v>
      </c>
      <c r="W27" s="585">
        <f t="shared" si="224"/>
        <v>257.35996284181874</v>
      </c>
      <c r="X27" s="629">
        <f t="shared" si="83"/>
        <v>3.383324032135016</v>
      </c>
      <c r="Y27" s="630">
        <f t="shared" si="223"/>
        <v>-9.8846602254175742E-2</v>
      </c>
      <c r="Z27" s="632">
        <f t="shared" si="6"/>
        <v>-0.37862722730376219</v>
      </c>
      <c r="AA27" s="629">
        <f t="shared" si="7"/>
        <v>-0.85785267637827289</v>
      </c>
      <c r="AB27" s="629">
        <f t="shared" si="8"/>
        <v>-0.34746252801546718</v>
      </c>
      <c r="AC27" s="636">
        <f t="shared" si="84"/>
        <v>1</v>
      </c>
      <c r="AD27" s="637">
        <f t="shared" si="115"/>
        <v>-0.37862722730376219</v>
      </c>
      <c r="AE27" s="629">
        <f t="shared" si="85"/>
        <v>-0.85785267637827289</v>
      </c>
      <c r="AF27" s="633">
        <f t="shared" si="86"/>
        <v>-0.34746252801546718</v>
      </c>
      <c r="AG27" s="602">
        <f t="shared" si="87"/>
        <v>-67.950205319116819</v>
      </c>
      <c r="AH27" s="603">
        <f t="shared" si="88"/>
        <v>112.24867585079909</v>
      </c>
      <c r="AI27" s="585">
        <f t="shared" si="89"/>
        <v>-69.667809690284798</v>
      </c>
      <c r="AJ27" s="586">
        <f t="shared" si="90"/>
        <v>-23.815045334597823</v>
      </c>
      <c r="AK27" s="635">
        <f t="shared" si="211"/>
        <v>0.92106937040470216</v>
      </c>
      <c r="AL27" s="629">
        <f t="shared" si="91"/>
        <v>-0.17578682125627659</v>
      </c>
      <c r="AM27" s="634">
        <f t="shared" si="92"/>
        <v>-0.34746252801546718</v>
      </c>
      <c r="AN27" s="581">
        <f t="shared" si="93"/>
        <v>-26.835574372604089</v>
      </c>
      <c r="AO27" s="582">
        <f t="shared" si="94"/>
        <v>22.917079339710213</v>
      </c>
      <c r="AP27" s="585">
        <f t="shared" si="95"/>
        <v>-10.805008229837949</v>
      </c>
      <c r="AQ27" s="586">
        <f t="shared" si="9"/>
        <v>0.67378161860416474</v>
      </c>
      <c r="AS27" s="52">
        <f t="shared" si="116"/>
        <v>-102.64003715818126</v>
      </c>
      <c r="AT27" s="72">
        <f t="shared" si="10"/>
        <v>-2.7311854264759156E-2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Nose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2.2160000000000002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2.1160000000000001</v>
      </c>
      <c r="II27" s="734" cm="1">
        <f t="array" ref="II27">IFERROR(ROUND(VALUE(IF($IH27&lt;1,$IH27+LARGE((IF($M$9:$M$150="",0,$M$9:$M$150)-MOD(IF($M$9:$M$150="",0,$M$9:$M$150),1)),1),$IH27)),4),"")</f>
        <v>2.1160000000000001</v>
      </c>
      <c r="IJ27" s="533">
        <f t="shared" si="112"/>
        <v>1613</v>
      </c>
      <c r="IK27" s="533">
        <f t="shared" si="66"/>
        <v>1313</v>
      </c>
      <c r="IL27" s="727">
        <f t="shared" si="225"/>
        <v>15.869997708655831</v>
      </c>
      <c r="IM27" s="759">
        <v>7.7237068473105996E-3</v>
      </c>
      <c r="IN27" s="5">
        <f t="shared" si="226"/>
        <v>0.16</v>
      </c>
      <c r="IO27" s="771">
        <v>80</v>
      </c>
      <c r="IP27" s="9">
        <f t="shared" si="227"/>
        <v>-3.3673101558074303</v>
      </c>
      <c r="IQ27" s="5">
        <f t="shared" si="228"/>
        <v>-0.14940045059175897</v>
      </c>
      <c r="IR27" s="5">
        <f t="shared" si="71"/>
        <v>0.314</v>
      </c>
      <c r="IS27" s="5">
        <f t="shared" si="229"/>
        <v>0.30562448768120681</v>
      </c>
      <c r="IT27" s="727">
        <f t="shared" si="230"/>
        <v>35.148991031140454</v>
      </c>
      <c r="IU27" s="9">
        <f t="shared" si="231"/>
        <v>-3.383324032135016</v>
      </c>
      <c r="IV27" s="5">
        <f t="shared" si="232"/>
        <v>-9.8846602254175742E-2</v>
      </c>
      <c r="IW27" s="5">
        <f t="shared" si="76"/>
        <v>0.26600000000000001</v>
      </c>
      <c r="IX27" s="5">
        <f t="shared" si="233"/>
        <v>0.2450044525276508</v>
      </c>
      <c r="IY27" s="762">
        <f t="shared" si="234"/>
        <v>26.835574372604089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4.0168283418957813</v>
      </c>
      <c r="C28" s="708">
        <v>-0.92440736506119414</v>
      </c>
      <c r="D28" s="709">
        <v>-0.55220773233464882</v>
      </c>
      <c r="E28" s="710">
        <v>0.5227741365700499</v>
      </c>
      <c r="F28" s="708">
        <v>0.80391224242347514</v>
      </c>
      <c r="G28" s="711">
        <v>0.28360590370282984</v>
      </c>
      <c r="H28" s="710">
        <v>0.26600000000000001</v>
      </c>
      <c r="I28" s="708">
        <v>0.52</v>
      </c>
      <c r="J28" s="570">
        <v>2.2210000000000001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2.2210000000000001</v>
      </c>
      <c r="N28" s="632">
        <f t="shared" si="2"/>
        <v>4.0168283418957813</v>
      </c>
      <c r="O28" s="629">
        <f t="shared" si="3"/>
        <v>-0.92440736506119414</v>
      </c>
      <c r="P28" s="633">
        <f t="shared" si="4"/>
        <v>-0.55220773233464882</v>
      </c>
      <c r="Q28" s="585">
        <f t="shared" si="113"/>
        <v>347.03996288802102</v>
      </c>
      <c r="R28" s="629">
        <f t="shared" si="79"/>
        <v>4.1218247057385389</v>
      </c>
      <c r="S28" s="634">
        <f t="shared" si="80"/>
        <v>-0.55220773233464882</v>
      </c>
      <c r="T28" s="635">
        <f t="shared" si="81"/>
        <v>-0.89844872867208858</v>
      </c>
      <c r="U28" s="629">
        <f t="shared" si="82"/>
        <v>-4.0227141070158217</v>
      </c>
      <c r="V28" s="636">
        <f t="shared" si="114"/>
        <v>-0.55220773233464882</v>
      </c>
      <c r="W28" s="585">
        <f t="shared" si="224"/>
        <v>257.40996283459964</v>
      </c>
      <c r="X28" s="629">
        <f t="shared" si="83"/>
        <v>4.1218247057385389</v>
      </c>
      <c r="Y28" s="630">
        <f t="shared" si="223"/>
        <v>-0.55220773233464882</v>
      </c>
      <c r="Z28" s="632">
        <f t="shared" si="6"/>
        <v>-0.5227741365700499</v>
      </c>
      <c r="AA28" s="629">
        <f t="shared" si="7"/>
        <v>-0.80391224242347514</v>
      </c>
      <c r="AB28" s="629">
        <f t="shared" si="8"/>
        <v>-0.28360590370282984</v>
      </c>
      <c r="AC28" s="636">
        <f t="shared" si="84"/>
        <v>1</v>
      </c>
      <c r="AD28" s="637">
        <f t="shared" si="115"/>
        <v>-0.5227741365700499</v>
      </c>
      <c r="AE28" s="629">
        <f t="shared" si="85"/>
        <v>-0.80391224242347514</v>
      </c>
      <c r="AF28" s="633">
        <f t="shared" si="86"/>
        <v>-0.28360590370282984</v>
      </c>
      <c r="AG28" s="602">
        <f t="shared" si="87"/>
        <v>-70.568066929565589</v>
      </c>
      <c r="AH28" s="603">
        <f t="shared" si="88"/>
        <v>121.51851973317967</v>
      </c>
      <c r="AI28" s="585">
        <f t="shared" si="89"/>
        <v>-73.524465243757049</v>
      </c>
      <c r="AJ28" s="586">
        <f t="shared" si="90"/>
        <v>-33.035448741266343</v>
      </c>
      <c r="AK28" s="635">
        <f t="shared" si="211"/>
        <v>0.90067725022461442</v>
      </c>
      <c r="AL28" s="629">
        <f t="shared" si="91"/>
        <v>-0.32916285074827145</v>
      </c>
      <c r="AM28" s="634">
        <f t="shared" si="92"/>
        <v>-0.28360590370282984</v>
      </c>
      <c r="AN28" s="581">
        <f t="shared" si="93"/>
        <v>-49.251893508237984</v>
      </c>
      <c r="AO28" s="582">
        <f t="shared" si="94"/>
        <v>25.752767958652846</v>
      </c>
      <c r="AP28" s="585">
        <f t="shared" si="95"/>
        <v>-20.07541162928738</v>
      </c>
      <c r="AQ28" s="586">
        <f t="shared" si="9"/>
        <v>0.55306957168891946</v>
      </c>
      <c r="AS28" s="52">
        <f t="shared" si="116"/>
        <v>-102.59003716540036</v>
      </c>
      <c r="AT28" s="72">
        <f t="shared" si="10"/>
        <v>-0.48070770656244122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2.2210000000000001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2.121</v>
      </c>
      <c r="II28" s="734" cm="1">
        <f t="array" ref="II28">IFERROR(ROUND(VALUE(IF($IH28&lt;1,$IH28+LARGE((IF($M$9:$M$150="",0,$M$9:$M$150)-MOD(IF($M$9:$M$150="",0,$M$9:$M$150),1)),1),$IH28)),4),"")</f>
        <v>2.121</v>
      </c>
      <c r="IJ28" s="533">
        <f t="shared" si="112"/>
        <v>1613</v>
      </c>
      <c r="IK28" s="533">
        <f t="shared" si="66"/>
        <v>1313</v>
      </c>
      <c r="IL28" s="727">
        <f t="shared" si="225"/>
        <v>14.76999786747615</v>
      </c>
      <c r="IM28" s="759">
        <v>6.0659305279940701E-3</v>
      </c>
      <c r="IN28" s="5">
        <f t="shared" si="226"/>
        <v>0.14000000000000001</v>
      </c>
      <c r="IO28" s="771">
        <v>70</v>
      </c>
      <c r="IP28" s="9">
        <f t="shared" si="227"/>
        <v>-4.086712325524374</v>
      </c>
      <c r="IQ28" s="5">
        <f t="shared" si="228"/>
        <v>-0.59600179754142146</v>
      </c>
      <c r="IR28" s="5">
        <f t="shared" si="71"/>
        <v>0.314</v>
      </c>
      <c r="IS28" s="5">
        <f t="shared" si="229"/>
        <v>0.30141641463533769</v>
      </c>
      <c r="IT28" s="727">
        <f t="shared" si="230"/>
        <v>57.808175933211743</v>
      </c>
      <c r="IU28" s="9">
        <f t="shared" si="231"/>
        <v>-4.1218247057385389</v>
      </c>
      <c r="IV28" s="5">
        <f t="shared" si="232"/>
        <v>-0.55220773233464882</v>
      </c>
      <c r="IW28" s="5">
        <f t="shared" si="76"/>
        <v>0.26600000000000001</v>
      </c>
      <c r="IX28" s="5">
        <f t="shared" si="233"/>
        <v>0.23958014855974744</v>
      </c>
      <c r="IY28" s="762">
        <f t="shared" si="234"/>
        <v>49.251893508237984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4.4661017910125747</v>
      </c>
      <c r="C29" s="708">
        <v>-1.0466954375004289</v>
      </c>
      <c r="D29" s="709">
        <v>-1.2831674017749659</v>
      </c>
      <c r="E29" s="710">
        <v>0.62969715726056874</v>
      </c>
      <c r="F29" s="708">
        <v>0.75969988363636243</v>
      </c>
      <c r="G29" s="711">
        <v>0.16228856072088443</v>
      </c>
      <c r="H29" s="710">
        <v>0.26600000000000001</v>
      </c>
      <c r="I29" s="708">
        <v>0.52</v>
      </c>
      <c r="J29" s="570">
        <v>2.226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843"/>
      <c r="M29" s="168">
        <f t="shared" si="1"/>
        <v>2.226</v>
      </c>
      <c r="N29" s="632">
        <f t="shared" si="2"/>
        <v>4.4661017910125747</v>
      </c>
      <c r="O29" s="629">
        <f t="shared" si="3"/>
        <v>-1.0466954375004289</v>
      </c>
      <c r="P29" s="633">
        <f t="shared" si="4"/>
        <v>-1.2831674017749659</v>
      </c>
      <c r="Q29" s="585">
        <f t="shared" si="113"/>
        <v>346.80996292122893</v>
      </c>
      <c r="R29" s="629">
        <f>IF(M29="","",SQRT(N29^2+O29^2))</f>
        <v>4.5871163650565849</v>
      </c>
      <c r="S29" s="634">
        <f>IF(M29="","",P29)</f>
        <v>-1.2831674017749659</v>
      </c>
      <c r="T29" s="635">
        <f>IF(M29="","",X29*COS(RADIANS(W29)))</f>
        <v>-1.0178329905247816</v>
      </c>
      <c r="U29" s="629">
        <f>IF(M29="","",X29*SIN(RADIANS(W29)))</f>
        <v>-4.4727678846514403</v>
      </c>
      <c r="V29" s="636">
        <f>IF(M29="","",Y29)</f>
        <v>-1.2831674017749659</v>
      </c>
      <c r="W29" s="585">
        <f t="shared" si="224"/>
        <v>257.17996286780755</v>
      </c>
      <c r="X29" s="629">
        <f>IF(M29="","",R29)</f>
        <v>4.5871163650565849</v>
      </c>
      <c r="Y29" s="630">
        <f t="shared" si="223"/>
        <v>-1.2831674017749659</v>
      </c>
      <c r="Z29" s="632">
        <f t="shared" si="6"/>
        <v>-0.62969715726056874</v>
      </c>
      <c r="AA29" s="629">
        <f t="shared" si="7"/>
        <v>-0.75969988363636243</v>
      </c>
      <c r="AB29" s="629">
        <f t="shared" si="8"/>
        <v>-0.16228856072088443</v>
      </c>
      <c r="AC29" s="636">
        <f>IF(M29="","",SQRT(Z29^2+AA29^2+AB29^2))</f>
        <v>1</v>
      </c>
      <c r="AD29" s="637">
        <f>IF(M29="","",Z29*(1/SQRT(Z29^2+AA29^2+AB29^2)))</f>
        <v>-0.62969715726056874</v>
      </c>
      <c r="AE29" s="629">
        <f>IF(M29="","",AA29*(1/SQRT(Z29^2+AA29^2+AB29^2)))</f>
        <v>-0.75969988363636243</v>
      </c>
      <c r="AF29" s="633">
        <f>IF(M29="","",AB29*(1/SQRT(Z29^2+AA29^2+AB29^2)))</f>
        <v>-0.16228856072088443</v>
      </c>
      <c r="AG29" s="602">
        <f>IF(M29="","",DEGREES(ATAN2(-AF29,AE29)))</f>
        <v>-77.941609816274436</v>
      </c>
      <c r="AH29" s="603">
        <f>IF(M29="","",DEGREES(ACOS(AD29)))</f>
        <v>129.02778288089445</v>
      </c>
      <c r="AI29" s="585">
        <f>IF(M29="","",DEGREES(-ACOS(-AF29)))</f>
        <v>-80.660242493623628</v>
      </c>
      <c r="AJ29" s="586">
        <f>IF(M29="","",DEGREES(ATAN2(-AE29,AD29)))</f>
        <v>-39.654527480082635</v>
      </c>
      <c r="AK29" s="635">
        <f>IF(M29="","",(COS(RADIANS((90-$Q$8)-W29))*AD29)+(-SIN(RADIANS((90-$Q$8)-W29))*AE29))</f>
        <v>0.88334322262218112</v>
      </c>
      <c r="AL29" s="629">
        <f>IF(M29="","",(SIN(RADIANS((90-$Q$8)-W29))*AD29)+(COS(RADIANS((90-$Q$8)-W29))*AE29))</f>
        <v>-0.439735345527971</v>
      </c>
      <c r="AM29" s="634">
        <f>IF(M29="","",AF29)</f>
        <v>-0.16228856072088443</v>
      </c>
      <c r="AN29" s="581">
        <f>IF(M29="","",DEGREES(ATAN2(-AM29,AL29)))</f>
        <v>-69.742932509601332</v>
      </c>
      <c r="AO29" s="582">
        <f t="shared" si="94"/>
        <v>27.951677775537821</v>
      </c>
      <c r="AP29" s="585">
        <f>IF(M29="","",DEGREES(ATAN2(AK29,AL29)))</f>
        <v>-26.464490401311568</v>
      </c>
      <c r="AQ29" s="586">
        <f t="shared" si="9"/>
        <v>0.49697223236180404</v>
      </c>
      <c r="AS29" s="52">
        <f t="shared" si="116"/>
        <v>-102.82003713219245</v>
      </c>
      <c r="AT29" s="72">
        <f t="shared" si="10"/>
        <v>-1.2115076538035972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2.226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2.1259999999999999</v>
      </c>
      <c r="II29" s="734" cm="1">
        <f t="array" ref="II29">IFERROR(ROUND(VALUE(IF($IH29&lt;1,$IH29+LARGE((IF($M$9:$M$150="",0,$M$9:$M$150)-MOD(IF($M$9:$M$150="",0,$M$9:$M$150),1)),1),$IH29)),4),"")</f>
        <v>2.1259999999999999</v>
      </c>
      <c r="IJ29" s="533">
        <f t="shared" si="112"/>
        <v>1613</v>
      </c>
      <c r="IK29" s="533">
        <f t="shared" si="66"/>
        <v>1313</v>
      </c>
      <c r="IL29" s="727">
        <f t="shared" si="225"/>
        <v>14.269997939667178</v>
      </c>
      <c r="IM29" s="759">
        <v>4.0934441747003903E-3</v>
      </c>
      <c r="IN29" s="5">
        <f t="shared" si="226"/>
        <v>0.1</v>
      </c>
      <c r="IO29" s="771">
        <v>50</v>
      </c>
      <c r="IP29" s="9">
        <f t="shared" si="227"/>
        <v>-4.5363136815220644</v>
      </c>
      <c r="IQ29" s="5">
        <f t="shared" si="228"/>
        <v>-1.313503961527948</v>
      </c>
      <c r="IR29" s="5">
        <f t="shared" si="71"/>
        <v>0.314</v>
      </c>
      <c r="IS29" s="5">
        <f t="shared" si="229"/>
        <v>0.29769706406102381</v>
      </c>
      <c r="IT29" s="727">
        <f t="shared" si="230"/>
        <v>77.829462019098671</v>
      </c>
      <c r="IU29" s="9">
        <f t="shared" si="231"/>
        <v>-4.5871163650565849</v>
      </c>
      <c r="IV29" s="5">
        <f t="shared" si="232"/>
        <v>-1.2831674017749659</v>
      </c>
      <c r="IW29" s="5">
        <f t="shared" si="76"/>
        <v>0.26600000000000001</v>
      </c>
      <c r="IX29" s="5">
        <f t="shared" si="233"/>
        <v>0.23496929721750018</v>
      </c>
      <c r="IY29" s="762">
        <f t="shared" si="234"/>
        <v>69.742932509601332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15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50</v>
      </c>
    </row>
    <row r="30" spans="1:269" ht="15" customHeight="1" x14ac:dyDescent="0.25">
      <c r="A30" s="79"/>
      <c r="B30" s="707">
        <v>0.95434188536620002</v>
      </c>
      <c r="C30" s="708">
        <v>-2.1546130307411757</v>
      </c>
      <c r="D30" s="709">
        <v>-9.440028471125872E-2</v>
      </c>
      <c r="E30" s="710">
        <v>0.87930731430801035</v>
      </c>
      <c r="F30" s="708">
        <v>0.4100282489890052</v>
      </c>
      <c r="G30" s="711">
        <v>0.24227150479460904</v>
      </c>
      <c r="H30" s="710">
        <v>0.314</v>
      </c>
      <c r="I30" s="708">
        <v>0.52</v>
      </c>
      <c r="J30" s="570">
        <v>3.11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843"/>
      <c r="M30" s="168">
        <f t="shared" si="1"/>
        <v>3.11</v>
      </c>
      <c r="N30" s="632">
        <f t="shared" si="2"/>
        <v>0.95434188536620002</v>
      </c>
      <c r="O30" s="629">
        <f t="shared" si="3"/>
        <v>-2.1546130307411757</v>
      </c>
      <c r="P30" s="633">
        <f t="shared" si="4"/>
        <v>-9.440028471125872E-2</v>
      </c>
      <c r="Q30" s="585">
        <f t="shared" si="113"/>
        <v>293.88997056193045</v>
      </c>
      <c r="R30" s="629">
        <f>IF(M30="","",SQRT(N30^2+O30^2))</f>
        <v>2.3565071072254349</v>
      </c>
      <c r="S30" s="634">
        <f>IF(M30="","",P30)</f>
        <v>-9.440028471125872E-2</v>
      </c>
      <c r="T30" s="635">
        <f>IF(M30="","",X30*COS(RADIANS(W30)))</f>
        <v>-2.1484052776703404</v>
      </c>
      <c r="U30" s="629">
        <f>IF(M30="","",X30*SIN(RADIANS(W30)))</f>
        <v>-0.9682357715361557</v>
      </c>
      <c r="V30" s="636">
        <f>IF(M30="","",Y30)</f>
        <v>-9.440028471125872E-2</v>
      </c>
      <c r="W30" s="585">
        <f t="shared" si="224"/>
        <v>204.25997050850907</v>
      </c>
      <c r="X30" s="629">
        <f>IF(M30="","",R30)</f>
        <v>2.3565071072254349</v>
      </c>
      <c r="Y30" s="630">
        <f t="shared" si="223"/>
        <v>-9.440028471125872E-2</v>
      </c>
      <c r="Z30" s="632">
        <f t="shared" si="6"/>
        <v>-0.87930731430801035</v>
      </c>
      <c r="AA30" s="629">
        <f t="shared" si="7"/>
        <v>-0.4100282489890052</v>
      </c>
      <c r="AB30" s="629">
        <f t="shared" si="8"/>
        <v>-0.24227150479460904</v>
      </c>
      <c r="AC30" s="636">
        <f>IF(M30="","",SQRT(Z30^2+AA30^2+AB30^2))</f>
        <v>1</v>
      </c>
      <c r="AD30" s="637">
        <f>IF(M30="","",Z30*(1/SQRT(Z30^2+AA30^2+AB30^2)))</f>
        <v>-0.87930731430801035</v>
      </c>
      <c r="AE30" s="629">
        <f>IF(M30="","",AA30*(1/SQRT(Z30^2+AA30^2+AB30^2)))</f>
        <v>-0.4100282489890052</v>
      </c>
      <c r="AF30" s="633">
        <f>IF(M30="","",AB30*(1/SQRT(Z30^2+AA30^2+AB30^2)))</f>
        <v>-0.24227150479460904</v>
      </c>
      <c r="AG30" s="602">
        <f>IF(M30="","",DEGREES(ATAN2(-AF30,AE30)))</f>
        <v>-59.422628656198938</v>
      </c>
      <c r="AH30" s="603">
        <f>IF(M30="","",DEGREES(ACOS(AD30)))</f>
        <v>151.55891773253182</v>
      </c>
      <c r="AI30" s="585">
        <f>IF(M30="","",DEGREES(-ACOS(-AF30)))</f>
        <v>-75.979354715188308</v>
      </c>
      <c r="AJ30" s="586">
        <f>IF(M30="","",DEGREES(ATAN2(-AE30,AD30)))</f>
        <v>-64.999972465254515</v>
      </c>
      <c r="AK30" s="635">
        <f>IF(M30="","",(COS(RADIANS((90-$Q$8)-W30))*AD30)+(-SIN(RADIANS((90-$Q$8)-W30))*AE30))</f>
        <v>0.97002641011298962</v>
      </c>
      <c r="AL30" s="629">
        <f>IF(M30="","",(SIN(RADIANS((90-$Q$8)-W30))*AD30)+(COS(RADIANS((90-$Q$8)-W30))*AE30))</f>
        <v>1.8795788035136929E-2</v>
      </c>
      <c r="AM30" s="634">
        <f>IF(M30="","",AF30)</f>
        <v>-0.24227150479460904</v>
      </c>
      <c r="AN30" s="581">
        <f>IF(M30="","",DEGREES(ATAN2(-AM30,AL30)))</f>
        <v>4.4362067162337713</v>
      </c>
      <c r="AO30" s="582">
        <f>IF(ROUND(IF(M30="",0,DEGREES(ACOS(AK30))),4)=90,0,IF(M30="","",DEGREES(ACOS(AK30))))</f>
        <v>14.06364197418746</v>
      </c>
      <c r="AP30" s="585">
        <f>IF(M30="","",DEGREES(ATAN2(AK30,AL30)))</f>
        <v>1.110056972815032</v>
      </c>
      <c r="AQ30" s="586">
        <f t="shared" si="9"/>
        <v>0.96732575904315488</v>
      </c>
      <c r="AS30" s="52">
        <f t="shared" si="116"/>
        <v>-155.74002949149093</v>
      </c>
      <c r="AT30" s="72">
        <f t="shared" si="10"/>
        <v>1.4009457954067356E-2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1.2552328260286392</v>
      </c>
      <c r="C31" s="708">
        <v>-2.9471313743845391</v>
      </c>
      <c r="D31" s="709">
        <v>-0.10190030733132688</v>
      </c>
      <c r="E31" s="710">
        <v>0.93969927833898781</v>
      </c>
      <c r="F31" s="708">
        <v>0.27907569291277984</v>
      </c>
      <c r="G31" s="711">
        <v>0.19769173962115244</v>
      </c>
      <c r="H31" s="710">
        <v>0.314</v>
      </c>
      <c r="I31" s="708">
        <v>0.52</v>
      </c>
      <c r="J31" s="570">
        <v>3.1150000000000002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843"/>
      <c r="M31" s="168">
        <f t="shared" si="1"/>
        <v>3.1150000000000002</v>
      </c>
      <c r="N31" s="632">
        <f t="shared" si="2"/>
        <v>1.2552328260286392</v>
      </c>
      <c r="O31" s="629">
        <f t="shared" si="3"/>
        <v>-2.9471313743845391</v>
      </c>
      <c r="P31" s="633">
        <f t="shared" si="4"/>
        <v>-0.10190030733132688</v>
      </c>
      <c r="Q31" s="585">
        <f t="shared" si="113"/>
        <v>293.06997068032382</v>
      </c>
      <c r="R31" s="629">
        <f>IF(M31="","",SQRT(N31^2+O31^2))</f>
        <v>3.2033096611819385</v>
      </c>
      <c r="S31" s="634">
        <f>IF(M31="","",P31)</f>
        <v>-0.10190030733132688</v>
      </c>
      <c r="T31" s="635">
        <f>IF(M31="","",X31*COS(RADIANS(W31)))</f>
        <v>-2.9389640413985316</v>
      </c>
      <c r="U31" s="629">
        <f>IF(M31="","",X31*SIN(RADIANS(W31)))</f>
        <v>-1.2742382621738984</v>
      </c>
      <c r="V31" s="636">
        <f>IF(M31="","",Y31)</f>
        <v>-0.10190030733132688</v>
      </c>
      <c r="W31" s="585">
        <f t="shared" si="224"/>
        <v>203.43997062690244</v>
      </c>
      <c r="X31" s="629">
        <f>IF(M31="","",R31)</f>
        <v>3.2033096611819385</v>
      </c>
      <c r="Y31" s="630">
        <f t="shared" si="223"/>
        <v>-0.10190030733132688</v>
      </c>
      <c r="Z31" s="632">
        <f t="shared" si="6"/>
        <v>-0.93969927833898781</v>
      </c>
      <c r="AA31" s="629">
        <f t="shared" si="7"/>
        <v>-0.27907569291277984</v>
      </c>
      <c r="AB31" s="629">
        <f t="shared" si="8"/>
        <v>-0.19769173962115244</v>
      </c>
      <c r="AC31" s="636">
        <f>IF(M31="","",SQRT(Z31^2+AA31^2+AB31^2))</f>
        <v>1</v>
      </c>
      <c r="AD31" s="637">
        <f>IF(M31="","",Z31*(1/SQRT(Z31^2+AA31^2+AB31^2)))</f>
        <v>-0.93969927833898781</v>
      </c>
      <c r="AE31" s="629">
        <f>IF(M31="","",AA31*(1/SQRT(Z31^2+AA31^2+AB31^2)))</f>
        <v>-0.27907569291277984</v>
      </c>
      <c r="AF31" s="633">
        <f>IF(M31="","",AB31*(1/SQRT(Z31^2+AA31^2+AB31^2)))</f>
        <v>-0.19769173962115244</v>
      </c>
      <c r="AG31" s="602">
        <f>IF(M31="","",DEGREES(ATAN2(-AF31,AE31)))</f>
        <v>-54.686992416646419</v>
      </c>
      <c r="AH31" s="603">
        <f>IF(M31="","",DEGREES(ACOS(AD31)))</f>
        <v>160.00111531411659</v>
      </c>
      <c r="AI31" s="585">
        <f>IF(M31="","",DEGREES(-ACOS(-AF31)))</f>
        <v>-78.597989394760461</v>
      </c>
      <c r="AJ31" s="586">
        <f>IF(M31="","",DEGREES(ATAN2(-AE31,AD31)))</f>
        <v>-73.459420536365926</v>
      </c>
      <c r="AK31" s="635">
        <f>IF(M31="","",(COS(RADIANS((90-$Q$8)-W31))*AD31)+(-SIN(RADIANS((90-$Q$8)-W31))*AE31))</f>
        <v>0.97390590556239043</v>
      </c>
      <c r="AL31" s="629">
        <f>IF(M31="","",(SIN(RADIANS((90-$Q$8)-W31))*AD31)+(COS(RADIANS((90-$Q$8)-W31))*AE31))</f>
        <v>-0.11146866463837679</v>
      </c>
      <c r="AM31" s="634">
        <f>IF(M31="","",AF31)</f>
        <v>-0.19769173962115244</v>
      </c>
      <c r="AN31" s="581">
        <f>IF(M31="","",DEGREES(ATAN2(-AM31,AL31)))</f>
        <v>-29.416516553486975</v>
      </c>
      <c r="AO31" s="582">
        <f t="shared" si="94"/>
        <v>13.117699338055555</v>
      </c>
      <c r="AP31" s="585">
        <f>IF(M31="","",DEGREES(ATAN2(AK31,AL31)))</f>
        <v>-6.5293912166897323</v>
      </c>
      <c r="AQ31" s="586">
        <f t="shared" si="9"/>
        <v>0.71164190843964803</v>
      </c>
      <c r="AS31" s="52">
        <f t="shared" si="116"/>
        <v>-156.56002937309756</v>
      </c>
      <c r="AT31" s="72">
        <f t="shared" si="10"/>
        <v>7.0788796962260314E-3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3.1150000000000002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1.4835945579229133</v>
      </c>
      <c r="C32" s="708">
        <v>-3.6720307676612784</v>
      </c>
      <c r="D32" s="709">
        <v>-0.48110145100197627</v>
      </c>
      <c r="E32" s="710">
        <v>0.97451954904954052</v>
      </c>
      <c r="F32" s="708">
        <v>0.16367761786449381</v>
      </c>
      <c r="G32" s="711">
        <v>0.15336650850327455</v>
      </c>
      <c r="H32" s="710">
        <v>0.314</v>
      </c>
      <c r="I32" s="708">
        <v>0.52</v>
      </c>
      <c r="J32" s="570">
        <v>3.12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3.12</v>
      </c>
      <c r="N32" s="632">
        <f t="shared" si="2"/>
        <v>1.4835945579229133</v>
      </c>
      <c r="O32" s="629">
        <f t="shared" si="3"/>
        <v>-3.6720307676612784</v>
      </c>
      <c r="P32" s="633">
        <f t="shared" si="4"/>
        <v>-0.48110145100197627</v>
      </c>
      <c r="Q32" s="585">
        <f t="shared" si="113"/>
        <v>291.9999708348127</v>
      </c>
      <c r="R32" s="629">
        <f t="shared" si="79"/>
        <v>3.9604119446024253</v>
      </c>
      <c r="S32" s="634">
        <f t="shared" si="80"/>
        <v>-0.48110145100197627</v>
      </c>
      <c r="T32" s="635">
        <f t="shared" si="81"/>
        <v>-3.662373634552611</v>
      </c>
      <c r="U32" s="629">
        <f t="shared" si="82"/>
        <v>-1.5072763953182116</v>
      </c>
      <c r="V32" s="636">
        <f t="shared" si="114"/>
        <v>-0.48110145100197627</v>
      </c>
      <c r="W32" s="585">
        <f t="shared" si="224"/>
        <v>202.36997078139132</v>
      </c>
      <c r="X32" s="629">
        <f t="shared" si="83"/>
        <v>3.9604119446024253</v>
      </c>
      <c r="Y32" s="630">
        <f t="shared" si="223"/>
        <v>-0.48110145100197627</v>
      </c>
      <c r="Z32" s="632">
        <f t="shared" si="6"/>
        <v>-0.97451954904954052</v>
      </c>
      <c r="AA32" s="629">
        <f t="shared" si="7"/>
        <v>-0.16367761786449381</v>
      </c>
      <c r="AB32" s="629">
        <f t="shared" si="8"/>
        <v>-0.15336650850327455</v>
      </c>
      <c r="AC32" s="636">
        <f t="shared" si="84"/>
        <v>1</v>
      </c>
      <c r="AD32" s="637">
        <f t="shared" si="115"/>
        <v>-0.97451954904954052</v>
      </c>
      <c r="AE32" s="629">
        <f t="shared" si="85"/>
        <v>-0.16367761786449381</v>
      </c>
      <c r="AF32" s="633">
        <f t="shared" si="86"/>
        <v>-0.15336650850327455</v>
      </c>
      <c r="AG32" s="602">
        <f t="shared" si="87"/>
        <v>-46.862752963424519</v>
      </c>
      <c r="AH32" s="603">
        <f t="shared" si="88"/>
        <v>167.03812909425608</v>
      </c>
      <c r="AI32" s="585">
        <f t="shared" si="89"/>
        <v>-81.17792862170873</v>
      </c>
      <c r="AJ32" s="586">
        <f t="shared" si="90"/>
        <v>-80.465746742590767</v>
      </c>
      <c r="AK32" s="635">
        <f t="shared" si="211"/>
        <v>0.96487361526187554</v>
      </c>
      <c r="AL32" s="629">
        <f t="shared" si="91"/>
        <v>-0.21330171270056272</v>
      </c>
      <c r="AM32" s="634">
        <f t="shared" si="92"/>
        <v>-0.15336650850327455</v>
      </c>
      <c r="AN32" s="581">
        <f t="shared" si="93"/>
        <v>-54.283408624896936</v>
      </c>
      <c r="AO32" s="582">
        <f t="shared" si="94"/>
        <v>15.23119191549466</v>
      </c>
      <c r="AP32" s="585">
        <f t="shared" si="95"/>
        <v>-12.465717577403451</v>
      </c>
      <c r="AQ32" s="586">
        <f t="shared" si="9"/>
        <v>0.57560929708222641</v>
      </c>
      <c r="AS32" s="52">
        <f t="shared" si="116"/>
        <v>-157.63002921860868</v>
      </c>
      <c r="AT32" s="72">
        <f t="shared" si="10"/>
        <v>-0.37137920852615175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1.6162381791673595</v>
      </c>
      <c r="C33" s="708">
        <v>-4.1712351188772692</v>
      </c>
      <c r="D33" s="709">
        <v>-1.1548034828873046</v>
      </c>
      <c r="E33" s="710">
        <v>0.99420052559627203</v>
      </c>
      <c r="F33" s="708">
        <v>5.9184232671835028E-2</v>
      </c>
      <c r="G33" s="711">
        <v>8.9791656110924323E-2</v>
      </c>
      <c r="H33" s="710">
        <v>0.314</v>
      </c>
      <c r="I33" s="708">
        <v>0.52</v>
      </c>
      <c r="J33" s="570">
        <v>3.125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3.125</v>
      </c>
      <c r="N33" s="632">
        <f t="shared" si="2"/>
        <v>1.6162381791673595</v>
      </c>
      <c r="O33" s="629">
        <f t="shared" si="3"/>
        <v>-4.1712351188772692</v>
      </c>
      <c r="P33" s="633">
        <f t="shared" si="4"/>
        <v>-1.1548034828873046</v>
      </c>
      <c r="Q33" s="585">
        <f t="shared" si="113"/>
        <v>291.17997095320601</v>
      </c>
      <c r="R33" s="629">
        <f t="shared" si="79"/>
        <v>4.4734134918150916</v>
      </c>
      <c r="S33" s="634">
        <f t="shared" si="80"/>
        <v>-1.1548034828873046</v>
      </c>
      <c r="T33" s="635">
        <f t="shared" si="81"/>
        <v>-4.1607110078125515</v>
      </c>
      <c r="U33" s="629">
        <f t="shared" si="82"/>
        <v>-1.6431409489817823</v>
      </c>
      <c r="V33" s="636">
        <f t="shared" si="114"/>
        <v>-1.1548034828873046</v>
      </c>
      <c r="W33" s="585">
        <f t="shared" si="224"/>
        <v>201.54997089978463</v>
      </c>
      <c r="X33" s="629">
        <f t="shared" si="83"/>
        <v>4.4734134918150916</v>
      </c>
      <c r="Y33" s="630">
        <f t="shared" si="223"/>
        <v>-1.1548034828873046</v>
      </c>
      <c r="Z33" s="632">
        <f t="shared" si="6"/>
        <v>-0.99420052559627203</v>
      </c>
      <c r="AA33" s="629">
        <f t="shared" si="7"/>
        <v>-5.9184232671835028E-2</v>
      </c>
      <c r="AB33" s="629">
        <f t="shared" si="8"/>
        <v>-8.9791656110924323E-2</v>
      </c>
      <c r="AC33" s="636">
        <f t="shared" si="84"/>
        <v>1</v>
      </c>
      <c r="AD33" s="637">
        <f t="shared" si="115"/>
        <v>-0.99420052559627203</v>
      </c>
      <c r="AE33" s="629">
        <f t="shared" si="85"/>
        <v>-5.9184232671835028E-2</v>
      </c>
      <c r="AF33" s="633">
        <f t="shared" si="86"/>
        <v>-8.9791656110924323E-2</v>
      </c>
      <c r="AG33" s="602">
        <f t="shared" si="87"/>
        <v>-33.390011999269824</v>
      </c>
      <c r="AH33" s="603">
        <f t="shared" si="88"/>
        <v>173.82634918750739</v>
      </c>
      <c r="AI33" s="585">
        <f t="shared" si="89"/>
        <v>-84.848378662944242</v>
      </c>
      <c r="AJ33" s="586">
        <f t="shared" si="90"/>
        <v>-86.593232936140097</v>
      </c>
      <c r="AK33" s="635">
        <f t="shared" si="211"/>
        <v>0.94842561989521668</v>
      </c>
      <c r="AL33" s="629">
        <f t="shared" si="91"/>
        <v>-0.30401694363839582</v>
      </c>
      <c r="AM33" s="634">
        <f t="shared" si="92"/>
        <v>-8.9791656110924323E-2</v>
      </c>
      <c r="AN33" s="581">
        <f t="shared" si="93"/>
        <v>-73.545450800662266</v>
      </c>
      <c r="AO33" s="582">
        <f t="shared" si="94"/>
        <v>18.481579360946231</v>
      </c>
      <c r="AP33" s="585">
        <f t="shared" si="95"/>
        <v>-17.7732038893461</v>
      </c>
      <c r="AQ33" s="586">
        <f t="shared" si="9"/>
        <v>0.50960335347705221</v>
      </c>
      <c r="AS33" s="52">
        <f t="shared" si="116"/>
        <v>-158.45002910021537</v>
      </c>
      <c r="AT33" s="72">
        <f t="shared" si="10"/>
        <v>-1.0445117960492531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3.125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1.6780374977822374</v>
      </c>
      <c r="C34" s="708">
        <v>-4.4314453449694255</v>
      </c>
      <c r="D34" s="709">
        <v>-1.9604059125842324</v>
      </c>
      <c r="E34" s="710">
        <v>0.9869682274228575</v>
      </c>
      <c r="F34" s="708">
        <v>-0.16091525116585345</v>
      </c>
      <c r="G34" s="711">
        <v>1.133974332609181E-7</v>
      </c>
      <c r="H34" s="710">
        <v>0.26600000000000001</v>
      </c>
      <c r="I34" s="708">
        <v>0.52</v>
      </c>
      <c r="J34" s="570">
        <v>3.13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3.13</v>
      </c>
      <c r="N34" s="632">
        <f t="shared" si="2"/>
        <v>1.6780374977822374</v>
      </c>
      <c r="O34" s="629">
        <f t="shared" si="3"/>
        <v>-4.4314453449694255</v>
      </c>
      <c r="P34" s="633">
        <f t="shared" si="4"/>
        <v>-1.9604059125842324</v>
      </c>
      <c r="Q34" s="585">
        <f t="shared" si="113"/>
        <v>290.73997101673416</v>
      </c>
      <c r="R34" s="629">
        <f>IF(M34="","",SQRT(N34^2+O34^2))</f>
        <v>4.7385142913591034</v>
      </c>
      <c r="S34" s="634">
        <f>IF(M34="","",P34)</f>
        <v>-1.9604059125842324</v>
      </c>
      <c r="T34" s="635">
        <f>IF(M34="","",X34*COS(RADIANS(W34)))</f>
        <v>-4.4205167285102833</v>
      </c>
      <c r="U34" s="629">
        <f>IF(M34="","",X34*SIN(RADIANS(W34)))</f>
        <v>-1.7066193314196378</v>
      </c>
      <c r="V34" s="636">
        <f>IF(M34="","",Y34)</f>
        <v>-1.9604059125842324</v>
      </c>
      <c r="W34" s="585">
        <f t="shared" si="224"/>
        <v>201.10997096331278</v>
      </c>
      <c r="X34" s="629">
        <f>IF(M34="","",R34)</f>
        <v>4.7385142913591034</v>
      </c>
      <c r="Y34" s="630">
        <f t="shared" si="223"/>
        <v>-1.9604059125842324</v>
      </c>
      <c r="Z34" s="632">
        <f t="shared" si="6"/>
        <v>-0.9869682274228575</v>
      </c>
      <c r="AA34" s="629">
        <f t="shared" si="7"/>
        <v>0.16091525116585345</v>
      </c>
      <c r="AB34" s="629">
        <f t="shared" si="8"/>
        <v>-1.133974332609181E-7</v>
      </c>
      <c r="AC34" s="636">
        <f>IF(M34="","",SQRT(Z34^2+AA34^2+AB34^2))</f>
        <v>1</v>
      </c>
      <c r="AD34" s="637">
        <f>IF(M34="","",Z34*(1/SQRT(Z34^2+AA34^2+AB34^2)))</f>
        <v>-0.9869682274228575</v>
      </c>
      <c r="AE34" s="629">
        <f>IF(M34="","",AA34*(1/SQRT(Z34^2+AA34^2+AB34^2)))</f>
        <v>0.16091525116585345</v>
      </c>
      <c r="AF34" s="633">
        <f>IF(M34="","",AB34*(1/SQRT(Z34^2+AA34^2+AB34^2)))</f>
        <v>-1.133974332609181E-7</v>
      </c>
      <c r="AG34" s="602">
        <f>IF(M34="","",DEGREES(ATAN2(-AF34,AE34)))</f>
        <v>89.999959623501894</v>
      </c>
      <c r="AH34" s="603">
        <f>IF(M34="","",DEGREES(ACOS(AD34)))</f>
        <v>170.73997534819597</v>
      </c>
      <c r="AI34" s="585">
        <f>IF(M34="","",DEGREES(-ACOS(-AF34)))</f>
        <v>-89.999993502805665</v>
      </c>
      <c r="AJ34" s="586">
        <f>IF(M34="","",DEGREES(ATAN2(-AE34,AD34)))</f>
        <v>-99.260024651801743</v>
      </c>
      <c r="AK34" s="635">
        <f>IF(M34="","",(COS(RADIANS((90-$Q$8)-W34))*AD34)+(-SIN(RADIANS((90-$Q$8)-W34))*AE34))</f>
        <v>0.86602544158358552</v>
      </c>
      <c r="AL34" s="629">
        <f>IF(M34="","",(SIN(RADIANS((90-$Q$8)-W34))*AD34)+(COS(RADIANS((90-$Q$8)-W34))*AE34))</f>
        <v>-0.49999993452993852</v>
      </c>
      <c r="AM34" s="634">
        <f>IF(M34="","",AF34)</f>
        <v>-1.133974332609181E-7</v>
      </c>
      <c r="AN34" s="581">
        <f>IF(M34="","",DEGREES(ATAN2(-AM34,AL34)))</f>
        <v>-89.999987005609626</v>
      </c>
      <c r="AO34" s="582">
        <f t="shared" si="94"/>
        <v>29.999995668536549</v>
      </c>
      <c r="AP34" s="585">
        <f>IF(M34="","",DEGREES(ATAN2(AK34,AL34)))</f>
        <v>-29.999995668535906</v>
      </c>
      <c r="AQ34" s="586">
        <f t="shared" si="9"/>
        <v>0.48109447702418512</v>
      </c>
      <c r="AS34" s="52">
        <f t="shared" si="116"/>
        <v>-158.89002903668722</v>
      </c>
      <c r="AT34" s="72">
        <f t="shared" si="10"/>
        <v>-1.8498086702347423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0.38517046192710186</v>
      </c>
      <c r="C35" s="708">
        <v>-3.1922323171671225</v>
      </c>
      <c r="D35" s="709">
        <v>-5.0571499829172112E-2</v>
      </c>
      <c r="E35" s="710">
        <v>0.93228462541754842</v>
      </c>
      <c r="F35" s="708">
        <v>-3.3005559337451675E-2</v>
      </c>
      <c r="G35" s="711">
        <v>0.36021661575069464</v>
      </c>
      <c r="H35" s="710">
        <v>0.26600000000000001</v>
      </c>
      <c r="I35" s="708">
        <v>0.52</v>
      </c>
      <c r="J35" s="570">
        <v>3.2149999999999999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3.2149999999999999</v>
      </c>
      <c r="N35" s="632">
        <f t="shared" si="2"/>
        <v>0.38517046192710186</v>
      </c>
      <c r="O35" s="629">
        <f t="shared" si="3"/>
        <v>-3.1922323171671225</v>
      </c>
      <c r="P35" s="633">
        <f t="shared" si="4"/>
        <v>-5.0571499829172112E-2</v>
      </c>
      <c r="Q35" s="585">
        <f t="shared" si="113"/>
        <v>276.87997301787027</v>
      </c>
      <c r="R35" s="629">
        <f>IF(M35="","",SQRT(N35^2+O35^2))</f>
        <v>3.2153854281419068</v>
      </c>
      <c r="S35" s="634">
        <f>IF(M35="","",P35)</f>
        <v>-5.0571499829172112E-2</v>
      </c>
      <c r="T35" s="635">
        <f>IF(M35="","",X35*COS(RADIANS(W35)))</f>
        <v>-3.189678451314756</v>
      </c>
      <c r="U35" s="629">
        <f>IF(M35="","",X35*SIN(RADIANS(W35)))</f>
        <v>-0.40577682132621884</v>
      </c>
      <c r="V35" s="636">
        <f>IF(M35="","",Y35)</f>
        <v>-5.0571499829172112E-2</v>
      </c>
      <c r="W35" s="585">
        <f t="shared" si="224"/>
        <v>187.24997296444889</v>
      </c>
      <c r="X35" s="629">
        <f>IF(M35="","",R35)</f>
        <v>3.2153854281419068</v>
      </c>
      <c r="Y35" s="630">
        <f t="shared" si="223"/>
        <v>-5.0571499829172112E-2</v>
      </c>
      <c r="Z35" s="632">
        <f t="shared" si="6"/>
        <v>-0.93228462541754842</v>
      </c>
      <c r="AA35" s="629">
        <f t="shared" si="7"/>
        <v>3.3005559337451675E-2</v>
      </c>
      <c r="AB35" s="629">
        <f t="shared" si="8"/>
        <v>-0.36021661575069464</v>
      </c>
      <c r="AC35" s="636">
        <f>IF(M35="","",SQRT(Z35^2+AA35^2+AB35^2))</f>
        <v>1</v>
      </c>
      <c r="AD35" s="637">
        <f>IF(M35="","",Z35*(1/SQRT(Z35^2+AA35^2+AB35^2)))</f>
        <v>-0.93228462541754842</v>
      </c>
      <c r="AE35" s="629">
        <f>IF(M35="","",AA35*(1/SQRT(Z35^2+AA35^2+AB35^2)))</f>
        <v>3.3005559337451675E-2</v>
      </c>
      <c r="AF35" s="633">
        <f>IF(M35="","",AB35*(1/SQRT(Z35^2+AA35^2+AB35^2)))</f>
        <v>-0.36021661575069464</v>
      </c>
      <c r="AG35" s="602">
        <f>IF(M35="","",DEGREES(ATAN2(-AF35,AE35)))</f>
        <v>5.2352209212878442</v>
      </c>
      <c r="AH35" s="603">
        <f>IF(M35="","",DEGREES(ACOS(AD35)))</f>
        <v>158.79379385500312</v>
      </c>
      <c r="AI35" s="585">
        <f>IF(M35="","",DEGREES(-ACOS(-AF35)))</f>
        <v>-68.886500268540246</v>
      </c>
      <c r="AJ35" s="586">
        <f>IF(M35="","",DEGREES(ATAN2(-AE35,AD35)))</f>
        <v>-92.027588702513754</v>
      </c>
      <c r="AK35" s="635">
        <f>IF(M35="","",(COS(RADIANS((90-$Q$8)-W35))*AD35)+(-SIN(RADIANS((90-$Q$8)-W35))*AE35))</f>
        <v>0.92161776861451616</v>
      </c>
      <c r="AL35" s="629">
        <f>IF(M35="","",(SIN(RADIANS((90-$Q$8)-W35))*AD35)+(COS(RADIANS((90-$Q$8)-W35))*AE35))</f>
        <v>-0.14444610867419289</v>
      </c>
      <c r="AM35" s="634">
        <f>IF(M35="","",AF35)</f>
        <v>-0.36021661575069464</v>
      </c>
      <c r="AN35" s="581">
        <f>IF(M35="","",DEGREES(ATAN2(-AM35,AL35)))</f>
        <v>-21.850682010960977</v>
      </c>
      <c r="AO35" s="582">
        <f t="shared" si="94"/>
        <v>22.836253603121214</v>
      </c>
      <c r="AP35" s="585">
        <f>IF(M35="","",DEGREES(ATAN2(AK35,AL35)))</f>
        <v>-8.9075617203840132</v>
      </c>
      <c r="AQ35" s="586">
        <f t="shared" si="9"/>
        <v>0.70896952492025667</v>
      </c>
      <c r="AS35" s="52">
        <f t="shared" si="116"/>
        <v>-172.75002703555111</v>
      </c>
      <c r="AT35" s="72">
        <f t="shared" si="10"/>
        <v>6.9650741130640209E-2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3.2149999999999999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3.1150000000000002</v>
      </c>
      <c r="II35" s="734" cm="1">
        <f t="array" ref="II35">IFERROR(ROUND(VALUE(IF($IH35&lt;1,$IH35+LARGE((IF($M$9:$M$150="",0,$M$9:$M$150)-MOD(IF($M$9:$M$150="",0,$M$9:$M$150),1)),1),$IH35)),4),"")</f>
        <v>3.1150000000000002</v>
      </c>
      <c r="IJ35" s="533">
        <f t="shared" si="112"/>
        <v>1613</v>
      </c>
      <c r="IK35" s="533">
        <f t="shared" si="66"/>
        <v>1313</v>
      </c>
      <c r="IL35" s="727">
        <f t="shared" si="225"/>
        <v>16.18999766245355</v>
      </c>
      <c r="IM35" s="759">
        <v>8.00644529959685E-3</v>
      </c>
      <c r="IN35" s="5">
        <f t="shared" si="226"/>
        <v>0.16</v>
      </c>
      <c r="IO35" s="771">
        <v>80</v>
      </c>
      <c r="IP35" s="9">
        <f t="shared" si="227"/>
        <v>-3.2033096611819385</v>
      </c>
      <c r="IQ35" s="5">
        <f t="shared" si="228"/>
        <v>-0.10190030733132688</v>
      </c>
      <c r="IR35" s="5">
        <f t="shared" si="71"/>
        <v>0.314</v>
      </c>
      <c r="IS35" s="5">
        <f t="shared" si="229"/>
        <v>0.30580645434659059</v>
      </c>
      <c r="IT35" s="727">
        <f t="shared" si="230"/>
        <v>29.416516553486975</v>
      </c>
      <c r="IU35" s="9">
        <f t="shared" si="231"/>
        <v>-3.2153854281419068</v>
      </c>
      <c r="IV35" s="5">
        <f t="shared" si="232"/>
        <v>-5.0571499829172112E-2</v>
      </c>
      <c r="IW35" s="5">
        <f t="shared" si="76"/>
        <v>0.26600000000000001</v>
      </c>
      <c r="IX35" s="5">
        <f t="shared" si="233"/>
        <v>0.24515032645146131</v>
      </c>
      <c r="IY35" s="762">
        <f t="shared" si="234"/>
        <v>21.850682010960977</v>
      </c>
    </row>
    <row r="36" spans="1:267" ht="15" customHeight="1" x14ac:dyDescent="0.25">
      <c r="A36" s="79"/>
      <c r="B36" s="707">
        <v>0.49131044751229519</v>
      </c>
      <c r="C36" s="708">
        <v>-3.961400943195438</v>
      </c>
      <c r="D36" s="709">
        <v>-0.43563529901875092</v>
      </c>
      <c r="E36" s="710">
        <v>0.93805219674010643</v>
      </c>
      <c r="F36" s="708">
        <v>-0.18263765818369551</v>
      </c>
      <c r="G36" s="711">
        <v>0.29445128969701645</v>
      </c>
      <c r="H36" s="710">
        <v>0.26600000000000001</v>
      </c>
      <c r="I36" s="708">
        <v>0.52</v>
      </c>
      <c r="J36" s="570">
        <v>3.22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3.22</v>
      </c>
      <c r="N36" s="632">
        <f t="shared" si="2"/>
        <v>0.49131044751229519</v>
      </c>
      <c r="O36" s="629">
        <f t="shared" si="3"/>
        <v>-3.961400943195438</v>
      </c>
      <c r="P36" s="633">
        <f t="shared" si="4"/>
        <v>-0.43563529901875092</v>
      </c>
      <c r="Q36" s="585">
        <f t="shared" si="113"/>
        <v>277.06997299043769</v>
      </c>
      <c r="R36" s="629">
        <f>IF(M36="","",SQRT(N36^2+O36^2))</f>
        <v>3.9917519197195155</v>
      </c>
      <c r="S36" s="634">
        <f>IF(M36="","",P36)</f>
        <v>-0.43563529901875092</v>
      </c>
      <c r="T36" s="635">
        <f>IF(M36="","",X36*COS(RADIANS(W36)))</f>
        <v>-3.9581456221632116</v>
      </c>
      <c r="U36" s="629">
        <f>IF(M36="","",X36*SIN(RADIANS(W36)))</f>
        <v>-0.51688163280836497</v>
      </c>
      <c r="V36" s="636">
        <f>IF(M36="","",Y36)</f>
        <v>-0.43563529901875092</v>
      </c>
      <c r="W36" s="585">
        <f t="shared" si="224"/>
        <v>187.43997293701631</v>
      </c>
      <c r="X36" s="629">
        <f>IF(M36="","",R36)</f>
        <v>3.9917519197195155</v>
      </c>
      <c r="Y36" s="630">
        <f t="shared" si="223"/>
        <v>-0.43563529901875092</v>
      </c>
      <c r="Z36" s="632">
        <f t="shared" si="6"/>
        <v>-0.93805219674010643</v>
      </c>
      <c r="AA36" s="629">
        <f t="shared" si="7"/>
        <v>0.18263765818369551</v>
      </c>
      <c r="AB36" s="629">
        <f t="shared" si="8"/>
        <v>-0.29445128969701645</v>
      </c>
      <c r="AC36" s="636">
        <f>IF(M36="","",SQRT(Z36^2+AA36^2+AB36^2))</f>
        <v>1</v>
      </c>
      <c r="AD36" s="637">
        <f>IF(M36="","",Z36*(1/SQRT(Z36^2+AA36^2+AB36^2)))</f>
        <v>-0.93805219674010643</v>
      </c>
      <c r="AE36" s="629">
        <f>IF(M36="","",AA36*(1/SQRT(Z36^2+AA36^2+AB36^2)))</f>
        <v>0.18263765818369551</v>
      </c>
      <c r="AF36" s="633">
        <f>IF(M36="","",AB36*(1/SQRT(Z36^2+AA36^2+AB36^2)))</f>
        <v>-0.29445128969701645</v>
      </c>
      <c r="AG36" s="602">
        <f>IF(M36="","",DEGREES(ATAN2(-AF36,AE36)))</f>
        <v>31.809854972211316</v>
      </c>
      <c r="AH36" s="603">
        <f>IF(M36="","",DEGREES(ACOS(AD36)))</f>
        <v>159.72697961073644</v>
      </c>
      <c r="AI36" s="585">
        <f>IF(M36="","",DEGREES(-ACOS(-AF36)))</f>
        <v>-72.875362774937614</v>
      </c>
      <c r="AJ36" s="586">
        <f>IF(M36="","",DEGREES(ATAN2(-AE36,AD36)))</f>
        <v>-101.01758399575908</v>
      </c>
      <c r="AK36" s="635">
        <f>IF(M36="","",(COS(RADIANS((90-$Q$8)-W36))*AD36)+(-SIN(RADIANS((90-$Q$8)-W36))*AE36))</f>
        <v>0.90844048936106836</v>
      </c>
      <c r="AL36" s="629">
        <f>IF(M36="","",(SIN(RADIANS((90-$Q$8)-W36))*AD36)+(COS(RADIANS((90-$Q$8)-W36))*AE36))</f>
        <v>-0.29670577224783873</v>
      </c>
      <c r="AM36" s="634">
        <f>IF(M36="","",AF36)</f>
        <v>-0.29445128969701645</v>
      </c>
      <c r="AN36" s="581">
        <f>IF(M36="","",DEGREES(ATAN2(-AM36,AL36)))</f>
        <v>-45.218506581812747</v>
      </c>
      <c r="AO36" s="582">
        <f t="shared" si="94"/>
        <v>24.709279418729249</v>
      </c>
      <c r="AP36" s="585">
        <f>IF(M36="","",DEGREES(ATAN2(AK36,AL36)))</f>
        <v>-18.087556986196777</v>
      </c>
      <c r="AQ36" s="586">
        <f t="shared" si="9"/>
        <v>0.5710903836088278</v>
      </c>
      <c r="AS36" s="52">
        <f t="shared" si="116"/>
        <v>-172.56002706298369</v>
      </c>
      <c r="AT36" s="72">
        <f t="shared" si="10"/>
        <v>-0.31554500248433265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3.22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</v>
      </c>
      <c r="II36" s="734" cm="1">
        <f t="array" ref="II36">IFERROR(ROUND(VALUE(IF($IH36&lt;1,$IH36+LARGE((IF($M$9:$M$150="",0,$M$9:$M$150)-MOD(IF($M$9:$M$150="",0,$M$9:$M$150),1)),1),$IH36)),4),"")</f>
        <v>3.12</v>
      </c>
      <c r="IJ36" s="533">
        <f t="shared" si="112"/>
        <v>1613</v>
      </c>
      <c r="IK36" s="533">
        <f t="shared" si="66"/>
        <v>1313</v>
      </c>
      <c r="IL36" s="727">
        <f t="shared" si="225"/>
        <v>14.929997844375009</v>
      </c>
      <c r="IM36" s="759">
        <v>6.4196671694310902E-3</v>
      </c>
      <c r="IN36" s="5">
        <f t="shared" si="226"/>
        <v>0.14000000000000001</v>
      </c>
      <c r="IO36" s="771">
        <v>70</v>
      </c>
      <c r="IP36" s="9">
        <f t="shared" si="227"/>
        <v>-3.9604119446024253</v>
      </c>
      <c r="IQ36" s="5">
        <f t="shared" si="228"/>
        <v>-0.48110145100197627</v>
      </c>
      <c r="IR36" s="5">
        <f t="shared" si="71"/>
        <v>0.314</v>
      </c>
      <c r="IS36" s="5">
        <f t="shared" si="229"/>
        <v>0.30297031519222895</v>
      </c>
      <c r="IT36" s="727">
        <f t="shared" si="230"/>
        <v>54.283408624896936</v>
      </c>
      <c r="IU36" s="9">
        <f t="shared" si="231"/>
        <v>-3.9917519197195155</v>
      </c>
      <c r="IV36" s="5">
        <f t="shared" si="232"/>
        <v>-0.43563529901875092</v>
      </c>
      <c r="IW36" s="5">
        <f t="shared" si="76"/>
        <v>0.26600000000000001</v>
      </c>
      <c r="IX36" s="5">
        <f t="shared" si="233"/>
        <v>0.24164517017004422</v>
      </c>
      <c r="IY36" s="762">
        <f t="shared" si="234"/>
        <v>45.218506581812747</v>
      </c>
    </row>
    <row r="37" spans="1:267" ht="15" customHeight="1" x14ac:dyDescent="0.25">
      <c r="A37" s="79"/>
      <c r="B37" s="707">
        <v>0.53929133737338775</v>
      </c>
      <c r="C37" s="708">
        <v>-4.4893257564037468</v>
      </c>
      <c r="D37" s="709">
        <v>-1.1211960980190903</v>
      </c>
      <c r="E37" s="710">
        <v>0.92820020462809971</v>
      </c>
      <c r="F37" s="708">
        <v>-0.31784336240031619</v>
      </c>
      <c r="G37" s="711">
        <v>0.19344243874190342</v>
      </c>
      <c r="H37" s="710">
        <v>0.26600000000000001</v>
      </c>
      <c r="I37" s="708">
        <v>0.52</v>
      </c>
      <c r="J37" s="570">
        <v>3.2250000000000001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3.2250000000000001</v>
      </c>
      <c r="N37" s="632">
        <f t="shared" si="2"/>
        <v>0.53929133737338775</v>
      </c>
      <c r="O37" s="629">
        <f t="shared" si="3"/>
        <v>-4.4893257564037468</v>
      </c>
      <c r="P37" s="633">
        <f t="shared" si="4"/>
        <v>-1.1211960980190903</v>
      </c>
      <c r="Q37" s="585">
        <f t="shared" si="113"/>
        <v>276.84997302220171</v>
      </c>
      <c r="R37" s="629">
        <f t="shared" si="79"/>
        <v>4.5216015850222862</v>
      </c>
      <c r="S37" s="634">
        <f t="shared" si="80"/>
        <v>-1.1211960980190903</v>
      </c>
      <c r="T37" s="635">
        <f t="shared" si="81"/>
        <v>-4.4857495827507545</v>
      </c>
      <c r="U37" s="629">
        <f t="shared" si="82"/>
        <v>-0.56827068772503186</v>
      </c>
      <c r="V37" s="636">
        <f t="shared" si="114"/>
        <v>-1.1211960980190903</v>
      </c>
      <c r="W37" s="585">
        <f t="shared" si="224"/>
        <v>187.21997296878033</v>
      </c>
      <c r="X37" s="629">
        <f t="shared" si="83"/>
        <v>4.5216015850222862</v>
      </c>
      <c r="Y37" s="630">
        <f t="shared" si="223"/>
        <v>-1.1211960980190903</v>
      </c>
      <c r="Z37" s="632">
        <f t="shared" si="6"/>
        <v>-0.92820020462809971</v>
      </c>
      <c r="AA37" s="629">
        <f t="shared" si="7"/>
        <v>0.31784336240031619</v>
      </c>
      <c r="AB37" s="629">
        <f t="shared" si="8"/>
        <v>-0.19344243874190342</v>
      </c>
      <c r="AC37" s="636">
        <f t="shared" si="84"/>
        <v>1</v>
      </c>
      <c r="AD37" s="637">
        <f t="shared" si="115"/>
        <v>-0.92820020462809971</v>
      </c>
      <c r="AE37" s="629">
        <f t="shared" si="85"/>
        <v>0.31784336240031619</v>
      </c>
      <c r="AF37" s="633">
        <f t="shared" si="86"/>
        <v>-0.19344243874190342</v>
      </c>
      <c r="AG37" s="602">
        <f t="shared" si="87"/>
        <v>58.674915687007022</v>
      </c>
      <c r="AH37" s="603">
        <f t="shared" si="88"/>
        <v>158.15597559699449</v>
      </c>
      <c r="AI37" s="585">
        <f t="shared" si="89"/>
        <v>-78.846250454573692</v>
      </c>
      <c r="AJ37" s="586">
        <f t="shared" si="90"/>
        <v>-108.90272942817877</v>
      </c>
      <c r="AK37" s="635">
        <f t="shared" si="211"/>
        <v>0.88366540895317347</v>
      </c>
      <c r="AL37" s="629">
        <f t="shared" si="91"/>
        <v>-0.42628097296642919</v>
      </c>
      <c r="AM37" s="634">
        <f t="shared" si="92"/>
        <v>-0.19344243874190342</v>
      </c>
      <c r="AN37" s="581">
        <f t="shared" si="93"/>
        <v>-65.591883939837956</v>
      </c>
      <c r="AO37" s="582">
        <f t="shared" si="94"/>
        <v>27.912269120299797</v>
      </c>
      <c r="AP37" s="585">
        <f t="shared" si="95"/>
        <v>-25.75270245038049</v>
      </c>
      <c r="AQ37" s="586">
        <f t="shared" si="9"/>
        <v>0.5041726362869996</v>
      </c>
      <c r="AS37" s="52">
        <f t="shared" si="116"/>
        <v>-172.78002703121967</v>
      </c>
      <c r="AT37" s="72">
        <f t="shared" si="10"/>
        <v>-1.0009530237289526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3.2250000000000001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3.125</v>
      </c>
      <c r="II37" s="734" cm="1">
        <f t="array" ref="II37">IFERROR(ROUND(VALUE(IF($IH37&lt;1,$IH37+LARGE((IF($M$9:$M$150="",0,$M$9:$M$150)-MOD(IF($M$9:$M$150="",0,$M$9:$M$150),1)),1),$IH37)),4),"")</f>
        <v>3.125</v>
      </c>
      <c r="IJ37" s="533">
        <f t="shared" si="112"/>
        <v>1613</v>
      </c>
      <c r="IK37" s="533">
        <f t="shared" si="66"/>
        <v>1313</v>
      </c>
      <c r="IL37" s="727">
        <f t="shared" si="225"/>
        <v>14.3299979310043</v>
      </c>
      <c r="IM37" s="759">
        <v>4.5094733662083804E-3</v>
      </c>
      <c r="IN37" s="5">
        <f t="shared" si="226"/>
        <v>0.12</v>
      </c>
      <c r="IO37" s="771">
        <v>60</v>
      </c>
      <c r="IP37" s="9">
        <f t="shared" si="227"/>
        <v>-4.4734134918150916</v>
      </c>
      <c r="IQ37" s="5">
        <f t="shared" si="228"/>
        <v>-1.1548034828873046</v>
      </c>
      <c r="IR37" s="5">
        <f t="shared" si="71"/>
        <v>0.314</v>
      </c>
      <c r="IS37" s="5">
        <f t="shared" si="229"/>
        <v>0.29780564464709802</v>
      </c>
      <c r="IT37" s="727">
        <f t="shared" si="230"/>
        <v>73.545450800662266</v>
      </c>
      <c r="IU37" s="9">
        <f t="shared" si="231"/>
        <v>-4.5216015850222862</v>
      </c>
      <c r="IV37" s="5">
        <f t="shared" si="232"/>
        <v>-1.1211960980190903</v>
      </c>
      <c r="IW37" s="5">
        <f t="shared" si="76"/>
        <v>0.26600000000000001</v>
      </c>
      <c r="IX37" s="5">
        <f t="shared" si="233"/>
        <v>0.23505499878154415</v>
      </c>
      <c r="IY37" s="762">
        <f t="shared" si="234"/>
        <v>65.591883939837956</v>
      </c>
    </row>
    <row r="38" spans="1:267" ht="15" customHeight="1" x14ac:dyDescent="0.25">
      <c r="A38" s="79"/>
      <c r="B38" s="707">
        <v>-0.35260943329049343</v>
      </c>
      <c r="C38" s="708">
        <v>-0.43543607019356928</v>
      </c>
      <c r="D38" s="709">
        <v>-0.57390173088762042</v>
      </c>
      <c r="E38" s="710">
        <v>0.7901560729257654</v>
      </c>
      <c r="F38" s="708">
        <v>-0.53970981315380562</v>
      </c>
      <c r="G38" s="711">
        <v>0.29045946017304536</v>
      </c>
      <c r="H38" s="710">
        <v>0.314</v>
      </c>
      <c r="I38" s="708">
        <v>0.52</v>
      </c>
      <c r="J38" s="570">
        <v>4.1020000000000003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4.1020000000000003</v>
      </c>
      <c r="N38" s="632">
        <f t="shared" si="2"/>
        <v>-0.35260943329049343</v>
      </c>
      <c r="O38" s="629">
        <f t="shared" si="3"/>
        <v>-0.43543607019356928</v>
      </c>
      <c r="P38" s="633">
        <f t="shared" si="4"/>
        <v>-0.57390173088762042</v>
      </c>
      <c r="Q38" s="585">
        <f t="shared" si="113"/>
        <v>230.99997964212173</v>
      </c>
      <c r="R38" s="629">
        <f t="shared" si="79"/>
        <v>0.5603016898698967</v>
      </c>
      <c r="S38" s="634">
        <f t="shared" si="80"/>
        <v>-0.57390173088762042</v>
      </c>
      <c r="T38" s="635">
        <f t="shared" si="81"/>
        <v>-0.4377040271343019</v>
      </c>
      <c r="U38" s="629">
        <f t="shared" si="82"/>
        <v>0.34979017753715758</v>
      </c>
      <c r="V38" s="636">
        <f t="shared" si="114"/>
        <v>-0.57390173088762042</v>
      </c>
      <c r="W38" s="585">
        <f t="shared" si="224"/>
        <v>141.36997958870035</v>
      </c>
      <c r="X38" s="629">
        <f t="shared" si="83"/>
        <v>0.5603016898698967</v>
      </c>
      <c r="Y38" s="630">
        <f t="shared" si="223"/>
        <v>-0.57390173088762042</v>
      </c>
      <c r="Z38" s="632">
        <f t="shared" si="6"/>
        <v>-0.7901560729257654</v>
      </c>
      <c r="AA38" s="629">
        <f t="shared" si="7"/>
        <v>0.53970981315380562</v>
      </c>
      <c r="AB38" s="629">
        <f t="shared" si="8"/>
        <v>-0.29045946017304536</v>
      </c>
      <c r="AC38" s="636">
        <f t="shared" si="84"/>
        <v>1</v>
      </c>
      <c r="AD38" s="637">
        <f t="shared" si="115"/>
        <v>-0.7901560729257654</v>
      </c>
      <c r="AE38" s="629">
        <f t="shared" si="85"/>
        <v>0.53970981315380562</v>
      </c>
      <c r="AF38" s="633">
        <f t="shared" si="86"/>
        <v>-0.29045946017304536</v>
      </c>
      <c r="AG38" s="602">
        <f t="shared" si="87"/>
        <v>61.711879899896921</v>
      </c>
      <c r="AH38" s="603">
        <f t="shared" si="88"/>
        <v>142.20009914245671</v>
      </c>
      <c r="AI38" s="585">
        <f t="shared" si="89"/>
        <v>-73.114534769632428</v>
      </c>
      <c r="AJ38" s="586">
        <f t="shared" si="90"/>
        <v>-124.33471840909557</v>
      </c>
      <c r="AK38" s="635">
        <f t="shared" si="211"/>
        <v>0.95371696400905348</v>
      </c>
      <c r="AL38" s="629">
        <f t="shared" si="91"/>
        <v>7.7828366019961404E-2</v>
      </c>
      <c r="AM38" s="634">
        <f t="shared" si="92"/>
        <v>-0.29045946017304536</v>
      </c>
      <c r="AN38" s="581">
        <f t="shared" si="93"/>
        <v>14.999997834268243</v>
      </c>
      <c r="AO38" s="582">
        <f t="shared" si="94"/>
        <v>17.499997473312952</v>
      </c>
      <c r="AP38" s="585">
        <f t="shared" si="95"/>
        <v>4.6653019487826954</v>
      </c>
      <c r="AQ38" s="586">
        <f t="shared" si="9"/>
        <v>4.0619297008220663</v>
      </c>
      <c r="AS38" s="52">
        <f t="shared" si="116"/>
        <v>-218.63002041129965</v>
      </c>
      <c r="AT38" s="72">
        <f t="shared" si="10"/>
        <v>-0.42181838341687161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4.1020000000000003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-0.83756540204589991</v>
      </c>
      <c r="C39" s="708">
        <v>-1.0343063819750515</v>
      </c>
      <c r="D39" s="709">
        <v>-0.36740110808174203</v>
      </c>
      <c r="E39" s="710">
        <v>0.79282162582830418</v>
      </c>
      <c r="F39" s="708">
        <v>-0.55581821307553037</v>
      </c>
      <c r="G39" s="711">
        <v>0.24999996726497575</v>
      </c>
      <c r="H39" s="710">
        <v>0.314</v>
      </c>
      <c r="I39" s="708">
        <v>0.52</v>
      </c>
      <c r="J39" s="570">
        <v>4.1050000000000004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4.1050000000000004</v>
      </c>
      <c r="N39" s="632">
        <f t="shared" si="2"/>
        <v>-0.83756540204589991</v>
      </c>
      <c r="O39" s="629">
        <f t="shared" si="3"/>
        <v>-1.0343063819750515</v>
      </c>
      <c r="P39" s="633">
        <f t="shared" si="4"/>
        <v>-0.36740110808174203</v>
      </c>
      <c r="Q39" s="585">
        <f t="shared" si="113"/>
        <v>230.99997964212173</v>
      </c>
      <c r="R39" s="629">
        <f t="shared" si="79"/>
        <v>1.3309040140065065</v>
      </c>
      <c r="S39" s="634">
        <f t="shared" si="80"/>
        <v>-0.36740110808174203</v>
      </c>
      <c r="T39" s="635">
        <f t="shared" si="81"/>
        <v>-1.0396935386632919</v>
      </c>
      <c r="U39" s="629">
        <f t="shared" si="82"/>
        <v>0.83086872618990371</v>
      </c>
      <c r="V39" s="636">
        <f t="shared" si="114"/>
        <v>-0.36740110808174203</v>
      </c>
      <c r="W39" s="585">
        <f t="shared" si="224"/>
        <v>141.36997958870035</v>
      </c>
      <c r="X39" s="629">
        <f t="shared" si="83"/>
        <v>1.3309040140065065</v>
      </c>
      <c r="Y39" s="630">
        <f t="shared" si="223"/>
        <v>-0.36740110808174203</v>
      </c>
      <c r="Z39" s="632">
        <f t="shared" si="6"/>
        <v>-0.79282162582830418</v>
      </c>
      <c r="AA39" s="629">
        <f t="shared" si="7"/>
        <v>0.55581821307553037</v>
      </c>
      <c r="AB39" s="629">
        <f t="shared" si="8"/>
        <v>-0.24999996726497575</v>
      </c>
      <c r="AC39" s="636">
        <f t="shared" si="84"/>
        <v>1</v>
      </c>
      <c r="AD39" s="637">
        <f t="shared" si="115"/>
        <v>-0.79282162582830418</v>
      </c>
      <c r="AE39" s="629">
        <f t="shared" si="85"/>
        <v>0.55581821307553037</v>
      </c>
      <c r="AF39" s="633">
        <f t="shared" si="86"/>
        <v>-0.24999996726497575</v>
      </c>
      <c r="AG39" s="602">
        <f t="shared" si="87"/>
        <v>65.782390573651369</v>
      </c>
      <c r="AH39" s="603">
        <f t="shared" si="88"/>
        <v>142.44998421740311</v>
      </c>
      <c r="AI39" s="585">
        <f t="shared" si="89"/>
        <v>-75.522489751159455</v>
      </c>
      <c r="AJ39" s="586">
        <f t="shared" si="90"/>
        <v>-125.0328907127917</v>
      </c>
      <c r="AK39" s="635">
        <f t="shared" si="211"/>
        <v>0.9659258360722075</v>
      </c>
      <c r="AL39" s="629">
        <f t="shared" si="91"/>
        <v>6.6987279208207073E-2</v>
      </c>
      <c r="AM39" s="634">
        <f t="shared" si="92"/>
        <v>-0.24999996726497575</v>
      </c>
      <c r="AN39" s="581">
        <f t="shared" si="93"/>
        <v>14.999997834268235</v>
      </c>
      <c r="AO39" s="582">
        <f t="shared" si="94"/>
        <v>14.99999783426823</v>
      </c>
      <c r="AP39" s="585">
        <f t="shared" si="95"/>
        <v>3.9671296450865632</v>
      </c>
      <c r="AQ39" s="586">
        <f t="shared" si="9"/>
        <v>1.7124058433797953</v>
      </c>
      <c r="AS39" s="52">
        <f t="shared" si="116"/>
        <v>-218.63002041129965</v>
      </c>
      <c r="AT39" s="72">
        <f t="shared" si="10"/>
        <v>-0.21531776061099323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4.1050000000000004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-1.3798000722496622</v>
      </c>
      <c r="C40" s="708">
        <v>-1.7020869337068287</v>
      </c>
      <c r="D40" s="709">
        <v>-0.13690041289164537</v>
      </c>
      <c r="E40" s="710">
        <v>0.78450058560344549</v>
      </c>
      <c r="F40" s="708">
        <v>-0.56600733760928701</v>
      </c>
      <c r="G40" s="711">
        <v>0.25336638482698848</v>
      </c>
      <c r="H40" s="710">
        <v>0.314</v>
      </c>
      <c r="I40" s="708">
        <v>0.52</v>
      </c>
      <c r="J40" s="570">
        <v>4.109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4.109</v>
      </c>
      <c r="N40" s="632">
        <f t="shared" si="2"/>
        <v>-1.3798000722496622</v>
      </c>
      <c r="O40" s="629">
        <f t="shared" si="3"/>
        <v>-1.7020869337068287</v>
      </c>
      <c r="P40" s="633">
        <f t="shared" si="4"/>
        <v>-0.13690041289164537</v>
      </c>
      <c r="Q40" s="585">
        <f t="shared" si="113"/>
        <v>230.9699796464532</v>
      </c>
      <c r="R40" s="629">
        <f t="shared" si="79"/>
        <v>2.191106608377531</v>
      </c>
      <c r="S40" s="634">
        <f t="shared" si="80"/>
        <v>-0.13690041289164537</v>
      </c>
      <c r="T40" s="635">
        <f t="shared" si="81"/>
        <v>-1.7109617403866795</v>
      </c>
      <c r="U40" s="629">
        <f t="shared" si="82"/>
        <v>1.3687797822179695</v>
      </c>
      <c r="V40" s="636">
        <f t="shared" si="114"/>
        <v>-0.13690041289164537</v>
      </c>
      <c r="W40" s="585">
        <f t="shared" si="224"/>
        <v>141.33997959303181</v>
      </c>
      <c r="X40" s="629">
        <f t="shared" si="83"/>
        <v>2.191106608377531</v>
      </c>
      <c r="Y40" s="630">
        <f t="shared" si="223"/>
        <v>-0.13690041289164537</v>
      </c>
      <c r="Z40" s="632">
        <f t="shared" si="6"/>
        <v>-0.78450058560344549</v>
      </c>
      <c r="AA40" s="629">
        <f t="shared" si="7"/>
        <v>0.56600733760928701</v>
      </c>
      <c r="AB40" s="629">
        <f t="shared" si="8"/>
        <v>-0.25336638482698848</v>
      </c>
      <c r="AC40" s="636">
        <f t="shared" si="84"/>
        <v>1</v>
      </c>
      <c r="AD40" s="637">
        <f t="shared" si="115"/>
        <v>-0.78450058560344549</v>
      </c>
      <c r="AE40" s="629">
        <f t="shared" si="85"/>
        <v>0.56600733760928701</v>
      </c>
      <c r="AF40" s="633">
        <f t="shared" si="86"/>
        <v>-0.25336638482698848</v>
      </c>
      <c r="AG40" s="602">
        <f t="shared" si="87"/>
        <v>65.884897485949466</v>
      </c>
      <c r="AH40" s="603">
        <f t="shared" si="88"/>
        <v>141.67451210311478</v>
      </c>
      <c r="AI40" s="585">
        <f t="shared" si="89"/>
        <v>-75.323192679526144</v>
      </c>
      <c r="AJ40" s="586">
        <f t="shared" si="90"/>
        <v>-125.80997608673641</v>
      </c>
      <c r="AK40" s="635">
        <f t="shared" si="211"/>
        <v>0.96584308288639753</v>
      </c>
      <c r="AL40" s="629">
        <f t="shared" si="91"/>
        <v>5.4337963526448818E-2</v>
      </c>
      <c r="AM40" s="634">
        <f t="shared" si="92"/>
        <v>-0.25336638482698848</v>
      </c>
      <c r="AN40" s="581">
        <f t="shared" si="93"/>
        <v>12.104522230896938</v>
      </c>
      <c r="AO40" s="582">
        <f t="shared" si="94"/>
        <v>15.01830631513142</v>
      </c>
      <c r="AP40" s="585">
        <f t="shared" si="95"/>
        <v>3.2200442668103952</v>
      </c>
      <c r="AQ40" s="586">
        <f t="shared" si="9"/>
        <v>1.0403309852526785</v>
      </c>
      <c r="AS40" s="52">
        <f t="shared" si="116"/>
        <v>-218.66002040696819</v>
      </c>
      <c r="AT40" s="72">
        <f t="shared" si="10"/>
        <v>1.5203767909428817E-2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4.109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-1.9402729097571971</v>
      </c>
      <c r="C41" s="708">
        <v>-2.3345800436039283</v>
      </c>
      <c r="D41" s="709">
        <v>-6.9500209612632188E-2</v>
      </c>
      <c r="E41" s="710">
        <v>0.69202477592074008</v>
      </c>
      <c r="F41" s="708">
        <v>-0.69188356578967647</v>
      </c>
      <c r="G41" s="711">
        <v>0.20590978826178194</v>
      </c>
      <c r="H41" s="710">
        <v>0.314</v>
      </c>
      <c r="I41" s="708">
        <v>0.52</v>
      </c>
      <c r="J41" s="570">
        <v>4.1139999999999999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4.1139999999999999</v>
      </c>
      <c r="N41" s="632">
        <f t="shared" ref="N41:N72" si="240">IF(M41="","",B41)</f>
        <v>-1.9402729097571971</v>
      </c>
      <c r="O41" s="629">
        <f t="shared" ref="O41:O72" si="241">IF(M41="","",C41)</f>
        <v>-2.3345800436039283</v>
      </c>
      <c r="P41" s="633">
        <f t="shared" ref="P41:P72" si="242">IF(M41="","",D41)</f>
        <v>-6.9500209612632188E-2</v>
      </c>
      <c r="Q41" s="585">
        <f t="shared" si="113"/>
        <v>230.26997974752067</v>
      </c>
      <c r="R41" s="629">
        <f t="shared" si="79"/>
        <v>3.0356091553972129</v>
      </c>
      <c r="S41" s="634">
        <f t="shared" si="80"/>
        <v>-6.9500209612632188E-2</v>
      </c>
      <c r="T41" s="635">
        <f t="shared" si="81"/>
        <v>-2.3470610121631994</v>
      </c>
      <c r="U41" s="629">
        <f t="shared" si="82"/>
        <v>1.9251565000058664</v>
      </c>
      <c r="V41" s="636">
        <f t="shared" si="114"/>
        <v>-6.9500209612632188E-2</v>
      </c>
      <c r="W41" s="585">
        <f t="shared" si="224"/>
        <v>140.63997969409928</v>
      </c>
      <c r="X41" s="629">
        <f t="shared" si="83"/>
        <v>3.0356091553972129</v>
      </c>
      <c r="Y41" s="630">
        <f t="shared" si="223"/>
        <v>-6.9500209612632188E-2</v>
      </c>
      <c r="Z41" s="632">
        <f t="shared" ref="Z41:Z72" si="243">IF(M41="","",-E41)</f>
        <v>-0.69202477592074008</v>
      </c>
      <c r="AA41" s="629">
        <f t="shared" ref="AA41:AA72" si="244">IF(M41="","",-F41)</f>
        <v>0.69188356578967647</v>
      </c>
      <c r="AB41" s="629">
        <f t="shared" ref="AB41:AB72" si="245">IF(M41="","",-G41)</f>
        <v>-0.20590978826178194</v>
      </c>
      <c r="AC41" s="636">
        <f t="shared" si="84"/>
        <v>1</v>
      </c>
      <c r="AD41" s="637">
        <f t="shared" si="115"/>
        <v>-0.69202477592074008</v>
      </c>
      <c r="AE41" s="629">
        <f t="shared" si="85"/>
        <v>0.69188356578967647</v>
      </c>
      <c r="AF41" s="633">
        <f t="shared" si="86"/>
        <v>-0.20590978826178194</v>
      </c>
      <c r="AG41" s="602">
        <f t="shared" si="87"/>
        <v>73.426596237952893</v>
      </c>
      <c r="AH41" s="603">
        <f t="shared" si="88"/>
        <v>133.79060190753162</v>
      </c>
      <c r="AI41" s="585">
        <f t="shared" si="89"/>
        <v>-78.11723763312466</v>
      </c>
      <c r="AJ41" s="586">
        <f t="shared" si="90"/>
        <v>-134.99415369915585</v>
      </c>
      <c r="AK41" s="635">
        <f t="shared" si="211"/>
        <v>0.97444368478487453</v>
      </c>
      <c r="AL41" s="629">
        <f t="shared" si="91"/>
        <v>-8.9781202268984228E-2</v>
      </c>
      <c r="AM41" s="634">
        <f t="shared" si="92"/>
        <v>-0.20590978826178194</v>
      </c>
      <c r="AN41" s="581">
        <f t="shared" si="93"/>
        <v>-23.558261911718301</v>
      </c>
      <c r="AO41" s="582">
        <f t="shared" si="94"/>
        <v>12.981235432162427</v>
      </c>
      <c r="AP41" s="585">
        <f t="shared" si="95"/>
        <v>-5.2641334466765217</v>
      </c>
      <c r="AQ41" s="586">
        <f t="shared" ref="AQ41:AQ72" si="246">IF(M41="","",DEGREES(ATAN(($AS$5*SIN(RADIANS(90)))/(($X41*2*PI())-($AS$5*COS(RADIANS(90)))))))</f>
        <v>0.75095177763026666</v>
      </c>
      <c r="AS41" s="52">
        <f t="shared" si="116"/>
        <v>-219.36002030590072</v>
      </c>
      <c r="AT41" s="72">
        <f t="shared" ref="AT41:AT72" si="247">IF(M41="","",Y41+(((AS41-$AS$9)*$AS$6)*-1))</f>
        <v>8.3090082229367354E-2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4.1139999999999999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-2.4982490018042385</v>
      </c>
      <c r="C42" s="708">
        <v>-2.8952687173711111</v>
      </c>
      <c r="D42" s="709">
        <v>-0.37820114065464028</v>
      </c>
      <c r="E42" s="710">
        <v>0.60213053760403412</v>
      </c>
      <c r="F42" s="708">
        <v>-0.78005780304431072</v>
      </c>
      <c r="G42" s="711">
        <v>0.17014299748846659</v>
      </c>
      <c r="H42" s="710">
        <v>0.314</v>
      </c>
      <c r="I42" s="708">
        <v>0.52</v>
      </c>
      <c r="J42" s="570">
        <v>4.1189999999999998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4.1189999999999998</v>
      </c>
      <c r="N42" s="632">
        <f t="shared" si="240"/>
        <v>-2.4982490018042385</v>
      </c>
      <c r="O42" s="629">
        <f t="shared" si="241"/>
        <v>-2.8952687173711111</v>
      </c>
      <c r="P42" s="633">
        <f t="shared" si="242"/>
        <v>-0.37820114065464028</v>
      </c>
      <c r="Q42" s="585">
        <f t="shared" si="113"/>
        <v>229.20997990056568</v>
      </c>
      <c r="R42" s="629">
        <f t="shared" ref="R42:R47" si="385">IF(M42="","",SQRT(N42^2+O42^2))</f>
        <v>3.8241115335203855</v>
      </c>
      <c r="S42" s="634">
        <f t="shared" ref="S42:S47" si="386">IF(M42="","",P42)</f>
        <v>-0.37820114065464028</v>
      </c>
      <c r="T42" s="635">
        <f t="shared" ref="T42:T47" si="387">IF(M42="","",X42*COS(RADIANS(W42)))</f>
        <v>-2.9113412218386525</v>
      </c>
      <c r="U42" s="629">
        <f t="shared" ref="U42:U47" si="388">IF(M42="","",X42*SIN(RADIANS(W42)))</f>
        <v>2.4795002139194615</v>
      </c>
      <c r="V42" s="636">
        <f t="shared" ref="V42:V47" si="389">IF(M42="","",Y42)</f>
        <v>-0.37820114065464028</v>
      </c>
      <c r="W42" s="585">
        <f t="shared" si="224"/>
        <v>139.5799798471443</v>
      </c>
      <c r="X42" s="629">
        <f t="shared" ref="X42:X47" si="390">IF(M42="","",R42)</f>
        <v>3.8241115335203855</v>
      </c>
      <c r="Y42" s="630">
        <f t="shared" si="223"/>
        <v>-0.37820114065464028</v>
      </c>
      <c r="Z42" s="632">
        <f t="shared" si="243"/>
        <v>-0.60213053760403412</v>
      </c>
      <c r="AA42" s="629">
        <f t="shared" si="244"/>
        <v>0.78005780304431072</v>
      </c>
      <c r="AB42" s="629">
        <f t="shared" si="245"/>
        <v>-0.17014299748846659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-0.60213053760403412</v>
      </c>
      <c r="AE42" s="629">
        <f t="shared" ref="AE42:AE47" si="393">IF(M42="","",AA42*(1/SQRT(Z42^2+AA42^2+AB42^2)))</f>
        <v>0.78005780304431072</v>
      </c>
      <c r="AF42" s="633">
        <f t="shared" ref="AF42:AF47" si="394">IF(M42="","",AB42*(1/SQRT(Z42^2+AA42^2+AB42^2)))</f>
        <v>-0.17014299748846659</v>
      </c>
      <c r="AG42" s="602">
        <f t="shared" ref="AG42:AG47" si="395">IF(M42="","",DEGREES(ATAN2(-AF42,AE42)))</f>
        <v>77.695590306223053</v>
      </c>
      <c r="AH42" s="603">
        <f t="shared" ref="AH42:AH47" si="396">IF(M42="","",DEGREES(ACOS(AD42)))</f>
        <v>127.02263903672558</v>
      </c>
      <c r="AI42" s="585">
        <f t="shared" ref="AI42:AI47" si="397">IF(M42="","",DEGREES(-ACOS(-AF42)))</f>
        <v>-80.203866666033505</v>
      </c>
      <c r="AJ42" s="586">
        <f t="shared" ref="AJ42:AJ47" si="398">IF(M42="","",DEGREES(ATAN2(-AE42,AD42)))</f>
        <v>-142.33526919247987</v>
      </c>
      <c r="AK42" s="635">
        <f t="shared" ref="AK42:AK47" si="399">IF(M42="","",(COS(RADIANS((90-$Q$8)-W42))*AD42)+(-SIN(RADIANS((90-$Q$8)-W42))*AE42))</f>
        <v>0.96548134246100292</v>
      </c>
      <c r="AL42" s="629">
        <f t="shared" ref="AL42:AL47" si="400">IF(M42="","",(SIN(RADIANS((90-$Q$8)-W42))*AD42)+(COS(RADIANS((90-$Q$8)-W42))*AE42))</f>
        <v>-0.19722357304678223</v>
      </c>
      <c r="AM42" s="634">
        <f t="shared" ref="AM42:AM47" si="401">IF(M42="","",AF42)</f>
        <v>-0.17014299748846659</v>
      </c>
      <c r="AN42" s="581">
        <f t="shared" ref="AN42:AN47" si="402">IF(M42="","",DEGREES(ATAN2(-AM42,AL42)))</f>
        <v>-49.215956183113775</v>
      </c>
      <c r="AO42" s="582">
        <f t="shared" si="94"/>
        <v>15.098083841978628</v>
      </c>
      <c r="AP42" s="585">
        <f t="shared" ref="AP42:AP47" si="403">IF(M42="","",DEGREES(ATAN2(AK42,AL42)))</f>
        <v>-11.545249093045557</v>
      </c>
      <c r="AQ42" s="586">
        <f t="shared" si="246"/>
        <v>0.59612392349267562</v>
      </c>
      <c r="AS42" s="52">
        <f t="shared" si="116"/>
        <v>-220.4200201528557</v>
      </c>
      <c r="AT42" s="72">
        <f t="shared" si="247"/>
        <v>-0.22487473780781089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4.1189999999999998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-2.92398923179277</v>
      </c>
      <c r="C43" s="708">
        <v>-3.2829647037529983</v>
      </c>
      <c r="D43" s="709">
        <v>-1.0024030232475181</v>
      </c>
      <c r="E43" s="710">
        <v>0.52384387840068536</v>
      </c>
      <c r="F43" s="708">
        <v>-0.84583076777825827</v>
      </c>
      <c r="G43" s="711">
        <v>0.10078642439222786</v>
      </c>
      <c r="H43" s="710">
        <v>0.314</v>
      </c>
      <c r="I43" s="708">
        <v>0.52</v>
      </c>
      <c r="J43" s="570">
        <v>4.1239999999999997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4.1239999999999997</v>
      </c>
      <c r="N43" s="632">
        <f t="shared" si="240"/>
        <v>-2.92398923179277</v>
      </c>
      <c r="O43" s="629">
        <f t="shared" si="241"/>
        <v>-3.2829647037529983</v>
      </c>
      <c r="P43" s="633">
        <f t="shared" si="242"/>
        <v>-1.0024030232475181</v>
      </c>
      <c r="Q43" s="585">
        <f t="shared" si="113"/>
        <v>228.30998003050962</v>
      </c>
      <c r="R43" s="629">
        <f t="shared" si="385"/>
        <v>4.3963132592807899</v>
      </c>
      <c r="S43" s="634">
        <f t="shared" si="386"/>
        <v>-1.0024030232475181</v>
      </c>
      <c r="T43" s="635">
        <f t="shared" si="387"/>
        <v>-3.301778415317639</v>
      </c>
      <c r="U43" s="629">
        <f t="shared" si="388"/>
        <v>2.9027279531279921</v>
      </c>
      <c r="V43" s="636">
        <f t="shared" si="389"/>
        <v>-1.0024030232475181</v>
      </c>
      <c r="W43" s="585">
        <f t="shared" si="224"/>
        <v>138.67997997708824</v>
      </c>
      <c r="X43" s="629">
        <f t="shared" si="390"/>
        <v>4.3963132592807899</v>
      </c>
      <c r="Y43" s="630">
        <f t="shared" si="223"/>
        <v>-1.0024030232475181</v>
      </c>
      <c r="Z43" s="632">
        <f t="shared" si="243"/>
        <v>-0.52384387840068536</v>
      </c>
      <c r="AA43" s="629">
        <f t="shared" si="244"/>
        <v>0.84583076777825827</v>
      </c>
      <c r="AB43" s="629">
        <f t="shared" si="245"/>
        <v>-0.10078642439222786</v>
      </c>
      <c r="AC43" s="636">
        <f t="shared" si="391"/>
        <v>1</v>
      </c>
      <c r="AD43" s="637">
        <f t="shared" si="392"/>
        <v>-0.52384387840068536</v>
      </c>
      <c r="AE43" s="629">
        <f t="shared" si="393"/>
        <v>0.84583076777825827</v>
      </c>
      <c r="AF43" s="633">
        <f t="shared" si="394"/>
        <v>-0.10078642439222786</v>
      </c>
      <c r="AG43" s="602">
        <f t="shared" si="395"/>
        <v>83.204861538219532</v>
      </c>
      <c r="AH43" s="603">
        <f t="shared" si="396"/>
        <v>121.59044627726222</v>
      </c>
      <c r="AI43" s="585">
        <f t="shared" si="397"/>
        <v>-84.215541922710997</v>
      </c>
      <c r="AJ43" s="586">
        <f t="shared" si="398"/>
        <v>-148.229044479457</v>
      </c>
      <c r="AK43" s="635">
        <f t="shared" si="399"/>
        <v>0.95374482496615998</v>
      </c>
      <c r="AL43" s="629">
        <f t="shared" si="400"/>
        <v>-0.28321882972093981</v>
      </c>
      <c r="AM43" s="634">
        <f t="shared" si="401"/>
        <v>-0.10078642439222786</v>
      </c>
      <c r="AN43" s="581">
        <f t="shared" si="402"/>
        <v>-70.411359151144765</v>
      </c>
      <c r="AO43" s="582">
        <f t="shared" si="94"/>
        <v>17.494688130777444</v>
      </c>
      <c r="AP43" s="585">
        <f t="shared" si="403"/>
        <v>-16.53902450996663</v>
      </c>
      <c r="AQ43" s="586">
        <f t="shared" si="246"/>
        <v>0.51854002559749068</v>
      </c>
      <c r="AS43" s="52">
        <f t="shared" ref="AS43:AS74" si="406">IF(G43="","",IF(AND(W43&lt;(AS42+180),W43&gt;(AS42-180)),W43,IF(W43&gt;(AS42+180),W43-360,IF(W43&lt;(AS42-180),W43+360,"Error"))))</f>
        <v>-221.32002002291176</v>
      </c>
      <c r="AT43" s="72">
        <f t="shared" si="247"/>
        <v>-0.84845162049092748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4.1239999999999997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-3.1071728179567395</v>
      </c>
      <c r="C44" s="708">
        <v>-3.4399806605139784</v>
      </c>
      <c r="D44" s="709">
        <v>-1.8147054731517076</v>
      </c>
      <c r="E44" s="710">
        <v>0.48201090758435039</v>
      </c>
      <c r="F44" s="708">
        <v>-0.87615803646380486</v>
      </c>
      <c r="G44" s="711">
        <v>3.5468450207384317E-3</v>
      </c>
      <c r="H44" s="710">
        <v>0.314</v>
      </c>
      <c r="I44" s="708">
        <v>0.52</v>
      </c>
      <c r="J44" s="570">
        <v>4.1289999999999996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4.1289999999999996</v>
      </c>
      <c r="N44" s="632">
        <f t="shared" si="240"/>
        <v>-3.1071728179567395</v>
      </c>
      <c r="O44" s="629">
        <f t="shared" si="241"/>
        <v>-3.4399806605139784</v>
      </c>
      <c r="P44" s="633">
        <f t="shared" si="242"/>
        <v>-1.8147054731517076</v>
      </c>
      <c r="Q44" s="585">
        <f t="shared" si="113"/>
        <v>227.90998008826244</v>
      </c>
      <c r="R44" s="629">
        <f t="shared" si="385"/>
        <v>4.6355139807101668</v>
      </c>
      <c r="S44" s="634">
        <f t="shared" si="386"/>
        <v>-1.8147054731517076</v>
      </c>
      <c r="T44" s="635">
        <f t="shared" si="387"/>
        <v>-3.4599740377329926</v>
      </c>
      <c r="U44" s="629">
        <f t="shared" si="388"/>
        <v>3.0848937621210024</v>
      </c>
      <c r="V44" s="636">
        <f t="shared" si="389"/>
        <v>-1.8147054731517076</v>
      </c>
      <c r="W44" s="585">
        <f t="shared" si="224"/>
        <v>138.27998003484106</v>
      </c>
      <c r="X44" s="629">
        <f t="shared" si="390"/>
        <v>4.6355139807101668</v>
      </c>
      <c r="Y44" s="630">
        <f t="shared" si="223"/>
        <v>-1.8147054731517076</v>
      </c>
      <c r="Z44" s="632">
        <f t="shared" si="243"/>
        <v>-0.48201090758435039</v>
      </c>
      <c r="AA44" s="629">
        <f t="shared" si="244"/>
        <v>0.87615803646380486</v>
      </c>
      <c r="AB44" s="629">
        <f t="shared" si="245"/>
        <v>-3.5468450207384317E-3</v>
      </c>
      <c r="AC44" s="636">
        <f t="shared" si="391"/>
        <v>1</v>
      </c>
      <c r="AD44" s="637">
        <f t="shared" si="392"/>
        <v>-0.48201090758435039</v>
      </c>
      <c r="AE44" s="629">
        <f t="shared" si="393"/>
        <v>0.87615803646380486</v>
      </c>
      <c r="AF44" s="633">
        <f t="shared" si="394"/>
        <v>-3.5468450207384317E-3</v>
      </c>
      <c r="AG44" s="602">
        <f t="shared" si="395"/>
        <v>89.768057665710842</v>
      </c>
      <c r="AH44" s="603">
        <f t="shared" si="396"/>
        <v>118.81682011886809</v>
      </c>
      <c r="AI44" s="585">
        <f t="shared" si="397"/>
        <v>-89.796780323635545</v>
      </c>
      <c r="AJ44" s="586">
        <f t="shared" si="398"/>
        <v>-151.18298161322062</v>
      </c>
      <c r="AK44" s="635">
        <f t="shared" si="399"/>
        <v>0.94498315690777934</v>
      </c>
      <c r="AL44" s="629">
        <f t="shared" si="400"/>
        <v>-0.3270997600901081</v>
      </c>
      <c r="AM44" s="634">
        <f t="shared" si="401"/>
        <v>-3.5468450207384317E-3</v>
      </c>
      <c r="AN44" s="581">
        <f t="shared" si="402"/>
        <v>-89.378748287326047</v>
      </c>
      <c r="AO44" s="582">
        <f t="shared" si="94"/>
        <v>19.094002845650081</v>
      </c>
      <c r="AP44" s="585">
        <f t="shared" si="403"/>
        <v>-19.09296170148308</v>
      </c>
      <c r="AQ44" s="586">
        <f t="shared" si="246"/>
        <v>0.49178379292287205</v>
      </c>
      <c r="AS44" s="52">
        <f t="shared" si="406"/>
        <v>-221.72001996515894</v>
      </c>
      <c r="AT44" s="72">
        <f t="shared" si="247"/>
        <v>-1.6604762926574455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4.1289999999999996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-3.186633074996982</v>
      </c>
      <c r="C45" s="708">
        <v>-3.506976950986382</v>
      </c>
      <c r="D45" s="709">
        <v>-2.6016078464492649</v>
      </c>
      <c r="E45" s="710">
        <v>0.3046978113719892</v>
      </c>
      <c r="F45" s="708">
        <v>-0.95244907672017132</v>
      </c>
      <c r="G45" s="711">
        <v>1.1339743330832071E-7</v>
      </c>
      <c r="H45" s="710">
        <v>0.26600000000000001</v>
      </c>
      <c r="I45" s="708">
        <v>0.52</v>
      </c>
      <c r="J45" s="570">
        <v>4.1340000000000003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4.1340000000000003</v>
      </c>
      <c r="N45" s="632">
        <f t="shared" si="240"/>
        <v>-3.186633074996982</v>
      </c>
      <c r="O45" s="629">
        <f t="shared" si="241"/>
        <v>-3.506976950986382</v>
      </c>
      <c r="P45" s="633">
        <f t="shared" si="242"/>
        <v>-2.6016078464492649</v>
      </c>
      <c r="Q45" s="585">
        <f t="shared" si="113"/>
        <v>227.73998011280742</v>
      </c>
      <c r="R45" s="629">
        <f t="shared" si="385"/>
        <v>4.7385142913591025</v>
      </c>
      <c r="S45" s="634">
        <f t="shared" si="386"/>
        <v>-2.6016078464492649</v>
      </c>
      <c r="T45" s="635">
        <f t="shared" si="387"/>
        <v>-3.5274820595769318</v>
      </c>
      <c r="U45" s="629">
        <f t="shared" si="388"/>
        <v>3.1639197222397</v>
      </c>
      <c r="V45" s="636">
        <f t="shared" si="389"/>
        <v>-2.6016078464492649</v>
      </c>
      <c r="W45" s="585">
        <f t="shared" si="224"/>
        <v>138.10998005938603</v>
      </c>
      <c r="X45" s="629">
        <f t="shared" si="390"/>
        <v>4.7385142913591025</v>
      </c>
      <c r="Y45" s="630">
        <f t="shared" si="223"/>
        <v>-2.6016078464492649</v>
      </c>
      <c r="Z45" s="632">
        <f t="shared" si="243"/>
        <v>-0.3046978113719892</v>
      </c>
      <c r="AA45" s="629">
        <f t="shared" si="244"/>
        <v>0.95244907672017132</v>
      </c>
      <c r="AB45" s="629">
        <f t="shared" si="245"/>
        <v>-1.1339743330832071E-7</v>
      </c>
      <c r="AC45" s="636">
        <f t="shared" si="391"/>
        <v>1</v>
      </c>
      <c r="AD45" s="637">
        <f t="shared" si="392"/>
        <v>-0.3046978113719892</v>
      </c>
      <c r="AE45" s="629">
        <f t="shared" si="393"/>
        <v>0.95244907672017132</v>
      </c>
      <c r="AF45" s="633">
        <f t="shared" si="394"/>
        <v>-1.1339743330832071E-7</v>
      </c>
      <c r="AG45" s="602">
        <f t="shared" si="395"/>
        <v>89.999993178433897</v>
      </c>
      <c r="AH45" s="603">
        <f t="shared" si="396"/>
        <v>107.73998444427141</v>
      </c>
      <c r="AI45" s="585">
        <f t="shared" si="397"/>
        <v>-89.999993502805665</v>
      </c>
      <c r="AJ45" s="586">
        <f t="shared" si="398"/>
        <v>-162.26001555572847</v>
      </c>
      <c r="AK45" s="635">
        <f t="shared" si="399"/>
        <v>0.86602544158358574</v>
      </c>
      <c r="AL45" s="629">
        <f t="shared" si="400"/>
        <v>-0.49999993452993807</v>
      </c>
      <c r="AM45" s="634">
        <f t="shared" si="401"/>
        <v>-1.1339743330832071E-7</v>
      </c>
      <c r="AN45" s="581">
        <f t="shared" si="402"/>
        <v>-89.999987005609626</v>
      </c>
      <c r="AO45" s="582">
        <f t="shared" si="94"/>
        <v>29.99999566853651</v>
      </c>
      <c r="AP45" s="585">
        <f t="shared" si="403"/>
        <v>-29.999995668535881</v>
      </c>
      <c r="AQ45" s="586">
        <f t="shared" si="246"/>
        <v>0.48109447702418523</v>
      </c>
      <c r="AS45" s="52">
        <f t="shared" si="406"/>
        <v>-221.89001994061397</v>
      </c>
      <c r="AT45" s="72">
        <f t="shared" si="247"/>
        <v>-2.4472606104164925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4.1340000000000003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-3.18993375119214</v>
      </c>
      <c r="C46" s="708">
        <v>-2.1589341969557485</v>
      </c>
      <c r="D46" s="709">
        <v>-0.33085604902947219</v>
      </c>
      <c r="E46" s="710">
        <v>0.28501250673904105</v>
      </c>
      <c r="F46" s="708">
        <v>-0.90473617355430802</v>
      </c>
      <c r="G46" s="711">
        <v>0.31657594233396402</v>
      </c>
      <c r="H46" s="710">
        <v>0.26600000000000001</v>
      </c>
      <c r="I46" s="708">
        <v>0.52</v>
      </c>
      <c r="J46" s="570">
        <v>4.2190000000000003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4.2190000000000003</v>
      </c>
      <c r="N46" s="632">
        <f t="shared" si="240"/>
        <v>-3.18993375119214</v>
      </c>
      <c r="O46" s="629">
        <f t="shared" si="241"/>
        <v>-2.1589341969557485</v>
      </c>
      <c r="P46" s="633">
        <f t="shared" si="242"/>
        <v>-0.33085604902947219</v>
      </c>
      <c r="Q46" s="585">
        <f t="shared" si="113"/>
        <v>214.08998208362328</v>
      </c>
      <c r="R46" s="629">
        <f t="shared" si="385"/>
        <v>3.8518403658225142</v>
      </c>
      <c r="S46" s="634">
        <f t="shared" si="386"/>
        <v>-0.33085604902947219</v>
      </c>
      <c r="T46" s="635">
        <f t="shared" si="387"/>
        <v>-2.1794887282496851</v>
      </c>
      <c r="U46" s="629">
        <f t="shared" si="388"/>
        <v>3.1759255481217266</v>
      </c>
      <c r="V46" s="636">
        <f t="shared" si="389"/>
        <v>-0.33085604902947219</v>
      </c>
      <c r="W46" s="585">
        <f t="shared" si="224"/>
        <v>124.4599820302019</v>
      </c>
      <c r="X46" s="629">
        <f t="shared" si="390"/>
        <v>3.8518403658225142</v>
      </c>
      <c r="Y46" s="630">
        <f t="shared" si="223"/>
        <v>-0.33085604902947219</v>
      </c>
      <c r="Z46" s="632">
        <f t="shared" si="243"/>
        <v>-0.28501250673904105</v>
      </c>
      <c r="AA46" s="629">
        <f t="shared" si="244"/>
        <v>0.90473617355430802</v>
      </c>
      <c r="AB46" s="629">
        <f t="shared" si="245"/>
        <v>-0.31657594233396402</v>
      </c>
      <c r="AC46" s="636">
        <f t="shared" si="391"/>
        <v>1</v>
      </c>
      <c r="AD46" s="637">
        <f t="shared" si="392"/>
        <v>-0.28501250673904105</v>
      </c>
      <c r="AE46" s="629">
        <f t="shared" si="393"/>
        <v>0.90473617355430802</v>
      </c>
      <c r="AF46" s="633">
        <f t="shared" si="394"/>
        <v>-0.31657594233396402</v>
      </c>
      <c r="AG46" s="602">
        <f t="shared" si="395"/>
        <v>70.714564264250598</v>
      </c>
      <c r="AH46" s="603">
        <f t="shared" si="396"/>
        <v>106.55959617562279</v>
      </c>
      <c r="AI46" s="585">
        <f t="shared" si="397"/>
        <v>-71.544021762535394</v>
      </c>
      <c r="AJ46" s="586">
        <f t="shared" si="398"/>
        <v>-162.51438517890242</v>
      </c>
      <c r="AK46" s="635">
        <f t="shared" si="399"/>
        <v>0.90901267206504222</v>
      </c>
      <c r="AL46" s="629">
        <f t="shared" si="400"/>
        <v>-0.27106389423996502</v>
      </c>
      <c r="AM46" s="634">
        <f t="shared" si="401"/>
        <v>-0.31657594233396402</v>
      </c>
      <c r="AN46" s="581">
        <f t="shared" si="402"/>
        <v>-40.571346680240097</v>
      </c>
      <c r="AO46" s="582">
        <f t="shared" si="94"/>
        <v>24.630735266804454</v>
      </c>
      <c r="AP46" s="585">
        <f t="shared" si="403"/>
        <v>-16.604367262525702</v>
      </c>
      <c r="AQ46" s="586">
        <f t="shared" si="246"/>
        <v>0.59183282139367555</v>
      </c>
      <c r="AS46" s="52">
        <f t="shared" si="406"/>
        <v>-235.5400179697981</v>
      </c>
      <c r="AT46" s="72">
        <f t="shared" si="247"/>
        <v>-0.16702964769865503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4.2190000000000003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4.1189999999999998</v>
      </c>
      <c r="II46" s="734" cm="1">
        <f t="array" ref="II46">IFERROR(ROUND(VALUE(IF($IH46&lt;1,$IH46+LARGE((IF($M$9:$M$150="",0,$M$9:$M$150)-MOD(IF($M$9:$M$150="",0,$M$9:$M$150),1)),1),$IH46)),4),"")</f>
        <v>4.1189999999999998</v>
      </c>
      <c r="IJ46" s="533">
        <f t="shared" si="112"/>
        <v>1613</v>
      </c>
      <c r="IK46" s="533">
        <f t="shared" si="382"/>
        <v>1313</v>
      </c>
      <c r="IL46" s="727">
        <f t="shared" si="225"/>
        <v>15.119997816942401</v>
      </c>
      <c r="IM46" s="759">
        <v>6.7620441542793099E-3</v>
      </c>
      <c r="IN46" s="5">
        <f t="shared" si="226"/>
        <v>0.14000000000000001</v>
      </c>
      <c r="IO46" s="771">
        <v>70</v>
      </c>
      <c r="IP46" s="9">
        <f t="shared" si="227"/>
        <v>-3.8241115335203855</v>
      </c>
      <c r="IQ46" s="5">
        <f t="shared" si="228"/>
        <v>-0.37820114065464028</v>
      </c>
      <c r="IR46" s="5">
        <f t="shared" si="383"/>
        <v>0.314</v>
      </c>
      <c r="IS46" s="5">
        <f t="shared" si="229"/>
        <v>0.30316114153275492</v>
      </c>
      <c r="IT46" s="727">
        <f t="shared" si="230"/>
        <v>49.215956183113775</v>
      </c>
      <c r="IU46" s="9">
        <f t="shared" si="231"/>
        <v>-3.8518403658225142</v>
      </c>
      <c r="IV46" s="5">
        <f t="shared" si="232"/>
        <v>-0.33085604902947219</v>
      </c>
      <c r="IW46" s="5">
        <f t="shared" si="384"/>
        <v>0.26600000000000001</v>
      </c>
      <c r="IX46" s="5">
        <f t="shared" si="233"/>
        <v>0.24179737076930127</v>
      </c>
      <c r="IY46" s="762">
        <f t="shared" si="234"/>
        <v>40.571346680240097</v>
      </c>
    </row>
    <row r="47" spans="1:267" ht="15" customHeight="1" x14ac:dyDescent="0.25">
      <c r="A47" s="79"/>
      <c r="B47" s="707">
        <v>-3.6863329251945594</v>
      </c>
      <c r="C47" s="708">
        <v>-2.477111254076608</v>
      </c>
      <c r="D47" s="709">
        <v>-0.96606410300700141</v>
      </c>
      <c r="E47" s="710">
        <v>0.16609555617687893</v>
      </c>
      <c r="F47" s="708">
        <v>-0.96278884479503435</v>
      </c>
      <c r="G47" s="711">
        <v>0.21318983689786075</v>
      </c>
      <c r="H47" s="710">
        <v>0.26600000000000001</v>
      </c>
      <c r="I47" s="708">
        <v>0.52</v>
      </c>
      <c r="J47" s="570">
        <v>4.2240000000000002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4.2240000000000002</v>
      </c>
      <c r="N47" s="632">
        <f t="shared" si="240"/>
        <v>-3.6863329251945594</v>
      </c>
      <c r="O47" s="629">
        <f t="shared" si="241"/>
        <v>-2.477111254076608</v>
      </c>
      <c r="P47" s="633">
        <f t="shared" si="242"/>
        <v>-0.96606410300700141</v>
      </c>
      <c r="Q47" s="585">
        <f t="shared" si="113"/>
        <v>213.89998211105589</v>
      </c>
      <c r="R47" s="629">
        <f t="shared" si="385"/>
        <v>4.4412983012230178</v>
      </c>
      <c r="S47" s="634">
        <f t="shared" si="386"/>
        <v>-0.96606410300700141</v>
      </c>
      <c r="T47" s="635">
        <f t="shared" si="387"/>
        <v>-2.5008647343194692</v>
      </c>
      <c r="U47" s="629">
        <f t="shared" si="388"/>
        <v>3.6702596885075685</v>
      </c>
      <c r="V47" s="636">
        <f t="shared" si="389"/>
        <v>-0.96606410300700141</v>
      </c>
      <c r="W47" s="585">
        <f t="shared" si="224"/>
        <v>124.26998205763451</v>
      </c>
      <c r="X47" s="629">
        <f t="shared" si="390"/>
        <v>4.4412983012230178</v>
      </c>
      <c r="Y47" s="630">
        <f t="shared" si="223"/>
        <v>-0.96606410300700141</v>
      </c>
      <c r="Z47" s="632">
        <f t="shared" si="243"/>
        <v>-0.16609555617687893</v>
      </c>
      <c r="AA47" s="629">
        <f t="shared" si="244"/>
        <v>0.96278884479503435</v>
      </c>
      <c r="AB47" s="629">
        <f t="shared" si="245"/>
        <v>-0.21318983689786075</v>
      </c>
      <c r="AC47" s="636">
        <f t="shared" si="391"/>
        <v>1</v>
      </c>
      <c r="AD47" s="637">
        <f t="shared" si="392"/>
        <v>-0.16609555617687893</v>
      </c>
      <c r="AE47" s="629">
        <f t="shared" si="393"/>
        <v>0.96278884479503435</v>
      </c>
      <c r="AF47" s="633">
        <f t="shared" si="394"/>
        <v>-0.21318983689786075</v>
      </c>
      <c r="AG47" s="602">
        <f t="shared" si="395"/>
        <v>77.514482678167454</v>
      </c>
      <c r="AH47" s="603">
        <f t="shared" si="396"/>
        <v>99.560883460538207</v>
      </c>
      <c r="AI47" s="585">
        <f t="shared" si="397"/>
        <v>-77.690649350904238</v>
      </c>
      <c r="AJ47" s="586">
        <f t="shared" si="398"/>
        <v>-170.21195950368434</v>
      </c>
      <c r="AK47" s="635">
        <f t="shared" si="399"/>
        <v>0.89176567783010319</v>
      </c>
      <c r="AL47" s="629">
        <f t="shared" si="400"/>
        <v>-0.3991291386101497</v>
      </c>
      <c r="AM47" s="634">
        <f t="shared" si="401"/>
        <v>-0.21318983689786075</v>
      </c>
      <c r="AN47" s="581">
        <f t="shared" si="402"/>
        <v>-61.891653602930326</v>
      </c>
      <c r="AO47" s="582">
        <f t="shared" si="94"/>
        <v>26.904033390104381</v>
      </c>
      <c r="AP47" s="585">
        <f t="shared" si="403"/>
        <v>-24.111941614740211</v>
      </c>
      <c r="AQ47" s="586">
        <f t="shared" si="246"/>
        <v>0.51328811753117376</v>
      </c>
      <c r="AS47" s="52">
        <f t="shared" si="406"/>
        <v>-235.73001794236549</v>
      </c>
      <c r="AT47" s="72">
        <f t="shared" si="247"/>
        <v>-0.80210575725079025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4.2240000000000002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4.1239999999999997</v>
      </c>
      <c r="II47" s="734" cm="1">
        <f t="array" ref="II47">IFERROR(ROUND(VALUE(IF($IH47&lt;1,$IH47+LARGE((IF($M$9:$M$150="",0,$M$9:$M$150)-MOD(IF($M$9:$M$150="",0,$M$9:$M$150),1)),1),$IH47)),4),"")</f>
        <v>4.1239999999999997</v>
      </c>
      <c r="IJ47" s="533">
        <f t="shared" si="112"/>
        <v>1613</v>
      </c>
      <c r="IK47" s="533">
        <f t="shared" si="382"/>
        <v>1313</v>
      </c>
      <c r="IL47" s="727">
        <f t="shared" si="225"/>
        <v>14.40999791945373</v>
      </c>
      <c r="IM47" s="759">
        <v>4.9205584384935299E-3</v>
      </c>
      <c r="IN47" s="5">
        <f t="shared" si="226"/>
        <v>0.12</v>
      </c>
      <c r="IO47" s="771">
        <v>60</v>
      </c>
      <c r="IP47" s="9">
        <f t="shared" si="227"/>
        <v>-4.3963132592807899</v>
      </c>
      <c r="IQ47" s="5">
        <f t="shared" si="228"/>
        <v>-1.0024030232475181</v>
      </c>
      <c r="IR47" s="5">
        <f t="shared" si="383"/>
        <v>0.314</v>
      </c>
      <c r="IS47" s="5">
        <f t="shared" si="229"/>
        <v>0.29947587503937423</v>
      </c>
      <c r="IT47" s="727">
        <f t="shared" si="230"/>
        <v>70.411359151144765</v>
      </c>
      <c r="IU47" s="9">
        <f t="shared" si="231"/>
        <v>-4.4412983012230178</v>
      </c>
      <c r="IV47" s="5">
        <f t="shared" si="232"/>
        <v>-0.96606410300700141</v>
      </c>
      <c r="IW47" s="5">
        <f t="shared" si="384"/>
        <v>0.26600000000000001</v>
      </c>
      <c r="IX47" s="5">
        <f t="shared" si="233"/>
        <v>0.23720967030280746</v>
      </c>
      <c r="IY47" s="762">
        <f t="shared" si="234"/>
        <v>61.891653602930326</v>
      </c>
    </row>
    <row r="48" spans="1:267" ht="15" customHeight="1" x14ac:dyDescent="0.25">
      <c r="A48" s="79"/>
      <c r="B48" s="707">
        <v>-3.9025378550337688</v>
      </c>
      <c r="C48" s="708">
        <v>-2.6066055668968975</v>
      </c>
      <c r="D48" s="709">
        <v>-1.7950657639406868</v>
      </c>
      <c r="E48" s="710">
        <v>9.5891619750756024E-2</v>
      </c>
      <c r="F48" s="708">
        <v>-0.99285758222134324</v>
      </c>
      <c r="G48" s="711">
        <v>7.0983228210368052E-2</v>
      </c>
      <c r="H48" s="710">
        <v>0.26600000000000001</v>
      </c>
      <c r="I48" s="708">
        <v>0.52</v>
      </c>
      <c r="J48" s="570">
        <v>4.2290000000000001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4.2290000000000001</v>
      </c>
      <c r="N48" s="632">
        <f t="shared" si="240"/>
        <v>-3.9025378550337688</v>
      </c>
      <c r="O48" s="629">
        <f t="shared" si="241"/>
        <v>-2.6066055668968975</v>
      </c>
      <c r="P48" s="633">
        <f t="shared" si="242"/>
        <v>-1.7950657639406868</v>
      </c>
      <c r="Q48" s="585">
        <f t="shared" si="113"/>
        <v>213.73998213415703</v>
      </c>
      <c r="R48" s="629">
        <f t="shared" si="79"/>
        <v>4.692994171246057</v>
      </c>
      <c r="S48" s="634">
        <f t="shared" si="80"/>
        <v>-1.7950657639406868</v>
      </c>
      <c r="T48" s="635">
        <f t="shared" si="81"/>
        <v>-2.6317525276677003</v>
      </c>
      <c r="U48" s="629">
        <f t="shared" si="82"/>
        <v>3.8856238784092492</v>
      </c>
      <c r="V48" s="636">
        <f t="shared" si="114"/>
        <v>-1.7950657639406868</v>
      </c>
      <c r="W48" s="585">
        <f t="shared" si="224"/>
        <v>124.10998208073565</v>
      </c>
      <c r="X48" s="629">
        <f t="shared" si="83"/>
        <v>4.692994171246057</v>
      </c>
      <c r="Y48" s="630">
        <f t="shared" si="223"/>
        <v>-1.7950657639406868</v>
      </c>
      <c r="Z48" s="632">
        <f t="shared" si="243"/>
        <v>-9.5891619750756024E-2</v>
      </c>
      <c r="AA48" s="629">
        <f t="shared" si="244"/>
        <v>0.99285758222134324</v>
      </c>
      <c r="AB48" s="629">
        <f t="shared" si="245"/>
        <v>-7.0983228210368052E-2</v>
      </c>
      <c r="AC48" s="636">
        <f t="shared" si="84"/>
        <v>1</v>
      </c>
      <c r="AD48" s="637">
        <f t="shared" si="115"/>
        <v>-9.5891619750756024E-2</v>
      </c>
      <c r="AE48" s="629">
        <f t="shared" si="85"/>
        <v>0.99285758222134324</v>
      </c>
      <c r="AF48" s="633">
        <f t="shared" si="86"/>
        <v>-7.0983228210368052E-2</v>
      </c>
      <c r="AG48" s="602">
        <f t="shared" si="87"/>
        <v>85.910661051392566</v>
      </c>
      <c r="AH48" s="603">
        <f t="shared" si="88"/>
        <v>95.502640159328351</v>
      </c>
      <c r="AI48" s="585">
        <f t="shared" si="89"/>
        <v>-85.929537463294054</v>
      </c>
      <c r="AJ48" s="586">
        <f t="shared" si="90"/>
        <v>-174.48340127416304</v>
      </c>
      <c r="AK48" s="635">
        <f t="shared" si="211"/>
        <v>0.87888792924753023</v>
      </c>
      <c r="AL48" s="629">
        <f t="shared" si="91"/>
        <v>-0.47171748868981245</v>
      </c>
      <c r="AM48" s="634">
        <f t="shared" si="92"/>
        <v>-7.0983228210368052E-2</v>
      </c>
      <c r="AN48" s="581">
        <f t="shared" si="93"/>
        <v>-81.442436822264597</v>
      </c>
      <c r="AO48" s="582">
        <f t="shared" si="94"/>
        <v>28.491495396249626</v>
      </c>
      <c r="AP48" s="585">
        <f t="shared" si="95"/>
        <v>-28.223383408320085</v>
      </c>
      <c r="AQ48" s="586">
        <f t="shared" si="246"/>
        <v>0.48576067374929666</v>
      </c>
      <c r="AS48" s="52">
        <f t="shared" si="406"/>
        <v>-235.89001791926435</v>
      </c>
      <c r="AT48" s="72">
        <f t="shared" si="247"/>
        <v>-1.6309963070894069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>Gage</v>
      </c>
      <c r="IG48" s="847">
        <f t="shared" si="210"/>
        <v>4.2290000000000001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4.1289999999999996</v>
      </c>
      <c r="II48" s="734" cm="1">
        <f t="array" ref="II48">IFERROR(ROUND(VALUE(IF($IH48&lt;1,$IH48+LARGE((IF($M$9:$M$150="",0,$M$9:$M$150)-MOD(IF($M$9:$M$150="",0,$M$9:$M$150),1)),1),$IH48)),4),"")</f>
        <v>4.1289999999999996</v>
      </c>
      <c r="IJ48" s="533">
        <f t="shared" si="112"/>
        <v>1613</v>
      </c>
      <c r="IK48" s="533">
        <f t="shared" si="382"/>
        <v>1313</v>
      </c>
      <c r="IL48" s="727">
        <f t="shared" si="225"/>
        <v>14.169997954105412</v>
      </c>
      <c r="IM48" s="759">
        <v>2.7952799631960601E-3</v>
      </c>
      <c r="IN48" s="5">
        <f t="shared" si="226"/>
        <v>0.08</v>
      </c>
      <c r="IO48" s="771">
        <v>40</v>
      </c>
      <c r="IP48" s="9">
        <f t="shared" si="227"/>
        <v>-4.6355139807101668</v>
      </c>
      <c r="IQ48" s="5">
        <f t="shared" si="228"/>
        <v>-1.8147054731517076</v>
      </c>
      <c r="IR48" s="5">
        <f t="shared" si="383"/>
        <v>0.314</v>
      </c>
      <c r="IS48" s="5">
        <f t="shared" si="229"/>
        <v>0.29672471126904271</v>
      </c>
      <c r="IT48" s="727">
        <f t="shared" si="230"/>
        <v>89.378748287326047</v>
      </c>
      <c r="IU48" s="9">
        <f t="shared" si="231"/>
        <v>-4.692994171246057</v>
      </c>
      <c r="IV48" s="5">
        <f t="shared" si="232"/>
        <v>-1.7950657639406868</v>
      </c>
      <c r="IW48" s="5">
        <f t="shared" si="384"/>
        <v>0.26600000000000001</v>
      </c>
      <c r="IX48" s="5">
        <f t="shared" si="233"/>
        <v>0.23378418917984306</v>
      </c>
      <c r="IY48" s="762">
        <f t="shared" si="234"/>
        <v>81.442436822264597</v>
      </c>
    </row>
    <row r="49" spans="1:259" ht="15" customHeight="1" x14ac:dyDescent="0.25">
      <c r="A49" s="79"/>
      <c r="B49" s="707">
        <v>-1.8787581807728171</v>
      </c>
      <c r="C49" s="708">
        <v>0.75906795152340212</v>
      </c>
      <c r="D49" s="709">
        <v>-0.18110054619924734</v>
      </c>
      <c r="E49" s="710">
        <v>-0.29973282096519765</v>
      </c>
      <c r="F49" s="708">
        <v>-0.92068466502041624</v>
      </c>
      <c r="G49" s="711">
        <v>0.24999996726497575</v>
      </c>
      <c r="H49" s="710">
        <v>0.314</v>
      </c>
      <c r="I49" s="708">
        <v>0.52</v>
      </c>
      <c r="J49" s="570">
        <v>5.1079999999999997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5.1079999999999997</v>
      </c>
      <c r="N49" s="632">
        <f t="shared" si="240"/>
        <v>-1.8787581807728171</v>
      </c>
      <c r="O49" s="629">
        <f t="shared" si="241"/>
        <v>0.75906795152340212</v>
      </c>
      <c r="P49" s="633">
        <f t="shared" si="242"/>
        <v>-0.18110054619924734</v>
      </c>
      <c r="Q49" s="585">
        <f t="shared" si="113"/>
        <v>157.99999018201615</v>
      </c>
      <c r="R49" s="629">
        <f t="shared" si="79"/>
        <v>2.026306111339232</v>
      </c>
      <c r="S49" s="634">
        <f t="shared" si="80"/>
        <v>-0.18110054619924734</v>
      </c>
      <c r="T49" s="635">
        <f t="shared" si="81"/>
        <v>0.74691971932816725</v>
      </c>
      <c r="U49" s="629">
        <f t="shared" si="82"/>
        <v>1.8836208189891754</v>
      </c>
      <c r="V49" s="636">
        <f t="shared" si="114"/>
        <v>-0.18110054619924734</v>
      </c>
      <c r="W49" s="585">
        <f t="shared" si="224"/>
        <v>68.369990128594765</v>
      </c>
      <c r="X49" s="629">
        <f t="shared" si="83"/>
        <v>2.026306111339232</v>
      </c>
      <c r="Y49" s="630">
        <f t="shared" si="223"/>
        <v>-0.18110054619924734</v>
      </c>
      <c r="Z49" s="632">
        <f t="shared" si="243"/>
        <v>0.29973282096519765</v>
      </c>
      <c r="AA49" s="629">
        <f t="shared" si="244"/>
        <v>0.92068466502041624</v>
      </c>
      <c r="AB49" s="629">
        <f t="shared" si="245"/>
        <v>-0.24999996726497575</v>
      </c>
      <c r="AC49" s="636">
        <f t="shared" si="84"/>
        <v>1</v>
      </c>
      <c r="AD49" s="637">
        <f t="shared" si="115"/>
        <v>0.29973282096519765</v>
      </c>
      <c r="AE49" s="629">
        <f t="shared" si="85"/>
        <v>0.92068466502041624</v>
      </c>
      <c r="AF49" s="633">
        <f t="shared" si="86"/>
        <v>-0.24999996726497575</v>
      </c>
      <c r="AG49" s="602">
        <f t="shared" si="87"/>
        <v>74.808375795660481</v>
      </c>
      <c r="AH49" s="603">
        <f t="shared" si="88"/>
        <v>72.558443556321194</v>
      </c>
      <c r="AI49" s="585">
        <f t="shared" si="89"/>
        <v>-75.522489751159455</v>
      </c>
      <c r="AJ49" s="586">
        <f t="shared" si="90"/>
        <v>161.96711982710272</v>
      </c>
      <c r="AK49" s="635">
        <f t="shared" si="211"/>
        <v>0.96592583607220739</v>
      </c>
      <c r="AL49" s="629">
        <f t="shared" si="91"/>
        <v>6.6987279208207184E-2</v>
      </c>
      <c r="AM49" s="634">
        <f t="shared" si="92"/>
        <v>-0.24999996726497575</v>
      </c>
      <c r="AN49" s="581">
        <f t="shared" si="93"/>
        <v>14.999997834268262</v>
      </c>
      <c r="AO49" s="582">
        <f t="shared" si="94"/>
        <v>14.999997834268255</v>
      </c>
      <c r="AP49" s="585">
        <f t="shared" si="95"/>
        <v>3.9671296450865703</v>
      </c>
      <c r="AQ49" s="586">
        <f t="shared" si="246"/>
        <v>1.1249207038450035</v>
      </c>
      <c r="AS49" s="52">
        <f t="shared" si="406"/>
        <v>-291.63000987140526</v>
      </c>
      <c r="AT49" s="72">
        <f t="shared" si="247"/>
        <v>2.1677238396574816E-2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5.1079999999999997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-2.6468031169455521</v>
      </c>
      <c r="C50" s="708">
        <v>1.098507754438685</v>
      </c>
      <c r="D50" s="709">
        <v>-5.2400158038876647E-2</v>
      </c>
      <c r="E50" s="710">
        <v>-0.43557398145363385</v>
      </c>
      <c r="F50" s="708">
        <v>-0.87479607875950816</v>
      </c>
      <c r="G50" s="711">
        <v>0.21214883282171976</v>
      </c>
      <c r="H50" s="710">
        <v>0.314</v>
      </c>
      <c r="I50" s="708">
        <v>0.52</v>
      </c>
      <c r="J50" s="570">
        <v>5.1130000000000004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5.1130000000000004</v>
      </c>
      <c r="N50" s="632">
        <f t="shared" si="240"/>
        <v>-2.6468031169455521</v>
      </c>
      <c r="O50" s="629">
        <f t="shared" si="241"/>
        <v>1.098507754438685</v>
      </c>
      <c r="P50" s="633">
        <f t="shared" si="242"/>
        <v>-5.2400158038876647E-2</v>
      </c>
      <c r="Q50" s="585">
        <f t="shared" si="113"/>
        <v>157.4599902599825</v>
      </c>
      <c r="R50" s="629">
        <f t="shared" si="79"/>
        <v>2.8657086429772676</v>
      </c>
      <c r="S50" s="634">
        <f t="shared" si="80"/>
        <v>-5.2400158038876647E-2</v>
      </c>
      <c r="T50" s="635">
        <f t="shared" si="81"/>
        <v>1.0813926619904859</v>
      </c>
      <c r="U50" s="629">
        <f t="shared" si="82"/>
        <v>2.6538417317217209</v>
      </c>
      <c r="V50" s="636">
        <f t="shared" si="114"/>
        <v>-5.2400158038876647E-2</v>
      </c>
      <c r="W50" s="585">
        <f t="shared" si="224"/>
        <v>67.829990206561121</v>
      </c>
      <c r="X50" s="629">
        <f t="shared" si="83"/>
        <v>2.8657086429772676</v>
      </c>
      <c r="Y50" s="630">
        <f t="shared" si="223"/>
        <v>-5.2400158038876647E-2</v>
      </c>
      <c r="Z50" s="632">
        <f t="shared" si="243"/>
        <v>0.43557398145363385</v>
      </c>
      <c r="AA50" s="629">
        <f t="shared" si="244"/>
        <v>0.87479607875950816</v>
      </c>
      <c r="AB50" s="629">
        <f t="shared" si="245"/>
        <v>-0.21214883282171976</v>
      </c>
      <c r="AC50" s="636">
        <f t="shared" si="84"/>
        <v>1</v>
      </c>
      <c r="AD50" s="637">
        <f t="shared" si="115"/>
        <v>0.43557398145363385</v>
      </c>
      <c r="AE50" s="629">
        <f t="shared" si="85"/>
        <v>0.87479607875950816</v>
      </c>
      <c r="AF50" s="633">
        <f t="shared" si="86"/>
        <v>-0.21214883282171976</v>
      </c>
      <c r="AG50" s="602">
        <f t="shared" si="87"/>
        <v>76.368238493678021</v>
      </c>
      <c r="AH50" s="603">
        <f t="shared" si="88"/>
        <v>64.178177167882851</v>
      </c>
      <c r="AI50" s="585">
        <f t="shared" si="89"/>
        <v>-77.75169086601862</v>
      </c>
      <c r="AJ50" s="586">
        <f t="shared" si="90"/>
        <v>153.53060353932341</v>
      </c>
      <c r="AK50" s="635">
        <f t="shared" si="211"/>
        <v>0.97494013952105885</v>
      </c>
      <c r="AL50" s="629">
        <f t="shared" si="91"/>
        <v>-6.6967134349921076E-2</v>
      </c>
      <c r="AM50" s="634">
        <f t="shared" si="92"/>
        <v>-0.21214883282171976</v>
      </c>
      <c r="AN50" s="581">
        <f t="shared" si="93"/>
        <v>-17.518879936128283</v>
      </c>
      <c r="AO50" s="582">
        <f t="shared" si="94"/>
        <v>12.85399412289987</v>
      </c>
      <c r="AP50" s="585">
        <f t="shared" si="95"/>
        <v>-3.9293867206591049</v>
      </c>
      <c r="AQ50" s="586">
        <f t="shared" si="246"/>
        <v>0.7954682208155911</v>
      </c>
      <c r="AS50" s="52">
        <f t="shared" si="406"/>
        <v>-292.17000979343891</v>
      </c>
      <c r="AT50" s="72">
        <f t="shared" si="247"/>
        <v>0.15075262650280219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5.1130000000000004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-3.3720791441261002</v>
      </c>
      <c r="C51" s="708">
        <v>1.471123682593158</v>
      </c>
      <c r="D51" s="709">
        <v>-0.28820086921382149</v>
      </c>
      <c r="E51" s="710">
        <v>-0.54622170985371021</v>
      </c>
      <c r="F51" s="708">
        <v>-0.82018153969346208</v>
      </c>
      <c r="G51" s="711">
        <v>0.17012961420796574</v>
      </c>
      <c r="H51" s="710">
        <v>0.314</v>
      </c>
      <c r="I51" s="708">
        <v>0.52</v>
      </c>
      <c r="J51" s="570">
        <v>5.1180000000000003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5.1180000000000003</v>
      </c>
      <c r="N51" s="632">
        <f t="shared" si="240"/>
        <v>-3.3720791441261002</v>
      </c>
      <c r="O51" s="629">
        <f t="shared" si="241"/>
        <v>1.471123682593158</v>
      </c>
      <c r="P51" s="633">
        <f t="shared" si="242"/>
        <v>-0.28820086921382149</v>
      </c>
      <c r="Q51" s="585">
        <f t="shared" si="113"/>
        <v>156.42999040869606</v>
      </c>
      <c r="R51" s="629">
        <f t="shared" si="79"/>
        <v>3.6790110958974651</v>
      </c>
      <c r="S51" s="634">
        <f t="shared" si="80"/>
        <v>-0.28820086921382149</v>
      </c>
      <c r="T51" s="635">
        <f t="shared" si="81"/>
        <v>1.4493172257410345</v>
      </c>
      <c r="U51" s="629">
        <f t="shared" si="82"/>
        <v>3.3815088677847616</v>
      </c>
      <c r="V51" s="636">
        <f t="shared" si="114"/>
        <v>-0.28820086921382149</v>
      </c>
      <c r="W51" s="585">
        <f t="shared" si="224"/>
        <v>66.799990355274673</v>
      </c>
      <c r="X51" s="629">
        <f t="shared" si="83"/>
        <v>3.6790110958974651</v>
      </c>
      <c r="Y51" s="630">
        <f t="shared" si="223"/>
        <v>-0.28820086921382149</v>
      </c>
      <c r="Z51" s="632">
        <f t="shared" si="243"/>
        <v>0.54622170985371021</v>
      </c>
      <c r="AA51" s="629">
        <f t="shared" si="244"/>
        <v>0.82018153969346208</v>
      </c>
      <c r="AB51" s="629">
        <f t="shared" si="245"/>
        <v>-0.17012961420796574</v>
      </c>
      <c r="AC51" s="636">
        <f t="shared" si="84"/>
        <v>1</v>
      </c>
      <c r="AD51" s="637">
        <f t="shared" si="115"/>
        <v>0.54622170985371021</v>
      </c>
      <c r="AE51" s="629">
        <f t="shared" si="85"/>
        <v>0.82018153969346208</v>
      </c>
      <c r="AF51" s="633">
        <f t="shared" si="86"/>
        <v>-0.17012961420796574</v>
      </c>
      <c r="AG51" s="602">
        <f t="shared" si="87"/>
        <v>78.281367266995687</v>
      </c>
      <c r="AH51" s="603">
        <f t="shared" si="88"/>
        <v>56.891809395340829</v>
      </c>
      <c r="AI51" s="585">
        <f t="shared" si="89"/>
        <v>-80.20464481653768</v>
      </c>
      <c r="AJ51" s="586">
        <f t="shared" si="90"/>
        <v>146.33731375151814</v>
      </c>
      <c r="AK51" s="635">
        <f t="shared" si="211"/>
        <v>0.97017287109844441</v>
      </c>
      <c r="AL51" s="629">
        <f t="shared" si="91"/>
        <v>-0.17268617360417104</v>
      </c>
      <c r="AM51" s="634">
        <f t="shared" si="92"/>
        <v>-0.17012961420796574</v>
      </c>
      <c r="AN51" s="581">
        <f t="shared" si="93"/>
        <v>-45.427277136264635</v>
      </c>
      <c r="AO51" s="582">
        <f t="shared" si="94"/>
        <v>14.029066940921062</v>
      </c>
      <c r="AP51" s="585">
        <f t="shared" si="95"/>
        <v>-10.092676657177924</v>
      </c>
      <c r="AQ51" s="586">
        <f t="shared" si="246"/>
        <v>0.61963329155162894</v>
      </c>
      <c r="AS51" s="52">
        <f t="shared" si="406"/>
        <v>-293.20000964472536</v>
      </c>
      <c r="AT51" s="72">
        <f t="shared" si="247"/>
        <v>-8.4332806997638177E-2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5.1180000000000003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-3.9166932945753339</v>
      </c>
      <c r="C52" s="708">
        <v>1.7882440602738732</v>
      </c>
      <c r="D52" s="709">
        <v>-0.85770258683100198</v>
      </c>
      <c r="E52" s="710">
        <v>-0.64466210843717153</v>
      </c>
      <c r="F52" s="708">
        <v>-0.7546374695434177</v>
      </c>
      <c r="G52" s="711">
        <v>0.12220088177442839</v>
      </c>
      <c r="H52" s="710">
        <v>0.314</v>
      </c>
      <c r="I52" s="708">
        <v>0.52</v>
      </c>
      <c r="J52" s="570">
        <v>5.1230000000000002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5.1230000000000002</v>
      </c>
      <c r="N52" s="632">
        <f t="shared" si="240"/>
        <v>-3.9166932945753339</v>
      </c>
      <c r="O52" s="629">
        <f t="shared" si="241"/>
        <v>1.7882440602738732</v>
      </c>
      <c r="P52" s="633">
        <f t="shared" si="242"/>
        <v>-0.85770258683100198</v>
      </c>
      <c r="Q52" s="585">
        <f t="shared" si="113"/>
        <v>155.45999054874673</v>
      </c>
      <c r="R52" s="629">
        <f t="shared" si="79"/>
        <v>4.3056129857287653</v>
      </c>
      <c r="S52" s="634">
        <f t="shared" si="80"/>
        <v>-0.85770258683100198</v>
      </c>
      <c r="T52" s="635">
        <f t="shared" si="81"/>
        <v>1.7629140513727664</v>
      </c>
      <c r="U52" s="629">
        <f t="shared" si="82"/>
        <v>3.9281595220088286</v>
      </c>
      <c r="V52" s="636">
        <f t="shared" si="114"/>
        <v>-0.85770258683100198</v>
      </c>
      <c r="W52" s="585">
        <f t="shared" si="224"/>
        <v>65.829990495325347</v>
      </c>
      <c r="X52" s="629">
        <f t="shared" si="83"/>
        <v>4.3056129857287653</v>
      </c>
      <c r="Y52" s="630">
        <f t="shared" si="223"/>
        <v>-0.85770258683100198</v>
      </c>
      <c r="Z52" s="632">
        <f t="shared" si="243"/>
        <v>0.64466210843717153</v>
      </c>
      <c r="AA52" s="629">
        <f t="shared" si="244"/>
        <v>0.7546374695434177</v>
      </c>
      <c r="AB52" s="629">
        <f t="shared" si="245"/>
        <v>-0.12220088177442839</v>
      </c>
      <c r="AC52" s="636">
        <f t="shared" si="84"/>
        <v>1</v>
      </c>
      <c r="AD52" s="637">
        <f t="shared" si="115"/>
        <v>0.64466210843717153</v>
      </c>
      <c r="AE52" s="629">
        <f t="shared" si="85"/>
        <v>0.7546374695434177</v>
      </c>
      <c r="AF52" s="633">
        <f t="shared" si="86"/>
        <v>-0.12220088177442839</v>
      </c>
      <c r="AG52" s="602">
        <f t="shared" si="87"/>
        <v>80.801754762887199</v>
      </c>
      <c r="AH52" s="603">
        <f t="shared" si="88"/>
        <v>49.859653752619067</v>
      </c>
      <c r="AI52" s="585">
        <f t="shared" si="89"/>
        <v>-82.980861203093298</v>
      </c>
      <c r="AJ52" s="586">
        <f t="shared" si="90"/>
        <v>139.49381836677358</v>
      </c>
      <c r="AK52" s="635">
        <f t="shared" si="211"/>
        <v>0.95421876436881015</v>
      </c>
      <c r="AL52" s="629">
        <f t="shared" si="91"/>
        <v>-0.27300823104810151</v>
      </c>
      <c r="AM52" s="634">
        <f t="shared" si="92"/>
        <v>-0.12220088177442839</v>
      </c>
      <c r="AN52" s="581">
        <f t="shared" si="93"/>
        <v>-65.886291461798081</v>
      </c>
      <c r="AO52" s="582">
        <f t="shared" si="94"/>
        <v>17.404131183945559</v>
      </c>
      <c r="AP52" s="585">
        <f t="shared" si="95"/>
        <v>-15.966172181973146</v>
      </c>
      <c r="AQ52" s="586">
        <f t="shared" si="246"/>
        <v>0.52946276122512193</v>
      </c>
      <c r="AS52" s="52">
        <f t="shared" si="406"/>
        <v>-294.17000950467468</v>
      </c>
      <c r="AT52" s="72">
        <f t="shared" si="247"/>
        <v>-0.65316091360096495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5.1230000000000002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-4.1830238382661964</v>
      </c>
      <c r="C53" s="708">
        <v>1.9559124418897889</v>
      </c>
      <c r="D53" s="709">
        <v>-1.6448049607317616</v>
      </c>
      <c r="E53" s="710">
        <v>-0.69545800761309073</v>
      </c>
      <c r="F53" s="708">
        <v>-0.71809798533378622</v>
      </c>
      <c r="G53" s="711">
        <v>2.5950782384886649E-2</v>
      </c>
      <c r="H53" s="710">
        <v>0.314</v>
      </c>
      <c r="I53" s="708">
        <v>0.52</v>
      </c>
      <c r="J53" s="570">
        <v>5.1280000000000001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5.1280000000000001</v>
      </c>
      <c r="N53" s="632">
        <f t="shared" si="240"/>
        <v>-4.1830238382661964</v>
      </c>
      <c r="O53" s="629">
        <f t="shared" si="241"/>
        <v>1.9559124418897889</v>
      </c>
      <c r="P53" s="633">
        <f t="shared" si="242"/>
        <v>-1.6448049607317616</v>
      </c>
      <c r="Q53" s="585">
        <f t="shared" si="113"/>
        <v>154.93999062382542</v>
      </c>
      <c r="R53" s="629">
        <f t="shared" ref="R53:R58" si="410">IF(M53="","",SQRT(N53^2+O53^2))</f>
        <v>4.6177139270252052</v>
      </c>
      <c r="S53" s="634">
        <f t="shared" ref="S53:S58" si="411">IF(M53="","",P53)</f>
        <v>-1.6448049607317616</v>
      </c>
      <c r="T53" s="635">
        <f t="shared" ref="T53:T58" si="412">IF(M53="","",X53*COS(RADIANS(W53)))</f>
        <v>1.9288590615322436</v>
      </c>
      <c r="U53" s="629">
        <f t="shared" ref="U53:U58" si="413">IF(M53="","",X53*SIN(RADIANS(W53)))</f>
        <v>4.1955672599289233</v>
      </c>
      <c r="V53" s="636">
        <f t="shared" ref="V53:V58" si="414">IF(M53="","",Y53)</f>
        <v>-1.6448049607317616</v>
      </c>
      <c r="W53" s="585">
        <f t="shared" si="224"/>
        <v>65.30999057040404</v>
      </c>
      <c r="X53" s="629">
        <f t="shared" ref="X53:X58" si="415">IF(M53="","",R53)</f>
        <v>4.6177139270252052</v>
      </c>
      <c r="Y53" s="630">
        <f t="shared" si="223"/>
        <v>-1.6448049607317616</v>
      </c>
      <c r="Z53" s="632">
        <f t="shared" si="243"/>
        <v>0.69545800761309073</v>
      </c>
      <c r="AA53" s="629">
        <f t="shared" si="244"/>
        <v>0.71809798533378622</v>
      </c>
      <c r="AB53" s="629">
        <f t="shared" si="245"/>
        <v>-2.5950782384886649E-2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0.69545800761309073</v>
      </c>
      <c r="AE53" s="629">
        <f t="shared" ref="AE53:AE58" si="418">IF(M53="","",AA53*(1/SQRT(Z53^2+AA53^2+AB53^2)))</f>
        <v>0.71809798533378622</v>
      </c>
      <c r="AF53" s="633">
        <f t="shared" ref="AF53:AF58" si="419">IF(M53="","",AB53*(1/SQRT(Z53^2+AA53^2+AB53^2)))</f>
        <v>-2.5950782384886649E-2</v>
      </c>
      <c r="AG53" s="602">
        <f t="shared" ref="AG53:AG58" si="420">IF(M53="","",DEGREES(ATAN2(-AF53,AE53)))</f>
        <v>87.93033322330551</v>
      </c>
      <c r="AH53" s="603">
        <f t="shared" ref="AH53:AH58" si="421">IF(M53="","",DEGREES(ACOS(AD53)))</f>
        <v>45.936274259741857</v>
      </c>
      <c r="AI53" s="585">
        <f t="shared" ref="AI53:AI58" si="422">IF(M53="","",DEGREES(-ACOS(-AF53)))</f>
        <v>-88.512962756595314</v>
      </c>
      <c r="AJ53" s="586">
        <f t="shared" ref="AJ53:AJ58" si="423">IF(M53="","",DEGREES(ATAN2(-AE53,AD53)))</f>
        <v>135.91758959452224</v>
      </c>
      <c r="AK53" s="635">
        <f t="shared" ref="AK53:AK58" si="424">IF(M53="","",(COS(RADIANS((90-$Q$8)-W53))*AD53)+(-SIN(RADIANS((90-$Q$8)-W53))*AE53))</f>
        <v>0.94507282818532734</v>
      </c>
      <c r="AL53" s="629">
        <f t="shared" ref="AL53:AL58" si="425">IF(M53="","",(SIN(RADIANS((90-$Q$8)-W53))*AD53)+(COS(RADIANS((90-$Q$8)-W53))*AE53))</f>
        <v>-0.32582803181954589</v>
      </c>
      <c r="AM53" s="634">
        <f t="shared" ref="AM53:AM58" si="426">IF(M53="","",AF53)</f>
        <v>-2.5950782384886649E-2</v>
      </c>
      <c r="AN53" s="581">
        <f t="shared" ref="AN53:AN58" si="427">IF(M53="","",DEGREES(ATAN2(-AM53,AL53)))</f>
        <v>-85.446253479445389</v>
      </c>
      <c r="AO53" s="582">
        <f t="shared" si="94"/>
        <v>19.078290453897598</v>
      </c>
      <c r="AP53" s="585">
        <f t="shared" ref="AP53:AP58" si="428">IF(M53="","",DEGREES(ATAN2(AK53,AL53)))</f>
        <v>-19.02240102930319</v>
      </c>
      <c r="AQ53" s="586">
        <f t="shared" si="246"/>
        <v>0.49367939443295844</v>
      </c>
      <c r="AS53" s="52">
        <f t="shared" si="406"/>
        <v>-294.69000942959599</v>
      </c>
      <c r="AT53" s="72">
        <f t="shared" si="247"/>
        <v>-1.4399021764427515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5.1280000000000001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-4.2854204537119047</v>
      </c>
      <c r="C54" s="708">
        <v>2.0220507472173188</v>
      </c>
      <c r="D54" s="709">
        <v>-2.4413073629830069</v>
      </c>
      <c r="E54" s="710">
        <v>-0.82174645851615025</v>
      </c>
      <c r="F54" s="708">
        <v>-0.56985327753392112</v>
      </c>
      <c r="G54" s="711">
        <v>1.1339743357710306E-7</v>
      </c>
      <c r="H54" s="710">
        <v>0.26600000000000001</v>
      </c>
      <c r="I54" s="708">
        <v>0.52</v>
      </c>
      <c r="J54" s="570">
        <v>5.133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5.133</v>
      </c>
      <c r="N54" s="632">
        <f t="shared" si="240"/>
        <v>-4.2854204537119047</v>
      </c>
      <c r="O54" s="629">
        <f t="shared" si="241"/>
        <v>2.0220507472173188</v>
      </c>
      <c r="P54" s="633">
        <f t="shared" si="242"/>
        <v>-2.4413073629830069</v>
      </c>
      <c r="Q54" s="585">
        <f t="shared" si="113"/>
        <v>154.73999065270186</v>
      </c>
      <c r="R54" s="629">
        <f t="shared" si="410"/>
        <v>4.7385142913591034</v>
      </c>
      <c r="S54" s="634">
        <f t="shared" si="411"/>
        <v>-2.4413073629830069</v>
      </c>
      <c r="T54" s="635">
        <f t="shared" si="412"/>
        <v>1.9943347440119075</v>
      </c>
      <c r="U54" s="629">
        <f t="shared" si="413"/>
        <v>4.298388839814451</v>
      </c>
      <c r="V54" s="636">
        <f t="shared" si="414"/>
        <v>-2.4413073629830069</v>
      </c>
      <c r="W54" s="585">
        <f t="shared" si="224"/>
        <v>65.109990599280479</v>
      </c>
      <c r="X54" s="629">
        <f t="shared" si="415"/>
        <v>4.7385142913591034</v>
      </c>
      <c r="Y54" s="630">
        <f t="shared" si="223"/>
        <v>-2.4413073629830069</v>
      </c>
      <c r="Z54" s="632">
        <f t="shared" si="243"/>
        <v>0.82174645851615025</v>
      </c>
      <c r="AA54" s="629">
        <f t="shared" si="244"/>
        <v>0.56985327753392112</v>
      </c>
      <c r="AB54" s="629">
        <f t="shared" si="245"/>
        <v>-1.1339743357710306E-7</v>
      </c>
      <c r="AC54" s="636">
        <f t="shared" si="416"/>
        <v>1</v>
      </c>
      <c r="AD54" s="637">
        <f t="shared" si="417"/>
        <v>0.82174645851615025</v>
      </c>
      <c r="AE54" s="629">
        <f t="shared" si="418"/>
        <v>0.56985327753392112</v>
      </c>
      <c r="AF54" s="633">
        <f t="shared" si="419"/>
        <v>-1.1339743357710306E-7</v>
      </c>
      <c r="AG54" s="602">
        <f t="shared" si="420"/>
        <v>89.999988598478581</v>
      </c>
      <c r="AH54" s="603">
        <f t="shared" si="421"/>
        <v>34.739994984166493</v>
      </c>
      <c r="AI54" s="585">
        <f t="shared" si="422"/>
        <v>-89.999993502805637</v>
      </c>
      <c r="AJ54" s="586">
        <f t="shared" si="423"/>
        <v>124.73999498416596</v>
      </c>
      <c r="AK54" s="635">
        <f t="shared" si="424"/>
        <v>0.86602544158358574</v>
      </c>
      <c r="AL54" s="629">
        <f t="shared" si="425"/>
        <v>-0.49999993452993841</v>
      </c>
      <c r="AM54" s="634">
        <f t="shared" si="426"/>
        <v>-1.1339743357710306E-7</v>
      </c>
      <c r="AN54" s="581">
        <f t="shared" si="427"/>
        <v>-89.999987005609597</v>
      </c>
      <c r="AO54" s="582">
        <f t="shared" si="94"/>
        <v>29.99999566853651</v>
      </c>
      <c r="AP54" s="585">
        <f t="shared" si="428"/>
        <v>-29.999995668535892</v>
      </c>
      <c r="AQ54" s="586">
        <f t="shared" si="246"/>
        <v>0.48109447702418512</v>
      </c>
      <c r="AS54" s="52">
        <f t="shared" si="406"/>
        <v>-294.89000940071952</v>
      </c>
      <c r="AT54" s="72">
        <f t="shared" si="247"/>
        <v>-2.2362656898251609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5.133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-2.8812675963314827</v>
      </c>
      <c r="C55" s="708">
        <v>2.3257208871512698</v>
      </c>
      <c r="D55" s="709">
        <v>-0.23976446233201773</v>
      </c>
      <c r="E55" s="710">
        <v>-0.76011349977019382</v>
      </c>
      <c r="F55" s="708">
        <v>-0.56431604374820477</v>
      </c>
      <c r="G55" s="711">
        <v>0.32214107194749647</v>
      </c>
      <c r="H55" s="710">
        <v>0.26600000000000001</v>
      </c>
      <c r="I55" s="708">
        <v>0.52</v>
      </c>
      <c r="J55" s="570">
        <v>5.218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5.218</v>
      </c>
      <c r="N55" s="632">
        <f t="shared" si="240"/>
        <v>-2.8812675963314827</v>
      </c>
      <c r="O55" s="629">
        <f t="shared" si="241"/>
        <v>2.3257208871512698</v>
      </c>
      <c r="P55" s="633">
        <f t="shared" si="242"/>
        <v>-0.23976446233201773</v>
      </c>
      <c r="Q55" s="585">
        <f t="shared" si="113"/>
        <v>141.08999262351773</v>
      </c>
      <c r="R55" s="629">
        <f t="shared" si="410"/>
        <v>3.7027936219294602</v>
      </c>
      <c r="S55" s="634">
        <f t="shared" si="411"/>
        <v>-0.23976446233201773</v>
      </c>
      <c r="T55" s="635">
        <f t="shared" si="412"/>
        <v>2.3070661113005744</v>
      </c>
      <c r="U55" s="629">
        <f t="shared" si="413"/>
        <v>2.8962262626890762</v>
      </c>
      <c r="V55" s="636">
        <f t="shared" si="414"/>
        <v>-0.23976446233201773</v>
      </c>
      <c r="W55" s="585">
        <f t="shared" si="224"/>
        <v>51.459992570096347</v>
      </c>
      <c r="X55" s="629">
        <f t="shared" si="415"/>
        <v>3.7027936219294602</v>
      </c>
      <c r="Y55" s="630">
        <f t="shared" si="223"/>
        <v>-0.23976446233201773</v>
      </c>
      <c r="Z55" s="632">
        <f t="shared" si="243"/>
        <v>0.76011349977019382</v>
      </c>
      <c r="AA55" s="629">
        <f t="shared" si="244"/>
        <v>0.56431604374820477</v>
      </c>
      <c r="AB55" s="629">
        <f t="shared" si="245"/>
        <v>-0.32214107194749647</v>
      </c>
      <c r="AC55" s="636">
        <f t="shared" si="416"/>
        <v>1</v>
      </c>
      <c r="AD55" s="637">
        <f t="shared" si="417"/>
        <v>0.76011349977019382</v>
      </c>
      <c r="AE55" s="629">
        <f t="shared" si="418"/>
        <v>0.56431604374820477</v>
      </c>
      <c r="AF55" s="633">
        <f t="shared" si="419"/>
        <v>-0.32214107194749647</v>
      </c>
      <c r="AG55" s="602">
        <f t="shared" si="420"/>
        <v>60.280018343218579</v>
      </c>
      <c r="AH55" s="603">
        <f t="shared" si="421"/>
        <v>40.525795200869119</v>
      </c>
      <c r="AI55" s="585">
        <f t="shared" si="422"/>
        <v>-71.207542633234794</v>
      </c>
      <c r="AJ55" s="586">
        <f t="shared" si="423"/>
        <v>126.59057096308641</v>
      </c>
      <c r="AK55" s="635">
        <f t="shared" si="424"/>
        <v>0.91653970501181936</v>
      </c>
      <c r="AL55" s="629">
        <f t="shared" si="425"/>
        <v>-0.23702341424712736</v>
      </c>
      <c r="AM55" s="634">
        <f t="shared" si="426"/>
        <v>-0.32214107194749647</v>
      </c>
      <c r="AN55" s="581">
        <f t="shared" si="427"/>
        <v>-36.344713201398022</v>
      </c>
      <c r="AO55" s="582">
        <f>IF(ROUND(IF(M55="",0,DEGREES(ACOS(AK55))),4)=90,0,IF(M55="","",DEGREES(ACOS(AK55))))</f>
        <v>23.574659407324258</v>
      </c>
      <c r="AP55" s="585">
        <f t="shared" si="428"/>
        <v>-14.499421660431311</v>
      </c>
      <c r="AQ55" s="586">
        <f t="shared" si="246"/>
        <v>0.61565378082323796</v>
      </c>
      <c r="AS55" s="52">
        <f t="shared" si="406"/>
        <v>-308.54000742990365</v>
      </c>
      <c r="AT55" s="72">
        <f t="shared" si="247"/>
        <v>-2.5243623876127247E-2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5.218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0.11799999999999999</v>
      </c>
      <c r="II55" s="734" cm="1">
        <f t="array" ref="II55">IFERROR(ROUND(VALUE(IF($IH55&lt;1,$IH55+LARGE((IF($M$9:$M$150="",0,$M$9:$M$150)-MOD(IF($M$9:$M$150="",0,$M$9:$M$150),1)),1),$IH55)),4),"")</f>
        <v>5.1180000000000003</v>
      </c>
      <c r="IJ55" s="533">
        <f t="shared" si="112"/>
        <v>1613</v>
      </c>
      <c r="IK55" s="533">
        <f t="shared" si="382"/>
        <v>1313</v>
      </c>
      <c r="IL55" s="727">
        <f t="shared" si="225"/>
        <v>15.339997785178326</v>
      </c>
      <c r="IM55" s="759">
        <v>7.0954994481166496E-3</v>
      </c>
      <c r="IN55" s="5">
        <f t="shared" si="226"/>
        <v>0.14000000000000001</v>
      </c>
      <c r="IO55" s="771">
        <v>70</v>
      </c>
      <c r="IP55" s="9">
        <f t="shared" si="227"/>
        <v>-3.6790110958974651</v>
      </c>
      <c r="IQ55" s="5">
        <f t="shared" si="228"/>
        <v>-0.28820086921382149</v>
      </c>
      <c r="IR55" s="5">
        <f t="shared" si="383"/>
        <v>0.314</v>
      </c>
      <c r="IS55" s="5">
        <f t="shared" si="229"/>
        <v>0.30463428152491157</v>
      </c>
      <c r="IT55" s="727">
        <f t="shared" si="230"/>
        <v>45.427277136264635</v>
      </c>
      <c r="IU55" s="9">
        <f t="shared" si="231"/>
        <v>-3.7027936219294602</v>
      </c>
      <c r="IV55" s="5">
        <f t="shared" si="232"/>
        <v>-0.23976446233201773</v>
      </c>
      <c r="IW55" s="5">
        <f t="shared" si="384"/>
        <v>0.26600000000000001</v>
      </c>
      <c r="IX55" s="5">
        <f t="shared" si="233"/>
        <v>0.24379956153314397</v>
      </c>
      <c r="IY55" s="762">
        <f t="shared" si="234"/>
        <v>36.344713201398022</v>
      </c>
    </row>
    <row r="56" spans="1:259" ht="15" customHeight="1" x14ac:dyDescent="0.25">
      <c r="A56" s="79"/>
      <c r="B56" s="707">
        <v>-3.3763241029588604</v>
      </c>
      <c r="C56" s="708">
        <v>2.7389760194329642</v>
      </c>
      <c r="D56" s="709">
        <v>-0.81851414066215589</v>
      </c>
      <c r="E56" s="710">
        <v>-0.85814906262302215</v>
      </c>
      <c r="F56" s="708">
        <v>-0.45271423990272541</v>
      </c>
      <c r="G56" s="711">
        <v>0.24213633207043955</v>
      </c>
      <c r="H56" s="710">
        <v>0.26600000000000001</v>
      </c>
      <c r="I56" s="708">
        <v>0.52</v>
      </c>
      <c r="J56" s="570">
        <v>5.2229999999999999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5.2229999999999999</v>
      </c>
      <c r="N56" s="632">
        <f t="shared" si="240"/>
        <v>-3.3763241029588604</v>
      </c>
      <c r="O56" s="629">
        <f t="shared" si="241"/>
        <v>2.7389760194329642</v>
      </c>
      <c r="P56" s="633">
        <f t="shared" si="242"/>
        <v>-0.81851414066215589</v>
      </c>
      <c r="Q56" s="585">
        <f t="shared" si="113"/>
        <v>140.94999264373121</v>
      </c>
      <c r="R56" s="629">
        <f t="shared" si="410"/>
        <v>4.3475917567372626</v>
      </c>
      <c r="S56" s="634">
        <f t="shared" si="411"/>
        <v>-0.81851414066215589</v>
      </c>
      <c r="T56" s="635">
        <f t="shared" si="412"/>
        <v>2.7171157140586102</v>
      </c>
      <c r="U56" s="629">
        <f t="shared" si="413"/>
        <v>3.3939411131699919</v>
      </c>
      <c r="V56" s="636">
        <f t="shared" si="414"/>
        <v>-0.81851414066215589</v>
      </c>
      <c r="W56" s="585">
        <f t="shared" si="224"/>
        <v>51.319992590309823</v>
      </c>
      <c r="X56" s="629">
        <f t="shared" si="415"/>
        <v>4.3475917567372626</v>
      </c>
      <c r="Y56" s="630">
        <f t="shared" si="223"/>
        <v>-0.81851414066215589</v>
      </c>
      <c r="Z56" s="632">
        <f t="shared" si="243"/>
        <v>0.85814906262302215</v>
      </c>
      <c r="AA56" s="629">
        <f t="shared" si="244"/>
        <v>0.45271423990272541</v>
      </c>
      <c r="AB56" s="629">
        <f t="shared" si="245"/>
        <v>-0.24213633207043955</v>
      </c>
      <c r="AC56" s="636">
        <f t="shared" si="416"/>
        <v>1</v>
      </c>
      <c r="AD56" s="637">
        <f t="shared" si="417"/>
        <v>0.85814906262302215</v>
      </c>
      <c r="AE56" s="629">
        <f t="shared" si="418"/>
        <v>0.45271423990272541</v>
      </c>
      <c r="AF56" s="633">
        <f t="shared" si="419"/>
        <v>-0.24213633207043955</v>
      </c>
      <c r="AG56" s="602">
        <f t="shared" si="420"/>
        <v>61.859692344609257</v>
      </c>
      <c r="AH56" s="603">
        <f t="shared" si="421"/>
        <v>30.890609331805951</v>
      </c>
      <c r="AI56" s="585">
        <f t="shared" si="422"/>
        <v>-75.987337217887841</v>
      </c>
      <c r="AJ56" s="586">
        <f t="shared" si="423"/>
        <v>117.8137679627678</v>
      </c>
      <c r="AK56" s="635">
        <f t="shared" si="424"/>
        <v>0.89220881826095133</v>
      </c>
      <c r="AL56" s="629">
        <f t="shared" si="425"/>
        <v>-0.38122620753152675</v>
      </c>
      <c r="AM56" s="634">
        <f t="shared" si="426"/>
        <v>-0.24213633207043955</v>
      </c>
      <c r="AN56" s="581">
        <f t="shared" si="427"/>
        <v>-57.578274134798917</v>
      </c>
      <c r="AO56" s="582">
        <f t="shared" ref="AO56:AO119" si="461">IF(ROUND(IF(M56="",0,DEGREES(ACOS(AK56))),4)=90,0,IF(M56="","",DEGREES(ACOS(AK56))))</f>
        <v>26.84786815121296</v>
      </c>
      <c r="AP56" s="585">
        <f t="shared" si="428"/>
        <v>-23.136224680963416</v>
      </c>
      <c r="AQ56" s="586">
        <f t="shared" si="246"/>
        <v>0.52435074744266896</v>
      </c>
      <c r="AS56" s="52">
        <f t="shared" si="406"/>
        <v>-308.68000740969018</v>
      </c>
      <c r="AT56" s="72">
        <f t="shared" si="247"/>
        <v>-0.60389607999808037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5.2229999999999999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0.123</v>
      </c>
      <c r="II56" s="734" cm="1">
        <f t="array" ref="II56">IFERROR(ROUND(VALUE(IF($IH56&lt;1,$IH56+LARGE((IF($M$9:$M$150="",0,$M$9:$M$150)-MOD(IF($M$9:$M$150="",0,$M$9:$M$150),1)),1),$IH56)),4),"")</f>
        <v>5.1230000000000002</v>
      </c>
      <c r="IJ56" s="533">
        <f t="shared" si="112"/>
        <v>1613</v>
      </c>
      <c r="IK56" s="533">
        <f t="shared" si="382"/>
        <v>1313</v>
      </c>
      <c r="IL56" s="727">
        <f t="shared" si="225"/>
        <v>14.509997905015524</v>
      </c>
      <c r="IM56" s="759">
        <v>5.3073417258460804E-3</v>
      </c>
      <c r="IN56" s="5">
        <f t="shared" si="226"/>
        <v>0.12</v>
      </c>
      <c r="IO56" s="771">
        <v>60</v>
      </c>
      <c r="IP56" s="9">
        <f t="shared" si="227"/>
        <v>-4.3056129857287653</v>
      </c>
      <c r="IQ56" s="5">
        <f t="shared" si="228"/>
        <v>-0.85770258683100198</v>
      </c>
      <c r="IR56" s="5">
        <f t="shared" si="383"/>
        <v>0.314</v>
      </c>
      <c r="IS56" s="5">
        <f t="shared" si="229"/>
        <v>0.29962469201180636</v>
      </c>
      <c r="IT56" s="727">
        <f t="shared" si="230"/>
        <v>65.886291461798081</v>
      </c>
      <c r="IU56" s="9">
        <f t="shared" si="231"/>
        <v>-4.3475917567372626</v>
      </c>
      <c r="IV56" s="5">
        <f t="shared" si="232"/>
        <v>-0.81851414066215589</v>
      </c>
      <c r="IW56" s="5">
        <f t="shared" si="384"/>
        <v>0.26600000000000001</v>
      </c>
      <c r="IX56" s="5">
        <f t="shared" si="233"/>
        <v>0.23732754565741307</v>
      </c>
      <c r="IY56" s="762">
        <f t="shared" si="234"/>
        <v>57.578274134798917</v>
      </c>
    </row>
    <row r="57" spans="1:259" ht="15" customHeight="1" x14ac:dyDescent="0.25">
      <c r="A57" s="79"/>
      <c r="B57" s="707">
        <v>-3.618953825428882</v>
      </c>
      <c r="C57" s="708">
        <v>2.9568100682784491</v>
      </c>
      <c r="D57" s="709">
        <v>-1.6214054561534892</v>
      </c>
      <c r="E57" s="710">
        <v>-0.9167219294636233</v>
      </c>
      <c r="F57" s="708">
        <v>-0.38605276247658737</v>
      </c>
      <c r="G57" s="711">
        <v>0.10287938872625313</v>
      </c>
      <c r="H57" s="710">
        <v>0.26600000000000001</v>
      </c>
      <c r="I57" s="708">
        <v>0.52</v>
      </c>
      <c r="J57" s="570">
        <v>5.2279999999999998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5.2279999999999998</v>
      </c>
      <c r="N57" s="632">
        <f t="shared" si="240"/>
        <v>-3.618953825428882</v>
      </c>
      <c r="O57" s="629">
        <f t="shared" si="241"/>
        <v>2.9568100682784491</v>
      </c>
      <c r="P57" s="633">
        <f t="shared" si="242"/>
        <v>-1.6214054561534892</v>
      </c>
      <c r="Q57" s="585">
        <f t="shared" si="113"/>
        <v>140.74999267260765</v>
      </c>
      <c r="R57" s="629">
        <f t="shared" si="410"/>
        <v>4.6732807074323226</v>
      </c>
      <c r="S57" s="634">
        <f t="shared" si="411"/>
        <v>-1.6214054561534892</v>
      </c>
      <c r="T57" s="635">
        <f t="shared" si="412"/>
        <v>2.9333783975835868</v>
      </c>
      <c r="U57" s="629">
        <f t="shared" si="413"/>
        <v>3.6379724775002211</v>
      </c>
      <c r="V57" s="636">
        <f t="shared" si="414"/>
        <v>-1.6214054561534892</v>
      </c>
      <c r="W57" s="585">
        <f t="shared" si="224"/>
        <v>51.119992619186263</v>
      </c>
      <c r="X57" s="629">
        <f t="shared" si="415"/>
        <v>4.6732807074323226</v>
      </c>
      <c r="Y57" s="630">
        <f t="shared" si="223"/>
        <v>-1.6214054561534892</v>
      </c>
      <c r="Z57" s="632">
        <f t="shared" si="243"/>
        <v>0.9167219294636233</v>
      </c>
      <c r="AA57" s="629">
        <f t="shared" si="244"/>
        <v>0.38605276247658737</v>
      </c>
      <c r="AB57" s="629">
        <f t="shared" si="245"/>
        <v>-0.10287938872625313</v>
      </c>
      <c r="AC57" s="636">
        <f t="shared" si="416"/>
        <v>1</v>
      </c>
      <c r="AD57" s="637">
        <f t="shared" si="417"/>
        <v>0.9167219294636233</v>
      </c>
      <c r="AE57" s="629">
        <f t="shared" si="418"/>
        <v>0.38605276247658737</v>
      </c>
      <c r="AF57" s="633">
        <f t="shared" si="419"/>
        <v>-0.10287938872625313</v>
      </c>
      <c r="AG57" s="602">
        <f t="shared" si="420"/>
        <v>75.078007415694515</v>
      </c>
      <c r="AH57" s="603">
        <f t="shared" si="421"/>
        <v>23.548540359395709</v>
      </c>
      <c r="AI57" s="585">
        <f t="shared" si="422"/>
        <v>-84.094997227393932</v>
      </c>
      <c r="AJ57" s="586">
        <f t="shared" si="423"/>
        <v>112.83708265678048</v>
      </c>
      <c r="AK57" s="635">
        <f t="shared" si="424"/>
        <v>0.87897132862122385</v>
      </c>
      <c r="AL57" s="629">
        <f t="shared" si="425"/>
        <v>-0.46564496651113207</v>
      </c>
      <c r="AM57" s="634">
        <f t="shared" si="426"/>
        <v>-0.10287938872625313</v>
      </c>
      <c r="AN57" s="581">
        <f t="shared" si="427"/>
        <v>-77.541244629978038</v>
      </c>
      <c r="AO57" s="582">
        <f t="shared" si="461"/>
        <v>28.481476699448052</v>
      </c>
      <c r="AP57" s="585">
        <f t="shared" si="428"/>
        <v>-27.912910015827173</v>
      </c>
      <c r="AQ57" s="586">
        <f t="shared" si="246"/>
        <v>0.48780967621431826</v>
      </c>
      <c r="AS57" s="52">
        <f t="shared" si="406"/>
        <v>-308.88000738081371</v>
      </c>
      <c r="AT57" s="72">
        <f t="shared" si="247"/>
        <v>-1.4066485066205778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>Gage</v>
      </c>
      <c r="IG57" s="847">
        <f t="shared" si="210"/>
        <v>5.2279999999999998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0.128</v>
      </c>
      <c r="II57" s="734" cm="1">
        <f t="array" ref="II57">IFERROR(ROUND(VALUE(IF($IH57&lt;1,$IH57+LARGE((IF($M$9:$M$150="",0,$M$9:$M$150)-MOD(IF($M$9:$M$150="",0,$M$9:$M$150),1)),1),$IH57)),4),"")</f>
        <v>5.1280000000000001</v>
      </c>
      <c r="IJ57" s="533">
        <f t="shared" si="112"/>
        <v>1613</v>
      </c>
      <c r="IK57" s="533">
        <f t="shared" si="382"/>
        <v>1313</v>
      </c>
      <c r="IL57" s="727">
        <f t="shared" si="225"/>
        <v>14.189997951217777</v>
      </c>
      <c r="IM57" s="759">
        <v>3.2394742289723502E-3</v>
      </c>
      <c r="IN57" s="5">
        <f t="shared" si="226"/>
        <v>0.1</v>
      </c>
      <c r="IO57" s="771">
        <v>50</v>
      </c>
      <c r="IP57" s="9">
        <f t="shared" si="227"/>
        <v>-4.6177139270252052</v>
      </c>
      <c r="IQ57" s="5">
        <f t="shared" si="228"/>
        <v>-1.6448049607317616</v>
      </c>
      <c r="IR57" s="5">
        <f t="shared" si="383"/>
        <v>0.314</v>
      </c>
      <c r="IS57" s="5">
        <f t="shared" si="229"/>
        <v>0.2967528680501928</v>
      </c>
      <c r="IT57" s="727">
        <f t="shared" si="230"/>
        <v>85.446253479445389</v>
      </c>
      <c r="IU57" s="9">
        <f t="shared" si="231"/>
        <v>-4.6732807074323226</v>
      </c>
      <c r="IV57" s="5">
        <f t="shared" si="232"/>
        <v>-1.6214054561534892</v>
      </c>
      <c r="IW57" s="5">
        <f t="shared" si="384"/>
        <v>0.26600000000000001</v>
      </c>
      <c r="IX57" s="5">
        <f t="shared" si="233"/>
        <v>0.23380637341324556</v>
      </c>
      <c r="IY57" s="762">
        <f t="shared" si="234"/>
        <v>77.541244629978038</v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0.90630781366099944</v>
      </c>
      <c r="F154" s="170">
        <f t="shared" si="929"/>
        <v>0.109381624738768</v>
      </c>
      <c r="G154" s="170">
        <f t="shared" si="929"/>
        <v>-0.40821784266066352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0.97508183710772722</v>
      </c>
      <c r="F157" s="170">
        <f t="shared" si="929"/>
        <v>-4.9568437488503723E-2</v>
      </c>
      <c r="G157" s="170">
        <f t="shared" si="929"/>
        <v>-0.21623686306355838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0.96685928649355213</v>
      </c>
      <c r="F158" s="170">
        <f t="shared" si="929"/>
        <v>-0.17727857247269524</v>
      </c>
      <c r="G158" s="170">
        <f t="shared" si="929"/>
        <v>-0.18372650288737044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0.94819011720557955</v>
      </c>
      <c r="F159" s="170">
        <f t="shared" si="929"/>
        <v>-0.28993209586882596</v>
      </c>
      <c r="G159" s="170">
        <f t="shared" si="929"/>
        <v>-0.12990335414753257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0.92999354619332397</v>
      </c>
      <c r="F160" s="170">
        <f t="shared" si="929"/>
        <v>-0.36488492237760228</v>
      </c>
      <c r="G160" s="170">
        <f t="shared" si="929"/>
        <v>-4.4395917157517659E-2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0.83619049385616684</v>
      </c>
      <c r="F161" s="170">
        <f t="shared" si="929"/>
        <v>-0.54843911055336581</v>
      </c>
      <c r="G161" s="170">
        <f t="shared" si="929"/>
        <v>-1.1339743340279487E-7</v>
      </c>
      <c r="H161" s="139"/>
      <c r="I161" s="86"/>
      <c r="J161" s="79">
        <f t="shared" si="930"/>
        <v>1.1319999999999999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0.81661676730024035</v>
      </c>
      <c r="F162" s="170">
        <f t="shared" si="929"/>
        <v>-0.46656427610969653</v>
      </c>
      <c r="G162" s="170">
        <f t="shared" si="929"/>
        <v>-0.3397864500275723</v>
      </c>
      <c r="H162" s="139"/>
      <c r="I162" s="86"/>
      <c r="J162" s="79">
        <f t="shared" si="930"/>
        <v>1.2170000000000001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0.75815040889891772</v>
      </c>
      <c r="F163" s="170">
        <f t="shared" si="929"/>
        <v>-0.59900581158908439</v>
      </c>
      <c r="G163" s="170">
        <f t="shared" si="929"/>
        <v>-0.25768196516036274</v>
      </c>
      <c r="H163" s="139"/>
      <c r="I163" s="86"/>
      <c r="J163" s="79">
        <f t="shared" si="930"/>
        <v>1.222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0.71012052961721495</v>
      </c>
      <c r="F164" s="170">
        <f t="shared" si="929"/>
        <v>-0.69182075928023223</v>
      </c>
      <c r="G164" s="170">
        <f t="shared" si="929"/>
        <v>-0.13081617042663043</v>
      </c>
      <c r="H164" s="139"/>
      <c r="I164" s="86"/>
      <c r="J164" s="79">
        <f t="shared" si="930"/>
        <v>1.2270000000000001</v>
      </c>
    </row>
    <row r="165" spans="5:16" x14ac:dyDescent="0.25">
      <c r="E165" s="170">
        <f t="shared" si="929"/>
        <v>0.13420301969909798</v>
      </c>
      <c r="F165" s="170">
        <f t="shared" si="929"/>
        <v>-0.95890018556216505</v>
      </c>
      <c r="G165" s="170">
        <f t="shared" si="929"/>
        <v>-0.24999996726497561</v>
      </c>
      <c r="H165" s="139"/>
      <c r="I165" s="86"/>
      <c r="J165" s="79">
        <f t="shared" si="930"/>
        <v>2.1030000000000002</v>
      </c>
    </row>
    <row r="166" spans="5:16" x14ac:dyDescent="0.25">
      <c r="E166" s="170">
        <f t="shared" si="929"/>
        <v>0.13420301969909798</v>
      </c>
      <c r="F166" s="170">
        <f t="shared" si="929"/>
        <v>-0.95890018556216505</v>
      </c>
      <c r="G166" s="170">
        <f t="shared" si="929"/>
        <v>-0.24999996726497564</v>
      </c>
      <c r="H166" s="139"/>
      <c r="I166" s="86"/>
      <c r="J166" s="79">
        <f t="shared" si="930"/>
        <v>2.1059999999999999</v>
      </c>
    </row>
    <row r="167" spans="5:16" x14ac:dyDescent="0.25">
      <c r="E167" s="170">
        <f t="shared" si="929"/>
        <v>5.0273504304695613E-2</v>
      </c>
      <c r="F167" s="170">
        <f t="shared" si="929"/>
        <v>-0.97261890225501635</v>
      </c>
      <c r="G167" s="170">
        <f t="shared" si="929"/>
        <v>-0.22690316379718625</v>
      </c>
      <c r="H167" s="139"/>
      <c r="I167" s="86"/>
      <c r="J167" s="79">
        <f t="shared" si="930"/>
        <v>2.1110000000000002</v>
      </c>
    </row>
    <row r="168" spans="5:16" x14ac:dyDescent="0.25">
      <c r="E168" s="170">
        <f t="shared" si="929"/>
        <v>-8.3352269197518966E-2</v>
      </c>
      <c r="F168" s="170">
        <f t="shared" si="929"/>
        <v>-0.97870426249506626</v>
      </c>
      <c r="G168" s="170">
        <f t="shared" si="929"/>
        <v>-0.18759095338958345</v>
      </c>
      <c r="H168" s="139"/>
      <c r="I168" s="86"/>
      <c r="J168" s="79">
        <f t="shared" si="930"/>
        <v>2.1160000000000001</v>
      </c>
    </row>
    <row r="169" spans="5:16" x14ac:dyDescent="0.25">
      <c r="E169" s="170">
        <f t="shared" si="929"/>
        <v>-0.20673610852361551</v>
      </c>
      <c r="F169" s="170">
        <f t="shared" si="929"/>
        <v>-0.96693696807152874</v>
      </c>
      <c r="G169" s="170">
        <f t="shared" si="929"/>
        <v>-0.14930867760834082</v>
      </c>
      <c r="H169" s="139"/>
      <c r="I169" s="86"/>
      <c r="J169" s="79">
        <f t="shared" si="930"/>
        <v>2.121</v>
      </c>
    </row>
    <row r="170" spans="5:16" x14ac:dyDescent="0.25">
      <c r="E170" s="170">
        <f t="shared" si="929"/>
        <v>-0.29296010641369608</v>
      </c>
      <c r="F170" s="170">
        <f t="shared" si="929"/>
        <v>-0.95377088551485267</v>
      </c>
      <c r="G170" s="170">
        <f t="shared" si="929"/>
        <v>-6.7048295983491601E-2</v>
      </c>
      <c r="H170" s="139"/>
      <c r="I170" s="86"/>
      <c r="J170" s="79">
        <f t="shared" si="930"/>
        <v>2.1259999999999999</v>
      </c>
    </row>
    <row r="171" spans="5:16" x14ac:dyDescent="0.25">
      <c r="E171" s="170">
        <f t="shared" si="929"/>
        <v>-0.48877404258325319</v>
      </c>
      <c r="F171" s="170">
        <f t="shared" si="929"/>
        <v>-0.87241041677458864</v>
      </c>
      <c r="G171" s="170">
        <f t="shared" si="929"/>
        <v>-1.1339743347903692E-7</v>
      </c>
      <c r="H171" s="139"/>
      <c r="I171" s="86"/>
      <c r="J171" s="79">
        <f t="shared" si="930"/>
        <v>2.1309999999999998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-0.37862722730376219</v>
      </c>
      <c r="F172" s="170">
        <f t="shared" si="929"/>
        <v>-0.85785267637827289</v>
      </c>
      <c r="G172" s="170">
        <f t="shared" si="929"/>
        <v>-0.34746252801546718</v>
      </c>
      <c r="H172" s="139"/>
      <c r="I172" s="86"/>
      <c r="J172" s="79">
        <f t="shared" si="930"/>
        <v>2.2160000000000002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-0.5227741365700499</v>
      </c>
      <c r="F173" s="170">
        <f t="shared" si="929"/>
        <v>-0.80391224242347514</v>
      </c>
      <c r="G173" s="170">
        <f t="shared" si="929"/>
        <v>-0.28360590370282984</v>
      </c>
      <c r="H173" s="139"/>
      <c r="I173" s="86"/>
      <c r="J173" s="79">
        <f t="shared" si="930"/>
        <v>2.2210000000000001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-0.62969715726056874</v>
      </c>
      <c r="F174" s="170">
        <f t="shared" si="933"/>
        <v>-0.75969988363636243</v>
      </c>
      <c r="G174" s="170">
        <f t="shared" si="933"/>
        <v>-0.16228856072088443</v>
      </c>
      <c r="H174" s="139"/>
      <c r="I174" s="86"/>
      <c r="J174" s="79">
        <f t="shared" si="930"/>
        <v>2.226</v>
      </c>
    </row>
    <row r="175" spans="5:16" x14ac:dyDescent="0.25">
      <c r="E175" s="170">
        <f t="shared" si="933"/>
        <v>-0.87930731430801035</v>
      </c>
      <c r="F175" s="170">
        <f t="shared" si="933"/>
        <v>-0.4100282489890052</v>
      </c>
      <c r="G175" s="170">
        <f t="shared" si="933"/>
        <v>-0.24227150479460904</v>
      </c>
      <c r="H175" s="139"/>
      <c r="I175" s="86"/>
      <c r="J175" s="79">
        <f t="shared" si="930"/>
        <v>3.11</v>
      </c>
    </row>
    <row r="176" spans="5:16" x14ac:dyDescent="0.25">
      <c r="E176" s="170">
        <f t="shared" si="933"/>
        <v>-0.93969927833898781</v>
      </c>
      <c r="F176" s="170">
        <f t="shared" si="933"/>
        <v>-0.27907569291277984</v>
      </c>
      <c r="G176" s="170">
        <f t="shared" si="933"/>
        <v>-0.19769173962115244</v>
      </c>
      <c r="H176" s="139"/>
      <c r="I176" s="86"/>
      <c r="J176" s="79">
        <f t="shared" si="930"/>
        <v>3.1150000000000002</v>
      </c>
    </row>
    <row r="177" spans="5:10" x14ac:dyDescent="0.25">
      <c r="E177" s="170">
        <f t="shared" si="933"/>
        <v>-0.97451954904954052</v>
      </c>
      <c r="F177" s="170">
        <f t="shared" si="933"/>
        <v>-0.16367761786449381</v>
      </c>
      <c r="G177" s="170">
        <f t="shared" si="933"/>
        <v>-0.15336650850327455</v>
      </c>
      <c r="H177" s="139"/>
      <c r="I177" s="86"/>
      <c r="J177" s="79">
        <f t="shared" si="930"/>
        <v>3.12</v>
      </c>
    </row>
    <row r="178" spans="5:10" x14ac:dyDescent="0.25">
      <c r="E178" s="170">
        <f t="shared" si="933"/>
        <v>-0.99420052559627203</v>
      </c>
      <c r="F178" s="170">
        <f t="shared" si="933"/>
        <v>-5.9184232671835028E-2</v>
      </c>
      <c r="G178" s="170">
        <f t="shared" si="933"/>
        <v>-8.9791656110924323E-2</v>
      </c>
      <c r="H178" s="139"/>
      <c r="I178" s="86"/>
      <c r="J178" s="79">
        <f t="shared" si="930"/>
        <v>3.125</v>
      </c>
    </row>
    <row r="179" spans="5:10" x14ac:dyDescent="0.25">
      <c r="E179" s="170">
        <f t="shared" si="933"/>
        <v>-0.9869682274228575</v>
      </c>
      <c r="F179" s="170">
        <f t="shared" si="933"/>
        <v>0.16091525116585345</v>
      </c>
      <c r="G179" s="170">
        <f t="shared" si="933"/>
        <v>-1.133974332609181E-7</v>
      </c>
      <c r="H179" s="139"/>
      <c r="I179" s="86"/>
      <c r="J179" s="79">
        <f t="shared" si="930"/>
        <v>3.13</v>
      </c>
    </row>
    <row r="180" spans="5:10" x14ac:dyDescent="0.25">
      <c r="E180" s="170">
        <f t="shared" si="933"/>
        <v>-0.93228462541754842</v>
      </c>
      <c r="F180" s="170">
        <f t="shared" si="933"/>
        <v>3.3005559337451675E-2</v>
      </c>
      <c r="G180" s="170">
        <f t="shared" si="933"/>
        <v>-0.36021661575069464</v>
      </c>
      <c r="H180" s="139"/>
      <c r="I180" s="86"/>
      <c r="J180" s="79">
        <f t="shared" si="930"/>
        <v>3.2149999999999999</v>
      </c>
    </row>
    <row r="181" spans="5:10" x14ac:dyDescent="0.25">
      <c r="E181" s="170">
        <f t="shared" si="933"/>
        <v>-0.93805219674010643</v>
      </c>
      <c r="F181" s="170">
        <f t="shared" si="933"/>
        <v>0.18263765818369551</v>
      </c>
      <c r="G181" s="170">
        <f t="shared" si="933"/>
        <v>-0.29445128969701645</v>
      </c>
      <c r="H181" s="139"/>
      <c r="I181" s="86"/>
      <c r="J181" s="79">
        <f t="shared" si="930"/>
        <v>3.22</v>
      </c>
    </row>
    <row r="182" spans="5:10" x14ac:dyDescent="0.25">
      <c r="E182" s="170">
        <f t="shared" si="933"/>
        <v>-0.92820020462809971</v>
      </c>
      <c r="F182" s="170">
        <f t="shared" si="933"/>
        <v>0.31784336240031619</v>
      </c>
      <c r="G182" s="170">
        <f t="shared" si="933"/>
        <v>-0.19344243874190342</v>
      </c>
      <c r="H182" s="139"/>
      <c r="I182" s="86"/>
      <c r="J182" s="79">
        <f t="shared" si="930"/>
        <v>3.2250000000000001</v>
      </c>
    </row>
    <row r="183" spans="5:10" x14ac:dyDescent="0.25">
      <c r="E183" s="170">
        <f t="shared" si="933"/>
        <v>-0.7901560729257654</v>
      </c>
      <c r="F183" s="170">
        <f t="shared" si="933"/>
        <v>0.53970981315380562</v>
      </c>
      <c r="G183" s="170">
        <f t="shared" si="933"/>
        <v>-0.29045946017304536</v>
      </c>
      <c r="H183" s="139"/>
      <c r="I183" s="86"/>
      <c r="J183" s="79">
        <f t="shared" si="930"/>
        <v>4.1020000000000003</v>
      </c>
    </row>
    <row r="184" spans="5:10" x14ac:dyDescent="0.25">
      <c r="E184" s="170">
        <f t="shared" si="933"/>
        <v>-0.79282162582830418</v>
      </c>
      <c r="F184" s="170">
        <f t="shared" si="933"/>
        <v>0.55581821307553037</v>
      </c>
      <c r="G184" s="170">
        <f t="shared" si="933"/>
        <v>-0.24999996726497575</v>
      </c>
      <c r="H184" s="139"/>
      <c r="I184" s="86"/>
      <c r="J184" s="79">
        <f t="shared" si="930"/>
        <v>4.1050000000000004</v>
      </c>
    </row>
    <row r="185" spans="5:10" x14ac:dyDescent="0.25">
      <c r="E185" s="170">
        <f t="shared" si="933"/>
        <v>-0.78450058560344549</v>
      </c>
      <c r="F185" s="170">
        <f t="shared" si="933"/>
        <v>0.56600733760928701</v>
      </c>
      <c r="G185" s="170">
        <f t="shared" si="933"/>
        <v>-0.25336638482698848</v>
      </c>
      <c r="H185" s="139"/>
      <c r="I185" s="86"/>
      <c r="J185" s="79">
        <f t="shared" si="930"/>
        <v>4.109</v>
      </c>
    </row>
    <row r="186" spans="5:10" x14ac:dyDescent="0.25">
      <c r="E186" s="170">
        <f t="shared" si="933"/>
        <v>-0.69202477592074008</v>
      </c>
      <c r="F186" s="170">
        <f t="shared" si="933"/>
        <v>0.69188356578967647</v>
      </c>
      <c r="G186" s="170">
        <f t="shared" si="933"/>
        <v>-0.20590978826178194</v>
      </c>
      <c r="H186" s="139"/>
      <c r="I186" s="86"/>
      <c r="J186" s="79">
        <f t="shared" si="930"/>
        <v>4.1139999999999999</v>
      </c>
    </row>
    <row r="187" spans="5:10" x14ac:dyDescent="0.25">
      <c r="E187" s="170">
        <f t="shared" si="933"/>
        <v>-0.60213053760403412</v>
      </c>
      <c r="F187" s="170">
        <f t="shared" si="933"/>
        <v>0.78005780304431072</v>
      </c>
      <c r="G187" s="170">
        <f t="shared" si="933"/>
        <v>-0.17014299748846659</v>
      </c>
      <c r="H187" s="139"/>
      <c r="I187" s="86"/>
      <c r="J187" s="79">
        <f t="shared" si="930"/>
        <v>4.1189999999999998</v>
      </c>
    </row>
    <row r="188" spans="5:10" x14ac:dyDescent="0.25">
      <c r="E188" s="170">
        <f t="shared" si="933"/>
        <v>-0.52384387840068536</v>
      </c>
      <c r="F188" s="170">
        <f t="shared" si="933"/>
        <v>0.84583076777825827</v>
      </c>
      <c r="G188" s="170">
        <f t="shared" si="933"/>
        <v>-0.10078642439222786</v>
      </c>
      <c r="H188" s="139"/>
      <c r="I188" s="86"/>
      <c r="J188" s="79">
        <f t="shared" si="930"/>
        <v>4.1239999999999997</v>
      </c>
    </row>
    <row r="189" spans="5:10" x14ac:dyDescent="0.25">
      <c r="E189" s="170">
        <f t="shared" si="933"/>
        <v>-0.48201090758435039</v>
      </c>
      <c r="F189" s="170">
        <f t="shared" si="933"/>
        <v>0.87615803646380486</v>
      </c>
      <c r="G189" s="170">
        <f t="shared" si="933"/>
        <v>-3.5468450207384317E-3</v>
      </c>
      <c r="H189" s="139"/>
      <c r="I189" s="86"/>
      <c r="J189" s="79">
        <f t="shared" si="930"/>
        <v>4.1289999999999996</v>
      </c>
    </row>
    <row r="190" spans="5:10" x14ac:dyDescent="0.25">
      <c r="E190" s="170">
        <f t="shared" si="933"/>
        <v>-0.3046978113719892</v>
      </c>
      <c r="F190" s="170">
        <f t="shared" si="933"/>
        <v>0.95244907672017132</v>
      </c>
      <c r="G190" s="170">
        <f t="shared" si="933"/>
        <v>-1.1339743330832071E-7</v>
      </c>
      <c r="H190" s="139"/>
      <c r="I190" s="86"/>
      <c r="J190" s="79">
        <f t="shared" si="930"/>
        <v>4.1340000000000003</v>
      </c>
    </row>
    <row r="191" spans="5:10" x14ac:dyDescent="0.25">
      <c r="E191" s="170">
        <f t="shared" si="933"/>
        <v>-0.28501250673904105</v>
      </c>
      <c r="F191" s="170">
        <f t="shared" si="933"/>
        <v>0.90473617355430802</v>
      </c>
      <c r="G191" s="170">
        <f t="shared" si="933"/>
        <v>-0.31657594233396402</v>
      </c>
      <c r="H191" s="139"/>
      <c r="I191" s="86"/>
      <c r="J191" s="79">
        <f t="shared" si="930"/>
        <v>4.2190000000000003</v>
      </c>
    </row>
    <row r="192" spans="5:10" x14ac:dyDescent="0.25">
      <c r="E192" s="170">
        <f t="shared" si="933"/>
        <v>-0.16609555617687893</v>
      </c>
      <c r="F192" s="170">
        <f t="shared" si="933"/>
        <v>0.96278884479503435</v>
      </c>
      <c r="G192" s="170">
        <f t="shared" si="933"/>
        <v>-0.21318983689786075</v>
      </c>
      <c r="H192" s="139"/>
      <c r="I192" s="86"/>
      <c r="J192" s="79">
        <f t="shared" si="930"/>
        <v>4.2240000000000002</v>
      </c>
    </row>
    <row r="193" spans="5:10" x14ac:dyDescent="0.25">
      <c r="E193" s="170">
        <f t="shared" si="933"/>
        <v>-9.5891619750756024E-2</v>
      </c>
      <c r="F193" s="170">
        <f t="shared" si="933"/>
        <v>0.99285758222134324</v>
      </c>
      <c r="G193" s="170">
        <f t="shared" si="933"/>
        <v>-7.0983228210368052E-2</v>
      </c>
      <c r="H193" s="139"/>
      <c r="I193" s="86"/>
      <c r="J193" s="79">
        <f t="shared" si="930"/>
        <v>4.2290000000000001</v>
      </c>
    </row>
    <row r="194" spans="5:10" x14ac:dyDescent="0.25">
      <c r="E194" s="170">
        <f t="shared" ref="E194:G213" si="934">E49*-1</f>
        <v>0.29973282096519765</v>
      </c>
      <c r="F194" s="170">
        <f t="shared" si="934"/>
        <v>0.92068466502041624</v>
      </c>
      <c r="G194" s="170">
        <f t="shared" si="934"/>
        <v>-0.24999996726497575</v>
      </c>
      <c r="H194" s="139"/>
      <c r="I194" s="86"/>
      <c r="J194" s="79">
        <f t="shared" si="930"/>
        <v>5.1079999999999997</v>
      </c>
    </row>
    <row r="195" spans="5:10" x14ac:dyDescent="0.25">
      <c r="E195" s="170">
        <f t="shared" si="934"/>
        <v>0.43557398145363385</v>
      </c>
      <c r="F195" s="170">
        <f t="shared" si="934"/>
        <v>0.87479607875950816</v>
      </c>
      <c r="G195" s="170">
        <f t="shared" si="934"/>
        <v>-0.21214883282171976</v>
      </c>
      <c r="H195" s="139"/>
      <c r="I195" s="86"/>
      <c r="J195" s="79">
        <f t="shared" si="930"/>
        <v>5.1130000000000004</v>
      </c>
    </row>
    <row r="196" spans="5:10" x14ac:dyDescent="0.25">
      <c r="E196" s="170">
        <f t="shared" si="934"/>
        <v>0.54622170985371021</v>
      </c>
      <c r="F196" s="170">
        <f t="shared" si="934"/>
        <v>0.82018153969346208</v>
      </c>
      <c r="G196" s="170">
        <f t="shared" si="934"/>
        <v>-0.17012961420796574</v>
      </c>
      <c r="H196" s="139"/>
      <c r="I196" s="86"/>
      <c r="J196" s="79">
        <f t="shared" si="930"/>
        <v>5.1180000000000003</v>
      </c>
    </row>
    <row r="197" spans="5:10" x14ac:dyDescent="0.25">
      <c r="E197" s="170">
        <f t="shared" si="934"/>
        <v>0.64466210843717153</v>
      </c>
      <c r="F197" s="170">
        <f t="shared" si="934"/>
        <v>0.7546374695434177</v>
      </c>
      <c r="G197" s="170">
        <f t="shared" si="934"/>
        <v>-0.12220088177442839</v>
      </c>
      <c r="H197" s="139"/>
      <c r="I197" s="86"/>
      <c r="J197" s="79">
        <f t="shared" si="930"/>
        <v>5.1230000000000002</v>
      </c>
    </row>
    <row r="198" spans="5:10" x14ac:dyDescent="0.25">
      <c r="E198" s="170">
        <f t="shared" si="934"/>
        <v>0.69545800761309073</v>
      </c>
      <c r="F198" s="170">
        <f t="shared" si="934"/>
        <v>0.71809798533378622</v>
      </c>
      <c r="G198" s="170">
        <f t="shared" si="934"/>
        <v>-2.5950782384886649E-2</v>
      </c>
      <c r="H198" s="139"/>
      <c r="I198" s="86"/>
      <c r="J198" s="79">
        <f t="shared" si="930"/>
        <v>5.1280000000000001</v>
      </c>
    </row>
    <row r="199" spans="5:10" x14ac:dyDescent="0.25">
      <c r="E199" s="170">
        <f t="shared" si="934"/>
        <v>0.82174645851615025</v>
      </c>
      <c r="F199" s="170">
        <f t="shared" si="934"/>
        <v>0.56985327753392112</v>
      </c>
      <c r="G199" s="170">
        <f t="shared" si="934"/>
        <v>-1.1339743357710306E-7</v>
      </c>
      <c r="H199" s="139"/>
      <c r="I199" s="86"/>
      <c r="J199" s="79">
        <f t="shared" si="930"/>
        <v>5.133</v>
      </c>
    </row>
    <row r="200" spans="5:10" x14ac:dyDescent="0.25">
      <c r="E200" s="170">
        <f t="shared" si="934"/>
        <v>0.76011349977019382</v>
      </c>
      <c r="F200" s="170">
        <f t="shared" si="934"/>
        <v>0.56431604374820477</v>
      </c>
      <c r="G200" s="170">
        <f t="shared" si="934"/>
        <v>-0.32214107194749647</v>
      </c>
      <c r="H200" s="139"/>
      <c r="I200" s="86"/>
      <c r="J200" s="79">
        <f t="shared" si="930"/>
        <v>5.218</v>
      </c>
    </row>
    <row r="201" spans="5:10" x14ac:dyDescent="0.25">
      <c r="E201" s="170">
        <f t="shared" si="934"/>
        <v>0.85814906262302215</v>
      </c>
      <c r="F201" s="170">
        <f t="shared" si="934"/>
        <v>0.45271423990272541</v>
      </c>
      <c r="G201" s="170">
        <f t="shared" si="934"/>
        <v>-0.24213633207043955</v>
      </c>
      <c r="H201" s="139"/>
      <c r="I201" s="86"/>
      <c r="J201" s="79">
        <f t="shared" si="930"/>
        <v>5.2229999999999999</v>
      </c>
    </row>
    <row r="202" spans="5:10" x14ac:dyDescent="0.25">
      <c r="E202" s="170">
        <f t="shared" si="934"/>
        <v>0.9167219294636233</v>
      </c>
      <c r="F202" s="170">
        <f t="shared" si="934"/>
        <v>0.38605276247658737</v>
      </c>
      <c r="G202" s="170">
        <f t="shared" si="934"/>
        <v>-0.10287938872625313</v>
      </c>
      <c r="H202" s="139"/>
      <c r="I202" s="86"/>
      <c r="J202" s="79">
        <f t="shared" si="930"/>
        <v>5.2279999999999998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80EC812-B309-4F3A-B04E-7EA52F826E06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46483500-C86F-4457-9E6B-02E79F33A5CC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9.875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1308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1.1319999999999999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1.2170000000000001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1.222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1.2270000000000001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2.1030000000000002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2.1059999999999999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2.1110000000000002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2.1160000000000001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2.121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2.1259999999999999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2.1309999999999998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2.2160000000000002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2.2210000000000001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2.226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3.1150000000000002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3.125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3.13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3.2149999999999999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3.22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3.2250000000000001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4.1020000000000003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4.1050000000000004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4.109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4.1139999999999999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4.1189999999999998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4.1239999999999997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4.1289999999999996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4.1340000000000003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4.2190000000000003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4.2240000000000002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4.2290000000000001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5.1079999999999997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5.1130000000000004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5.1180000000000003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5.1230000000000002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5.1280000000000001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5.133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5.218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5.2229999999999999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5.2279999999999998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2023-03-29T12:50:14Z</dcterms:modified>
</cp:coreProperties>
</file>