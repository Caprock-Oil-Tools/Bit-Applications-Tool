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90\"/>
    </mc:Choice>
  </mc:AlternateContent>
  <xr:revisionPtr revIDLastSave="0" documentId="13_ncr:1_{71F450D3-E5B5-4209-B202-4F005A6D3810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15" i="1" l="1"/>
  <c r="IG4" i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W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R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K83" i="1"/>
  <c r="IW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K122" i="1"/>
  <c r="IW122" i="1"/>
  <c r="IR122" i="1"/>
  <c r="IN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R121" i="1"/>
  <c r="IW121" i="1"/>
  <c r="IK121" i="1"/>
  <c r="IN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W14" i="1"/>
  <c r="IN14" i="1"/>
  <c r="IR14" i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R120" i="1"/>
  <c r="IW120" i="1"/>
  <c r="IN120" i="1"/>
  <c r="IK120" i="1"/>
  <c r="IN75" i="1"/>
  <c r="IW75" i="1"/>
  <c r="IK75" i="1"/>
  <c r="IR75" i="1"/>
  <c r="IK107" i="1"/>
  <c r="IW107" i="1"/>
  <c r="IN107" i="1"/>
  <c r="IR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Q49" i="1"/>
  <c r="IW49" i="1"/>
  <c r="IP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K119" i="1"/>
  <c r="IW119" i="1"/>
  <c r="IR119" i="1"/>
  <c r="IN119" i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28" i="1"/>
  <c r="IF9" i="1"/>
  <c r="IF147" i="1"/>
  <c r="IF142" i="1"/>
  <c r="IF143" i="1"/>
  <c r="IF137" i="1"/>
  <c r="IF135" i="1"/>
  <c r="IF109" i="1"/>
  <c r="IF145" i="1"/>
  <c r="IF13" i="1"/>
  <c r="IF108" i="1"/>
  <c r="IF131" i="1"/>
  <c r="IF123" i="1"/>
  <c r="IF141" i="1"/>
  <c r="IF124" i="1"/>
  <c r="IF146" i="1"/>
  <c r="IF11" i="1"/>
  <c r="IF134" i="1"/>
  <c r="IF82" i="1"/>
  <c r="IF12" i="1"/>
  <c r="IF133" i="1"/>
  <c r="IF149" i="1"/>
  <c r="IF130" i="1"/>
  <c r="IF132" i="1"/>
  <c r="IF110" i="1"/>
  <c r="IF125" i="1"/>
  <c r="IF144" i="1"/>
  <c r="IF139" i="1"/>
  <c r="IF126" i="1"/>
  <c r="IF140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V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Q89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V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IV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113" i="1" l="1"/>
  <c r="IV106" i="1"/>
  <c r="IV113" i="1"/>
  <c r="IQ120" i="1"/>
  <c r="IQ75" i="1"/>
  <c r="IV69" i="1"/>
  <c r="IV81" i="1"/>
  <c r="IQ88" i="1"/>
  <c r="IQ77" i="1"/>
  <c r="IV71" i="1"/>
  <c r="IV62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R91" i="1" s="1"/>
  <c r="X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2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AF86" i="1" s="1"/>
  <c r="AM86" i="1" s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8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V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IQ19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1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IQ107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6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IQ69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5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V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5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90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Q87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P90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IQ73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IV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IQ37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4" i="1" l="1"/>
  <c r="IQ112" i="1"/>
  <c r="IV105" i="1"/>
  <c r="IQ111" i="1"/>
  <c r="IV104" i="1"/>
  <c r="IQ98" i="1"/>
  <c r="IV89" i="1"/>
  <c r="IV99" i="1"/>
  <c r="IQ106" i="1"/>
  <c r="AQ121" i="1"/>
  <c r="IU121" i="1"/>
  <c r="IE121" i="1" s="1"/>
  <c r="IQ92" i="1"/>
  <c r="IV96" i="1"/>
  <c r="IQ103" i="1"/>
  <c r="IQ114" i="1"/>
  <c r="IV107" i="1"/>
  <c r="IQ57" i="1"/>
  <c r="IQ78" i="1"/>
  <c r="IV72" i="1"/>
  <c r="IQ91" i="1"/>
  <c r="IQ20" i="1"/>
  <c r="IV115" i="1"/>
  <c r="IQ122" i="1"/>
  <c r="IQ56" i="1"/>
  <c r="IV98" i="1"/>
  <c r="IQ105" i="1"/>
  <c r="IV114" i="1"/>
  <c r="IQ121" i="1"/>
  <c r="IV112" i="1"/>
  <c r="IQ119" i="1"/>
  <c r="IV97" i="1"/>
  <c r="IQ104" i="1"/>
  <c r="IQ47" i="1"/>
  <c r="IQ99" i="1"/>
  <c r="IV92" i="1"/>
  <c r="AQ91" i="1"/>
  <c r="IU91" i="1"/>
  <c r="IE91" i="1" s="1"/>
  <c r="R90" i="1"/>
  <c r="X90" i="1" s="1"/>
  <c r="IU90" i="1" s="1"/>
  <c r="IE90" i="1" s="1"/>
  <c r="IV25" i="1"/>
  <c r="IQ32" i="1"/>
  <c r="IQ93" i="1"/>
  <c r="IV84" i="1"/>
  <c r="IV78" i="1"/>
  <c r="IQ85" i="1"/>
  <c r="IQ76" i="1"/>
  <c r="IV70" i="1"/>
  <c r="IQ59" i="1"/>
  <c r="IV56" i="1"/>
  <c r="IV77" i="1"/>
  <c r="IQ84" i="1"/>
  <c r="IQ96" i="1"/>
  <c r="IV87" i="1"/>
  <c r="Q98" i="1"/>
  <c r="IV76" i="1"/>
  <c r="IQ83" i="1"/>
  <c r="IV64" i="1"/>
  <c r="IQ71" i="1"/>
  <c r="AE69" i="1"/>
  <c r="Q114" i="1"/>
  <c r="Q91" i="1"/>
  <c r="IV61" i="1"/>
  <c r="IQ68" i="1"/>
  <c r="AD86" i="1"/>
  <c r="AH86" i="1" s="1"/>
  <c r="IQ95" i="1"/>
  <c r="IV86" i="1"/>
  <c r="IV63" i="1"/>
  <c r="IQ70" i="1"/>
  <c r="IQ97" i="1"/>
  <c r="IV88" i="1"/>
  <c r="IQ102" i="1"/>
  <c r="V97" i="1"/>
  <c r="IQ94" i="1"/>
  <c r="IV85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Q18" i="1"/>
  <c r="IQ23" i="1"/>
  <c r="IV54" i="1"/>
  <c r="IQ63" i="1"/>
  <c r="IQ42" i="1"/>
  <c r="IV39" i="1"/>
  <c r="IQ36" i="1"/>
  <c r="IQ39" i="1"/>
  <c r="IQ100" i="1"/>
  <c r="IV79" i="1"/>
  <c r="AQ90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P120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AI47" i="1" s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8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7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AM108" i="1" s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U14" i="1" s="1"/>
  <c r="IE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6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IP107" i="1" s="1"/>
  <c r="R108" i="1"/>
  <c r="X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IP73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R84" i="1"/>
  <c r="X84" i="1" s="1"/>
  <c r="IU84" i="1" s="1"/>
  <c r="IE84" i="1" s="1"/>
  <c r="Q84" i="1"/>
  <c r="R83" i="1"/>
  <c r="X83" i="1" s="1"/>
  <c r="Q83" i="1"/>
  <c r="R81" i="1"/>
  <c r="X81" i="1" s="1"/>
  <c r="IP89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IP71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C121" i="1"/>
  <c r="AD121" i="1"/>
  <c r="AH121" i="1" s="1"/>
  <c r="AF121" i="1"/>
  <c r="AE121" i="1"/>
  <c r="AM120" i="1"/>
  <c r="V120" i="1"/>
  <c r="R120" i="1"/>
  <c r="X120" i="1" s="1"/>
  <c r="AE120" i="1"/>
  <c r="AJ119" i="1"/>
  <c r="R119" i="1"/>
  <c r="X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IP122" i="1" s="1"/>
  <c r="V114" i="1"/>
  <c r="R114" i="1"/>
  <c r="X114" i="1" s="1"/>
  <c r="IP121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P119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P106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7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4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IP72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1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14" i="1" l="1"/>
  <c r="IP20" i="1"/>
  <c r="IP15" i="1"/>
  <c r="IP19" i="1"/>
  <c r="IU15" i="1"/>
  <c r="IE15" i="1" s="1"/>
  <c r="AQ73" i="1"/>
  <c r="IU73" i="1"/>
  <c r="IE73" i="1" s="1"/>
  <c r="AQ103" i="1"/>
  <c r="IU103" i="1"/>
  <c r="IE103" i="1" s="1"/>
  <c r="IP117" i="1"/>
  <c r="IP55" i="1"/>
  <c r="IP69" i="1"/>
  <c r="AQ119" i="1"/>
  <c r="IU119" i="1"/>
  <c r="IE119" i="1" s="1"/>
  <c r="AQ122" i="1"/>
  <c r="IU122" i="1"/>
  <c r="IE122" i="1" s="1"/>
  <c r="IP85" i="1"/>
  <c r="IP57" i="1"/>
  <c r="AQ120" i="1"/>
  <c r="IU120" i="1"/>
  <c r="IE120" i="1" s="1"/>
  <c r="IP56" i="1"/>
  <c r="IU86" i="1"/>
  <c r="IE86" i="1" s="1"/>
  <c r="IP91" i="1"/>
  <c r="IP47" i="1"/>
  <c r="AQ92" i="1"/>
  <c r="IU92" i="1"/>
  <c r="IE92" i="1" s="1"/>
  <c r="IU87" i="1"/>
  <c r="IE87" i="1" s="1"/>
  <c r="IP92" i="1"/>
  <c r="IU25" i="1"/>
  <c r="IE25" i="1" s="1"/>
  <c r="IP32" i="1"/>
  <c r="IP59" i="1"/>
  <c r="IU56" i="1"/>
  <c r="IE56" i="1" s="1"/>
  <c r="AJ111" i="1"/>
  <c r="IP99" i="1"/>
  <c r="AQ68" i="1"/>
  <c r="IU68" i="1"/>
  <c r="IE68" i="1" s="1"/>
  <c r="AI108" i="1"/>
  <c r="AQ83" i="1"/>
  <c r="IU83" i="1"/>
  <c r="IE83" i="1" s="1"/>
  <c r="AG97" i="1"/>
  <c r="IP102" i="1"/>
  <c r="IP88" i="1"/>
  <c r="IU61" i="1"/>
  <c r="IE61" i="1" s="1"/>
  <c r="IP68" i="1"/>
  <c r="AQ20" i="1"/>
  <c r="IU20" i="1"/>
  <c r="IE20" i="1" s="1"/>
  <c r="AG108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W15" i="1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IL121" i="1" s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IL119" i="1" s="1"/>
  <c r="W103" i="1"/>
  <c r="W101" i="1"/>
  <c r="W123" i="1"/>
  <c r="W120" i="1"/>
  <c r="W129" i="1"/>
  <c r="W133" i="1"/>
  <c r="W106" i="1"/>
  <c r="W93" i="1"/>
  <c r="W118" i="1"/>
  <c r="W135" i="1"/>
  <c r="W115" i="1"/>
  <c r="IL122" i="1" s="1"/>
  <c r="W113" i="1"/>
  <c r="IL120" i="1" s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IL90" i="1" s="1"/>
  <c r="W79" i="1"/>
  <c r="W80" i="1"/>
  <c r="IL87" i="1" s="1"/>
  <c r="W77" i="1"/>
  <c r="W78" i="1"/>
  <c r="IL85" i="1" s="1"/>
  <c r="W75" i="1"/>
  <c r="W76" i="1"/>
  <c r="W73" i="1"/>
  <c r="W74" i="1"/>
  <c r="W71" i="1"/>
  <c r="W72" i="1"/>
  <c r="W69" i="1"/>
  <c r="W70" i="1"/>
  <c r="W67" i="1"/>
  <c r="W68" i="1"/>
  <c r="W65" i="1"/>
  <c r="W66" i="1"/>
  <c r="IL72" i="1" s="1"/>
  <c r="W63" i="1"/>
  <c r="W64" i="1"/>
  <c r="W61" i="1"/>
  <c r="W62" i="1"/>
  <c r="IL69" i="1" s="1"/>
  <c r="W59" i="1"/>
  <c r="W60" i="1"/>
  <c r="W57" i="1"/>
  <c r="W58" i="1"/>
  <c r="W55" i="1"/>
  <c r="W56" i="1"/>
  <c r="W53" i="1"/>
  <c r="W54" i="1"/>
  <c r="W51" i="1"/>
  <c r="W52" i="1"/>
  <c r="W49" i="1"/>
  <c r="IL56" i="1" s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3" i="1"/>
  <c r="IL15" i="1" s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4" i="1" l="1"/>
  <c r="IL73" i="1"/>
  <c r="IL106" i="1"/>
  <c r="IL105" i="1"/>
  <c r="IL71" i="1"/>
  <c r="IL103" i="1"/>
  <c r="IL107" i="1"/>
  <c r="IL88" i="1"/>
  <c r="IL89" i="1"/>
  <c r="IL38" i="1"/>
  <c r="IL70" i="1"/>
  <c r="IL86" i="1"/>
  <c r="IL92" i="1"/>
  <c r="IL91" i="1"/>
  <c r="IL21" i="1"/>
  <c r="IL68" i="1"/>
  <c r="IL84" i="1"/>
  <c r="IL20" i="1"/>
  <c r="IL57" i="1"/>
  <c r="IL83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7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IY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IY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Y120" i="1" s="1"/>
  <c r="U120" i="1"/>
  <c r="T114" i="1"/>
  <c r="U114" i="1"/>
  <c r="AL114" i="1"/>
  <c r="AN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IY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IT92" i="1" s="1"/>
  <c r="U85" i="1"/>
  <c r="AL86" i="1"/>
  <c r="AN86" i="1" s="1"/>
  <c r="IT91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IT89" i="1" s="1"/>
  <c r="AK81" i="1"/>
  <c r="T81" i="1"/>
  <c r="AL79" i="1"/>
  <c r="AN79" i="1" s="1"/>
  <c r="U80" i="1"/>
  <c r="AL80" i="1"/>
  <c r="AN80" i="1" s="1"/>
  <c r="IT87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T73" i="1" s="1"/>
  <c r="T67" i="1"/>
  <c r="T66" i="1"/>
  <c r="AK66" i="1"/>
  <c r="U66" i="1"/>
  <c r="AL66" i="1"/>
  <c r="AN66" i="1" s="1"/>
  <c r="IT72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IT38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Y14" i="1" s="1"/>
  <c r="T14" i="1"/>
  <c r="AK13" i="1"/>
  <c r="U13" i="1"/>
  <c r="AL13" i="1"/>
  <c r="AN13" i="1" s="1"/>
  <c r="IT15" i="1" s="1"/>
  <c r="AK12" i="1"/>
  <c r="U12" i="1"/>
  <c r="AL12" i="1"/>
  <c r="AN12" i="1" s="1"/>
  <c r="IT14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9" i="1" l="1"/>
  <c r="IY15" i="1"/>
  <c r="IY98" i="1"/>
  <c r="IT105" i="1"/>
  <c r="IY113" i="1"/>
  <c r="IT120" i="1"/>
  <c r="IT98" i="1"/>
  <c r="IY89" i="1"/>
  <c r="IF89" i="1" s="1"/>
  <c r="IT111" i="1"/>
  <c r="IY104" i="1"/>
  <c r="IT86" i="1"/>
  <c r="IY97" i="1"/>
  <c r="IT104" i="1"/>
  <c r="IT112" i="1"/>
  <c r="IY105" i="1"/>
  <c r="IY114" i="1"/>
  <c r="IT121" i="1"/>
  <c r="IY99" i="1"/>
  <c r="IT106" i="1"/>
  <c r="IY112" i="1"/>
  <c r="IT119" i="1"/>
  <c r="IT114" i="1"/>
  <c r="IY107" i="1"/>
  <c r="IY96" i="1"/>
  <c r="IT103" i="1"/>
  <c r="IT113" i="1"/>
  <c r="IY106" i="1"/>
  <c r="IY115" i="1"/>
  <c r="IT122" i="1"/>
  <c r="IT78" i="1"/>
  <c r="IY72" i="1"/>
  <c r="IT20" i="1"/>
  <c r="IT32" i="1"/>
  <c r="IT99" i="1"/>
  <c r="IS94" i="1"/>
  <c r="IX85" i="1"/>
  <c r="IY49" i="1"/>
  <c r="IT56" i="1"/>
  <c r="IT76" i="1"/>
  <c r="IY70" i="1"/>
  <c r="IT77" i="1"/>
  <c r="IY71" i="1"/>
  <c r="IY62" i="1"/>
  <c r="IT69" i="1"/>
  <c r="IY64" i="1"/>
  <c r="IT71" i="1"/>
  <c r="IX71" i="1"/>
  <c r="IY63" i="1"/>
  <c r="IT70" i="1"/>
  <c r="IT75" i="1"/>
  <c r="IY69" i="1"/>
  <c r="IX49" i="1"/>
  <c r="IY77" i="1"/>
  <c r="IT84" i="1"/>
  <c r="IY81" i="1"/>
  <c r="IT88" i="1"/>
  <c r="IT97" i="1"/>
  <c r="IY88" i="1"/>
  <c r="IY61" i="1"/>
  <c r="IT68" i="1"/>
  <c r="IY76" i="1"/>
  <c r="IT83" i="1"/>
  <c r="IT95" i="1"/>
  <c r="IY86" i="1"/>
  <c r="IT49" i="1"/>
  <c r="IY38" i="1"/>
  <c r="IY78" i="1"/>
  <c r="IT85" i="1"/>
  <c r="IT93" i="1"/>
  <c r="IY84" i="1"/>
  <c r="IT94" i="1"/>
  <c r="IY85" i="1"/>
  <c r="IY50" i="1"/>
  <c r="IT57" i="1"/>
  <c r="IT96" i="1"/>
  <c r="IY87" i="1"/>
  <c r="IY36" i="1"/>
  <c r="IT37" i="1"/>
  <c r="IT31" i="1"/>
  <c r="IT47" i="1"/>
  <c r="IT48" i="1"/>
  <c r="IT50" i="1"/>
  <c r="IY41" i="1"/>
  <c r="IT64" i="1"/>
  <c r="IY55" i="1"/>
  <c r="IX41" i="1"/>
  <c r="IX55" i="1"/>
  <c r="IT52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Y22" i="1"/>
  <c r="IY33" i="1"/>
  <c r="IT40" i="1"/>
  <c r="IT53" i="1"/>
  <c r="IT58" i="1"/>
  <c r="IY54" i="1"/>
  <c r="IT63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IX120" i="1" s="1"/>
  <c r="IF120" i="1" s="1"/>
  <c r="AP120" i="1"/>
  <c r="AO102" i="1"/>
  <c r="AP102" i="1"/>
  <c r="AO101" i="1"/>
  <c r="AP101" i="1"/>
  <c r="AO128" i="1"/>
  <c r="AP128" i="1"/>
  <c r="AO122" i="1"/>
  <c r="IX122" i="1" s="1"/>
  <c r="IF122" i="1" s="1"/>
  <c r="AP122" i="1"/>
  <c r="BA77" i="7"/>
  <c r="BA81" i="7"/>
  <c r="AO98" i="1"/>
  <c r="AP98" i="1"/>
  <c r="AO106" i="1"/>
  <c r="AP106" i="1"/>
  <c r="AO119" i="1"/>
  <c r="IX119" i="1" s="1"/>
  <c r="IF119" i="1" s="1"/>
  <c r="AP119" i="1"/>
  <c r="AP94" i="1"/>
  <c r="AO94" i="1"/>
  <c r="IX94" i="1" s="1"/>
  <c r="IF94" i="1" s="1"/>
  <c r="AO114" i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IX121" i="1" s="1"/>
  <c r="IF121" i="1" s="1"/>
  <c r="AP107" i="1"/>
  <c r="AO107" i="1"/>
  <c r="AP100" i="1"/>
  <c r="AO100" i="1"/>
  <c r="IS107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X90" i="1" s="1"/>
  <c r="IF90" i="1" s="1"/>
  <c r="AP90" i="1"/>
  <c r="AO87" i="1"/>
  <c r="AP87" i="1"/>
  <c r="AO88" i="1"/>
  <c r="AP88" i="1"/>
  <c r="AP86" i="1"/>
  <c r="AO86" i="1"/>
  <c r="IS91" i="1" s="1"/>
  <c r="AP85" i="1"/>
  <c r="AP84" i="1"/>
  <c r="AO84" i="1"/>
  <c r="AP83" i="1"/>
  <c r="AO83" i="1"/>
  <c r="IX83" i="1" s="1"/>
  <c r="IF83" i="1" s="1"/>
  <c r="AO81" i="1"/>
  <c r="IS89" i="1" s="1"/>
  <c r="AP81" i="1"/>
  <c r="AO82" i="1"/>
  <c r="IS90" i="1" s="1"/>
  <c r="AP82" i="1"/>
  <c r="AO79" i="1"/>
  <c r="AP79" i="1"/>
  <c r="AP80" i="1"/>
  <c r="AO80" i="1"/>
  <c r="IS87" i="1" s="1"/>
  <c r="AO77" i="1"/>
  <c r="AP77" i="1"/>
  <c r="AP78" i="1"/>
  <c r="AO78" i="1"/>
  <c r="AO75" i="1"/>
  <c r="IX75" i="1" s="1"/>
  <c r="IF75" i="1" s="1"/>
  <c r="AP75" i="1"/>
  <c r="AO76" i="1"/>
  <c r="AP76" i="1"/>
  <c r="AP73" i="1"/>
  <c r="AO73" i="1"/>
  <c r="IX73" i="1" s="1"/>
  <c r="IF73" i="1" s="1"/>
  <c r="AP74" i="1"/>
  <c r="AO74" i="1"/>
  <c r="AP71" i="1"/>
  <c r="AO72" i="1"/>
  <c r="AP72" i="1"/>
  <c r="AO69" i="1"/>
  <c r="IS77" i="1" s="1"/>
  <c r="AP69" i="1"/>
  <c r="AP70" i="1"/>
  <c r="AO70" i="1"/>
  <c r="AO67" i="1"/>
  <c r="IS73" i="1" s="1"/>
  <c r="AP67" i="1"/>
  <c r="AO68" i="1"/>
  <c r="IX68" i="1" s="1"/>
  <c r="IF68" i="1" s="1"/>
  <c r="AP68" i="1"/>
  <c r="AO65" i="1"/>
  <c r="AP65" i="1"/>
  <c r="AP66" i="1"/>
  <c r="AO66" i="1"/>
  <c r="IS72" i="1" s="1"/>
  <c r="AO63" i="1"/>
  <c r="AP63" i="1"/>
  <c r="AO64" i="1"/>
  <c r="AP64" i="1"/>
  <c r="AP62" i="1"/>
  <c r="AO62" i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8" i="1" s="1"/>
  <c r="AN47" i="1"/>
  <c r="IT54" i="1" s="1"/>
  <c r="AP47" i="1"/>
  <c r="AO48" i="1"/>
  <c r="IS55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8" i="1" s="1"/>
  <c r="AP31" i="1"/>
  <c r="AO32" i="1"/>
  <c r="IX32" i="1" s="1"/>
  <c r="IF32" i="1" s="1"/>
  <c r="AP32" i="1"/>
  <c r="AO29" i="1"/>
  <c r="IS32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IX15" i="1" s="1"/>
  <c r="AO16" i="1"/>
  <c r="AP16" i="1"/>
  <c r="AO13" i="1"/>
  <c r="IS15" i="1" s="1"/>
  <c r="AP13" i="1"/>
  <c r="AO14" i="1"/>
  <c r="IX14" i="1" s="1"/>
  <c r="IF14" i="1" s="1"/>
  <c r="AP14" i="1"/>
  <c r="AP11" i="1"/>
  <c r="AO12" i="1"/>
  <c r="IS14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F15" i="1" l="1"/>
  <c r="IS111" i="1"/>
  <c r="IX104" i="1"/>
  <c r="IS113" i="1"/>
  <c r="IX106" i="1"/>
  <c r="IF71" i="1"/>
  <c r="IS20" i="1"/>
  <c r="IX112" i="1"/>
  <c r="IF112" i="1" s="1"/>
  <c r="IS119" i="1"/>
  <c r="IX96" i="1"/>
  <c r="IF96" i="1" s="1"/>
  <c r="IS103" i="1"/>
  <c r="IX97" i="1"/>
  <c r="IF97" i="1" s="1"/>
  <c r="IS104" i="1"/>
  <c r="IX114" i="1"/>
  <c r="IF114" i="1" s="1"/>
  <c r="IS121" i="1"/>
  <c r="IX98" i="1"/>
  <c r="IF98" i="1" s="1"/>
  <c r="IS105" i="1"/>
  <c r="IS112" i="1"/>
  <c r="IX105" i="1"/>
  <c r="IF105" i="1" s="1"/>
  <c r="IF106" i="1"/>
  <c r="IS78" i="1"/>
  <c r="IX72" i="1"/>
  <c r="IF72" i="1" s="1"/>
  <c r="IS92" i="1"/>
  <c r="IX99" i="1"/>
  <c r="IF99" i="1" s="1"/>
  <c r="IS106" i="1"/>
  <c r="IX115" i="1"/>
  <c r="IF115" i="1" s="1"/>
  <c r="IS122" i="1"/>
  <c r="IS86" i="1"/>
  <c r="IS114" i="1"/>
  <c r="IX107" i="1"/>
  <c r="IF107" i="1" s="1"/>
  <c r="IT55" i="1"/>
  <c r="IS56" i="1"/>
  <c r="IF104" i="1"/>
  <c r="IX113" i="1"/>
  <c r="IF113" i="1" s="1"/>
  <c r="IS120" i="1"/>
  <c r="IF49" i="1"/>
  <c r="IS34" i="1"/>
  <c r="IS64" i="1"/>
  <c r="IS98" i="1"/>
  <c r="IX91" i="1"/>
  <c r="IF91" i="1" s="1"/>
  <c r="IX63" i="1"/>
  <c r="IF63" i="1" s="1"/>
  <c r="IS70" i="1"/>
  <c r="IX78" i="1"/>
  <c r="IF78" i="1" s="1"/>
  <c r="IS85" i="1"/>
  <c r="IS99" i="1"/>
  <c r="IS76" i="1"/>
  <c r="IX70" i="1"/>
  <c r="IF70" i="1" s="1"/>
  <c r="IS95" i="1"/>
  <c r="IX86" i="1"/>
  <c r="IF86" i="1" s="1"/>
  <c r="IX64" i="1"/>
  <c r="IF64" i="1" s="1"/>
  <c r="IS71" i="1"/>
  <c r="IS96" i="1"/>
  <c r="IX87" i="1"/>
  <c r="IF87" i="1" s="1"/>
  <c r="IX61" i="1"/>
  <c r="IF61" i="1" s="1"/>
  <c r="IS68" i="1"/>
  <c r="IF85" i="1"/>
  <c r="IX50" i="1"/>
  <c r="IF50" i="1" s="1"/>
  <c r="IS57" i="1"/>
  <c r="IX62" i="1"/>
  <c r="IF62" i="1" s="1"/>
  <c r="IS69" i="1"/>
  <c r="IX77" i="1"/>
  <c r="IF77" i="1" s="1"/>
  <c r="IS84" i="1"/>
  <c r="IX81" i="1"/>
  <c r="IF81" i="1" s="1"/>
  <c r="IS88" i="1"/>
  <c r="IS93" i="1"/>
  <c r="IX84" i="1"/>
  <c r="IF84" i="1" s="1"/>
  <c r="IT60" i="1"/>
  <c r="IY57" i="1"/>
  <c r="IF57" i="1" s="1"/>
  <c r="IS75" i="1"/>
  <c r="IX69" i="1"/>
  <c r="IF69" i="1" s="1"/>
  <c r="IS97" i="1"/>
  <c r="IX88" i="1"/>
  <c r="IF88" i="1" s="1"/>
  <c r="IS49" i="1"/>
  <c r="IX38" i="1"/>
  <c r="IF38" i="1" s="1"/>
  <c r="IX76" i="1"/>
  <c r="IF76" i="1" s="1"/>
  <c r="IS83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<sst xmlns="http://schemas.openxmlformats.org/spreadsheetml/2006/main" count="736" uniqueCount="393">
  <si>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</si>
  <si>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</si>
  <si>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</si>
  <si>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</si>
  <si>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</si>
  <si>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</si>
  <si>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</si>
  <si>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</si>
  <si>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</si>
  <si>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</si>
  <si>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</si>
  <si>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</si>
  <si>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</si>
  <si>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</si>
  <si>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</si>
  <si>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</si>
  <si>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</si>
  <si>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</si>
  <si>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</si>
  <si>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</si>
  <si>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</si>
  <si>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</si>
  <si>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</si>
  <si>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</si>
  <si>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</si>
  <si>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</si>
  <si>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</si>
  <si>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</si>
  <si>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</si>
  <si>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</si>
  <si>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</si>
  <si>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</si>
  <si>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</si>
  <si>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</si>
  <si>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</si>
  <si>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</si>
  <si>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</si>
  <si>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</si>
  <si>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</si>
  <si>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</si>
  <si>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</si>
  <si>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</si>
  <si>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</si>
  <si>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</si>
  <si>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</si>
  <si>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</si>
  <si>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</si>
  <si>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</si>
  <si>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</si>
  <si>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</si>
  <si>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</si>
  <si>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</si>
  <si>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</si>
  <si>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</si>
  <si>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</si>
  <si>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</si>
  <si>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</si>
  <si>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</si>
  <si>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</si>
  <si>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</si>
  <si>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</si>
  <si>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</si>
  <si>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</si>
  <si>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</si>
  <si>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</si>
  <si>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</si>
  <si>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</si>
  <si>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</si>
  <si>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</si>
  <si>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</si>
  <si>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</si>
  <si>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</si>
  <si>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</si>
  <si>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</si>
  <si>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</si>
  <si>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</si>
  <si>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</si>
  <si>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</si>
  <si>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</si>
  <si>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</si>
  <si>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</si>
  <si>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</si>
  <si>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</si>
  <si>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</si>
  <si>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</si>
  <si>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</si>
  <si>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</si>
  <si>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</si>
  <si>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</si>
  <si>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</si>
  <si>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</si>
  <si>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</si>
  <si>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</si>
  <si>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</si>
  <si>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</si>
  <si>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</si>
  <si>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</si>
  <si>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</si>
  <si>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</si>
  <si>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</si>
  <si>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</si>
  <si>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</si>
  <si>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</si>
  <si>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</si>
  <si>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</si>
  <si>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</si>
  <si>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</si>
  <si>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</si>
  <si>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</si>
  <si>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</si>
  <si>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</si>
  <si>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</si>
  <si>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</si>
  <si>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</si>
  <si>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</si>
  <si>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</si>
  <si>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</si>
  <si>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</si>
  <si>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</si>
  <si>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</si>
  <si>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</si>
  <si>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</si>
  <si>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</si>
  <si>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</si>
  <si>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</si>
  <si>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</si>
  <si>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</si>
  <si>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</si>
  <si>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</si>
  <si>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</si>
  <si>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</si>
  <si>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</si>
  <si>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</si>
  <si>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</si>
  <si>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</si>
  <si>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</si>
  <si>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</si>
  <si>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</si>
  <si>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</si>
  <si>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</si>
  <si>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</si>
  <si>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</si>
  <si>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</si>
  <si>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</si>
  <si>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</si>
  <si>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</si>
  <si>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</si>
  <si>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</si>
  <si>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</si>
  <si>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</si>
  <si>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</si>
  <si>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</si>
  <si>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</si>
  <si>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</si>
  <si>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</si>
  <si>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</si>
  <si>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</si>
  <si>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</si>
  <si>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</si>
  <si>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</si>
  <si>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</si>
  <si>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</si>
  <si>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</si>
  <si>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</si>
  <si>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</si>
  <si>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</si>
  <si>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</si>
  <si>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</si>
  <si>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</si>
  <si>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</si>
  <si>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</si>
  <si>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</si>
  <si>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</si>
  <si>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</si>
  <si>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</si>
  <si>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</si>
  <si>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</si>
  <si>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</si>
  <si>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</si>
  <si>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</si>
  <si>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</si>
  <si>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</si>
  <si>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</si>
  <si>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</si>
  <si>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</si>
  <si>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</si>
  <si>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</si>
  <si>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</si>
  <si>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</si>
  <si>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</si>
  <si>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</si>
  <si>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</si>
  <si>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</si>
  <si>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</si>
  <si>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</si>
  <si>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</si>
  <si>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</si>
  <si>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</si>
  <si>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</si>
  <si>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</si>
  <si>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</si>
  <si>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</si>
  <si>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</si>
  <si>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</si>
  <si>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</si>
  <si>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</si>
  <si>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</si>
  <si>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</si>
  <si>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</si>
  <si>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</si>
  <si>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</si>
  <si>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</si>
  <si>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</si>
  <si>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</si>
  <si>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</si>
  <si>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</si>
  <si>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</si>
  <si>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</si>
  <si>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</si>
  <si>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</si>
  <si>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</si>
  <si>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</si>
  <si>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</si>
  <si>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</si>
  <si>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</si>
  <si>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</si>
  <si>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</si>
  <si>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</si>
  <si>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</si>
  <si>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</si>
  <si>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</si>
  <si>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</si>
  <si>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</si>
  <si>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</si>
  <si>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</si>
  <si>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</si>
  <si>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</si>
  <si>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</si>
  <si>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</si>
  <si>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</si>
  <si>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</si>
  <si>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</si>
  <si>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</si>
  <si>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</si>
  <si>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</si>
  <si>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</si>
  <si>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</si>
  <si>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</si>
  <si>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</si>
  <si>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</si>
  <si>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</si>
  <si>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</si>
  <si>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</si>
  <si>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</si>
  <si>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</si>
  <si>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</si>
  <si>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</si>
  <si>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</si>
  <si>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</si>
  <si>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</si>
  <si>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</si>
  <si>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</si>
  <si>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</si>
  <si>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</si>
  <si>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</si>
  <si>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</si>
  <si>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</si>
  <si>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</si>
  <si>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</si>
  <si>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</si>
  <si>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</si>
  <si>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</si>
  <si>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</si>
  <si>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</si>
  <si>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</si>
  <si>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</si>
  <si>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</si>
  <si>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</si>
  <si>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</si>
  <si>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</si>
  <si>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</si>
  <si>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</si>
  <si>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</si>
  <si>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</si>
  <si>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</si>
  <si>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</si>
  <si>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</si>
  <si>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</si>
  <si>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</si>
  <si>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</si>
  <si>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</si>
  <si>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</si>
  <si>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</si>
  <si>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</si>
  <si>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</si>
  <si>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</si>
  <si>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</si>
  <si>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</si>
  <si>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</si>
  <si>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</si>
  <si>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</si>
  <si>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</si>
  <si>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</si>
  <si>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</si>
  <si>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</si>
  <si>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</si>
  <si>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</si>
  <si>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</si>
  <si>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</si>
  <si>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</si>
  <si>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</si>
  <si>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</si>
  <si>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</si>
  <si>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</si>
  <si>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</si>
  <si>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</si>
  <si>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</si>
  <si>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</si>
  <si>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</si>
  <si>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</si>
  <si>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</si>
  <si>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</si>
  <si>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</si>
  <si>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</si>
  <si>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</si>
  <si>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</si>
  <si>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</si>
  <si>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</si>
  <si>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</si>
  <si>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</si>
  <si>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</si>
  <si>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</si>
  <si>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</si>
  <si>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</si>
  <si>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</si>
  <si>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</si>
  <si>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</si>
  <si>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</si>
  <si>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</si>
  <si>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</si>
  <si>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</si>
  <si>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</si>
  <si>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</si>
  <si>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</si>
  <si>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</si>
  <si>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</si>
  <si>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</si>
  <si>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</si>
  <si>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</si>
  <si>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</si>
  <si>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</si>
  <si>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</si>
  <si>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</si>
  <si>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</si>
  <si>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</si>
  <si>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</si>
  <si>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</si>
  <si>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</si>
  <si>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</si>
  <si>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</si>
  <si>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</si>
  <si>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</si>
  <si>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</si>
  <si>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</si>
  <si>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</si>
  <si>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</si>
  <si>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</si>
  <si>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</si>
  <si>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</si>
  <si>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</si>
  <si>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</si>
  <si>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</si>
  <si>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</si>
  <si>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</si>
  <si>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</si>
  <si>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</si>
  <si>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</si>
  <si>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</si>
  <si>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</si>
  <si>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</si>
  <si>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</si>
  <si>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</si>
  <si>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</si>
  <si>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</si>
  <si>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</si>
  <si>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</si>
  <si>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</si>
  <si>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</si>
  <si>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</si>
  <si>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</si>
  <si>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</si>
  <si>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old 2268</t>
  </si>
  <si>
    <t>new 2268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</si>
</sst>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3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6.125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3.0625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6.125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22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1.113's θ about Z Axis</v>
      </c>
      <c r="U5" s="1021"/>
      <c r="V5" s="1072"/>
      <c r="W5" s="1021" t="str">
        <f>CONCATENATE("Relative to ",M8,"'s θ about Z Axis")</f>
        <v>Relative to 1.113's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1.113's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>Inactive Element</v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1.113</v>
      </c>
      <c r="N8" s="608"/>
      <c r="O8" s="609"/>
      <c r="P8" s="619"/>
      <c r="Q8" s="611">
        <f>IFERROR(INDEX(Q$9:Q$150,MATCH($M$8,$M$9:$M$150,0)),"")</f>
        <v>88.930900154358923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-0.49350148840048841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0.34330103539592277</v>
      </c>
      <c r="D9" s="704">
        <v>-0.31630095396367724</v>
      </c>
      <c r="E9" s="705">
        <v>-0.95371696400905348</v>
      </c>
      <c r="F9" s="703">
        <v>-6.5084628803148761E-2</v>
      </c>
      <c r="G9" s="706">
        <v>0.29357783236291934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0.34330103539592277</v>
      </c>
      <c r="P9" s="625">
        <f t="shared" ref="P9:P40" si="4">IF(M9="","",D9)</f>
        <v>-0.31630095396367724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0.34330103539592277</v>
      </c>
      <c r="S9" s="626">
        <f>IF(M9="","",P9)</f>
        <v>-0.31630095396367724</v>
      </c>
      <c r="T9" s="627">
        <f>IF(M9="","",X9*COS(RADIANS(W9)))</f>
        <v>0.34324127357996514</v>
      </c>
      <c r="U9" s="624">
        <f>IF(M9="","",X9*SIN(RADIANS(W9)))</f>
        <v>6.4053895366440279E-3</v>
      </c>
      <c r="V9" s="628">
        <f>IF(M9="","",Y9)</f>
        <v>-0.31630095396367724</v>
      </c>
      <c r="W9" s="583">
        <f t="shared" ref="W9:W14" si="5">IF(M9="","",IF(Q9-$Q$8&lt;0,360+Q9-$Q$8,Q9-$Q$8))</f>
        <v>1.0690998456410767</v>
      </c>
      <c r="X9" s="629">
        <f>IF(M9="","",R9)</f>
        <v>0.34330103539592277</v>
      </c>
      <c r="Y9" s="630">
        <f>IF(M9="","",S9)</f>
        <v>-0.31630095396367724</v>
      </c>
      <c r="Z9" s="623">
        <f t="shared" ref="Z9:Z40" si="6">IF(M9="","",-E9)</f>
        <v>0.95371696400905348</v>
      </c>
      <c r="AA9" s="624">
        <f t="shared" ref="AA9:AA40" si="7">IF(M9="","",-F9)</f>
        <v>6.5084628803148761E-2</v>
      </c>
      <c r="AB9" s="624">
        <f t="shared" ref="AB9:AB40" si="8">IF(M9="","",-G9)</f>
        <v>-0.29357783236291934</v>
      </c>
      <c r="AC9" s="628">
        <f>IF(M9="","",SQRT(Z9^2+AA9^2+AB9^2))</f>
        <v>1</v>
      </c>
      <c r="AD9" s="631">
        <f>IF(M9="","",Z9*(1/SQRT(Z9^2+AA9^2+AB9^2)))</f>
        <v>0.95371696400905348</v>
      </c>
      <c r="AE9" s="624">
        <f>IF(M9="","",AA9*(1/SQRT(Z9^2+AA9^2+AB9^2)))</f>
        <v>6.5084628803148761E-2</v>
      </c>
      <c r="AF9" s="625">
        <f>IF(M9="","",AB9*(1/SQRT(Z9^2+AA9^2+AB9^2)))</f>
        <v>-0.29357783236291934</v>
      </c>
      <c r="AG9" s="599">
        <f>IF(M9="","",DEGREES(ATAN2(-AF9,AE9)))</f>
        <v>12.49999819522356</v>
      </c>
      <c r="AH9" s="600">
        <f>IF(M9="","",DEGREES(ACOS(AD9)))</f>
        <v>17.499997473312952</v>
      </c>
      <c r="AI9" s="583">
        <f>IF(M9="","",DEGREES(-ACOS(-AF9)))</f>
        <v>-72.927722444134986</v>
      </c>
      <c r="AJ9" s="601">
        <f>IF(M9="","",DEGREES(ATAN2(-AE9,AD9)))</f>
        <v>93.903990264240576</v>
      </c>
      <c r="AK9" s="627">
        <f>IF(M9="","",(COS(RADIANS((90-$Q$8)-W9))*AD9)+(-SIN(RADIANS((90-$Q$8)-W9))*AE9))</f>
        <v>0.95371696400905348</v>
      </c>
      <c r="AL9" s="624">
        <f>IF(M9="","",(SIN(RADIANS((90-$Q$8)-W9))*AD9)+(COS(RADIANS((90-$Q$8)-W9))*AE9))</f>
        <v>6.5084628803148761E-2</v>
      </c>
      <c r="AM9" s="626">
        <f>IF(M9="","",AF9)</f>
        <v>-0.29357783236291934</v>
      </c>
      <c r="AN9" s="581">
        <f>IF(M9="","",DEGREES(ATAN2(-AM9,AL9)))</f>
        <v>12.49999819522356</v>
      </c>
      <c r="AO9" s="582">
        <f>IF(ROUND(IF(M9="",0,DEGREES(ACOS(AK9))),4)=90,0,IF(M9="","",DEGREES(ACOS(AK9))))</f>
        <v>17.499997473312952</v>
      </c>
      <c r="AP9" s="781">
        <f>IF(M9="","",DEGREES(ATAN2(AK9,AL9)))</f>
        <v>3.9039902642405786</v>
      </c>
      <c r="AQ9" s="584">
        <f t="shared" ref="AQ9:AQ40" si="9">IF(M9="","",DEGREES(ATAN(($AS$5*SIN(RADIANS(90)))/(($X9*2*PI())-($AS$5*COS(RADIANS(90)))))))</f>
        <v>6.6111083349681117</v>
      </c>
      <c r="AS9" s="51">
        <f>IF(M9="","",W9)</f>
        <v>1.0690998456410767</v>
      </c>
      <c r="AT9" s="71">
        <f t="shared" ref="AT9:AT40" si="10">IF(M9="","",Y9+(((AS9-$AS$9)*$AS$6)*-1))</f>
        <v>-0.31630095396367724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17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1.0479031604759321</v>
      </c>
      <c r="D10" s="709">
        <v>-0.16010048286305631</v>
      </c>
      <c r="E10" s="710">
        <v>-0.95371696400905348</v>
      </c>
      <c r="F10" s="708">
        <v>-6.5084628803148761E-2</v>
      </c>
      <c r="G10" s="711">
        <v>0.29357783236291934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1.0479031604759321</v>
      </c>
      <c r="P10" s="633">
        <f t="shared" si="4"/>
        <v>-0.16010048286305631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1.0479031604759321</v>
      </c>
      <c r="S10" s="634">
        <f t="shared" ref="S10:S105" si="80">IF(M10="","",P10)</f>
        <v>-0.16010048286305631</v>
      </c>
      <c r="T10" s="635">
        <f t="shared" ref="T10:T105" si="81">IF(M10="","",X10*COS(RADIANS(W10)))</f>
        <v>1.0477207415800918</v>
      </c>
      <c r="U10" s="629">
        <f t="shared" ref="U10:U105" si="82">IF(M10="","",X10*SIN(RADIANS(W10)))</f>
        <v>1.9552017755459589E-2</v>
      </c>
      <c r="V10" s="636">
        <f>IF(M10="","",Y10)</f>
        <v>-0.16010048286305631</v>
      </c>
      <c r="W10" s="585">
        <f t="shared" si="5"/>
        <v>1.0690998456410767</v>
      </c>
      <c r="X10" s="629">
        <f t="shared" ref="X10:X105" si="83">IF(M10="","",R10)</f>
        <v>1.0479031604759321</v>
      </c>
      <c r="Y10" s="630">
        <f>IF(M10="","",S10)</f>
        <v>-0.16010048286305631</v>
      </c>
      <c r="Z10" s="632">
        <f t="shared" si="6"/>
        <v>0.95371696400905348</v>
      </c>
      <c r="AA10" s="629">
        <f t="shared" si="7"/>
        <v>6.5084628803148761E-2</v>
      </c>
      <c r="AB10" s="629">
        <f t="shared" si="8"/>
        <v>-0.29357783236291934</v>
      </c>
      <c r="AC10" s="636">
        <f t="shared" ref="AC10:AC105" si="84">IF(M10="","",SQRT(Z10^2+AA10^2+AB10^2))</f>
        <v>1</v>
      </c>
      <c r="AD10" s="637">
        <f>IF(M10="","",Z10*(1/SQRT(Z10^2+AA10^2+AB10^2)))</f>
        <v>0.95371696400905348</v>
      </c>
      <c r="AE10" s="629">
        <f t="shared" ref="AE10:AE105" si="85">IF(M10="","",AA10*(1/SQRT(Z10^2+AA10^2+AB10^2)))</f>
        <v>6.5084628803148761E-2</v>
      </c>
      <c r="AF10" s="633">
        <f t="shared" ref="AF10:AF105" si="86">IF(M10="","",AB10*(1/SQRT(Z10^2+AA10^2+AB10^2)))</f>
        <v>-0.29357783236291934</v>
      </c>
      <c r="AG10" s="602">
        <f t="shared" ref="AG10:AG105" si="87">IF(M10="","",DEGREES(ATAN2(-AF10,AE10)))</f>
        <v>12.49999819522356</v>
      </c>
      <c r="AH10" s="603">
        <f t="shared" ref="AH10:AH105" si="88">IF(M10="","",DEGREES(ACOS(AD10)))</f>
        <v>17.499997473312952</v>
      </c>
      <c r="AI10" s="585">
        <f t="shared" ref="AI10:AI105" si="89">IF(M10="","",DEGREES(-ACOS(-AF10)))</f>
        <v>-72.927722444134986</v>
      </c>
      <c r="AJ10" s="586">
        <f t="shared" ref="AJ10:AJ105" si="90">IF(M10="","",DEGREES(ATAN2(-AE10,AD10)))</f>
        <v>93.903990264240576</v>
      </c>
      <c r="AK10" s="635">
        <f>IF(M10="","",(COS(RADIANS((90-$Q$8)-W10))*AD10)+(-SIN(RADIANS((90-$Q$8)-W10))*AE10))</f>
        <v>0.95371696400905348</v>
      </c>
      <c r="AL10" s="629">
        <f t="shared" ref="AL10:AL105" si="91">IF(M10="","",(SIN(RADIANS((90-$Q$8)-W10))*AD10)+(COS(RADIANS((90-$Q$8)-W10))*AE10))</f>
        <v>6.5084628803148761E-2</v>
      </c>
      <c r="AM10" s="634">
        <f t="shared" ref="AM10:AM105" si="92">IF(M10="","",AF10)</f>
        <v>-0.29357783236291934</v>
      </c>
      <c r="AN10" s="581">
        <f t="shared" ref="AN10:AN105" si="93">IF(M10="","",DEGREES(ATAN2(-AM10,AL10)))</f>
        <v>12.49999819522356</v>
      </c>
      <c r="AO10" s="582">
        <f t="shared" ref="AO10:AO54" si="94">IF(ROUND(IF(M10="",0,DEGREES(ACOS(AK10))),4)=90,0,IF(M10="","",DEGREES(ACOS(AK10))))</f>
        <v>17.499997473312952</v>
      </c>
      <c r="AP10" s="585">
        <f t="shared" ref="AP10:AP105" si="95">IF(M10="","",DEGREES(ATAN2(AK10,AL10)))</f>
        <v>3.9039902642405786</v>
      </c>
      <c r="AQ10" s="586">
        <f t="shared" si="9"/>
        <v>2.174468115198283</v>
      </c>
      <c r="AS10" s="52">
        <f>IF($M10="","",IF(AND($W10&lt;($AS$9+180),$W10&gt;($AS$9-180)),$W10,IF($W10&gt;($AS$9+180),$W10-360,IF($W10&lt;($AS$9-180),$W10+360,"Error"))))</f>
        <v>1.0690998456410767</v>
      </c>
      <c r="AT10" s="72">
        <f t="shared" si="10"/>
        <v>-0.16010048286305631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5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5.355996177138716E-3</v>
      </c>
      <c r="C11" s="708">
        <v>1.8575978811054248</v>
      </c>
      <c r="D11" s="709">
        <v>-6.4000193024582167E-2</v>
      </c>
      <c r="E11" s="710">
        <v>-0.93913826552836133</v>
      </c>
      <c r="F11" s="708">
        <v>7.4174695122096165E-2</v>
      </c>
      <c r="G11" s="711">
        <v>0.3354361829378657</v>
      </c>
      <c r="H11" s="710">
        <v>0.314</v>
      </c>
      <c r="I11" s="708">
        <v>0.52</v>
      </c>
      <c r="J11" s="570">
        <v>1.1080000000000001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1.1080000000000001</v>
      </c>
      <c r="N11" s="632">
        <f t="shared" si="2"/>
        <v>5.355996177138716E-3</v>
      </c>
      <c r="O11" s="629">
        <f t="shared" si="3"/>
        <v>1.8575978811054248</v>
      </c>
      <c r="P11" s="633">
        <f t="shared" si="4"/>
        <v>-6.4000193024582167E-2</v>
      </c>
      <c r="Q11" s="585">
        <f t="shared" ref="Q11:Q73" si="113">IF(M11="","",IF(DEGREES(ATAN2(N11,O11))&lt;0,DEGREES(ATAN2(N11,O11))+360,IF(DEGREES(ATAN2(N11,O11))&gt;360,DEGREES(ATAN2(N11,O11))-360,DEGREES(ATAN2(N11,O11)))))</f>
        <v>89.834800023851926</v>
      </c>
      <c r="R11" s="629">
        <f t="shared" si="79"/>
        <v>1.8576056025384973</v>
      </c>
      <c r="S11" s="634">
        <f t="shared" si="80"/>
        <v>-6.4000193024582167E-2</v>
      </c>
      <c r="T11" s="635">
        <f t="shared" si="81"/>
        <v>1.857374444025679</v>
      </c>
      <c r="U11" s="629">
        <f t="shared" si="82"/>
        <v>2.9304423944402053E-2</v>
      </c>
      <c r="V11" s="636">
        <f t="shared" ref="V11:V105" si="114">IF(M11="","",Y11)</f>
        <v>-6.4000193024582167E-2</v>
      </c>
      <c r="W11" s="585">
        <f t="shared" si="5"/>
        <v>0.90389986949300294</v>
      </c>
      <c r="X11" s="629">
        <f>IF(M11="","",R11)</f>
        <v>1.8576056025384973</v>
      </c>
      <c r="Y11" s="630">
        <f>IF(M11="","",S11)</f>
        <v>-6.4000193024582167E-2</v>
      </c>
      <c r="Z11" s="632">
        <f t="shared" si="6"/>
        <v>0.93913826552836133</v>
      </c>
      <c r="AA11" s="629">
        <f t="shared" si="7"/>
        <v>-7.4174695122096165E-2</v>
      </c>
      <c r="AB11" s="629">
        <f t="shared" si="8"/>
        <v>-0.3354361829378657</v>
      </c>
      <c r="AC11" s="636">
        <f t="shared" si="84"/>
        <v>1</v>
      </c>
      <c r="AD11" s="637">
        <f t="shared" ref="AD11:AD105" si="115">IF(M11="","",Z11*(1/SQRT(Z11^2+AA11^2+AB11^2)))</f>
        <v>0.93913826552836133</v>
      </c>
      <c r="AE11" s="629">
        <f t="shared" si="85"/>
        <v>-7.4174695122096165E-2</v>
      </c>
      <c r="AF11" s="633">
        <f t="shared" si="86"/>
        <v>-0.3354361829378657</v>
      </c>
      <c r="AG11" s="602">
        <f>IF(M11="","",DEGREES(ATAN2(-AF11,AE11)))</f>
        <v>-12.469108980266508</v>
      </c>
      <c r="AH11" s="603">
        <f t="shared" si="88"/>
        <v>20.092660688837874</v>
      </c>
      <c r="AI11" s="585">
        <f t="shared" si="89"/>
        <v>-70.400935820680388</v>
      </c>
      <c r="AJ11" s="586">
        <f t="shared" si="90"/>
        <v>85.484059200497398</v>
      </c>
      <c r="AK11" s="635">
        <f>IF(M11="","",(COS(RADIANS((90-$Q$8)-W11))*AD11)+(-SIN(RADIANS((90-$Q$8)-W11))*AE11))</f>
        <v>0.93934822822965724</v>
      </c>
      <c r="AL11" s="629">
        <f t="shared" si="91"/>
        <v>-7.14665886822555E-2</v>
      </c>
      <c r="AM11" s="634">
        <f t="shared" si="92"/>
        <v>-0.3354361829378657</v>
      </c>
      <c r="AN11" s="581">
        <f>IF(M11="","",DEGREES(ATAN2(-AM11,AL11)))</f>
        <v>-12.027359164743469</v>
      </c>
      <c r="AO11" s="582">
        <f>IF(ROUND(IF(M11="",0,DEGREES(ACOS(AK11))),4)=90,0,IF(M11="","",DEGREES(ACOS(AK11))))</f>
        <v>20.057613634609702</v>
      </c>
      <c r="AP11" s="585">
        <f t="shared" si="95"/>
        <v>-4.3507408233545268</v>
      </c>
      <c r="AQ11" s="586">
        <f t="shared" si="9"/>
        <v>1.2270516877936148</v>
      </c>
      <c r="AS11" s="52">
        <f t="shared" ref="AS11:AS42" si="116">IF(G11="","",IF(AND(W11&lt;(AS10+180),W11&gt;(AS10-180)),W11,IF(W11&gt;(AS10+180),W11-360,IF(W11&lt;(AS10-180),W11+360,"Error"))))</f>
        <v>0.90389986949300294</v>
      </c>
      <c r="AT11" s="72">
        <f t="shared" si="10"/>
        <v>-6.3885470818923776E-2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1.1080000000000001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4.7936868038292661E-2</v>
      </c>
      <c r="C12" s="708">
        <v>2.5687605012573442</v>
      </c>
      <c r="D12" s="709">
        <v>-0.49350148840048841</v>
      </c>
      <c r="E12" s="710">
        <v>-0.91194882607087047</v>
      </c>
      <c r="F12" s="708">
        <v>0.34282152626963336</v>
      </c>
      <c r="G12" s="711">
        <v>0.2254389934197733</v>
      </c>
      <c r="H12" s="710">
        <v>0.314</v>
      </c>
      <c r="I12" s="708">
        <v>0.52</v>
      </c>
      <c r="J12" s="570">
        <v>1.113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1.113</v>
      </c>
      <c r="N12" s="632">
        <f t="shared" si="2"/>
        <v>4.7936868038292661E-2</v>
      </c>
      <c r="O12" s="629">
        <f t="shared" si="3"/>
        <v>2.5687605012573442</v>
      </c>
      <c r="P12" s="633">
        <f t="shared" si="4"/>
        <v>-0.49350148840048841</v>
      </c>
      <c r="Q12" s="585">
        <f>IF(M12="","",IF(DEGREES(ATAN2(N12,O12))&lt;0,DEGREES(ATAN2(N12,O12))+360,IF(DEGREES(ATAN2(N12,O12))&gt;360,DEGREES(ATAN2(N12,O12))-360,DEGREES(ATAN2(N12,O12)))))</f>
        <v>88.930900154358923</v>
      </c>
      <c r="R12" s="629">
        <f t="shared" si="79"/>
        <v>2.56920774873057</v>
      </c>
      <c r="S12" s="634">
        <f t="shared" si="80"/>
        <v>-0.49350148840048841</v>
      </c>
      <c r="T12" s="635">
        <f>IF(M12="","",X12*COS(RADIANS(W12)))</f>
        <v>2.56920774873057</v>
      </c>
      <c r="U12" s="629">
        <f t="shared" si="82"/>
        <v>0</v>
      </c>
      <c r="V12" s="636">
        <f t="shared" si="114"/>
        <v>-0.49350148840048841</v>
      </c>
      <c r="W12" s="585">
        <f>IF(M12="","",IF(Q12-$Q$8&lt;0,360+Q12-$Q$8,Q12-$Q$8))</f>
        <v>0</v>
      </c>
      <c r="X12" s="629">
        <f t="shared" si="83"/>
        <v>2.56920774873057</v>
      </c>
      <c r="Y12" s="630">
        <f>IF(M12="","",S12)</f>
        <v>-0.49350148840048841</v>
      </c>
      <c r="Z12" s="632">
        <f t="shared" si="6"/>
        <v>0.91194882607087047</v>
      </c>
      <c r="AA12" s="629">
        <f t="shared" si="7"/>
        <v>-0.34282152626963336</v>
      </c>
      <c r="AB12" s="629">
        <f t="shared" si="8"/>
        <v>-0.2254389934197733</v>
      </c>
      <c r="AC12" s="636">
        <f t="shared" si="84"/>
        <v>1</v>
      </c>
      <c r="AD12" s="637">
        <f t="shared" si="115"/>
        <v>0.91194882607087047</v>
      </c>
      <c r="AE12" s="629">
        <f t="shared" si="85"/>
        <v>-0.34282152626963336</v>
      </c>
      <c r="AF12" s="633">
        <f t="shared" si="86"/>
        <v>-0.2254389934197733</v>
      </c>
      <c r="AG12" s="602">
        <f t="shared" si="87"/>
        <v>-56.671131776225351</v>
      </c>
      <c r="AH12" s="603">
        <f t="shared" si="88"/>
        <v>24.223930448102294</v>
      </c>
      <c r="AI12" s="585">
        <f t="shared" si="89"/>
        <v>-76.9713061103174</v>
      </c>
      <c r="AJ12" s="586">
        <f t="shared" si="90"/>
        <v>69.397660520945621</v>
      </c>
      <c r="AK12" s="635">
        <f t="shared" ref="AK12:AK105" si="211">IF(M12="","",(COS(RADIANS((90-$Q$8)-W12))*AD12)+(-SIN(RADIANS((90-$Q$8)-W12))*AE12))</f>
        <v>0.91818651683963781</v>
      </c>
      <c r="AL12" s="629">
        <f>IF(M12="","",(SIN(RADIANS((90-$Q$8)-W12))*AD12)+(COS(RADIANS((90-$Q$8)-W12))*AE12))</f>
        <v>-0.3257464973561085</v>
      </c>
      <c r="AM12" s="634">
        <f t="shared" si="92"/>
        <v>-0.2254389934197733</v>
      </c>
      <c r="AN12" s="581">
        <f>IF(M12="","",DEGREES(ATAN2(-AM12,AL12)))</f>
        <v>-55.314099566934516</v>
      </c>
      <c r="AO12" s="582">
        <f t="shared" si="94"/>
        <v>23.337613374385203</v>
      </c>
      <c r="AP12" s="585">
        <f t="shared" si="95"/>
        <v>-19.533239633413299</v>
      </c>
      <c r="AQ12" s="586">
        <f t="shared" si="9"/>
        <v>0.88725577083633789</v>
      </c>
      <c r="AS12" s="52">
        <f t="shared" si="116"/>
        <v>0</v>
      </c>
      <c r="AT12" s="72">
        <f>IF(M12="","",Y12+(((AS12-$AS$9)*$AS$6)*-1))</f>
        <v>-0.49275905795212654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1.113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7.9401439236952254E-2</v>
      </c>
      <c r="C13" s="708">
        <v>2.8746122841532085</v>
      </c>
      <c r="D13" s="709">
        <v>-1.2311037130087985</v>
      </c>
      <c r="E13" s="710">
        <v>-0.8030027197374896</v>
      </c>
      <c r="F13" s="708">
        <v>0.59597536198586087</v>
      </c>
      <c r="G13" s="711">
        <v>1.3008419220134666E-7</v>
      </c>
      <c r="H13" s="710">
        <v>0.26600000000000001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1313</v>
      </c>
      <c r="L13" s="774" t="str">
        <f>IF($L12=$JH$22,$JH$29,IF($L12=$JI$22,$JI$29,""))</f>
        <v/>
      </c>
      <c r="M13" s="168">
        <f t="shared" si="1"/>
        <v>1.1180000000000001</v>
      </c>
      <c r="N13" s="632">
        <f t="shared" si="2"/>
        <v>7.9401439236952254E-2</v>
      </c>
      <c r="O13" s="629">
        <f t="shared" si="3"/>
        <v>2.8746122841532085</v>
      </c>
      <c r="P13" s="633">
        <f t="shared" si="4"/>
        <v>-1.2311037130087985</v>
      </c>
      <c r="Q13" s="585">
        <f t="shared" si="113"/>
        <v>88.417800228441379</v>
      </c>
      <c r="R13" s="629">
        <f t="shared" si="79"/>
        <v>2.8757086731373582</v>
      </c>
      <c r="S13" s="634">
        <f t="shared" si="80"/>
        <v>-1.2311037130087985</v>
      </c>
      <c r="T13" s="635">
        <f>IF(M13="","",X13*COS(RADIANS(W13)))</f>
        <v>2.8755933621666179</v>
      </c>
      <c r="U13" s="629">
        <f t="shared" si="82"/>
        <v>-2.5752441063147571E-2</v>
      </c>
      <c r="V13" s="636">
        <f t="shared" si="114"/>
        <v>-1.2311037130087985</v>
      </c>
      <c r="W13" s="585">
        <f t="shared" si="5"/>
        <v>359.48690007408243</v>
      </c>
      <c r="X13" s="629">
        <f t="shared" si="83"/>
        <v>2.8757086731373582</v>
      </c>
      <c r="Y13" s="630">
        <f>IF(M13="","",S13)</f>
        <v>-1.2311037130087985</v>
      </c>
      <c r="Z13" s="632">
        <f t="shared" si="6"/>
        <v>0.8030027197374896</v>
      </c>
      <c r="AA13" s="629">
        <f t="shared" si="7"/>
        <v>-0.59597536198586087</v>
      </c>
      <c r="AB13" s="629">
        <f t="shared" si="8"/>
        <v>-1.3008419220134666E-7</v>
      </c>
      <c r="AC13" s="636">
        <f t="shared" si="84"/>
        <v>1</v>
      </c>
      <c r="AD13" s="637">
        <f>IF(M13="","",Z13*(1/SQRT(Z13^2+AA13^2+AB13^2)))</f>
        <v>0.8030027197374896</v>
      </c>
      <c r="AE13" s="629">
        <f t="shared" si="85"/>
        <v>-0.59597536198586087</v>
      </c>
      <c r="AF13" s="633">
        <f t="shared" si="86"/>
        <v>-1.3008419220134666E-7</v>
      </c>
      <c r="AG13" s="602">
        <f>IF(M13="","",DEGREES(ATAN2(-AF13,AE13)))</f>
        <v>-89.999987493987717</v>
      </c>
      <c r="AH13" s="603">
        <f t="shared" si="88"/>
        <v>36.582194718184532</v>
      </c>
      <c r="AI13" s="585">
        <f t="shared" si="89"/>
        <v>-89.999992546724798</v>
      </c>
      <c r="AJ13" s="586">
        <f t="shared" si="90"/>
        <v>53.417805281816108</v>
      </c>
      <c r="AK13" s="635">
        <f t="shared" si="211"/>
        <v>0.81915209487729213</v>
      </c>
      <c r="AL13" s="629">
        <f t="shared" si="91"/>
        <v>-0.57357636410344437</v>
      </c>
      <c r="AM13" s="634">
        <f t="shared" si="92"/>
        <v>-1.3008419220134666E-7</v>
      </c>
      <c r="AN13" s="581">
        <f t="shared" si="93"/>
        <v>-89.999987005609611</v>
      </c>
      <c r="AO13" s="582">
        <f t="shared" si="94"/>
        <v>34.999994946625939</v>
      </c>
      <c r="AP13" s="585">
        <f t="shared" si="95"/>
        <v>-34.99999494662525</v>
      </c>
      <c r="AQ13" s="586">
        <f t="shared" si="9"/>
        <v>0.79270240192578856</v>
      </c>
      <c r="AS13" s="52">
        <f t="shared" si="116"/>
        <v>-0.51309992591757236</v>
      </c>
      <c r="AT13" s="72">
        <f t="shared" si="10"/>
        <v>-1.2300049631674383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0.87658753203087503</v>
      </c>
      <c r="C14" s="708">
        <v>1.6479277278021562</v>
      </c>
      <c r="D14" s="709">
        <v>-1.6115675284063904E-2</v>
      </c>
      <c r="E14" s="710">
        <v>6.1298231882969706E-2</v>
      </c>
      <c r="F14" s="708">
        <v>0.11523718467564427</v>
      </c>
      <c r="G14" s="711">
        <v>0.99144486384067432</v>
      </c>
      <c r="H14" s="710">
        <v>0.19500000000000001</v>
      </c>
      <c r="I14" s="708">
        <v>0.21199999999999999</v>
      </c>
      <c r="J14" s="570">
        <v>1.208</v>
      </c>
      <c r="K14" s="865" t="str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Inactive</v>
      </c>
      <c r="L14" s="776" t="s">
        <v>367</v>
      </c>
      <c r="M14" s="168">
        <f t="shared" si="1"/>
        <v>1.208</v>
      </c>
      <c r="N14" s="632">
        <f t="shared" si="2"/>
        <v>0.87658753203087503</v>
      </c>
      <c r="O14" s="629">
        <f t="shared" si="3"/>
        <v>1.6479277278021562</v>
      </c>
      <c r="P14" s="633">
        <f t="shared" si="4"/>
        <v>-1.6115675284063904E-2</v>
      </c>
      <c r="Q14" s="585">
        <f t="shared" si="113"/>
        <v>61.990004044143049</v>
      </c>
      <c r="R14" s="629">
        <f t="shared" si="79"/>
        <v>1.8665667674560045</v>
      </c>
      <c r="S14" s="634">
        <f t="shared" si="80"/>
        <v>-1.6115675284063904E-2</v>
      </c>
      <c r="T14" s="635">
        <f t="shared" si="81"/>
        <v>1.6639964281067758</v>
      </c>
      <c r="U14" s="629">
        <f t="shared" si="82"/>
        <v>-0.84568752185369822</v>
      </c>
      <c r="V14" s="636">
        <f t="shared" si="114"/>
        <v>-1.6115675284063904E-2</v>
      </c>
      <c r="W14" s="585">
        <f t="shared" si="5"/>
        <v>333.05910388978413</v>
      </c>
      <c r="X14" s="629">
        <f t="shared" si="83"/>
        <v>1.8665667674560045</v>
      </c>
      <c r="Y14" s="630">
        <f t="shared" ref="Y14:Y75" si="223">IF(M14="","",S14)</f>
        <v>-1.6115675284063904E-2</v>
      </c>
      <c r="Z14" s="632">
        <f t="shared" si="6"/>
        <v>-6.1298231882969706E-2</v>
      </c>
      <c r="AA14" s="629">
        <f t="shared" si="7"/>
        <v>-0.11523718467564427</v>
      </c>
      <c r="AB14" s="629">
        <f t="shared" si="8"/>
        <v>-0.99144486384067432</v>
      </c>
      <c r="AC14" s="636">
        <f t="shared" si="84"/>
        <v>1</v>
      </c>
      <c r="AD14" s="637">
        <f>IF(M14="","",Z14*(1/SQRT(Z14^2+AA14^2+AB14^2)))</f>
        <v>-6.1298231882969706E-2</v>
      </c>
      <c r="AE14" s="629">
        <f t="shared" si="85"/>
        <v>-0.11523718467564427</v>
      </c>
      <c r="AF14" s="633">
        <f t="shared" si="86"/>
        <v>-0.99144486384067432</v>
      </c>
      <c r="AG14" s="602">
        <f t="shared" si="87"/>
        <v>-6.629828890881865</v>
      </c>
      <c r="AH14" s="603">
        <f t="shared" si="88"/>
        <v>93.514333161556053</v>
      </c>
      <c r="AI14" s="585">
        <f t="shared" si="89"/>
        <v>-7.4999989171453043</v>
      </c>
      <c r="AJ14" s="586">
        <f t="shared" si="90"/>
        <v>-28.009896401951014</v>
      </c>
      <c r="AK14" s="635">
        <f>IF(M14="","",(COS(RADIANS((90-$Q$8)-W14))*AD14)+(-SIN(RADIANS((90-$Q$8)-W14))*AE14))</f>
        <v>2.2679489668914199E-7</v>
      </c>
      <c r="AL14" s="629">
        <f t="shared" si="91"/>
        <v>-0.13052617348216192</v>
      </c>
      <c r="AM14" s="634">
        <f t="shared" si="92"/>
        <v>-0.99144486384067432</v>
      </c>
      <c r="AN14" s="581">
        <f t="shared" si="93"/>
        <v>-7.499998917134131</v>
      </c>
      <c r="AO14" s="582">
        <f t="shared" si="94"/>
        <v>0</v>
      </c>
      <c r="AP14" s="585">
        <f>IF(M14="","",DEGREES(ATAN2(AK14,AL14)))</f>
        <v>-89.999900446094074</v>
      </c>
      <c r="AQ14" s="586">
        <f t="shared" si="9"/>
        <v>1.2211625468032137</v>
      </c>
      <c r="AS14" s="52">
        <f t="shared" si="116"/>
        <v>-26.940896110215874</v>
      </c>
      <c r="AT14" s="72">
        <f t="shared" si="10"/>
        <v>3.3357107963923119E-3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>Nose</v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1.208</v>
      </c>
      <c r="IH14" s="731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>1.1080000000000001</v>
      </c>
      <c r="II14" s="734" cm="1">
        <f t="array" ref="II14">IFERROR(IF($IH14&lt;1,$IH14+LARGE((IF($M$9:$M$150="",0,$M$9:$M$150)-MOD(IF($M$9:$M$150="",0,$M$9:$M$150),1)),1),$IH14),"")</f>
        <v>1.1080000000000001</v>
      </c>
      <c r="IJ14" s="533">
        <f t="shared" si="112"/>
        <v>1613</v>
      </c>
      <c r="IK14" s="533" t="str">
        <f t="shared" si="66"/>
        <v>Inactive</v>
      </c>
      <c r="IL14" s="727">
        <f t="shared" si="67"/>
        <v>27.844795979708863</v>
      </c>
      <c r="IM14" s="759">
        <v>5.1246870338307098E-2</v>
      </c>
      <c r="IN14" s="5">
        <f t="shared" si="68"/>
        <v>0.66</v>
      </c>
      <c r="IO14" s="771">
        <v>330</v>
      </c>
      <c r="IP14" s="9">
        <f t="shared" si="69"/>
        <v>-1.8576056025384973</v>
      </c>
      <c r="IQ14" s="5">
        <f t="shared" si="70"/>
        <v>-6.4000193024582167E-2</v>
      </c>
      <c r="IR14" s="5">
        <f t="shared" si="71"/>
        <v>0.314</v>
      </c>
      <c r="IS14" s="5">
        <f t="shared" si="72"/>
        <v>0.29495534366411236</v>
      </c>
      <c r="IT14" s="727">
        <f t="shared" si="73"/>
        <v>12.027359164743469</v>
      </c>
      <c r="IU14" s="9">
        <f t="shared" si="74"/>
        <v>-1.8665667674560045</v>
      </c>
      <c r="IV14" s="5">
        <f t="shared" si="75"/>
        <v>-1.6115675284063904E-2</v>
      </c>
      <c r="IW14" s="5">
        <f t="shared" si="76"/>
        <v>0.19500000000000001</v>
      </c>
      <c r="IX14" s="5">
        <f t="shared" si="77"/>
        <v>0.19500000000000001</v>
      </c>
      <c r="IY14" s="762">
        <f t="shared" si="78"/>
        <v>7.499998917134131</v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1.5869005763921598</v>
      </c>
      <c r="C15" s="708">
        <v>0.57600606944724175</v>
      </c>
      <c r="D15" s="709">
        <v>-4.8900147482844811E-2</v>
      </c>
      <c r="E15" s="710">
        <v>-0.30659018162712687</v>
      </c>
      <c r="F15" s="708">
        <v>0.88828522092283457</v>
      </c>
      <c r="G15" s="711">
        <v>0.34198220249000721</v>
      </c>
      <c r="H15" s="710">
        <v>0.314</v>
      </c>
      <c r="I15" s="708">
        <v>0.52</v>
      </c>
      <c r="J15" s="570">
        <v>2.1070000000000002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2" t="str">
        <f>IF($L14=$JH$22,$JH$29,IF($L14=$JI$22,$JI$29,""))</f>
        <v/>
      </c>
      <c r="M15" s="168">
        <f t="shared" si="1"/>
        <v>2.1070000000000002</v>
      </c>
      <c r="N15" s="632">
        <f t="shared" si="2"/>
        <v>1.5869005763921598</v>
      </c>
      <c r="O15" s="629">
        <f t="shared" si="3"/>
        <v>0.57600606944724175</v>
      </c>
      <c r="P15" s="633">
        <f t="shared" si="4"/>
        <v>-4.8900147482844811E-2</v>
      </c>
      <c r="Q15" s="585">
        <f t="shared" si="113"/>
        <v>19.949658136448921</v>
      </c>
      <c r="R15" s="629">
        <f t="shared" si="79"/>
        <v>1.6882050916265565</v>
      </c>
      <c r="S15" s="634">
        <f t="shared" si="80"/>
        <v>-4.8900147482844811E-2</v>
      </c>
      <c r="T15" s="635">
        <f t="shared" si="81"/>
        <v>0.60551455364776519</v>
      </c>
      <c r="U15" s="629">
        <f t="shared" si="82"/>
        <v>-1.5758770753820166</v>
      </c>
      <c r="V15" s="636">
        <f t="shared" si="114"/>
        <v>-4.8900147482844811E-2</v>
      </c>
      <c r="W15" s="585">
        <f>IF(M15="","",IF(Q15-$Q$8&lt;0,360+Q15-$Q$8,Q15-$Q$8))</f>
        <v>291.01875798208999</v>
      </c>
      <c r="X15" s="629">
        <f>IF(M15="","",R15)</f>
        <v>1.6882050916265565</v>
      </c>
      <c r="Y15" s="630">
        <f>IF(M15="","",S15)</f>
        <v>-4.8900147482844811E-2</v>
      </c>
      <c r="Z15" s="632">
        <f t="shared" si="6"/>
        <v>0.30659018162712687</v>
      </c>
      <c r="AA15" s="629">
        <f t="shared" si="7"/>
        <v>-0.88828522092283457</v>
      </c>
      <c r="AB15" s="629">
        <f t="shared" si="8"/>
        <v>-0.34198220249000721</v>
      </c>
      <c r="AC15" s="636">
        <f t="shared" si="84"/>
        <v>1</v>
      </c>
      <c r="AD15" s="637">
        <f t="shared" si="115"/>
        <v>0.30659018162712687</v>
      </c>
      <c r="AE15" s="629">
        <f t="shared" si="85"/>
        <v>-0.88828522092283457</v>
      </c>
      <c r="AF15" s="633">
        <f t="shared" si="86"/>
        <v>-0.34198220249000721</v>
      </c>
      <c r="AG15" s="602">
        <f t="shared" si="87"/>
        <v>-68.943721765616814</v>
      </c>
      <c r="AH15" s="603">
        <f t="shared" si="88"/>
        <v>72.146141351898365</v>
      </c>
      <c r="AI15" s="585">
        <f t="shared" si="89"/>
        <v>-70.002313345592313</v>
      </c>
      <c r="AJ15" s="586">
        <f t="shared" si="90"/>
        <v>19.042029942686234</v>
      </c>
      <c r="AK15" s="635">
        <f t="shared" si="211"/>
        <v>0.93958852653675318</v>
      </c>
      <c r="AL15" s="629">
        <f t="shared" si="91"/>
        <v>-1.4885361284724452E-2</v>
      </c>
      <c r="AM15" s="634">
        <f t="shared" si="92"/>
        <v>-0.34198220249000721</v>
      </c>
      <c r="AN15" s="581">
        <f>IF(M15="","",DEGREES(ATAN2(-AM15,AL15)))</f>
        <v>-2.4923237985217352</v>
      </c>
      <c r="AO15" s="582">
        <f t="shared" si="94"/>
        <v>20.017430756138893</v>
      </c>
      <c r="AP15" s="585">
        <f t="shared" si="95"/>
        <v>-0.90762819376270654</v>
      </c>
      <c r="AQ15" s="586">
        <f t="shared" si="9"/>
        <v>1.3501349263212283</v>
      </c>
      <c r="AS15" s="52">
        <f t="shared" si="116"/>
        <v>-68.981242017910006</v>
      </c>
      <c r="AT15" s="72">
        <f t="shared" si="10"/>
        <v>-2.5407674426766724E-4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2.1070000000000002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22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2.3211029261600076</v>
      </c>
      <c r="C16" s="708">
        <v>0.80400159379611991</v>
      </c>
      <c r="D16" s="709">
        <v>-0.36610110416093011</v>
      </c>
      <c r="E16" s="710">
        <v>-3.9440170680419009E-2</v>
      </c>
      <c r="F16" s="708">
        <v>0.96552640679719037</v>
      </c>
      <c r="G16" s="711">
        <v>0.25729988479205773</v>
      </c>
      <c r="H16" s="710">
        <v>0.314</v>
      </c>
      <c r="I16" s="708">
        <v>0.52</v>
      </c>
      <c r="J16" s="570">
        <v>2.1120000000000001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2.1120000000000001</v>
      </c>
      <c r="N16" s="632">
        <f t="shared" si="2"/>
        <v>2.3211029261600076</v>
      </c>
      <c r="O16" s="629">
        <f t="shared" si="3"/>
        <v>0.80400159379611991</v>
      </c>
      <c r="P16" s="633">
        <f t="shared" si="4"/>
        <v>-0.36610110416093011</v>
      </c>
      <c r="Q16" s="585">
        <f>IF(M16="","",IF(DEGREES(ATAN2(N16,O16))&lt;0,DEGREES(ATAN2(N16,O16))+360,IF(DEGREES(ATAN2(N16,O16))&gt;360,DEGREES(ATAN2(N16,O16))-360,DEGREES(ATAN2(N16,O16)))))</f>
        <v>19.105458258336302</v>
      </c>
      <c r="R16" s="629">
        <f t="shared" si="79"/>
        <v>2.4564074085247447</v>
      </c>
      <c r="S16" s="634">
        <f t="shared" si="80"/>
        <v>-0.36610110416093011</v>
      </c>
      <c r="T16" s="635">
        <f t="shared" si="81"/>
        <v>0.84716930456148198</v>
      </c>
      <c r="U16" s="629">
        <f t="shared" si="82"/>
        <v>-2.3056976224266847</v>
      </c>
      <c r="V16" s="636">
        <f t="shared" si="114"/>
        <v>-0.36610110416093011</v>
      </c>
      <c r="W16" s="585">
        <f>IF(M16="","",IF(Q16-$Q$8&lt;0,360+Q16-$Q$8,Q16-$Q$8))</f>
        <v>290.17455810397735</v>
      </c>
      <c r="X16" s="629">
        <f t="shared" si="83"/>
        <v>2.4564074085247447</v>
      </c>
      <c r="Y16" s="630">
        <f t="shared" si="223"/>
        <v>-0.36610110416093011</v>
      </c>
      <c r="Z16" s="632">
        <f t="shared" si="6"/>
        <v>3.9440170680419009E-2</v>
      </c>
      <c r="AA16" s="629">
        <f t="shared" si="7"/>
        <v>-0.96552640679719037</v>
      </c>
      <c r="AB16" s="629">
        <f t="shared" si="8"/>
        <v>-0.25729988479205773</v>
      </c>
      <c r="AC16" s="636">
        <f t="shared" si="84"/>
        <v>1</v>
      </c>
      <c r="AD16" s="637">
        <f t="shared" si="115"/>
        <v>3.9440170680419009E-2</v>
      </c>
      <c r="AE16" s="629">
        <f t="shared" si="85"/>
        <v>-0.96552640679719037</v>
      </c>
      <c r="AF16" s="633">
        <f t="shared" si="86"/>
        <v>-0.25729988479205773</v>
      </c>
      <c r="AG16" s="602">
        <f t="shared" si="87"/>
        <v>-75.078213400275757</v>
      </c>
      <c r="AH16" s="603">
        <f t="shared" si="88"/>
        <v>87.739658414507247</v>
      </c>
      <c r="AI16" s="585">
        <f t="shared" si="89"/>
        <v>-75.090093022684712</v>
      </c>
      <c r="AJ16" s="586">
        <f t="shared" si="90"/>
        <v>2.3391382119600967</v>
      </c>
      <c r="AK16" s="635">
        <f t="shared" si="211"/>
        <v>0.9252521061045601</v>
      </c>
      <c r="AL16" s="629">
        <f t="shared" si="91"/>
        <v>-0.2787567208787437</v>
      </c>
      <c r="AM16" s="634">
        <f t="shared" si="92"/>
        <v>-0.25729988479205773</v>
      </c>
      <c r="AN16" s="581">
        <f t="shared" si="93"/>
        <v>-47.292165049030714</v>
      </c>
      <c r="AO16" s="582">
        <f t="shared" si="94"/>
        <v>22.293598817239879</v>
      </c>
      <c r="AP16" s="585">
        <f t="shared" si="95"/>
        <v>-16.766320046376183</v>
      </c>
      <c r="AQ16" s="586">
        <f t="shared" si="9"/>
        <v>0.92799235000426972</v>
      </c>
      <c r="AS16" s="52">
        <f t="shared" si="116"/>
        <v>-69.825441896022653</v>
      </c>
      <c r="AT16" s="72">
        <f t="shared" si="10"/>
        <v>-0.31686878350699699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2.1120000000000001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2.6517270827931383</v>
      </c>
      <c r="C17" s="708">
        <v>0.89003319127206793</v>
      </c>
      <c r="D17" s="709">
        <v>-1.1242033905974262</v>
      </c>
      <c r="E17" s="710">
        <v>0.20213695838012077</v>
      </c>
      <c r="F17" s="708">
        <v>0.97816370830888244</v>
      </c>
      <c r="G17" s="711">
        <v>4.8336423163584198E-2</v>
      </c>
      <c r="H17" s="710">
        <v>0.314</v>
      </c>
      <c r="I17" s="708">
        <v>0.52</v>
      </c>
      <c r="J17" s="570">
        <v>2.117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2.117</v>
      </c>
      <c r="N17" s="632">
        <f t="shared" si="2"/>
        <v>2.6517270827931383</v>
      </c>
      <c r="O17" s="629">
        <f t="shared" si="3"/>
        <v>0.89003319127206793</v>
      </c>
      <c r="P17" s="633">
        <f t="shared" si="4"/>
        <v>-1.1242033905974262</v>
      </c>
      <c r="Q17" s="585">
        <f>IF(M17="","",IF(DEGREES(ATAN2(N17,O17))&lt;0,DEGREES(ATAN2(N17,O17))+360,IF(DEGREES(ATAN2(N17,O17))&gt;360,DEGREES(ATAN2(N17,O17))-360,DEGREES(ATAN2(N17,O17)))))</f>
        <v>18.553958337963049</v>
      </c>
      <c r="R17" s="629">
        <f>IF(M17="","",SQRT(N17^2+O17^2))</f>
        <v>2.7971084360790428</v>
      </c>
      <c r="S17" s="634">
        <f>IF(M17="","",P17)</f>
        <v>-1.1242033905974262</v>
      </c>
      <c r="T17" s="635">
        <f>IF(M17="","",X17*COS(RADIANS(W17)))</f>
        <v>0.93935478708624176</v>
      </c>
      <c r="U17" s="629">
        <f>IF(M17="","",X17*SIN(RADIANS(W17)))</f>
        <v>-2.6346590267362324</v>
      </c>
      <c r="V17" s="636">
        <f>IF(M17="","",Y17)</f>
        <v>-1.1242033905974262</v>
      </c>
      <c r="W17" s="585">
        <f t="shared" ref="W17:W78" si="224">IF(M17="","",IF(Q17-$Q$8&lt;0,360+Q17-$Q$8,Q17-$Q$8))</f>
        <v>289.62305818360409</v>
      </c>
      <c r="X17" s="629">
        <f>IF(M17="","",R17)</f>
        <v>2.7971084360790428</v>
      </c>
      <c r="Y17" s="630">
        <f t="shared" si="223"/>
        <v>-1.1242033905974262</v>
      </c>
      <c r="Z17" s="632">
        <f t="shared" si="6"/>
        <v>-0.20213695838012077</v>
      </c>
      <c r="AA17" s="629">
        <f t="shared" si="7"/>
        <v>-0.97816370830888244</v>
      </c>
      <c r="AB17" s="629">
        <f t="shared" si="8"/>
        <v>-4.8336423163584198E-2</v>
      </c>
      <c r="AC17" s="636">
        <f>IF(M17="","",SQRT(Z17^2+AA17^2+AB17^2))</f>
        <v>1</v>
      </c>
      <c r="AD17" s="637">
        <f>IF(M17="","",Z17*(1/SQRT(Z17^2+AA17^2+AB17^2)))</f>
        <v>-0.20213695838012077</v>
      </c>
      <c r="AE17" s="629">
        <f>IF(M17="","",AA17*(1/SQRT(Z17^2+AA17^2+AB17^2)))</f>
        <v>-0.97816370830888244</v>
      </c>
      <c r="AF17" s="633">
        <f>IF(M17="","",AB17*(1/SQRT(Z17^2+AA17^2+AB17^2)))</f>
        <v>-4.8336423163584198E-2</v>
      </c>
      <c r="AG17" s="602">
        <f>IF(M17="","",DEGREES(ATAN2(-AF17,AE17)))</f>
        <v>-87.171003106217313</v>
      </c>
      <c r="AH17" s="603">
        <f>IF(M17="","",DEGREES(ACOS(AD17)))</f>
        <v>101.66195043222717</v>
      </c>
      <c r="AI17" s="585">
        <f>IF(M17="","",DEGREES(-ACOS(-AF17)))</f>
        <v>-87.229447383207884</v>
      </c>
      <c r="AJ17" s="586">
        <f>IF(M17="","",DEGREES(ATAN2(-AE17,AD17)))</f>
        <v>-11.675789884363983</v>
      </c>
      <c r="AK17" s="635">
        <f>IF(M17="","",(COS(RADIANS((90-$Q$8)-W17))*AD17)+(-SIN(RADIANS((90-$Q$8)-W17))*AE17))</f>
        <v>0.86300358021541124</v>
      </c>
      <c r="AL17" s="629">
        <f>IF(M17="","",(SIN(RADIANS((90-$Q$8)-W17))*AD17)+(COS(RADIANS((90-$Q$8)-W17))*AE17))</f>
        <v>-0.50288011566489033</v>
      </c>
      <c r="AM17" s="634">
        <f>IF(M17="","",AF17)</f>
        <v>-4.8336423163584198E-2</v>
      </c>
      <c r="AN17" s="581">
        <f>IF(M17="","",DEGREES(ATAN2(-AM17,AL17)))</f>
        <v>-84.509643612762886</v>
      </c>
      <c r="AO17" s="582">
        <f t="shared" si="94"/>
        <v>30.344483871330077</v>
      </c>
      <c r="AP17" s="585">
        <f>IF(M17="","",DEGREES(ATAN2(AK17,AL17)))</f>
        <v>-30.229748222327004</v>
      </c>
      <c r="AQ17" s="586">
        <f t="shared" si="9"/>
        <v>0.81497479832997488</v>
      </c>
      <c r="AS17" s="52">
        <f t="shared" si="116"/>
        <v>-70.376941816395913</v>
      </c>
      <c r="AT17" s="72">
        <f t="shared" si="10"/>
        <v>-1.0745880838876782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2.117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2.7284095066290845</v>
      </c>
      <c r="C18" s="708">
        <v>0.90856036502450466</v>
      </c>
      <c r="D18" s="709">
        <v>-1.8563055986176855</v>
      </c>
      <c r="E18" s="710">
        <v>0.28539124492395435</v>
      </c>
      <c r="F18" s="708">
        <v>0.95841110037433241</v>
      </c>
      <c r="G18" s="711">
        <v>1.300841922891056E-7</v>
      </c>
      <c r="H18" s="710">
        <v>0.26600000000000001</v>
      </c>
      <c r="I18" s="708">
        <v>0.52</v>
      </c>
      <c r="J18" s="570">
        <v>2.1219999999999999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2.1219999999999999</v>
      </c>
      <c r="N18" s="632">
        <f t="shared" si="2"/>
        <v>2.7284095066290845</v>
      </c>
      <c r="O18" s="629">
        <f t="shared" si="3"/>
        <v>0.90856036502450466</v>
      </c>
      <c r="P18" s="633">
        <f t="shared" si="4"/>
        <v>-1.8563055986176855</v>
      </c>
      <c r="Q18" s="585">
        <f t="shared" si="113"/>
        <v>18.417758357627886</v>
      </c>
      <c r="R18" s="629">
        <f>IF(M18="","",SQRT(N18^2+O18^2))</f>
        <v>2.8757086731373582</v>
      </c>
      <c r="S18" s="634">
        <f>IF(M18="","",P18)</f>
        <v>-1.8563055986176855</v>
      </c>
      <c r="T18" s="635">
        <f>IF(M18="","",X18*COS(RADIANS(W18)))</f>
        <v>0.95930949389919007</v>
      </c>
      <c r="U18" s="629">
        <f>IF(M18="","",X18*SIN(RADIANS(W18)))</f>
        <v>-2.7109824174406416</v>
      </c>
      <c r="V18" s="636">
        <f>IF(M18="","",Y18)</f>
        <v>-1.8563055986176855</v>
      </c>
      <c r="W18" s="585">
        <f t="shared" si="224"/>
        <v>289.48685820326892</v>
      </c>
      <c r="X18" s="629">
        <f>IF(M18="","",R18)</f>
        <v>2.8757086731373582</v>
      </c>
      <c r="Y18" s="630">
        <f t="shared" si="223"/>
        <v>-1.8563055986176855</v>
      </c>
      <c r="Z18" s="632">
        <f t="shared" si="6"/>
        <v>-0.28539124492395435</v>
      </c>
      <c r="AA18" s="629">
        <f t="shared" si="7"/>
        <v>-0.95841110037433241</v>
      </c>
      <c r="AB18" s="629">
        <f t="shared" si="8"/>
        <v>-1.300841922891056E-7</v>
      </c>
      <c r="AC18" s="636">
        <f>IF(M18="","",SQRT(Z18^2+AA18^2+AB18^2))</f>
        <v>1</v>
      </c>
      <c r="AD18" s="637">
        <f>IF(M18="","",Z18*(1/SQRT(Z18^2+AA18^2+AB18^2)))</f>
        <v>-0.28539124492395435</v>
      </c>
      <c r="AE18" s="629">
        <f>IF(M18="","",AA18*(1/SQRT(Z18^2+AA18^2+AB18^2)))</f>
        <v>-0.95841110037433241</v>
      </c>
      <c r="AF18" s="633">
        <f>IF(M18="","",AB18*(1/SQRT(Z18^2+AA18^2+AB18^2)))</f>
        <v>-1.300841922891056E-7</v>
      </c>
      <c r="AG18" s="602">
        <f>IF(M18="","",DEGREES(ATAN2(-AF18,AE18)))</f>
        <v>-89.999992223300424</v>
      </c>
      <c r="AH18" s="603">
        <f>IF(M18="","",DEGREES(ACOS(AD18)))</f>
        <v>106.58223658899725</v>
      </c>
      <c r="AI18" s="585">
        <f>IF(M18="","",DEGREES(-ACOS(-AF18)))</f>
        <v>-89.999992546724798</v>
      </c>
      <c r="AJ18" s="586">
        <f>IF(M18="","",DEGREES(ATAN2(-AE18,AD18)))</f>
        <v>-16.58223658899739</v>
      </c>
      <c r="AK18" s="635">
        <f>IF(M18="","",(COS(RADIANS((90-$Q$8)-W18))*AD18)+(-SIN(RADIANS((90-$Q$8)-W18))*AE18))</f>
        <v>0.81915209487729246</v>
      </c>
      <c r="AL18" s="629">
        <f>IF(M18="","",(SIN(RADIANS((90-$Q$8)-W18))*AD18)+(COS(RADIANS((90-$Q$8)-W18))*AE18))</f>
        <v>-0.57357636410344393</v>
      </c>
      <c r="AM18" s="634">
        <f>IF(M18="","",AF18)</f>
        <v>-1.300841922891056E-7</v>
      </c>
      <c r="AN18" s="581">
        <f>IF(M18="","",DEGREES(ATAN2(-AM18,AL18)))</f>
        <v>-89.999987005609611</v>
      </c>
      <c r="AO18" s="582">
        <f t="shared" si="94"/>
        <v>34.999994946625904</v>
      </c>
      <c r="AP18" s="585">
        <f>IF(M18="","",DEGREES(ATAN2(AK18,AL18)))</f>
        <v>-34.999994946625222</v>
      </c>
      <c r="AQ18" s="586">
        <f t="shared" si="9"/>
        <v>0.79270240192578856</v>
      </c>
      <c r="AS18" s="52">
        <f t="shared" si="116"/>
        <v>-70.513141796731077</v>
      </c>
      <c r="AT18" s="72">
        <f t="shared" si="10"/>
        <v>-1.8065957085882605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2.1219999999999999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1313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0.46637604612798306</v>
      </c>
      <c r="C19" s="708">
        <v>-0.66605478870881374</v>
      </c>
      <c r="D19" s="709">
        <v>-0.21220063999713026</v>
      </c>
      <c r="E19" s="710">
        <v>0.74390851654980039</v>
      </c>
      <c r="F19" s="708">
        <v>0.60034338119926423</v>
      </c>
      <c r="G19" s="711">
        <v>0.29357783236291934</v>
      </c>
      <c r="H19" s="710">
        <v>0.314</v>
      </c>
      <c r="I19" s="708">
        <v>0.52</v>
      </c>
      <c r="J19" s="570">
        <v>3.1030000000000002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3.1030000000000002</v>
      </c>
      <c r="N19" s="632">
        <f t="shared" si="2"/>
        <v>0.46637604612798306</v>
      </c>
      <c r="O19" s="629">
        <f t="shared" si="3"/>
        <v>-0.66605478870881374</v>
      </c>
      <c r="P19" s="633">
        <f t="shared" si="4"/>
        <v>-0.21220063999713026</v>
      </c>
      <c r="Q19" s="585">
        <f t="shared" si="113"/>
        <v>304.99996895784517</v>
      </c>
      <c r="R19" s="629">
        <f>IF(M19="","",SQRT(N19^2+O19^2))</f>
        <v>0.81310245231699618</v>
      </c>
      <c r="S19" s="634">
        <f>IF(M19="","",P19)</f>
        <v>-0.21220063999713026</v>
      </c>
      <c r="T19" s="635">
        <f>IF(M19="","",X19*COS(RADIANS(W19)))</f>
        <v>-0.65723709060248869</v>
      </c>
      <c r="U19" s="629">
        <f>IF(M19="","",X19*SIN(RADIANS(W19)))</f>
        <v>-0.47872226259104461</v>
      </c>
      <c r="V19" s="636">
        <f>IF(M19="","",Y19)</f>
        <v>-0.21220063999713026</v>
      </c>
      <c r="W19" s="585">
        <f t="shared" si="224"/>
        <v>216.06906880348623</v>
      </c>
      <c r="X19" s="629">
        <f>IF(M19="","",R19)</f>
        <v>0.81310245231699618</v>
      </c>
      <c r="Y19" s="630">
        <f t="shared" si="223"/>
        <v>-0.21220063999713026</v>
      </c>
      <c r="Z19" s="632">
        <f t="shared" si="6"/>
        <v>-0.74390851654980039</v>
      </c>
      <c r="AA19" s="629">
        <f t="shared" si="7"/>
        <v>-0.60034338119926423</v>
      </c>
      <c r="AB19" s="629">
        <f t="shared" si="8"/>
        <v>-0.29357783236291934</v>
      </c>
      <c r="AC19" s="636">
        <f>IF(M19="","",SQRT(Z19^2+AA19^2+AB19^2))</f>
        <v>1</v>
      </c>
      <c r="AD19" s="637">
        <f>IF(M19="","",Z19*(1/SQRT(Z19^2+AA19^2+AB19^2)))</f>
        <v>-0.74390851654980039</v>
      </c>
      <c r="AE19" s="629">
        <f>IF(M19="","",AA19*(1/SQRT(Z19^2+AA19^2+AB19^2)))</f>
        <v>-0.60034338119926423</v>
      </c>
      <c r="AF19" s="633">
        <f>IF(M19="","",AB19*(1/SQRT(Z19^2+AA19^2+AB19^2)))</f>
        <v>-0.29357783236291934</v>
      </c>
      <c r="AG19" s="602">
        <f>IF(M19="","",DEGREES(ATAN2(-AF19,AE19)))</f>
        <v>-63.940602828837875</v>
      </c>
      <c r="AH19" s="603">
        <f>IF(M19="","",DEGREES(ACOS(AD19)))</f>
        <v>138.06543423888525</v>
      </c>
      <c r="AI19" s="585">
        <f>IF(M19="","",DEGREES(-ACOS(-AF19)))</f>
        <v>-72.927722444134986</v>
      </c>
      <c r="AJ19" s="586">
        <f>IF(M19="","",DEGREES(ATAN2(-AE19,AD19)))</f>
        <v>-51.096040777914254</v>
      </c>
      <c r="AK19" s="635">
        <f>IF(M19="","",(COS(RADIANS((90-$Q$8)-W19))*AD19)+(-SIN(RADIANS((90-$Q$8)-W19))*AE19))</f>
        <v>0.95371696400905337</v>
      </c>
      <c r="AL19" s="629">
        <f>IF(M19="","",(SIN(RADIANS((90-$Q$8)-W19))*AD19)+(COS(RADIANS((90-$Q$8)-W19))*AE19))</f>
        <v>6.5084628803148747E-2</v>
      </c>
      <c r="AM19" s="634">
        <f>IF(M19="","",AF19)</f>
        <v>-0.29357783236291934</v>
      </c>
      <c r="AN19" s="581">
        <f>IF(M19="","",DEGREES(ATAN2(-AM19,AL19)))</f>
        <v>12.499998195223558</v>
      </c>
      <c r="AO19" s="582">
        <f t="shared" si="94"/>
        <v>17.49999747331298</v>
      </c>
      <c r="AP19" s="585">
        <f>IF(M19="","",DEGREES(ATAN2(AK19,AL19)))</f>
        <v>3.9039902642405786</v>
      </c>
      <c r="AQ19" s="586">
        <f t="shared" si="9"/>
        <v>2.8015037602880475</v>
      </c>
      <c r="AS19" s="52">
        <f t="shared" si="116"/>
        <v>-143.93093119651377</v>
      </c>
      <c r="AT19" s="72">
        <f t="shared" si="10"/>
        <v>-0.11150617399563385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3.1030000000000002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0.87092041377534057</v>
      </c>
      <c r="C20" s="708">
        <v>-1.2438046872161639</v>
      </c>
      <c r="D20" s="709">
        <v>-5.9500179452541227E-2</v>
      </c>
      <c r="E20" s="710">
        <v>0.75824848948806078</v>
      </c>
      <c r="F20" s="708">
        <v>0.56557031593013474</v>
      </c>
      <c r="G20" s="711">
        <v>0.324329224597109</v>
      </c>
      <c r="H20" s="710">
        <v>0.314</v>
      </c>
      <c r="I20" s="708">
        <v>0.52</v>
      </c>
      <c r="J20" s="570">
        <v>3.1059999999999999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230</v>
      </c>
      <c r="M20" s="168">
        <f t="shared" si="1"/>
        <v>3.1059999999999999</v>
      </c>
      <c r="N20" s="632">
        <f t="shared" si="2"/>
        <v>0.87092041377534057</v>
      </c>
      <c r="O20" s="629">
        <f t="shared" si="3"/>
        <v>-1.2438046872161639</v>
      </c>
      <c r="P20" s="633">
        <f t="shared" si="4"/>
        <v>-5.9500179452541227E-2</v>
      </c>
      <c r="Q20" s="585">
        <f t="shared" si="113"/>
        <v>304.99996895784517</v>
      </c>
      <c r="R20" s="629">
        <f>IF(M20="","",SQRT(N20^2+O20^2))</f>
        <v>1.5184045795082119</v>
      </c>
      <c r="S20" s="634">
        <f>IF(M20="","",P20)</f>
        <v>-5.9500179452541227E-2</v>
      </c>
      <c r="T20" s="635">
        <f>IF(M20="","",X20*COS(RADIANS(W20)))</f>
        <v>-1.2273383327645051</v>
      </c>
      <c r="U20" s="629">
        <f>IF(M20="","",X20*SIN(RADIANS(W20)))</f>
        <v>-0.89397599743972722</v>
      </c>
      <c r="V20" s="636">
        <f>IF(M20="","",Y20)</f>
        <v>-5.9500179452541227E-2</v>
      </c>
      <c r="W20" s="585">
        <f t="shared" si="224"/>
        <v>216.06906880348623</v>
      </c>
      <c r="X20" s="629">
        <f>IF(M20="","",R20)</f>
        <v>1.5184045795082119</v>
      </c>
      <c r="Y20" s="630">
        <f t="shared" si="223"/>
        <v>-5.9500179452541227E-2</v>
      </c>
      <c r="Z20" s="632">
        <f t="shared" si="6"/>
        <v>-0.75824848948806078</v>
      </c>
      <c r="AA20" s="629">
        <f t="shared" si="7"/>
        <v>-0.56557031593013474</v>
      </c>
      <c r="AB20" s="629">
        <f t="shared" si="8"/>
        <v>-0.324329224597109</v>
      </c>
      <c r="AC20" s="636">
        <f>IF(M20="","",SQRT(Z20^2+AA20^2+AB20^2))</f>
        <v>1</v>
      </c>
      <c r="AD20" s="637">
        <f>IF(M20="","",Z20*(1/SQRT(Z20^2+AA20^2+AB20^2)))</f>
        <v>-0.75824848948806078</v>
      </c>
      <c r="AE20" s="629">
        <f>IF(M20="","",AA20*(1/SQRT(Z20^2+AA20^2+AB20^2)))</f>
        <v>-0.56557031593013474</v>
      </c>
      <c r="AF20" s="633">
        <f>IF(M20="","",AB20*(1/SQRT(Z20^2+AA20^2+AB20^2)))</f>
        <v>-0.324329224597109</v>
      </c>
      <c r="AG20" s="602">
        <f>IF(M20="","",DEGREES(ATAN2(-AF20,AE20)))</f>
        <v>-60.167661640353131</v>
      </c>
      <c r="AH20" s="603">
        <f>IF(M20="","",DEGREES(ACOS(AD20)))</f>
        <v>139.31003095154318</v>
      </c>
      <c r="AI20" s="585">
        <f>IF(M20="","",DEGREES(-ACOS(-AF20)))</f>
        <v>-71.075058775024786</v>
      </c>
      <c r="AJ20" s="586">
        <f>IF(M20="","",DEGREES(ATAN2(-AE20,AD20)))</f>
        <v>-53.281093734766507</v>
      </c>
      <c r="AK20" s="635">
        <f>IF(M20="","",(COS(RADIANS((90-$Q$8)-W20))*AD20)+(-SIN(RADIANS((90-$Q$8)-W20))*AE20))</f>
        <v>0.94551859118716819</v>
      </c>
      <c r="AL20" s="629">
        <f>IF(M20="","",(SIN(RADIANS((90-$Q$8)-W20))*AD20)+(COS(RADIANS((90-$Q$8)-W20))*AE20))</f>
        <v>2.8375126284665098E-2</v>
      </c>
      <c r="AM20" s="634">
        <f>IF(M20="","",AF20)</f>
        <v>-0.324329224597109</v>
      </c>
      <c r="AN20" s="581">
        <f>IF(M20="","",DEGREES(ATAN2(-AM20,AL20)))</f>
        <v>4.9999992780894029</v>
      </c>
      <c r="AO20" s="582">
        <f t="shared" si="94"/>
        <v>18.999997256739807</v>
      </c>
      <c r="AP20" s="585">
        <f>IF(M20="","",DEGREES(ATAN2(AK20,AL20)))</f>
        <v>1.7189373073883307</v>
      </c>
      <c r="AQ20" s="586">
        <f t="shared" si="9"/>
        <v>1.5010525352255735</v>
      </c>
      <c r="AS20" s="52">
        <f t="shared" si="116"/>
        <v>-143.93093119651377</v>
      </c>
      <c r="AT20" s="72">
        <f t="shared" si="10"/>
        <v>4.1194286548955183E-2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3.1059999999999999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1.3104613145889934</v>
      </c>
      <c r="C21" s="708">
        <v>-1.9213547979174495</v>
      </c>
      <c r="D21" s="709">
        <v>-0.25730077601914025</v>
      </c>
      <c r="E21" s="710">
        <v>0.89857814251723578</v>
      </c>
      <c r="F21" s="708">
        <v>0.33669899087507815</v>
      </c>
      <c r="G21" s="711">
        <v>0.28140915289659357</v>
      </c>
      <c r="H21" s="710">
        <v>0.314</v>
      </c>
      <c r="I21" s="708">
        <v>0.52</v>
      </c>
      <c r="J21" s="570">
        <v>3.1110000000000002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3.1110000000000002</v>
      </c>
      <c r="N21" s="632">
        <f t="shared" si="2"/>
        <v>1.3104613145889934</v>
      </c>
      <c r="O21" s="629">
        <f t="shared" si="3"/>
        <v>-1.9213547979174495</v>
      </c>
      <c r="P21" s="633">
        <f t="shared" si="4"/>
        <v>-0.25730077601914025</v>
      </c>
      <c r="Q21" s="585">
        <f t="shared" si="113"/>
        <v>304.29596905949018</v>
      </c>
      <c r="R21" s="629">
        <f>IF(M21="","",SQRT(N21^2+O21^2))</f>
        <v>2.3257070143323548</v>
      </c>
      <c r="S21" s="634">
        <f>IF(M21="","",P21)</f>
        <v>-0.25730077601914025</v>
      </c>
      <c r="T21" s="635">
        <f>IF(M21="","",X21*COS(RADIANS(W21)))</f>
        <v>-1.8965694405570959</v>
      </c>
      <c r="U21" s="629">
        <f>IF(M21="","",X21*SIN(RADIANS(W21)))</f>
        <v>-1.3460822685332652</v>
      </c>
      <c r="V21" s="636">
        <f>IF(M21="","",Y21)</f>
        <v>-0.25730077601914025</v>
      </c>
      <c r="W21" s="585">
        <f t="shared" si="224"/>
        <v>215.36506890513124</v>
      </c>
      <c r="X21" s="629">
        <f>IF(M21="","",R21)</f>
        <v>2.3257070143323548</v>
      </c>
      <c r="Y21" s="630">
        <f t="shared" si="223"/>
        <v>-0.25730077601914025</v>
      </c>
      <c r="Z21" s="632">
        <f t="shared" si="6"/>
        <v>-0.89857814251723578</v>
      </c>
      <c r="AA21" s="629">
        <f t="shared" si="7"/>
        <v>-0.33669899087507815</v>
      </c>
      <c r="AB21" s="629">
        <f t="shared" si="8"/>
        <v>-0.28140915289659357</v>
      </c>
      <c r="AC21" s="636">
        <f>IF(M21="","",SQRT(Z21^2+AA21^2+AB21^2))</f>
        <v>1</v>
      </c>
      <c r="AD21" s="637">
        <f>IF(M21="","",Z21*(1/SQRT(Z21^2+AA21^2+AB21^2)))</f>
        <v>-0.89857814251723578</v>
      </c>
      <c r="AE21" s="629">
        <f>IF(M21="","",AA21*(1/SQRT(Z21^2+AA21^2+AB21^2)))</f>
        <v>-0.33669899087507815</v>
      </c>
      <c r="AF21" s="633">
        <f>IF(M21="","",AB21*(1/SQRT(Z21^2+AA21^2+AB21^2)))</f>
        <v>-0.28140915289659357</v>
      </c>
      <c r="AG21" s="602">
        <f>IF(M21="","",DEGREES(ATAN2(-AF21,AE21)))</f>
        <v>-50.111509482090199</v>
      </c>
      <c r="AH21" s="603">
        <f>IF(M21="","",DEGREES(ACOS(AD21)))</f>
        <v>153.97179527768853</v>
      </c>
      <c r="AI21" s="585">
        <f>IF(M21="","",DEGREES(-ACOS(-AF21)))</f>
        <v>-73.655674632000839</v>
      </c>
      <c r="AJ21" s="586">
        <f>IF(M21="","",DEGREES(ATAN2(-AE21,AD21)))</f>
        <v>-69.458927386476205</v>
      </c>
      <c r="AK21" s="635">
        <f>IF(M21="","",(COS(RADIANS((90-$Q$8)-W21))*AD21)+(-SIN(RADIANS((90-$Q$8)-W21))*AE21))</f>
        <v>0.93206857711373159</v>
      </c>
      <c r="AL21" s="629">
        <f>IF(M21="","",(SIN(RADIANS((90-$Q$8)-W21))*AD21)+(COS(RADIANS((90-$Q$8)-W21))*AE21))</f>
        <v>-0.22816015476678947</v>
      </c>
      <c r="AM21" s="634">
        <f>IF(M21="","",AF21)</f>
        <v>-0.28140915289659357</v>
      </c>
      <c r="AN21" s="581">
        <f>IF(M21="","",DEGREES(ATAN2(-AM21,AL21)))</f>
        <v>-39.034354626655336</v>
      </c>
      <c r="AO21" s="582">
        <f>IF(ROUND(IF(M21="",0,DEGREES(ACOS(AK21))),4)=90,0,IF(M21="","",DEGREES(ACOS(AK21))))</f>
        <v>21.240400974628319</v>
      </c>
      <c r="AP21" s="585">
        <f>IF(M21="","",DEGREES(ATAN2(AK21,AL21)))</f>
        <v>-13.754896445966391</v>
      </c>
      <c r="AQ21" s="586">
        <f t="shared" si="9"/>
        <v>0.98013388531027756</v>
      </c>
      <c r="AS21" s="52">
        <f t="shared" si="116"/>
        <v>-144.63493109486876</v>
      </c>
      <c r="AT21" s="72">
        <f t="shared" si="10"/>
        <v>-0.15611742119934174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3.1110000000000002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1.5362089029674009</v>
      </c>
      <c r="C22" s="708">
        <v>-2.3131638413876643</v>
      </c>
      <c r="D22" s="709">
        <v>-0.95530288119348972</v>
      </c>
      <c r="E22" s="710">
        <v>0.98959967994420717</v>
      </c>
      <c r="F22" s="708">
        <v>0.10046742977303075</v>
      </c>
      <c r="G22" s="711">
        <v>0.10295032301612271</v>
      </c>
      <c r="H22" s="710">
        <v>0.314</v>
      </c>
      <c r="I22" s="708">
        <v>0.52</v>
      </c>
      <c r="J22" s="570">
        <v>3.1160000000000001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872">
        <f>IF($L21=$JH$22,$JH$30,IF($L21=$JI$22,$JI$30,""))</f>
        <v>450</v>
      </c>
      <c r="M22" s="168">
        <f t="shared" si="1"/>
        <v>3.1160000000000001</v>
      </c>
      <c r="N22" s="632">
        <f t="shared" si="2"/>
        <v>1.5362089029674009</v>
      </c>
      <c r="O22" s="629">
        <f t="shared" si="3"/>
        <v>-2.3131638413876643</v>
      </c>
      <c r="P22" s="633">
        <f t="shared" si="4"/>
        <v>-0.95530288119348972</v>
      </c>
      <c r="Q22" s="585">
        <f t="shared" si="113"/>
        <v>303.58876916159721</v>
      </c>
      <c r="R22" s="629">
        <f t="shared" si="79"/>
        <v>2.7768083748540593</v>
      </c>
      <c r="S22" s="634">
        <f t="shared" si="80"/>
        <v>-0.95530288119348972</v>
      </c>
      <c r="T22" s="635">
        <f t="shared" si="81"/>
        <v>-2.2840982276081201</v>
      </c>
      <c r="U22" s="629">
        <f t="shared" si="82"/>
        <v>-1.5791010218782982</v>
      </c>
      <c r="V22" s="636">
        <f t="shared" si="114"/>
        <v>-0.95530288119348972</v>
      </c>
      <c r="W22" s="585">
        <f t="shared" si="224"/>
        <v>214.65786900723828</v>
      </c>
      <c r="X22" s="629">
        <f t="shared" si="83"/>
        <v>2.7768083748540593</v>
      </c>
      <c r="Y22" s="630">
        <f t="shared" si="223"/>
        <v>-0.95530288119348972</v>
      </c>
      <c r="Z22" s="632">
        <f t="shared" si="6"/>
        <v>-0.98959967994420717</v>
      </c>
      <c r="AA22" s="629">
        <f t="shared" si="7"/>
        <v>-0.10046742977303075</v>
      </c>
      <c r="AB22" s="629">
        <f t="shared" si="8"/>
        <v>-0.10295032301612271</v>
      </c>
      <c r="AC22" s="636">
        <f t="shared" si="84"/>
        <v>1</v>
      </c>
      <c r="AD22" s="637">
        <f t="shared" si="115"/>
        <v>-0.98959967994420717</v>
      </c>
      <c r="AE22" s="629">
        <f t="shared" si="85"/>
        <v>-0.10046742977303075</v>
      </c>
      <c r="AF22" s="633">
        <f t="shared" si="86"/>
        <v>-0.10295032301612271</v>
      </c>
      <c r="AG22" s="602">
        <f t="shared" si="87"/>
        <v>-44.300689159499719</v>
      </c>
      <c r="AH22" s="603">
        <f t="shared" si="88"/>
        <v>171.72937933333966</v>
      </c>
      <c r="AI22" s="585">
        <f t="shared" si="89"/>
        <v>-84.09091129635776</v>
      </c>
      <c r="AJ22" s="586">
        <f t="shared" si="90"/>
        <v>-84.203005180625155</v>
      </c>
      <c r="AK22" s="635">
        <f t="shared" si="211"/>
        <v>0.87994734505212213</v>
      </c>
      <c r="AL22" s="629">
        <f t="shared" si="91"/>
        <v>-0.46378216969456437</v>
      </c>
      <c r="AM22" s="634">
        <f t="shared" si="92"/>
        <v>-0.10295032301612271</v>
      </c>
      <c r="AN22" s="581">
        <f t="shared" si="93"/>
        <v>-77.484423247328081</v>
      </c>
      <c r="AO22" s="582">
        <f t="shared" si="94"/>
        <v>28.363987657735063</v>
      </c>
      <c r="AP22" s="585">
        <f t="shared" si="95"/>
        <v>-27.791774342222364</v>
      </c>
      <c r="AQ22" s="586">
        <f t="shared" si="9"/>
        <v>0.82093191893520223</v>
      </c>
      <c r="AS22" s="52">
        <f t="shared" si="116"/>
        <v>-145.34213099276172</v>
      </c>
      <c r="AT22" s="72">
        <f t="shared" si="10"/>
        <v>-0.85362841533348777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3.1160000000000001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1.5837667181184587</v>
      </c>
      <c r="C23" s="708">
        <v>-2.4002881817268764</v>
      </c>
      <c r="D23" s="709">
        <v>-1.7000051272154637</v>
      </c>
      <c r="E23" s="710">
        <v>0.99961872876401114</v>
      </c>
      <c r="F23" s="708">
        <v>-2.7611539330607459E-2</v>
      </c>
      <c r="G23" s="711">
        <v>1.3008419197869201E-7</v>
      </c>
      <c r="H23" s="710">
        <v>0.26600000000000001</v>
      </c>
      <c r="I23" s="708">
        <v>0.52</v>
      </c>
      <c r="J23" s="570">
        <v>3.121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3.121</v>
      </c>
      <c r="N23" s="632">
        <f t="shared" si="2"/>
        <v>1.5837667181184587</v>
      </c>
      <c r="O23" s="629">
        <f t="shared" si="3"/>
        <v>-2.4002881817268764</v>
      </c>
      <c r="P23" s="633">
        <f t="shared" si="4"/>
        <v>-1.7000051272154637</v>
      </c>
      <c r="Q23" s="585">
        <f t="shared" si="113"/>
        <v>303.41776918628653</v>
      </c>
      <c r="R23" s="629">
        <f t="shared" si="79"/>
        <v>2.8757086731373587</v>
      </c>
      <c r="S23" s="634">
        <f t="shared" si="80"/>
        <v>-1.7000051272154637</v>
      </c>
      <c r="T23" s="635">
        <f t="shared" si="81"/>
        <v>-2.3703200567154932</v>
      </c>
      <c r="U23" s="629">
        <f t="shared" si="82"/>
        <v>-1.6282761441136728</v>
      </c>
      <c r="V23" s="636">
        <f t="shared" si="114"/>
        <v>-1.7000051272154637</v>
      </c>
      <c r="W23" s="585">
        <f t="shared" si="224"/>
        <v>214.4868690319276</v>
      </c>
      <c r="X23" s="629">
        <f t="shared" si="83"/>
        <v>2.8757086731373587</v>
      </c>
      <c r="Y23" s="630">
        <f t="shared" si="223"/>
        <v>-1.7000051272154637</v>
      </c>
      <c r="Z23" s="632">
        <f t="shared" si="6"/>
        <v>-0.99961872876401114</v>
      </c>
      <c r="AA23" s="629">
        <f t="shared" si="7"/>
        <v>2.7611539330607459E-2</v>
      </c>
      <c r="AB23" s="629">
        <f t="shared" si="8"/>
        <v>-1.3008419197869201E-7</v>
      </c>
      <c r="AC23" s="636">
        <f t="shared" si="84"/>
        <v>1</v>
      </c>
      <c r="AD23" s="637">
        <f t="shared" si="115"/>
        <v>-0.99961872876401114</v>
      </c>
      <c r="AE23" s="629">
        <f t="shared" si="85"/>
        <v>2.7611539330607459E-2</v>
      </c>
      <c r="AF23" s="633">
        <f t="shared" si="86"/>
        <v>-1.3008419197869201E-7</v>
      </c>
      <c r="AG23" s="602">
        <f t="shared" si="87"/>
        <v>89.999730066654649</v>
      </c>
      <c r="AH23" s="603">
        <f t="shared" si="88"/>
        <v>178.41777423964425</v>
      </c>
      <c r="AI23" s="585">
        <f t="shared" si="89"/>
        <v>-89.999992546724812</v>
      </c>
      <c r="AJ23" s="586">
        <f t="shared" si="90"/>
        <v>-91.582225760338716</v>
      </c>
      <c r="AK23" s="635">
        <f t="shared" si="211"/>
        <v>0.81915209487729224</v>
      </c>
      <c r="AL23" s="629">
        <f t="shared" si="91"/>
        <v>-0.57357636410344426</v>
      </c>
      <c r="AM23" s="634">
        <f t="shared" si="92"/>
        <v>-1.3008419197869201E-7</v>
      </c>
      <c r="AN23" s="581">
        <f t="shared" si="93"/>
        <v>-89.999987005609626</v>
      </c>
      <c r="AO23" s="582">
        <f t="shared" si="94"/>
        <v>34.999994946625925</v>
      </c>
      <c r="AP23" s="585">
        <f t="shared" si="95"/>
        <v>-34.999994946625243</v>
      </c>
      <c r="AQ23" s="586">
        <f t="shared" si="9"/>
        <v>0.79270240192578845</v>
      </c>
      <c r="AS23" s="52">
        <f t="shared" si="116"/>
        <v>-145.5131309680724</v>
      </c>
      <c r="AT23" s="72">
        <f t="shared" si="10"/>
        <v>-1.5982119113726072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3.121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3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2</v>
      </c>
      <c r="JG23" s="801">
        <v>1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230</v>
      </c>
      <c r="JI23" s="801">
        <v>450</v>
      </c>
    </row>
    <row r="24" spans="1:269" ht="15" customHeight="1" x14ac:dyDescent="0.25">
      <c r="A24" s="79"/>
      <c r="B24" s="707">
        <v>0.530275010893554</v>
      </c>
      <c r="C24" s="708">
        <v>-2.2987088567753253</v>
      </c>
      <c r="D24" s="709">
        <v>-0.2184640437528606</v>
      </c>
      <c r="E24" s="710">
        <v>0.11239046496587618</v>
      </c>
      <c r="F24" s="708">
        <v>-0.4872045955394389</v>
      </c>
      <c r="G24" s="711">
        <v>0.86602544158356343</v>
      </c>
      <c r="H24" s="710">
        <v>0.19500000000000001</v>
      </c>
      <c r="I24" s="708">
        <v>0.21199999999999999</v>
      </c>
      <c r="J24" s="570">
        <v>3.2109999999999999</v>
      </c>
      <c r="K24" s="865" t="str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Inactive</v>
      </c>
      <c r="M24" s="168">
        <f t="shared" si="1"/>
        <v>3.2109999999999999</v>
      </c>
      <c r="N24" s="632">
        <f t="shared" si="2"/>
        <v>0.530275010893554</v>
      </c>
      <c r="O24" s="629">
        <f t="shared" si="3"/>
        <v>-2.2987088567753253</v>
      </c>
      <c r="P24" s="633">
        <f t="shared" si="4"/>
        <v>-0.2184640437528606</v>
      </c>
      <c r="Q24" s="585">
        <f t="shared" si="113"/>
        <v>282.98997213569555</v>
      </c>
      <c r="R24" s="629">
        <f t="shared" si="79"/>
        <v>2.3590790566226225</v>
      </c>
      <c r="S24" s="634">
        <f t="shared" si="80"/>
        <v>-0.2184640437528606</v>
      </c>
      <c r="T24" s="635">
        <f t="shared" si="81"/>
        <v>-2.2884147048282317</v>
      </c>
      <c r="U24" s="629">
        <f t="shared" si="82"/>
        <v>-0.57307253827190063</v>
      </c>
      <c r="V24" s="636">
        <f t="shared" si="114"/>
        <v>-0.2184640437528606</v>
      </c>
      <c r="W24" s="585">
        <f t="shared" si="224"/>
        <v>194.05907198133661</v>
      </c>
      <c r="X24" s="629">
        <f t="shared" si="83"/>
        <v>2.3590790566226225</v>
      </c>
      <c r="Y24" s="630">
        <f t="shared" si="223"/>
        <v>-0.2184640437528606</v>
      </c>
      <c r="Z24" s="632">
        <f t="shared" si="6"/>
        <v>-0.11239046496587618</v>
      </c>
      <c r="AA24" s="629">
        <f t="shared" si="7"/>
        <v>0.4872045955394389</v>
      </c>
      <c r="AB24" s="629">
        <f t="shared" si="8"/>
        <v>-0.86602544158356343</v>
      </c>
      <c r="AC24" s="636">
        <f t="shared" si="84"/>
        <v>1</v>
      </c>
      <c r="AD24" s="637">
        <f t="shared" si="115"/>
        <v>-0.11239046496587618</v>
      </c>
      <c r="AE24" s="629">
        <f t="shared" si="85"/>
        <v>0.4872045955394389</v>
      </c>
      <c r="AF24" s="633">
        <f t="shared" si="86"/>
        <v>-0.86602544158356343</v>
      </c>
      <c r="AG24" s="602">
        <f t="shared" si="87"/>
        <v>29.361034489134717</v>
      </c>
      <c r="AH24" s="603">
        <f t="shared" si="88"/>
        <v>96.453133825943041</v>
      </c>
      <c r="AI24" s="585">
        <f t="shared" si="89"/>
        <v>-29.999995668539079</v>
      </c>
      <c r="AJ24" s="586">
        <f t="shared" si="90"/>
        <v>-167.01000187552026</v>
      </c>
      <c r="AK24" s="635">
        <f>IF(M24="","",(COS(RADIANS((90-$Q$8)-W24))*AD24)+(-SIN(RADIANS((90-$Q$8)-W24))*AE24))</f>
        <v>2.2679489646015849E-7</v>
      </c>
      <c r="AL24" s="629">
        <f t="shared" si="91"/>
        <v>-0.49999993452993835</v>
      </c>
      <c r="AM24" s="634">
        <f t="shared" si="92"/>
        <v>-0.86602544158356343</v>
      </c>
      <c r="AN24" s="581">
        <f t="shared" si="93"/>
        <v>-29.999995668536535</v>
      </c>
      <c r="AO24" s="582">
        <f t="shared" si="94"/>
        <v>0</v>
      </c>
      <c r="AP24" s="585">
        <f t="shared" si="95"/>
        <v>-89.999974011215826</v>
      </c>
      <c r="AQ24" s="586">
        <f t="shared" si="9"/>
        <v>0.96627134718199981</v>
      </c>
      <c r="AS24" s="52">
        <f t="shared" si="116"/>
        <v>-165.94092801866339</v>
      </c>
      <c r="AT24" s="72">
        <f t="shared" si="10"/>
        <v>-0.10248485773598251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3.2109999999999999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3.1110000000000002</v>
      </c>
      <c r="II24" s="734" cm="1">
        <f t="array" ref="II24">IFERROR(IF($IH24&lt;1,$IH24+LARGE((IF($M$9:$M$150="",0,$M$9:$M$150)-MOD(IF($M$9:$M$150="",0,$M$9:$M$150),1)),1),$IH24),"")</f>
        <v>3.1110000000000002</v>
      </c>
      <c r="IJ24" s="533">
        <f t="shared" si="112"/>
        <v>1613</v>
      </c>
      <c r="IK24" s="533" t="str">
        <f t="shared" si="66"/>
        <v>Inactive</v>
      </c>
      <c r="IL24" s="727">
        <f t="shared" si="225"/>
        <v>21.305996923794623</v>
      </c>
      <c r="IM24" s="759">
        <v>4.64739863611663E-2</v>
      </c>
      <c r="IN24" s="5">
        <f t="shared" si="226"/>
        <v>0.9</v>
      </c>
      <c r="IO24" s="771">
        <v>450</v>
      </c>
      <c r="IP24" s="9">
        <f t="shared" si="227"/>
        <v>-2.3257070143323548</v>
      </c>
      <c r="IQ24" s="5">
        <f t="shared" si="228"/>
        <v>-0.25730077601914025</v>
      </c>
      <c r="IR24" s="5">
        <f t="shared" si="71"/>
        <v>0.314</v>
      </c>
      <c r="IS24" s="5">
        <f t="shared" si="229"/>
        <v>0.2926695332137117</v>
      </c>
      <c r="IT24" s="727">
        <f t="shared" si="230"/>
        <v>39.034354626655336</v>
      </c>
      <c r="IU24" s="9">
        <f t="shared" si="231"/>
        <v>-2.3590790566226225</v>
      </c>
      <c r="IV24" s="5">
        <f t="shared" si="232"/>
        <v>-0.2184640437528606</v>
      </c>
      <c r="IW24" s="5">
        <f t="shared" si="76"/>
        <v>0.19500000000000001</v>
      </c>
      <c r="IX24" s="5">
        <f t="shared" si="233"/>
        <v>0.19500000000000001</v>
      </c>
      <c r="IY24" s="762">
        <f t="shared" si="234"/>
        <v>29.999995668536535</v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-0.4088505130625335</v>
      </c>
      <c r="C25" s="708">
        <v>-0.40885023488699856</v>
      </c>
      <c r="D25" s="709">
        <v>-0.26420079682960323</v>
      </c>
      <c r="E25" s="710">
        <v>0.72040130119855761</v>
      </c>
      <c r="F25" s="708">
        <v>-0.62835819528077685</v>
      </c>
      <c r="G25" s="711">
        <v>0.29357783236291934</v>
      </c>
      <c r="H25" s="710">
        <v>0.314</v>
      </c>
      <c r="I25" s="708">
        <v>0.52</v>
      </c>
      <c r="J25" s="570">
        <v>4.1020000000000003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4.1020000000000003</v>
      </c>
      <c r="N25" s="632">
        <f t="shared" si="2"/>
        <v>-0.4088505130625335</v>
      </c>
      <c r="O25" s="629">
        <f t="shared" si="3"/>
        <v>-0.40885023488699856</v>
      </c>
      <c r="P25" s="633">
        <f t="shared" si="4"/>
        <v>-0.26420079682960323</v>
      </c>
      <c r="Q25" s="585">
        <f t="shared" si="113"/>
        <v>224.99998050841441</v>
      </c>
      <c r="R25" s="629">
        <f>IF(M25="","",SQRT(N25^2+O25^2))</f>
        <v>0.5782017438564595</v>
      </c>
      <c r="S25" s="634">
        <f>IF(M25="","",P25)</f>
        <v>-0.26420079682960323</v>
      </c>
      <c r="T25" s="635">
        <f>IF(M25="","",X25*COS(RADIANS(W25)))</f>
        <v>-0.41640748901219687</v>
      </c>
      <c r="U25" s="629">
        <f>IF(M25="","",X25*SIN(RADIANS(W25)))</f>
        <v>0.40115091884876442</v>
      </c>
      <c r="V25" s="636">
        <f>IF(M25="","",Y25)</f>
        <v>-0.26420079682960323</v>
      </c>
      <c r="W25" s="585">
        <f t="shared" si="224"/>
        <v>136.06908035405547</v>
      </c>
      <c r="X25" s="629">
        <f>IF(M25="","",R25)</f>
        <v>0.5782017438564595</v>
      </c>
      <c r="Y25" s="630">
        <f t="shared" si="223"/>
        <v>-0.26420079682960323</v>
      </c>
      <c r="Z25" s="632">
        <f t="shared" si="6"/>
        <v>-0.72040130119855761</v>
      </c>
      <c r="AA25" s="629">
        <f t="shared" si="7"/>
        <v>0.62835819528077685</v>
      </c>
      <c r="AB25" s="629">
        <f t="shared" si="8"/>
        <v>-0.29357783236291934</v>
      </c>
      <c r="AC25" s="636">
        <f>IF(M25="","",SQRT(Z25^2+AA25^2+AB25^2))</f>
        <v>1</v>
      </c>
      <c r="AD25" s="637">
        <f>IF(M25="","",Z25*(1/SQRT(Z25^2+AA25^2+AB25^2)))</f>
        <v>-0.72040130119855761</v>
      </c>
      <c r="AE25" s="629">
        <f>IF(M25="","",AA25*(1/SQRT(Z25^2+AA25^2+AB25^2)))</f>
        <v>0.62835819528077685</v>
      </c>
      <c r="AF25" s="633">
        <f>IF(M25="","",AB25*(1/SQRT(Z25^2+AA25^2+AB25^2)))</f>
        <v>-0.29357783236291934</v>
      </c>
      <c r="AG25" s="602">
        <f>IF(M25="","",DEGREES(ATAN2(-AF25,AE25)))</f>
        <v>64.957353714208011</v>
      </c>
      <c r="AH25" s="603">
        <f>IF(M25="","",DEGREES(ACOS(AD25)))</f>
        <v>136.08762255200273</v>
      </c>
      <c r="AI25" s="585">
        <f>IF(M25="","",DEGREES(-ACOS(-AF25)))</f>
        <v>-72.927722444134986</v>
      </c>
      <c r="AJ25" s="586">
        <f>IF(M25="","",DEGREES(ATAN2(-AE25,AD25)))</f>
        <v>-131.09602922734501</v>
      </c>
      <c r="AK25" s="635">
        <f>IF(M25="","",(COS(RADIANS((90-$Q$8)-W25))*AD25)+(-SIN(RADIANS((90-$Q$8)-W25))*AE25))</f>
        <v>0.95371696400905348</v>
      </c>
      <c r="AL25" s="629">
        <f>IF(M25="","",(SIN(RADIANS((90-$Q$8)-W25))*AD25)+(COS(RADIANS((90-$Q$8)-W25))*AE25))</f>
        <v>6.5084628803148636E-2</v>
      </c>
      <c r="AM25" s="634">
        <f>IF(M25="","",AF25)</f>
        <v>-0.29357783236291934</v>
      </c>
      <c r="AN25" s="581">
        <f>IF(M25="","",DEGREES(ATAN2(-AM25,AL25)))</f>
        <v>12.499998195223537</v>
      </c>
      <c r="AO25" s="582">
        <f>IF(ROUND(IF(M25="",0,DEGREES(ACOS(AK25))),4)=90,0,IF(M25="","",DEGREES(ACOS(AK25))))</f>
        <v>17.499997473312952</v>
      </c>
      <c r="AP25" s="585">
        <f>IF(M25="","",DEGREES(ATAN2(AK25,AL25)))</f>
        <v>3.9039902642405711</v>
      </c>
      <c r="AQ25" s="586">
        <f t="shared" si="9"/>
        <v>3.9365815368512993</v>
      </c>
      <c r="AS25" s="52">
        <f t="shared" si="116"/>
        <v>-223.93091964594453</v>
      </c>
      <c r="AT25" s="72">
        <f t="shared" si="10"/>
        <v>-0.10795078329377991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4.1020000000000003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-0.90707962323870284</v>
      </c>
      <c r="C26" s="708">
        <v>-0.90707900607582459</v>
      </c>
      <c r="D26" s="709">
        <v>-0.1080003257289824</v>
      </c>
      <c r="E26" s="710">
        <v>0.71979208567164432</v>
      </c>
      <c r="F26" s="708">
        <v>-0.62520499025675358</v>
      </c>
      <c r="G26" s="711">
        <v>0.30169201773085935</v>
      </c>
      <c r="H26" s="710">
        <v>0.314</v>
      </c>
      <c r="I26" s="708">
        <v>0.52</v>
      </c>
      <c r="J26" s="570">
        <v>4.1050000000000004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4.1050000000000004</v>
      </c>
      <c r="N26" s="632">
        <f t="shared" si="2"/>
        <v>-0.90707962323870284</v>
      </c>
      <c r="O26" s="629">
        <f t="shared" si="3"/>
        <v>-0.90707900607582459</v>
      </c>
      <c r="P26" s="633">
        <f t="shared" si="4"/>
        <v>-0.1080003257289824</v>
      </c>
      <c r="Q26" s="585">
        <f t="shared" si="113"/>
        <v>224.99998050841441</v>
      </c>
      <c r="R26" s="629">
        <f>IF(M26="","",SQRT(N26^2+O26^2))</f>
        <v>1.2828038689364687</v>
      </c>
      <c r="S26" s="634">
        <f>IF(M26="","",P26)</f>
        <v>-0.1080003257289824</v>
      </c>
      <c r="T26" s="635">
        <f>IF(M26="","",X26*COS(RADIANS(W26)))</f>
        <v>-0.92384560170329655</v>
      </c>
      <c r="U26" s="629">
        <f>IF(M26="","",X26*SIN(RADIANS(W26)))</f>
        <v>0.88999723054167235</v>
      </c>
      <c r="V26" s="636">
        <f>IF(M26="","",Y26)</f>
        <v>-0.1080003257289824</v>
      </c>
      <c r="W26" s="585">
        <f t="shared" si="224"/>
        <v>136.06908035405547</v>
      </c>
      <c r="X26" s="629">
        <f>IF(M26="","",R26)</f>
        <v>1.2828038689364687</v>
      </c>
      <c r="Y26" s="630">
        <f t="shared" si="223"/>
        <v>-0.1080003257289824</v>
      </c>
      <c r="Z26" s="632">
        <f t="shared" si="6"/>
        <v>-0.71979208567164432</v>
      </c>
      <c r="AA26" s="629">
        <f t="shared" si="7"/>
        <v>0.62520499025675358</v>
      </c>
      <c r="AB26" s="629">
        <f t="shared" si="8"/>
        <v>-0.30169201773085935</v>
      </c>
      <c r="AC26" s="636">
        <f>IF(M26="","",SQRT(Z26^2+AA26^2+AB26^2))</f>
        <v>1</v>
      </c>
      <c r="AD26" s="637">
        <f>IF(M26="","",Z26*(1/SQRT(Z26^2+AA26^2+AB26^2)))</f>
        <v>-0.71979208567164432</v>
      </c>
      <c r="AE26" s="629">
        <f>IF(M26="","",AA26*(1/SQRT(Z26^2+AA26^2+AB26^2)))</f>
        <v>0.62520499025675358</v>
      </c>
      <c r="AF26" s="633">
        <f>IF(M26="","",AB26*(1/SQRT(Z26^2+AA26^2+AB26^2)))</f>
        <v>-0.30169201773085935</v>
      </c>
      <c r="AG26" s="602">
        <f>IF(M26="","",DEGREES(ATAN2(-AF26,AE26)))</f>
        <v>64.240415379506985</v>
      </c>
      <c r="AH26" s="603">
        <f>IF(M26="","",DEGREES(ACOS(AD26)))</f>
        <v>136.03731731377334</v>
      </c>
      <c r="AI26" s="585">
        <f>IF(M26="","",DEGREES(-ACOS(-AF26)))</f>
        <v>-72.440741991807343</v>
      </c>
      <c r="AJ26" s="586">
        <f>IF(M26="","",DEGREES(ATAN2(-AE26,AD26)))</f>
        <v>-130.97728968702185</v>
      </c>
      <c r="AK26" s="635">
        <f>IF(M26="","",(COS(RADIANS((90-$Q$8)-W26))*AD26)+(-SIN(RADIANS((90-$Q$8)-W26))*AE26))</f>
        <v>0.95105653031184811</v>
      </c>
      <c r="AL26" s="629">
        <f>IF(M26="","",(SIN(RADIANS((90-$Q$8)-W26))*AD26)+(COS(RADIANS((90-$Q$8)-W26))*AE26))</f>
        <v>6.6883500122763395E-2</v>
      </c>
      <c r="AM26" s="634">
        <f>IF(M26="","",AF26)</f>
        <v>-0.30169201773085935</v>
      </c>
      <c r="AN26" s="581">
        <f>IF(M26="","",DEGREES(ATAN2(-AM26,AL26)))</f>
        <v>12.499998195223542</v>
      </c>
      <c r="AO26" s="582">
        <f t="shared" si="94"/>
        <v>17.999997401121902</v>
      </c>
      <c r="AP26" s="585">
        <f>IF(M26="","",DEGREES(ATAN2(AK26,AL26)))</f>
        <v>4.0227298045637365</v>
      </c>
      <c r="AQ26" s="586">
        <f t="shared" si="9"/>
        <v>1.7765739837198955</v>
      </c>
      <c r="AS26" s="52">
        <f t="shared" si="116"/>
        <v>-223.93091964594453</v>
      </c>
      <c r="AT26" s="72">
        <f t="shared" si="10"/>
        <v>4.8249687806840927E-2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4.1050000000000004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-1.5551418485072526</v>
      </c>
      <c r="C27" s="708">
        <v>-1.5277311601286188</v>
      </c>
      <c r="D27" s="709">
        <v>-0.16940051091194092</v>
      </c>
      <c r="E27" s="710">
        <v>0.53281784467661486</v>
      </c>
      <c r="F27" s="708">
        <v>-0.79231643954682773</v>
      </c>
      <c r="G27" s="711">
        <v>0.29722012720878266</v>
      </c>
      <c r="H27" s="710">
        <v>0.314</v>
      </c>
      <c r="I27" s="708">
        <v>0.52</v>
      </c>
      <c r="J27" s="570">
        <v>4.1100000000000003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4.1100000000000003</v>
      </c>
      <c r="N27" s="632">
        <f t="shared" si="2"/>
        <v>-1.5551418485072526</v>
      </c>
      <c r="O27" s="629">
        <f t="shared" si="3"/>
        <v>-1.5277311601286188</v>
      </c>
      <c r="P27" s="633">
        <f t="shared" si="4"/>
        <v>-0.16940051091194092</v>
      </c>
      <c r="Q27" s="585">
        <f t="shared" si="113"/>
        <v>224.49058058196266</v>
      </c>
      <c r="R27" s="629">
        <f t="shared" si="79"/>
        <v>2.1800065748998305</v>
      </c>
      <c r="S27" s="634">
        <f t="shared" si="80"/>
        <v>-0.16940051091194092</v>
      </c>
      <c r="T27" s="635">
        <f t="shared" si="81"/>
        <v>-1.5564814064674284</v>
      </c>
      <c r="U27" s="629">
        <f t="shared" si="82"/>
        <v>1.5263663708060613</v>
      </c>
      <c r="V27" s="636">
        <f t="shared" si="114"/>
        <v>-0.16940051091194092</v>
      </c>
      <c r="W27" s="585">
        <f t="shared" si="224"/>
        <v>135.55968042760372</v>
      </c>
      <c r="X27" s="629">
        <f t="shared" si="83"/>
        <v>2.1800065748998305</v>
      </c>
      <c r="Y27" s="630">
        <f t="shared" si="223"/>
        <v>-0.16940051091194092</v>
      </c>
      <c r="Z27" s="632">
        <f t="shared" si="6"/>
        <v>-0.53281784467661486</v>
      </c>
      <c r="AA27" s="629">
        <f t="shared" si="7"/>
        <v>0.79231643954682773</v>
      </c>
      <c r="AB27" s="629">
        <f t="shared" si="8"/>
        <v>-0.29722012720878266</v>
      </c>
      <c r="AC27" s="636">
        <f t="shared" si="84"/>
        <v>1</v>
      </c>
      <c r="AD27" s="637">
        <f t="shared" si="115"/>
        <v>-0.53281784467661486</v>
      </c>
      <c r="AE27" s="629">
        <f t="shared" si="85"/>
        <v>0.79231643954682773</v>
      </c>
      <c r="AF27" s="633">
        <f t="shared" si="86"/>
        <v>-0.29722012720878266</v>
      </c>
      <c r="AG27" s="602">
        <f t="shared" si="87"/>
        <v>69.437522457581693</v>
      </c>
      <c r="AH27" s="603">
        <f t="shared" si="88"/>
        <v>122.19604369354001</v>
      </c>
      <c r="AI27" s="585">
        <f t="shared" si="89"/>
        <v>-72.709286219905451</v>
      </c>
      <c r="AJ27" s="586">
        <f t="shared" si="90"/>
        <v>-146.07991318852612</v>
      </c>
      <c r="AK27" s="635">
        <f t="shared" si="211"/>
        <v>0.93860582804829074</v>
      </c>
      <c r="AL27" s="629">
        <f t="shared" si="91"/>
        <v>-0.17515506140496673</v>
      </c>
      <c r="AM27" s="634">
        <f t="shared" si="92"/>
        <v>-0.29722012720878266</v>
      </c>
      <c r="AN27" s="581">
        <f t="shared" si="93"/>
        <v>-30.51130859109594</v>
      </c>
      <c r="AO27" s="582">
        <f t="shared" si="94"/>
        <v>20.181273753946812</v>
      </c>
      <c r="AP27" s="585">
        <f t="shared" si="95"/>
        <v>-10.570493770488769</v>
      </c>
      <c r="AQ27" s="586">
        <f t="shared" si="9"/>
        <v>1.0456269103156828</v>
      </c>
      <c r="AS27" s="52">
        <f t="shared" si="116"/>
        <v>-224.44031957239628</v>
      </c>
      <c r="AT27" s="72">
        <f t="shared" si="10"/>
        <v>-1.2796747427192751E-2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4.1100000000000003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-1.9757694759828031</v>
      </c>
      <c r="C28" s="708">
        <v>-1.8858365959691066</v>
      </c>
      <c r="D28" s="709">
        <v>-0.79140238686959885</v>
      </c>
      <c r="E28" s="710">
        <v>0.31594804681823746</v>
      </c>
      <c r="F28" s="708">
        <v>-0.93695655261757382</v>
      </c>
      <c r="G28" s="711">
        <v>0.14929584796213347</v>
      </c>
      <c r="H28" s="710">
        <v>0.314</v>
      </c>
      <c r="I28" s="708">
        <v>0.52</v>
      </c>
      <c r="J28" s="570">
        <v>4.1150000000000002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4.1150000000000002</v>
      </c>
      <c r="N28" s="632">
        <f t="shared" si="2"/>
        <v>-1.9757694759828031</v>
      </c>
      <c r="O28" s="629">
        <f t="shared" si="3"/>
        <v>-1.8858365959691066</v>
      </c>
      <c r="P28" s="633">
        <f t="shared" si="4"/>
        <v>-0.79140238686959885</v>
      </c>
      <c r="Q28" s="585">
        <f t="shared" si="113"/>
        <v>223.66588070103458</v>
      </c>
      <c r="R28" s="629">
        <f t="shared" si="79"/>
        <v>2.7313082376256452</v>
      </c>
      <c r="S28" s="634">
        <f t="shared" si="80"/>
        <v>-0.79140238686959885</v>
      </c>
      <c r="T28" s="635">
        <f t="shared" si="81"/>
        <v>-1.9223726701881698</v>
      </c>
      <c r="U28" s="629">
        <f t="shared" si="82"/>
        <v>1.9402391620198047</v>
      </c>
      <c r="V28" s="636">
        <f t="shared" si="114"/>
        <v>-0.79140238686959885</v>
      </c>
      <c r="W28" s="585">
        <f t="shared" si="224"/>
        <v>134.73498054667567</v>
      </c>
      <c r="X28" s="629">
        <f t="shared" si="83"/>
        <v>2.7313082376256452</v>
      </c>
      <c r="Y28" s="630">
        <f t="shared" si="223"/>
        <v>-0.79140238686959885</v>
      </c>
      <c r="Z28" s="632">
        <f t="shared" si="6"/>
        <v>-0.31594804681823746</v>
      </c>
      <c r="AA28" s="629">
        <f t="shared" si="7"/>
        <v>0.93695655261757382</v>
      </c>
      <c r="AB28" s="629">
        <f t="shared" si="8"/>
        <v>-0.14929584796213347</v>
      </c>
      <c r="AC28" s="636">
        <f t="shared" si="84"/>
        <v>1</v>
      </c>
      <c r="AD28" s="637">
        <f t="shared" si="115"/>
        <v>-0.31594804681823746</v>
      </c>
      <c r="AE28" s="629">
        <f t="shared" si="85"/>
        <v>0.93695655261757382</v>
      </c>
      <c r="AF28" s="633">
        <f t="shared" si="86"/>
        <v>-0.14929584796213347</v>
      </c>
      <c r="AG28" s="602">
        <f t="shared" si="87"/>
        <v>80.946527160307141</v>
      </c>
      <c r="AH28" s="603">
        <f t="shared" si="88"/>
        <v>108.41805599652665</v>
      </c>
      <c r="AI28" s="585">
        <f t="shared" si="89"/>
        <v>-81.413877866558849</v>
      </c>
      <c r="AJ28" s="586">
        <f t="shared" si="90"/>
        <v>-161.36554792169937</v>
      </c>
      <c r="AK28" s="635">
        <f t="shared" si="211"/>
        <v>0.89592105072179795</v>
      </c>
      <c r="AL28" s="629">
        <f t="shared" si="91"/>
        <v>-0.4183733029900657</v>
      </c>
      <c r="AM28" s="634">
        <f t="shared" si="92"/>
        <v>-0.14929584796213347</v>
      </c>
      <c r="AN28" s="581">
        <f t="shared" si="93"/>
        <v>-70.36113947880078</v>
      </c>
      <c r="AO28" s="582">
        <f t="shared" si="94"/>
        <v>26.373017986384173</v>
      </c>
      <c r="AP28" s="585">
        <f t="shared" si="95"/>
        <v>-25.031428622733962</v>
      </c>
      <c r="AQ28" s="586">
        <f t="shared" si="9"/>
        <v>0.83460568675056324</v>
      </c>
      <c r="AS28" s="52">
        <f t="shared" si="116"/>
        <v>-225.26501945332433</v>
      </c>
      <c r="AT28" s="72">
        <f t="shared" si="10"/>
        <v>-0.63422591513420623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4.1150000000000002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-2.0888038079216211</v>
      </c>
      <c r="C29" s="708">
        <v>-1.9765118326915125</v>
      </c>
      <c r="D29" s="709">
        <v>-1.5437046558132421</v>
      </c>
      <c r="E29" s="710">
        <v>0.14639011202988667</v>
      </c>
      <c r="F29" s="708">
        <v>-0.98922693811878193</v>
      </c>
      <c r="G29" s="711">
        <v>1.3008419217203273E-7</v>
      </c>
      <c r="H29" s="710">
        <v>0.26600000000000001</v>
      </c>
      <c r="I29" s="708">
        <v>0.52</v>
      </c>
      <c r="J29" s="570">
        <v>4.12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4.12</v>
      </c>
      <c r="N29" s="632">
        <f t="shared" si="2"/>
        <v>-2.0888038079216211</v>
      </c>
      <c r="O29" s="629">
        <f t="shared" si="3"/>
        <v>-1.9765118326915125</v>
      </c>
      <c r="P29" s="633">
        <f t="shared" si="4"/>
        <v>-1.5437046558132421</v>
      </c>
      <c r="Q29" s="585">
        <f t="shared" si="113"/>
        <v>223.4177807368558</v>
      </c>
      <c r="R29" s="629">
        <f>IF(M29="","",SQRT(N29^2+O29^2))</f>
        <v>2.8757086731373587</v>
      </c>
      <c r="S29" s="634">
        <f>IF(M29="","",P29)</f>
        <v>-1.5437046558132421</v>
      </c>
      <c r="T29" s="635">
        <f>IF(M29="","",X29*COS(RADIANS(W29)))</f>
        <v>-2.01514114268962</v>
      </c>
      <c r="U29" s="629">
        <f>IF(M29="","",X29*SIN(RADIANS(W29)))</f>
        <v>2.0515619775666054</v>
      </c>
      <c r="V29" s="636">
        <f>IF(M29="","",Y29)</f>
        <v>-1.5437046558132421</v>
      </c>
      <c r="W29" s="585">
        <f t="shared" si="224"/>
        <v>134.48688058249689</v>
      </c>
      <c r="X29" s="629">
        <f>IF(M29="","",R29)</f>
        <v>2.8757086731373587</v>
      </c>
      <c r="Y29" s="630">
        <f t="shared" si="223"/>
        <v>-1.5437046558132421</v>
      </c>
      <c r="Z29" s="632">
        <f t="shared" si="6"/>
        <v>-0.14639011202988667</v>
      </c>
      <c r="AA29" s="629">
        <f t="shared" si="7"/>
        <v>0.98922693811878193</v>
      </c>
      <c r="AB29" s="629">
        <f t="shared" si="8"/>
        <v>-1.3008419217203273E-7</v>
      </c>
      <c r="AC29" s="636">
        <f>IF(M29="","",SQRT(Z29^2+AA29^2+AB29^2))</f>
        <v>1</v>
      </c>
      <c r="AD29" s="637">
        <f>IF(M29="","",Z29*(1/SQRT(Z29^2+AA29^2+AB29^2)))</f>
        <v>-0.14639011202988667</v>
      </c>
      <c r="AE29" s="629">
        <f>IF(M29="","",AA29*(1/SQRT(Z29^2+AA29^2+AB29^2)))</f>
        <v>0.98922693811878193</v>
      </c>
      <c r="AF29" s="633">
        <f>IF(M29="","",AB29*(1/SQRT(Z29^2+AA29^2+AB29^2)))</f>
        <v>-1.3008419217203273E-7</v>
      </c>
      <c r="AG29" s="602">
        <f>IF(M29="","",DEGREES(ATAN2(-AF29,AE29)))</f>
        <v>89.999992465555778</v>
      </c>
      <c r="AH29" s="603">
        <f>IF(M29="","",DEGREES(ACOS(AD29)))</f>
        <v>98.41778579023044</v>
      </c>
      <c r="AI29" s="585">
        <f>IF(M29="","",DEGREES(-ACOS(-AF29)))</f>
        <v>-89.999992546724812</v>
      </c>
      <c r="AJ29" s="586">
        <f>IF(M29="","",DEGREES(ATAN2(-AE29,AD29)))</f>
        <v>-171.58221420976949</v>
      </c>
      <c r="AK29" s="635">
        <f>IF(M29="","",(COS(RADIANS((90-$Q$8)-W29))*AD29)+(-SIN(RADIANS((90-$Q$8)-W29))*AE29))</f>
        <v>0.81915209487729146</v>
      </c>
      <c r="AL29" s="629">
        <f>IF(M29="","",(SIN(RADIANS((90-$Q$8)-W29))*AD29)+(COS(RADIANS((90-$Q$8)-W29))*AE29))</f>
        <v>-0.57357636410344526</v>
      </c>
      <c r="AM29" s="634">
        <f>IF(M29="","",AF29)</f>
        <v>-1.3008419217203273E-7</v>
      </c>
      <c r="AN29" s="581">
        <f>IF(M29="","",DEGREES(ATAN2(-AM29,AL29)))</f>
        <v>-89.999987005609626</v>
      </c>
      <c r="AO29" s="582">
        <f t="shared" si="94"/>
        <v>34.999994946626011</v>
      </c>
      <c r="AP29" s="585">
        <f>IF(M29="","",DEGREES(ATAN2(AK29,AL29)))</f>
        <v>-34.999994946625314</v>
      </c>
      <c r="AQ29" s="586">
        <f t="shared" si="9"/>
        <v>0.79270240192578845</v>
      </c>
      <c r="AS29" s="52">
        <f t="shared" si="116"/>
        <v>-225.51311941750311</v>
      </c>
      <c r="AT29" s="72">
        <f t="shared" si="10"/>
        <v>-1.3863558924360586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4.12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1313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-1.2662332521671751</v>
      </c>
      <c r="C30" s="708">
        <v>-4.8864807237794704E-2</v>
      </c>
      <c r="D30" s="709">
        <v>-6.0470266110891992E-2</v>
      </c>
      <c r="E30" s="710">
        <v>8.7456604246122515E-9</v>
      </c>
      <c r="F30" s="708">
        <v>-2.2662620897378412E-7</v>
      </c>
      <c r="G30" s="711">
        <v>0.99999999999997435</v>
      </c>
      <c r="H30" s="710">
        <v>0.19500000000000001</v>
      </c>
      <c r="I30" s="708">
        <v>0.21199999999999999</v>
      </c>
      <c r="J30" s="570">
        <v>4.2050000000000001</v>
      </c>
      <c r="K30" s="865" t="str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Inactive</v>
      </c>
      <c r="L30" s="320"/>
      <c r="M30" s="168">
        <f t="shared" si="1"/>
        <v>4.2050000000000001</v>
      </c>
      <c r="N30" s="632">
        <f t="shared" si="2"/>
        <v>-1.2662332521671751</v>
      </c>
      <c r="O30" s="629">
        <f t="shared" si="3"/>
        <v>-4.8864807237794704E-2</v>
      </c>
      <c r="P30" s="633">
        <f t="shared" si="4"/>
        <v>-6.0470266110891992E-2</v>
      </c>
      <c r="Q30" s="585">
        <f t="shared" si="113"/>
        <v>182.20998668652513</v>
      </c>
      <c r="R30" s="629">
        <f>IF(M30="","",SQRT(N30^2+O30^2))</f>
        <v>1.267175764556854</v>
      </c>
      <c r="S30" s="634">
        <f>IF(M30="","",P30)</f>
        <v>-6.0470266110891992E-2</v>
      </c>
      <c r="T30" s="635">
        <f>IF(M30="","",X30*COS(RADIANS(W30)))</f>
        <v>-7.2481971588653174E-2</v>
      </c>
      <c r="U30" s="629">
        <f>IF(M30="","",X30*SIN(RADIANS(W30)))</f>
        <v>1.2651010955946838</v>
      </c>
      <c r="V30" s="636">
        <f>IF(M30="","",Y30)</f>
        <v>-6.0470266110891992E-2</v>
      </c>
      <c r="W30" s="585">
        <f t="shared" si="224"/>
        <v>93.279086532166204</v>
      </c>
      <c r="X30" s="629">
        <f>IF(M30="","",R30)</f>
        <v>1.267175764556854</v>
      </c>
      <c r="Y30" s="630">
        <f t="shared" si="223"/>
        <v>-6.0470266110891992E-2</v>
      </c>
      <c r="Z30" s="632">
        <f t="shared" si="6"/>
        <v>-8.7456604246122515E-9</v>
      </c>
      <c r="AA30" s="629">
        <f t="shared" si="7"/>
        <v>2.2662620897378412E-7</v>
      </c>
      <c r="AB30" s="629">
        <f t="shared" si="8"/>
        <v>-0.99999999999997435</v>
      </c>
      <c r="AC30" s="636">
        <f>IF(M30="","",SQRT(Z30^2+AA30^2+AB30^2))</f>
        <v>1</v>
      </c>
      <c r="AD30" s="637">
        <f>IF(M30="","",Z30*(1/SQRT(Z30^2+AA30^2+AB30^2)))</f>
        <v>-8.7456604246122515E-9</v>
      </c>
      <c r="AE30" s="629">
        <f>IF(M30="","",AA30*(1/SQRT(Z30^2+AA30^2+AB30^2)))</f>
        <v>2.2662620897378412E-7</v>
      </c>
      <c r="AF30" s="633">
        <f>IF(M30="","",AB30*(1/SQRT(Z30^2+AA30^2+AB30^2)))</f>
        <v>-0.99999999999997435</v>
      </c>
      <c r="AG30" s="602">
        <f>IF(M30="","",DEGREES(ATAN2(-AF30,AE30)))</f>
        <v>1.2984725301247764E-5</v>
      </c>
      <c r="AH30" s="603">
        <f>IF(M30="","",DEGREES(ACOS(AD30)))</f>
        <v>90.000000501089431</v>
      </c>
      <c r="AI30" s="585">
        <f>IF(M30="","",DEGREES(-ACOS(-AF30)))</f>
        <v>-1.2976235990044085E-5</v>
      </c>
      <c r="AJ30" s="586">
        <f>IF(M30="","",DEGREES(ATAN2(-AE30,AD30)))</f>
        <v>-177.79001330843678</v>
      </c>
      <c r="AK30" s="635">
        <f>IF(M30="","",(COS(RADIANS((90-$Q$8)-W30))*AD30)+(-SIN(RADIANS((90-$Q$8)-W30))*AE30))</f>
        <v>2.267948967020464E-7</v>
      </c>
      <c r="AL30" s="629">
        <f>IF(M30="","",(SIN(RADIANS((90-$Q$8)-W30))*AD30)+(COS(RADIANS((90-$Q$8)-W30))*AE30))</f>
        <v>1.9942310445222507E-17</v>
      </c>
      <c r="AM30" s="634">
        <f>IF(M30="","",AF30)</f>
        <v>-0.99999999999997435</v>
      </c>
      <c r="AN30" s="581">
        <f>IF(M30="","",DEGREES(ATAN2(-AM30,AL30)))</f>
        <v>1.1426102222509367E-15</v>
      </c>
      <c r="AO30" s="582">
        <f>IF(ROUND(IF(M30="",0,DEGREES(ACOS(AK30))),4)=90,0,IF(M30="","",DEGREES(ACOS(AK30))))</f>
        <v>0</v>
      </c>
      <c r="AP30" s="585">
        <f>IF(M30="","",DEGREES(ATAN2(AK30,AL30)))</f>
        <v>5.0380773062632917E-9</v>
      </c>
      <c r="AQ30" s="586">
        <f t="shared" si="9"/>
        <v>1.7984702050010644</v>
      </c>
      <c r="AS30" s="52">
        <f t="shared" si="116"/>
        <v>-266.72091346783378</v>
      </c>
      <c r="AT30" s="72">
        <f t="shared" si="10"/>
        <v>0.12549502091235445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Nose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4.2050000000000001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4.1050000000000004</v>
      </c>
      <c r="II30" s="734" cm="1">
        <f t="array" ref="II30">IFERROR(IF($IH30&lt;1,$IH30+LARGE((IF($M$9:$M$150="",0,$M$9:$M$150)-MOD(IF($M$9:$M$150="",0,$M$9:$M$150),1)),1),$IH30),"")</f>
        <v>4.1050000000000004</v>
      </c>
      <c r="IJ30" s="533">
        <f t="shared" si="112"/>
        <v>1613</v>
      </c>
      <c r="IK30" s="533" t="str">
        <f t="shared" si="66"/>
        <v>Inactive</v>
      </c>
      <c r="IL30" s="727">
        <f t="shared" si="225"/>
        <v>42.789993821889269</v>
      </c>
      <c r="IM30" s="759">
        <v>5.3696761628653902E-2</v>
      </c>
      <c r="IN30" s="5">
        <f t="shared" si="226"/>
        <v>0.46</v>
      </c>
      <c r="IO30" s="771">
        <v>230</v>
      </c>
      <c r="IP30" s="9">
        <f t="shared" si="227"/>
        <v>-1.2828038689364687</v>
      </c>
      <c r="IQ30" s="5">
        <f t="shared" si="228"/>
        <v>-0.1080003257289824</v>
      </c>
      <c r="IR30" s="5">
        <f t="shared" si="71"/>
        <v>0.314</v>
      </c>
      <c r="IS30" s="5">
        <f t="shared" si="229"/>
        <v>0.29863175051792029</v>
      </c>
      <c r="IT30" s="727">
        <f t="shared" si="230"/>
        <v>-12.499998195223542</v>
      </c>
      <c r="IU30" s="9">
        <f t="shared" si="231"/>
        <v>-1.267175764556854</v>
      </c>
      <c r="IV30" s="5">
        <f t="shared" si="232"/>
        <v>-6.0470266110891992E-2</v>
      </c>
      <c r="IW30" s="5">
        <f t="shared" si="76"/>
        <v>0.19500000000000001</v>
      </c>
      <c r="IX30" s="5">
        <f t="shared" si="233"/>
        <v>0.19500000000000001</v>
      </c>
      <c r="IY30" s="762">
        <f t="shared" si="234"/>
        <v>-1.1426102222509367E-15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3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230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450</v>
      </c>
    </row>
    <row r="31" spans="1:269" ht="15" customHeight="1" x14ac:dyDescent="0.25">
      <c r="A31" s="79"/>
      <c r="B31" s="707">
        <v>-1.8284152501104349</v>
      </c>
      <c r="C31" s="708">
        <v>0.8652411193010483</v>
      </c>
      <c r="D31" s="709">
        <v>-0.10450031517295055</v>
      </c>
      <c r="E31" s="710">
        <v>-0.51490791025754645</v>
      </c>
      <c r="F31" s="708">
        <v>-0.79517698366793321</v>
      </c>
      <c r="G31" s="711">
        <v>0.32025522415563196</v>
      </c>
      <c r="H31" s="710">
        <v>0.314</v>
      </c>
      <c r="I31" s="708">
        <v>0.52</v>
      </c>
      <c r="J31" s="570">
        <v>5.109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5.109</v>
      </c>
      <c r="N31" s="632">
        <f t="shared" si="2"/>
        <v>-1.8284152501104349</v>
      </c>
      <c r="O31" s="629">
        <f t="shared" si="3"/>
        <v>0.8652411193010483</v>
      </c>
      <c r="P31" s="633">
        <f t="shared" si="4"/>
        <v>-0.10450031517295055</v>
      </c>
      <c r="Q31" s="585">
        <f t="shared" si="113"/>
        <v>154.67559066200005</v>
      </c>
      <c r="R31" s="629">
        <f>IF(M31="","",SQRT(N31^2+O31^2))</f>
        <v>2.0228061007832006</v>
      </c>
      <c r="S31" s="634">
        <f>IF(M31="","",P31)</f>
        <v>-0.10450031517295055</v>
      </c>
      <c r="T31" s="635">
        <f>IF(M31="","",X31*COS(RADIANS(W31)))</f>
        <v>0.83097550667724207</v>
      </c>
      <c r="U31" s="629">
        <f>IF(M31="","",X31*SIN(RADIANS(W31)))</f>
        <v>1.8442408271883139</v>
      </c>
      <c r="V31" s="636">
        <f>IF(M31="","",Y31)</f>
        <v>-0.10450031517295055</v>
      </c>
      <c r="W31" s="585">
        <f t="shared" si="224"/>
        <v>65.744690507641124</v>
      </c>
      <c r="X31" s="629">
        <f>IF(M31="","",R31)</f>
        <v>2.0228061007832006</v>
      </c>
      <c r="Y31" s="630">
        <f t="shared" si="223"/>
        <v>-0.10450031517295055</v>
      </c>
      <c r="Z31" s="632">
        <f t="shared" si="6"/>
        <v>0.51490791025754645</v>
      </c>
      <c r="AA31" s="629">
        <f t="shared" si="7"/>
        <v>0.79517698366793321</v>
      </c>
      <c r="AB31" s="629">
        <f t="shared" si="8"/>
        <v>-0.32025522415563196</v>
      </c>
      <c r="AC31" s="636">
        <f>IF(M31="","",SQRT(Z31^2+AA31^2+AB31^2))</f>
        <v>1</v>
      </c>
      <c r="AD31" s="637">
        <f>IF(M31="","",Z31*(1/SQRT(Z31^2+AA31^2+AB31^2)))</f>
        <v>0.51490791025754645</v>
      </c>
      <c r="AE31" s="629">
        <f>IF(M31="","",AA31*(1/SQRT(Z31^2+AA31^2+AB31^2)))</f>
        <v>0.79517698366793321</v>
      </c>
      <c r="AF31" s="633">
        <f>IF(M31="","",AB31*(1/SQRT(Z31^2+AA31^2+AB31^2)))</f>
        <v>-0.32025522415563196</v>
      </c>
      <c r="AG31" s="602">
        <f>IF(M31="","",DEGREES(ATAN2(-AF31,AE31)))</f>
        <v>68.063031906105138</v>
      </c>
      <c r="AH31" s="603">
        <f>IF(M31="","",DEGREES(ACOS(AD31)))</f>
        <v>59.008700221115362</v>
      </c>
      <c r="AI31" s="585">
        <f>IF(M31="","",DEGREES(-ACOS(-AF31)))</f>
        <v>-71.321639542244213</v>
      </c>
      <c r="AJ31" s="586">
        <f>IF(M31="","",DEGREES(ATAN2(-AE31,AD31)))</f>
        <v>147.07537873985277</v>
      </c>
      <c r="AK31" s="635">
        <f>IF(M31="","",(COS(RADIANS((90-$Q$8)-W31))*AD31)+(-SIN(RADIANS((90-$Q$8)-W31))*AE31))</f>
        <v>0.93900904261067653</v>
      </c>
      <c r="AL31" s="629">
        <f>IF(M31="","",(SIN(RADIANS((90-$Q$8)-W31))*AD31)+(COS(RADIANS((90-$Q$8)-W31))*AE31))</f>
        <v>-0.12529409122702789</v>
      </c>
      <c r="AM31" s="634">
        <f>IF(M31="","",AF31)</f>
        <v>-0.32025522415563196</v>
      </c>
      <c r="AN31" s="581">
        <f>IF(M31="","",DEGREES(ATAN2(-AM31,AL31)))</f>
        <v>-21.367027289804685</v>
      </c>
      <c r="AO31" s="582">
        <f t="shared" si="94"/>
        <v>20.11420152294043</v>
      </c>
      <c r="AP31" s="585">
        <f>IF(M31="","",DEGREES(ATAN2(AK31,AL31)))</f>
        <v>-7.6002119221472677</v>
      </c>
      <c r="AQ31" s="586">
        <f t="shared" si="9"/>
        <v>1.1268666244050725</v>
      </c>
      <c r="AS31" s="52">
        <f t="shared" si="116"/>
        <v>-294.25530949235889</v>
      </c>
      <c r="AT31" s="72">
        <f t="shared" si="10"/>
        <v>0.10058608020066054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5.109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-2.3876867824864476</v>
      </c>
      <c r="C32" s="708">
        <v>1.1758302628785124</v>
      </c>
      <c r="D32" s="709">
        <v>-0.63630191908658806</v>
      </c>
      <c r="E32" s="710">
        <v>-0.73261845753220745</v>
      </c>
      <c r="F32" s="708">
        <v>-0.65457872257350891</v>
      </c>
      <c r="G32" s="711">
        <v>0.18653924958882673</v>
      </c>
      <c r="H32" s="710">
        <v>0.314</v>
      </c>
      <c r="I32" s="708">
        <v>0.52</v>
      </c>
      <c r="J32" s="570">
        <v>5.1139999999999999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5.1139999999999999</v>
      </c>
      <c r="N32" s="632">
        <f t="shared" si="2"/>
        <v>-2.3876867824864476</v>
      </c>
      <c r="O32" s="629">
        <f t="shared" si="3"/>
        <v>1.1758302628785124</v>
      </c>
      <c r="P32" s="633">
        <f t="shared" si="4"/>
        <v>-0.63630191908658806</v>
      </c>
      <c r="Q32" s="585">
        <f t="shared" si="113"/>
        <v>153.78179079104879</v>
      </c>
      <c r="R32" s="629">
        <f t="shared" si="79"/>
        <v>2.6615080271082099</v>
      </c>
      <c r="S32" s="634">
        <f t="shared" si="80"/>
        <v>-0.63630191908658806</v>
      </c>
      <c r="T32" s="635">
        <f t="shared" si="81"/>
        <v>1.131075566268378</v>
      </c>
      <c r="U32" s="629">
        <f t="shared" si="82"/>
        <v>2.4092100451708447</v>
      </c>
      <c r="V32" s="636">
        <f t="shared" si="114"/>
        <v>-0.63630191908658806</v>
      </c>
      <c r="W32" s="585">
        <f t="shared" si="224"/>
        <v>64.850890636689869</v>
      </c>
      <c r="X32" s="629">
        <f t="shared" si="83"/>
        <v>2.6615080271082099</v>
      </c>
      <c r="Y32" s="630">
        <f t="shared" si="223"/>
        <v>-0.63630191908658806</v>
      </c>
      <c r="Z32" s="632">
        <f t="shared" si="6"/>
        <v>0.73261845753220745</v>
      </c>
      <c r="AA32" s="629">
        <f t="shared" si="7"/>
        <v>0.65457872257350891</v>
      </c>
      <c r="AB32" s="629">
        <f t="shared" si="8"/>
        <v>-0.18653924958882673</v>
      </c>
      <c r="AC32" s="636">
        <f t="shared" si="84"/>
        <v>1</v>
      </c>
      <c r="AD32" s="637">
        <f t="shared" si="115"/>
        <v>0.73261845753220745</v>
      </c>
      <c r="AE32" s="629">
        <f t="shared" si="85"/>
        <v>0.65457872257350891</v>
      </c>
      <c r="AF32" s="633">
        <f t="shared" si="86"/>
        <v>-0.18653924958882673</v>
      </c>
      <c r="AG32" s="602">
        <f t="shared" si="87"/>
        <v>74.093717968425665</v>
      </c>
      <c r="AH32" s="603">
        <f t="shared" si="88"/>
        <v>42.893639895618549</v>
      </c>
      <c r="AI32" s="585">
        <f t="shared" si="89"/>
        <v>-79.249112753973151</v>
      </c>
      <c r="AJ32" s="586">
        <f t="shared" si="90"/>
        <v>131.78009775507334</v>
      </c>
      <c r="AK32" s="635">
        <f t="shared" si="211"/>
        <v>0.91089859312936339</v>
      </c>
      <c r="AL32" s="629">
        <f t="shared" si="91"/>
        <v>-0.36805823098768481</v>
      </c>
      <c r="AM32" s="634">
        <f t="shared" si="92"/>
        <v>-0.18653924958882673</v>
      </c>
      <c r="AN32" s="581">
        <f t="shared" si="93"/>
        <v>-63.123199448628313</v>
      </c>
      <c r="AO32" s="582">
        <f t="shared" si="94"/>
        <v>24.370172709265084</v>
      </c>
      <c r="AP32" s="585">
        <f t="shared" si="95"/>
        <v>-22.001693035975446</v>
      </c>
      <c r="AQ32" s="586">
        <f t="shared" si="9"/>
        <v>0.8564906800504356</v>
      </c>
      <c r="AS32" s="52">
        <f t="shared" si="116"/>
        <v>-295.14910936331012</v>
      </c>
      <c r="AT32" s="72">
        <f t="shared" si="10"/>
        <v>-0.43059482935814974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5.1139999999999999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-2.5717267888318776</v>
      </c>
      <c r="C33" s="708">
        <v>1.2868262106290445</v>
      </c>
      <c r="D33" s="709">
        <v>-1.3874041844110201</v>
      </c>
      <c r="E33" s="710">
        <v>-0.87950080298853606</v>
      </c>
      <c r="F33" s="708">
        <v>-0.4758974023279634</v>
      </c>
      <c r="G33" s="711">
        <v>1.3008419196317487E-7</v>
      </c>
      <c r="H33" s="710">
        <v>0.26600000000000001</v>
      </c>
      <c r="I33" s="708">
        <v>0.52</v>
      </c>
      <c r="J33" s="570">
        <v>5.1189999999999998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5.1189999999999998</v>
      </c>
      <c r="N33" s="632">
        <f t="shared" si="2"/>
        <v>-2.5717267888318776</v>
      </c>
      <c r="O33" s="629">
        <f t="shared" si="3"/>
        <v>1.2868262106290445</v>
      </c>
      <c r="P33" s="633">
        <f t="shared" si="4"/>
        <v>-1.3874041844110201</v>
      </c>
      <c r="Q33" s="585">
        <f t="shared" si="113"/>
        <v>153.41779084360388</v>
      </c>
      <c r="R33" s="629">
        <f t="shared" si="79"/>
        <v>2.8757086731373587</v>
      </c>
      <c r="S33" s="634">
        <f t="shared" si="80"/>
        <v>-1.3874041844110201</v>
      </c>
      <c r="T33" s="635">
        <f t="shared" si="81"/>
        <v>1.2386183311614707</v>
      </c>
      <c r="U33" s="629">
        <f t="shared" si="82"/>
        <v>2.5952890017237391</v>
      </c>
      <c r="V33" s="636">
        <f t="shared" si="114"/>
        <v>-1.3874041844110201</v>
      </c>
      <c r="W33" s="585">
        <f t="shared" si="224"/>
        <v>64.486890689244959</v>
      </c>
      <c r="X33" s="629">
        <f t="shared" si="83"/>
        <v>2.8757086731373587</v>
      </c>
      <c r="Y33" s="630">
        <f t="shared" si="223"/>
        <v>-1.3874041844110201</v>
      </c>
      <c r="Z33" s="632">
        <f t="shared" si="6"/>
        <v>0.87950080298853606</v>
      </c>
      <c r="AA33" s="629">
        <f t="shared" si="7"/>
        <v>0.4758974023279634</v>
      </c>
      <c r="AB33" s="629">
        <f t="shared" si="8"/>
        <v>-1.3008419196317487E-7</v>
      </c>
      <c r="AC33" s="636">
        <f t="shared" si="84"/>
        <v>1</v>
      </c>
      <c r="AD33" s="637">
        <f t="shared" si="115"/>
        <v>0.87950080298853606</v>
      </c>
      <c r="AE33" s="629">
        <f t="shared" si="85"/>
        <v>0.4758974023279634</v>
      </c>
      <c r="AF33" s="633">
        <f t="shared" si="86"/>
        <v>-1.3008419196317487E-7</v>
      </c>
      <c r="AG33" s="602">
        <f t="shared" si="87"/>
        <v>89.999984338483159</v>
      </c>
      <c r="AH33" s="603">
        <f t="shared" si="88"/>
        <v>28.417795896979495</v>
      </c>
      <c r="AI33" s="585">
        <f t="shared" si="89"/>
        <v>-89.999992546724826</v>
      </c>
      <c r="AJ33" s="586">
        <f t="shared" si="90"/>
        <v>118.41779589697863</v>
      </c>
      <c r="AK33" s="635">
        <f t="shared" si="211"/>
        <v>0.8191520948772919</v>
      </c>
      <c r="AL33" s="629">
        <f t="shared" si="91"/>
        <v>-0.57357636410344459</v>
      </c>
      <c r="AM33" s="634">
        <f t="shared" si="92"/>
        <v>-1.3008419196317487E-7</v>
      </c>
      <c r="AN33" s="581">
        <f t="shared" si="93"/>
        <v>-89.999987005609626</v>
      </c>
      <c r="AO33" s="582">
        <f t="shared" si="94"/>
        <v>34.999994946625968</v>
      </c>
      <c r="AP33" s="585">
        <f t="shared" si="95"/>
        <v>-34.999994946625272</v>
      </c>
      <c r="AQ33" s="586">
        <f t="shared" si="9"/>
        <v>0.79270240192578845</v>
      </c>
      <c r="AS33" s="52">
        <f t="shared" si="116"/>
        <v>-295.51310931075506</v>
      </c>
      <c r="AT33" s="72">
        <f t="shared" si="10"/>
        <v>-1.1814443169413005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5.1189999999999998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/>
      <c r="C34" s="708"/>
      <c r="D34" s="709"/>
      <c r="E34" s="710"/>
      <c r="F34" s="708"/>
      <c r="G34" s="711"/>
      <c r="H34" s="710"/>
      <c r="I34" s="708"/>
      <c r="J34" s="570"/>
      <c r="K34" s="865" t="str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/>
      </c>
      <c r="L34" s="320"/>
      <c r="M34" s="168" t="str">
        <f t="shared" si="1"/>
        <v/>
      </c>
      <c r="N34" s="632" t="str">
        <f t="shared" si="2"/>
        <v/>
      </c>
      <c r="O34" s="629" t="str">
        <f t="shared" si="3"/>
        <v/>
      </c>
      <c r="P34" s="633" t="str">
        <f t="shared" si="4"/>
        <v/>
      </c>
      <c r="Q34" s="585" t="str">
        <f t="shared" si="113"/>
        <v/>
      </c>
      <c r="R34" s="629" t="str">
        <f>IF(M34="","",SQRT(N34^2+O34^2))</f>
        <v/>
      </c>
      <c r="S34" s="634" t="str">
        <f>IF(M34="","",P34)</f>
        <v/>
      </c>
      <c r="T34" s="635" t="str">
        <f>IF(M34="","",X34*COS(RADIANS(W34)))</f>
        <v/>
      </c>
      <c r="U34" s="629" t="str">
        <f>IF(M34="","",X34*SIN(RADIANS(W34)))</f>
        <v/>
      </c>
      <c r="V34" s="636" t="str">
        <f>IF(M34="","",Y34)</f>
        <v/>
      </c>
      <c r="W34" s="585" t="str">
        <f t="shared" si="224"/>
        <v/>
      </c>
      <c r="X34" s="629" t="str">
        <f>IF(M34="","",R34)</f>
        <v/>
      </c>
      <c r="Y34" s="630" t="str">
        <f t="shared" si="223"/>
        <v/>
      </c>
      <c r="Z34" s="632" t="str">
        <f t="shared" si="6"/>
        <v/>
      </c>
      <c r="AA34" s="629" t="str">
        <f t="shared" si="7"/>
        <v/>
      </c>
      <c r="AB34" s="629" t="str">
        <f t="shared" si="8"/>
        <v/>
      </c>
      <c r="AC34" s="636" t="str">
        <f>IF(M34="","",SQRT(Z34^2+AA34^2+AB34^2))</f>
        <v/>
      </c>
      <c r="AD34" s="637" t="str">
        <f>IF(M34="","",Z34*(1/SQRT(Z34^2+AA34^2+AB34^2)))</f>
        <v/>
      </c>
      <c r="AE34" s="629" t="str">
        <f>IF(M34="","",AA34*(1/SQRT(Z34^2+AA34^2+AB34^2)))</f>
        <v/>
      </c>
      <c r="AF34" s="633" t="str">
        <f>IF(M34="","",AB34*(1/SQRT(Z34^2+AA34^2+AB34^2)))</f>
        <v/>
      </c>
      <c r="AG34" s="602" t="str">
        <f>IF(M34="","",DEGREES(ATAN2(-AF34,AE34)))</f>
        <v/>
      </c>
      <c r="AH34" s="603" t="str">
        <f>IF(M34="","",DEGREES(ACOS(AD34)))</f>
        <v/>
      </c>
      <c r="AI34" s="585" t="str">
        <f>IF(M34="","",DEGREES(-ACOS(-AF34)))</f>
        <v/>
      </c>
      <c r="AJ34" s="586" t="str">
        <f>IF(M34="","",DEGREES(ATAN2(-AE34,AD34)))</f>
        <v/>
      </c>
      <c r="AK34" s="635" t="str">
        <f>IF(M34="","",(COS(RADIANS((90-$Q$8)-W34))*AD34)+(-SIN(RADIANS((90-$Q$8)-W34))*AE34))</f>
        <v/>
      </c>
      <c r="AL34" s="629" t="str">
        <f>IF(M34="","",(SIN(RADIANS((90-$Q$8)-W34))*AD34)+(COS(RADIANS((90-$Q$8)-W34))*AE34))</f>
        <v/>
      </c>
      <c r="AM34" s="634" t="str">
        <f>IF(M34="","",AF34)</f>
        <v/>
      </c>
      <c r="AN34" s="581" t="str">
        <f>IF(M34="","",DEGREES(ATAN2(-AM34,AL34)))</f>
        <v/>
      </c>
      <c r="AO34" s="582" t="str">
        <f t="shared" si="94"/>
        <v/>
      </c>
      <c r="AP34" s="585" t="str">
        <f>IF(M34="","",DEGREES(ATAN2(AK34,AL34)))</f>
        <v/>
      </c>
      <c r="AQ34" s="586" t="str">
        <f t="shared" si="9"/>
        <v/>
      </c>
      <c r="AS34" s="52" t="str">
        <f t="shared" si="116"/>
        <v/>
      </c>
      <c r="AT34" s="72" t="str">
        <f t="shared" si="10"/>
        <v/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210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112"/>
        <v/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/>
      <c r="C35" s="708"/>
      <c r="D35" s="709"/>
      <c r="E35" s="710"/>
      <c r="F35" s="708"/>
      <c r="G35" s="711"/>
      <c r="H35" s="710"/>
      <c r="I35" s="708"/>
      <c r="J35" s="570"/>
      <c r="K35" s="865" t="str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/>
      </c>
      <c r="L35" s="320"/>
      <c r="M35" s="168" t="str">
        <f t="shared" si="1"/>
        <v/>
      </c>
      <c r="N35" s="632" t="str">
        <f t="shared" si="2"/>
        <v/>
      </c>
      <c r="O35" s="629" t="str">
        <f t="shared" si="3"/>
        <v/>
      </c>
      <c r="P35" s="633" t="str">
        <f t="shared" si="4"/>
        <v/>
      </c>
      <c r="Q35" s="585" t="str">
        <f t="shared" si="113"/>
        <v/>
      </c>
      <c r="R35" s="629" t="str">
        <f>IF(M35="","",SQRT(N35^2+O35^2))</f>
        <v/>
      </c>
      <c r="S35" s="634" t="str">
        <f>IF(M35="","",P35)</f>
        <v/>
      </c>
      <c r="T35" s="635" t="str">
        <f>IF(M35="","",X35*COS(RADIANS(W35)))</f>
        <v/>
      </c>
      <c r="U35" s="629" t="str">
        <f>IF(M35="","",X35*SIN(RADIANS(W35)))</f>
        <v/>
      </c>
      <c r="V35" s="636" t="str">
        <f>IF(M35="","",Y35)</f>
        <v/>
      </c>
      <c r="W35" s="585" t="str">
        <f t="shared" si="224"/>
        <v/>
      </c>
      <c r="X35" s="629" t="str">
        <f>IF(M35="","",R35)</f>
        <v/>
      </c>
      <c r="Y35" s="630" t="str">
        <f t="shared" si="223"/>
        <v/>
      </c>
      <c r="Z35" s="632" t="str">
        <f t="shared" si="6"/>
        <v/>
      </c>
      <c r="AA35" s="629" t="str">
        <f t="shared" si="7"/>
        <v/>
      </c>
      <c r="AB35" s="629" t="str">
        <f t="shared" si="8"/>
        <v/>
      </c>
      <c r="AC35" s="636" t="str">
        <f>IF(M35="","",SQRT(Z35^2+AA35^2+AB35^2))</f>
        <v/>
      </c>
      <c r="AD35" s="637" t="str">
        <f>IF(M35="","",Z35*(1/SQRT(Z35^2+AA35^2+AB35^2)))</f>
        <v/>
      </c>
      <c r="AE35" s="629" t="str">
        <f>IF(M35="","",AA35*(1/SQRT(Z35^2+AA35^2+AB35^2)))</f>
        <v/>
      </c>
      <c r="AF35" s="633" t="str">
        <f>IF(M35="","",AB35*(1/SQRT(Z35^2+AA35^2+AB35^2)))</f>
        <v/>
      </c>
      <c r="AG35" s="602" t="str">
        <f>IF(M35="","",DEGREES(ATAN2(-AF35,AE35)))</f>
        <v/>
      </c>
      <c r="AH35" s="603" t="str">
        <f>IF(M35="","",DEGREES(ACOS(AD35)))</f>
        <v/>
      </c>
      <c r="AI35" s="585" t="str">
        <f>IF(M35="","",DEGREES(-ACOS(-AF35)))</f>
        <v/>
      </c>
      <c r="AJ35" s="586" t="str">
        <f>IF(M35="","",DEGREES(ATAN2(-AE35,AD35)))</f>
        <v/>
      </c>
      <c r="AK35" s="635" t="str">
        <f>IF(M35="","",(COS(RADIANS((90-$Q$8)-W35))*AD35)+(-SIN(RADIANS((90-$Q$8)-W35))*AE35))</f>
        <v/>
      </c>
      <c r="AL35" s="629" t="str">
        <f>IF(M35="","",(SIN(RADIANS((90-$Q$8)-W35))*AD35)+(COS(RADIANS((90-$Q$8)-W35))*AE35))</f>
        <v/>
      </c>
      <c r="AM35" s="634" t="str">
        <f>IF(M35="","",AF35)</f>
        <v/>
      </c>
      <c r="AN35" s="581" t="str">
        <f>IF(M35="","",DEGREES(ATAN2(-AM35,AL35)))</f>
        <v/>
      </c>
      <c r="AO35" s="582" t="str">
        <f t="shared" si="94"/>
        <v/>
      </c>
      <c r="AP35" s="585" t="str">
        <f>IF(M35="","",DEGREES(ATAN2(AK35,AL35)))</f>
        <v/>
      </c>
      <c r="AQ35" s="586" t="str">
        <f t="shared" si="9"/>
        <v/>
      </c>
      <c r="AS35" s="52" t="str">
        <f t="shared" si="116"/>
        <v/>
      </c>
      <c r="AT35" s="72" t="str">
        <f t="shared" si="10"/>
        <v/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210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112"/>
        <v/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/>
      <c r="C36" s="708"/>
      <c r="D36" s="709"/>
      <c r="E36" s="710"/>
      <c r="F36" s="708"/>
      <c r="G36" s="711"/>
      <c r="H36" s="710"/>
      <c r="I36" s="708"/>
      <c r="J36" s="570"/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/>
      </c>
      <c r="L36" s="320"/>
      <c r="M36" s="168" t="str">
        <f t="shared" si="1"/>
        <v/>
      </c>
      <c r="N36" s="632" t="str">
        <f t="shared" si="2"/>
        <v/>
      </c>
      <c r="O36" s="629" t="str">
        <f t="shared" si="3"/>
        <v/>
      </c>
      <c r="P36" s="633" t="str">
        <f t="shared" si="4"/>
        <v/>
      </c>
      <c r="Q36" s="585" t="str">
        <f t="shared" si="113"/>
        <v/>
      </c>
      <c r="R36" s="629" t="str">
        <f>IF(M36="","",SQRT(N36^2+O36^2))</f>
        <v/>
      </c>
      <c r="S36" s="634" t="str">
        <f>IF(M36="","",P36)</f>
        <v/>
      </c>
      <c r="T36" s="635" t="str">
        <f>IF(M36="","",X36*COS(RADIANS(W36)))</f>
        <v/>
      </c>
      <c r="U36" s="629" t="str">
        <f>IF(M36="","",X36*SIN(RADIANS(W36)))</f>
        <v/>
      </c>
      <c r="V36" s="636" t="str">
        <f>IF(M36="","",Y36)</f>
        <v/>
      </c>
      <c r="W36" s="585" t="str">
        <f t="shared" si="224"/>
        <v/>
      </c>
      <c r="X36" s="629" t="str">
        <f>IF(M36="","",R36)</f>
        <v/>
      </c>
      <c r="Y36" s="630" t="str">
        <f t="shared" si="223"/>
        <v/>
      </c>
      <c r="Z36" s="632" t="str">
        <f t="shared" si="6"/>
        <v/>
      </c>
      <c r="AA36" s="629" t="str">
        <f t="shared" si="7"/>
        <v/>
      </c>
      <c r="AB36" s="629" t="str">
        <f t="shared" si="8"/>
        <v/>
      </c>
      <c r="AC36" s="636" t="str">
        <f>IF(M36="","",SQRT(Z36^2+AA36^2+AB36^2))</f>
        <v/>
      </c>
      <c r="AD36" s="637" t="str">
        <f>IF(M36="","",Z36*(1/SQRT(Z36^2+AA36^2+AB36^2)))</f>
        <v/>
      </c>
      <c r="AE36" s="629" t="str">
        <f>IF(M36="","",AA36*(1/SQRT(Z36^2+AA36^2+AB36^2)))</f>
        <v/>
      </c>
      <c r="AF36" s="633" t="str">
        <f>IF(M36="","",AB36*(1/SQRT(Z36^2+AA36^2+AB36^2)))</f>
        <v/>
      </c>
      <c r="AG36" s="602" t="str">
        <f>IF(M36="","",DEGREES(ATAN2(-AF36,AE36)))</f>
        <v/>
      </c>
      <c r="AH36" s="603" t="str">
        <f>IF(M36="","",DEGREES(ACOS(AD36)))</f>
        <v/>
      </c>
      <c r="AI36" s="585" t="str">
        <f>IF(M36="","",DEGREES(-ACOS(-AF36)))</f>
        <v/>
      </c>
      <c r="AJ36" s="586" t="str">
        <f>IF(M36="","",DEGREES(ATAN2(-AE36,AD36)))</f>
        <v/>
      </c>
      <c r="AK36" s="635" t="str">
        <f>IF(M36="","",(COS(RADIANS((90-$Q$8)-W36))*AD36)+(-SIN(RADIANS((90-$Q$8)-W36))*AE36))</f>
        <v/>
      </c>
      <c r="AL36" s="629" t="str">
        <f>IF(M36="","",(SIN(RADIANS((90-$Q$8)-W36))*AD36)+(COS(RADIANS((90-$Q$8)-W36))*AE36))</f>
        <v/>
      </c>
      <c r="AM36" s="634" t="str">
        <f>IF(M36="","",AF36)</f>
        <v/>
      </c>
      <c r="AN36" s="581" t="str">
        <f>IF(M36="","",DEGREES(ATAN2(-AM36,AL36)))</f>
        <v/>
      </c>
      <c r="AO36" s="582" t="str">
        <f t="shared" si="94"/>
        <v/>
      </c>
      <c r="AP36" s="585" t="str">
        <f>IF(M36="","",DEGREES(ATAN2(AK36,AL36)))</f>
        <v/>
      </c>
      <c r="AQ36" s="586" t="str">
        <f t="shared" si="9"/>
        <v/>
      </c>
      <c r="AS36" s="52" t="str">
        <f t="shared" si="116"/>
        <v/>
      </c>
      <c r="AT36" s="72" t="str">
        <f t="shared" si="10"/>
        <v/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210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112"/>
        <v/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/>
      <c r="C37" s="708"/>
      <c r="D37" s="709"/>
      <c r="E37" s="710"/>
      <c r="F37" s="708"/>
      <c r="G37" s="711"/>
      <c r="H37" s="710"/>
      <c r="I37" s="708"/>
      <c r="J37" s="570"/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/>
      </c>
      <c r="L37" s="320"/>
      <c r="M37" s="168" t="str">
        <f t="shared" si="1"/>
        <v/>
      </c>
      <c r="N37" s="632" t="str">
        <f t="shared" si="2"/>
        <v/>
      </c>
      <c r="O37" s="629" t="str">
        <f t="shared" si="3"/>
        <v/>
      </c>
      <c r="P37" s="633" t="str">
        <f t="shared" si="4"/>
        <v/>
      </c>
      <c r="Q37" s="585" t="str">
        <f t="shared" si="113"/>
        <v/>
      </c>
      <c r="R37" s="629" t="str">
        <f t="shared" si="79"/>
        <v/>
      </c>
      <c r="S37" s="634" t="str">
        <f t="shared" si="80"/>
        <v/>
      </c>
      <c r="T37" s="635" t="str">
        <f t="shared" si="81"/>
        <v/>
      </c>
      <c r="U37" s="629" t="str">
        <f t="shared" si="82"/>
        <v/>
      </c>
      <c r="V37" s="636" t="str">
        <f t="shared" si="114"/>
        <v/>
      </c>
      <c r="W37" s="585" t="str">
        <f t="shared" si="224"/>
        <v/>
      </c>
      <c r="X37" s="629" t="str">
        <f t="shared" si="83"/>
        <v/>
      </c>
      <c r="Y37" s="630" t="str">
        <f t="shared" si="223"/>
        <v/>
      </c>
      <c r="Z37" s="632" t="str">
        <f t="shared" si="6"/>
        <v/>
      </c>
      <c r="AA37" s="629" t="str">
        <f t="shared" si="7"/>
        <v/>
      </c>
      <c r="AB37" s="629" t="str">
        <f t="shared" si="8"/>
        <v/>
      </c>
      <c r="AC37" s="636" t="str">
        <f t="shared" si="84"/>
        <v/>
      </c>
      <c r="AD37" s="637" t="str">
        <f t="shared" si="115"/>
        <v/>
      </c>
      <c r="AE37" s="629" t="str">
        <f t="shared" si="85"/>
        <v/>
      </c>
      <c r="AF37" s="633" t="str">
        <f t="shared" si="86"/>
        <v/>
      </c>
      <c r="AG37" s="602" t="str">
        <f t="shared" si="87"/>
        <v/>
      </c>
      <c r="AH37" s="603" t="str">
        <f t="shared" si="88"/>
        <v/>
      </c>
      <c r="AI37" s="585" t="str">
        <f t="shared" si="89"/>
        <v/>
      </c>
      <c r="AJ37" s="586" t="str">
        <f t="shared" si="90"/>
        <v/>
      </c>
      <c r="AK37" s="635" t="str">
        <f t="shared" si="211"/>
        <v/>
      </c>
      <c r="AL37" s="629" t="str">
        <f t="shared" si="91"/>
        <v/>
      </c>
      <c r="AM37" s="634" t="str">
        <f t="shared" si="92"/>
        <v/>
      </c>
      <c r="AN37" s="581" t="str">
        <f t="shared" si="93"/>
        <v/>
      </c>
      <c r="AO37" s="582" t="str">
        <f t="shared" si="94"/>
        <v/>
      </c>
      <c r="AP37" s="585" t="str">
        <f t="shared" si="95"/>
        <v/>
      </c>
      <c r="AQ37" s="586" t="str">
        <f t="shared" si="9"/>
        <v/>
      </c>
      <c r="AS37" s="52" t="str">
        <f t="shared" si="116"/>
        <v/>
      </c>
      <c r="AT37" s="72" t="str">
        <f t="shared" si="10"/>
        <v/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210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112"/>
        <v/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/>
      <c r="C38" s="708"/>
      <c r="D38" s="709"/>
      <c r="E38" s="710"/>
      <c r="F38" s="708"/>
      <c r="G38" s="711"/>
      <c r="H38" s="710"/>
      <c r="I38" s="708"/>
      <c r="J38" s="570"/>
      <c r="K38" s="865" t="str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/>
      </c>
      <c r="L38" s="320"/>
      <c r="M38" s="168" t="str">
        <f t="shared" si="1"/>
        <v/>
      </c>
      <c r="N38" s="632" t="str">
        <f t="shared" si="2"/>
        <v/>
      </c>
      <c r="O38" s="629" t="str">
        <f t="shared" si="3"/>
        <v/>
      </c>
      <c r="P38" s="633" t="str">
        <f t="shared" si="4"/>
        <v/>
      </c>
      <c r="Q38" s="585" t="str">
        <f t="shared" si="113"/>
        <v/>
      </c>
      <c r="R38" s="629" t="str">
        <f t="shared" si="79"/>
        <v/>
      </c>
      <c r="S38" s="634" t="str">
        <f t="shared" si="80"/>
        <v/>
      </c>
      <c r="T38" s="635" t="str">
        <f t="shared" si="81"/>
        <v/>
      </c>
      <c r="U38" s="629" t="str">
        <f t="shared" si="82"/>
        <v/>
      </c>
      <c r="V38" s="636" t="str">
        <f t="shared" si="114"/>
        <v/>
      </c>
      <c r="W38" s="585" t="str">
        <f t="shared" si="224"/>
        <v/>
      </c>
      <c r="X38" s="629" t="str">
        <f t="shared" si="83"/>
        <v/>
      </c>
      <c r="Y38" s="630" t="str">
        <f t="shared" si="223"/>
        <v/>
      </c>
      <c r="Z38" s="632" t="str">
        <f t="shared" si="6"/>
        <v/>
      </c>
      <c r="AA38" s="629" t="str">
        <f t="shared" si="7"/>
        <v/>
      </c>
      <c r="AB38" s="629" t="str">
        <f t="shared" si="8"/>
        <v/>
      </c>
      <c r="AC38" s="636" t="str">
        <f t="shared" si="84"/>
        <v/>
      </c>
      <c r="AD38" s="637" t="str">
        <f t="shared" si="115"/>
        <v/>
      </c>
      <c r="AE38" s="629" t="str">
        <f t="shared" si="85"/>
        <v/>
      </c>
      <c r="AF38" s="633" t="str">
        <f t="shared" si="86"/>
        <v/>
      </c>
      <c r="AG38" s="602" t="str">
        <f t="shared" si="87"/>
        <v/>
      </c>
      <c r="AH38" s="603" t="str">
        <f t="shared" si="88"/>
        <v/>
      </c>
      <c r="AI38" s="585" t="str">
        <f t="shared" si="89"/>
        <v/>
      </c>
      <c r="AJ38" s="586" t="str">
        <f t="shared" si="90"/>
        <v/>
      </c>
      <c r="AK38" s="635" t="str">
        <f t="shared" si="211"/>
        <v/>
      </c>
      <c r="AL38" s="629" t="str">
        <f t="shared" si="91"/>
        <v/>
      </c>
      <c r="AM38" s="634" t="str">
        <f t="shared" si="92"/>
        <v/>
      </c>
      <c r="AN38" s="581" t="str">
        <f t="shared" si="93"/>
        <v/>
      </c>
      <c r="AO38" s="582" t="str">
        <f t="shared" si="94"/>
        <v/>
      </c>
      <c r="AP38" s="585" t="str">
        <f t="shared" si="95"/>
        <v/>
      </c>
      <c r="AQ38" s="586" t="str">
        <f t="shared" si="9"/>
        <v/>
      </c>
      <c r="AS38" s="52" t="str">
        <f t="shared" si="116"/>
        <v/>
      </c>
      <c r="AT38" s="72" t="str">
        <f t="shared" si="10"/>
        <v/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210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112"/>
        <v/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/>
      <c r="C39" s="708"/>
      <c r="D39" s="709"/>
      <c r="E39" s="710"/>
      <c r="F39" s="708"/>
      <c r="G39" s="711"/>
      <c r="H39" s="710"/>
      <c r="I39" s="708"/>
      <c r="J39" s="570"/>
      <c r="K39" s="865" t="str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/>
      </c>
      <c r="L39" s="320"/>
      <c r="M39" s="168" t="str">
        <f t="shared" si="1"/>
        <v/>
      </c>
      <c r="N39" s="632" t="str">
        <f t="shared" si="2"/>
        <v/>
      </c>
      <c r="O39" s="629" t="str">
        <f t="shared" si="3"/>
        <v/>
      </c>
      <c r="P39" s="633" t="str">
        <f t="shared" si="4"/>
        <v/>
      </c>
      <c r="Q39" s="585" t="str">
        <f t="shared" si="113"/>
        <v/>
      </c>
      <c r="R39" s="629" t="str">
        <f t="shared" si="79"/>
        <v/>
      </c>
      <c r="S39" s="634" t="str">
        <f t="shared" si="80"/>
        <v/>
      </c>
      <c r="T39" s="635" t="str">
        <f t="shared" si="81"/>
        <v/>
      </c>
      <c r="U39" s="629" t="str">
        <f t="shared" si="82"/>
        <v/>
      </c>
      <c r="V39" s="636" t="str">
        <f t="shared" si="114"/>
        <v/>
      </c>
      <c r="W39" s="585" t="str">
        <f t="shared" si="224"/>
        <v/>
      </c>
      <c r="X39" s="629" t="str">
        <f t="shared" si="83"/>
        <v/>
      </c>
      <c r="Y39" s="630" t="str">
        <f t="shared" si="223"/>
        <v/>
      </c>
      <c r="Z39" s="632" t="str">
        <f t="shared" si="6"/>
        <v/>
      </c>
      <c r="AA39" s="629" t="str">
        <f t="shared" si="7"/>
        <v/>
      </c>
      <c r="AB39" s="629" t="str">
        <f t="shared" si="8"/>
        <v/>
      </c>
      <c r="AC39" s="636" t="str">
        <f t="shared" si="84"/>
        <v/>
      </c>
      <c r="AD39" s="637" t="str">
        <f t="shared" si="115"/>
        <v/>
      </c>
      <c r="AE39" s="629" t="str">
        <f t="shared" si="85"/>
        <v/>
      </c>
      <c r="AF39" s="633" t="str">
        <f t="shared" si="86"/>
        <v/>
      </c>
      <c r="AG39" s="602" t="str">
        <f t="shared" si="87"/>
        <v/>
      </c>
      <c r="AH39" s="603" t="str">
        <f t="shared" si="88"/>
        <v/>
      </c>
      <c r="AI39" s="585" t="str">
        <f t="shared" si="89"/>
        <v/>
      </c>
      <c r="AJ39" s="586" t="str">
        <f t="shared" si="90"/>
        <v/>
      </c>
      <c r="AK39" s="635" t="str">
        <f t="shared" si="211"/>
        <v/>
      </c>
      <c r="AL39" s="629" t="str">
        <f t="shared" si="91"/>
        <v/>
      </c>
      <c r="AM39" s="634" t="str">
        <f t="shared" si="92"/>
        <v/>
      </c>
      <c r="AN39" s="581" t="str">
        <f t="shared" si="93"/>
        <v/>
      </c>
      <c r="AO39" s="582" t="str">
        <f t="shared" si="94"/>
        <v/>
      </c>
      <c r="AP39" s="585" t="str">
        <f t="shared" si="95"/>
        <v/>
      </c>
      <c r="AQ39" s="586" t="str">
        <f t="shared" si="9"/>
        <v/>
      </c>
      <c r="AS39" s="52" t="str">
        <f t="shared" si="116"/>
        <v/>
      </c>
      <c r="AT39" s="72" t="str">
        <f t="shared" si="10"/>
        <v/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210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112"/>
        <v/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/>
      <c r="C40" s="708"/>
      <c r="D40" s="709"/>
      <c r="E40" s="710"/>
      <c r="F40" s="708"/>
      <c r="G40" s="711"/>
      <c r="H40" s="710"/>
      <c r="I40" s="708"/>
      <c r="J40" s="570"/>
      <c r="K40" s="865" t="str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/>
      </c>
      <c r="L40" s="320"/>
      <c r="M40" s="168" t="str">
        <f t="shared" si="1"/>
        <v/>
      </c>
      <c r="N40" s="632" t="str">
        <f t="shared" si="2"/>
        <v/>
      </c>
      <c r="O40" s="629" t="str">
        <f t="shared" si="3"/>
        <v/>
      </c>
      <c r="P40" s="633" t="str">
        <f t="shared" si="4"/>
        <v/>
      </c>
      <c r="Q40" s="585" t="str">
        <f t="shared" si="113"/>
        <v/>
      </c>
      <c r="R40" s="629" t="str">
        <f t="shared" si="79"/>
        <v/>
      </c>
      <c r="S40" s="634" t="str">
        <f t="shared" si="80"/>
        <v/>
      </c>
      <c r="T40" s="635" t="str">
        <f t="shared" si="81"/>
        <v/>
      </c>
      <c r="U40" s="629" t="str">
        <f t="shared" si="82"/>
        <v/>
      </c>
      <c r="V40" s="636" t="str">
        <f t="shared" si="114"/>
        <v/>
      </c>
      <c r="W40" s="585" t="str">
        <f t="shared" si="224"/>
        <v/>
      </c>
      <c r="X40" s="629" t="str">
        <f t="shared" si="83"/>
        <v/>
      </c>
      <c r="Y40" s="630" t="str">
        <f t="shared" si="223"/>
        <v/>
      </c>
      <c r="Z40" s="632" t="str">
        <f t="shared" si="6"/>
        <v/>
      </c>
      <c r="AA40" s="629" t="str">
        <f t="shared" si="7"/>
        <v/>
      </c>
      <c r="AB40" s="629" t="str">
        <f t="shared" si="8"/>
        <v/>
      </c>
      <c r="AC40" s="636" t="str">
        <f t="shared" si="84"/>
        <v/>
      </c>
      <c r="AD40" s="637" t="str">
        <f t="shared" si="115"/>
        <v/>
      </c>
      <c r="AE40" s="629" t="str">
        <f t="shared" si="85"/>
        <v/>
      </c>
      <c r="AF40" s="633" t="str">
        <f t="shared" si="86"/>
        <v/>
      </c>
      <c r="AG40" s="602" t="str">
        <f t="shared" si="87"/>
        <v/>
      </c>
      <c r="AH40" s="603" t="str">
        <f t="shared" si="88"/>
        <v/>
      </c>
      <c r="AI40" s="585" t="str">
        <f t="shared" si="89"/>
        <v/>
      </c>
      <c r="AJ40" s="586" t="str">
        <f t="shared" si="90"/>
        <v/>
      </c>
      <c r="AK40" s="635" t="str">
        <f t="shared" si="211"/>
        <v/>
      </c>
      <c r="AL40" s="629" t="str">
        <f t="shared" si="91"/>
        <v/>
      </c>
      <c r="AM40" s="634" t="str">
        <f t="shared" si="92"/>
        <v/>
      </c>
      <c r="AN40" s="581" t="str">
        <f t="shared" si="93"/>
        <v/>
      </c>
      <c r="AO40" s="582" t="str">
        <f t="shared" si="94"/>
        <v/>
      </c>
      <c r="AP40" s="585" t="str">
        <f t="shared" si="95"/>
        <v/>
      </c>
      <c r="AQ40" s="586" t="str">
        <f t="shared" si="9"/>
        <v/>
      </c>
      <c r="AS40" s="52" t="str">
        <f t="shared" si="116"/>
        <v/>
      </c>
      <c r="AT40" s="72" t="str">
        <f t="shared" si="10"/>
        <v/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210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112"/>
        <v/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/>
      <c r="C41" s="708"/>
      <c r="D41" s="709"/>
      <c r="E41" s="710"/>
      <c r="F41" s="708"/>
      <c r="G41" s="711"/>
      <c r="H41" s="710"/>
      <c r="I41" s="708"/>
      <c r="J41" s="570"/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/>
      </c>
      <c r="L41" s="320"/>
      <c r="M41" s="168" t="str">
        <f t="shared" ref="M41:M72" si="239">IF(J41="","",VALUE(J41))</f>
        <v/>
      </c>
      <c r="N41" s="632" t="str">
        <f t="shared" ref="N41:N72" si="240">IF(M41="","",B41)</f>
        <v/>
      </c>
      <c r="O41" s="629" t="str">
        <f t="shared" ref="O41:O72" si="241">IF(M41="","",C41)</f>
        <v/>
      </c>
      <c r="P41" s="633" t="str">
        <f t="shared" ref="P41:P72" si="242">IF(M41="","",D41)</f>
        <v/>
      </c>
      <c r="Q41" s="585" t="str">
        <f t="shared" si="113"/>
        <v/>
      </c>
      <c r="R41" s="629" t="str">
        <f t="shared" si="79"/>
        <v/>
      </c>
      <c r="S41" s="634" t="str">
        <f t="shared" si="80"/>
        <v/>
      </c>
      <c r="T41" s="635" t="str">
        <f t="shared" si="81"/>
        <v/>
      </c>
      <c r="U41" s="629" t="str">
        <f t="shared" si="82"/>
        <v/>
      </c>
      <c r="V41" s="636" t="str">
        <f t="shared" si="114"/>
        <v/>
      </c>
      <c r="W41" s="585" t="str">
        <f t="shared" si="224"/>
        <v/>
      </c>
      <c r="X41" s="629" t="str">
        <f t="shared" si="83"/>
        <v/>
      </c>
      <c r="Y41" s="630" t="str">
        <f t="shared" si="223"/>
        <v/>
      </c>
      <c r="Z41" s="632" t="str">
        <f t="shared" ref="Z41:Z72" si="243">IF(M41="","",-E41)</f>
        <v/>
      </c>
      <c r="AA41" s="629" t="str">
        <f t="shared" ref="AA41:AA72" si="244">IF(M41="","",-F41)</f>
        <v/>
      </c>
      <c r="AB41" s="629" t="str">
        <f t="shared" ref="AB41:AB72" si="245">IF(M41="","",-G41)</f>
        <v/>
      </c>
      <c r="AC41" s="636" t="str">
        <f t="shared" si="84"/>
        <v/>
      </c>
      <c r="AD41" s="637" t="str">
        <f t="shared" si="115"/>
        <v/>
      </c>
      <c r="AE41" s="629" t="str">
        <f t="shared" si="85"/>
        <v/>
      </c>
      <c r="AF41" s="633" t="str">
        <f t="shared" si="86"/>
        <v/>
      </c>
      <c r="AG41" s="602" t="str">
        <f t="shared" si="87"/>
        <v/>
      </c>
      <c r="AH41" s="603" t="str">
        <f t="shared" si="88"/>
        <v/>
      </c>
      <c r="AI41" s="585" t="str">
        <f t="shared" si="89"/>
        <v/>
      </c>
      <c r="AJ41" s="586" t="str">
        <f t="shared" si="90"/>
        <v/>
      </c>
      <c r="AK41" s="635" t="str">
        <f t="shared" si="211"/>
        <v/>
      </c>
      <c r="AL41" s="629" t="str">
        <f t="shared" si="91"/>
        <v/>
      </c>
      <c r="AM41" s="634" t="str">
        <f t="shared" si="92"/>
        <v/>
      </c>
      <c r="AN41" s="581" t="str">
        <f t="shared" si="93"/>
        <v/>
      </c>
      <c r="AO41" s="582" t="str">
        <f t="shared" si="94"/>
        <v/>
      </c>
      <c r="AP41" s="585" t="str">
        <f t="shared" si="95"/>
        <v/>
      </c>
      <c r="AQ41" s="586" t="str">
        <f t="shared" ref="AQ41:AQ72" si="246">IF(M41="","",DEGREES(ATAN(($AS$5*SIN(RADIANS(90)))/(($X41*2*PI())-($AS$5*COS(RADIANS(90)))))))</f>
        <v/>
      </c>
      <c r="AS41" s="52" t="str">
        <f t="shared" si="116"/>
        <v/>
      </c>
      <c r="AT41" s="72" t="str">
        <f t="shared" ref="AT41:AT72" si="247">IF(M41="","",Y41+(((AS41-$AS$9)*$AS$6)*-1))</f>
        <v/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210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112"/>
        <v/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/>
      <c r="C42" s="708"/>
      <c r="D42" s="709"/>
      <c r="E42" s="710"/>
      <c r="F42" s="708"/>
      <c r="G42" s="711"/>
      <c r="H42" s="710"/>
      <c r="I42" s="708"/>
      <c r="J42" s="570"/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/>
      </c>
      <c r="L42" s="320"/>
      <c r="M42" s="168" t="str">
        <f t="shared" si="239"/>
        <v/>
      </c>
      <c r="N42" s="632" t="str">
        <f t="shared" si="240"/>
        <v/>
      </c>
      <c r="O42" s="629" t="str">
        <f t="shared" si="241"/>
        <v/>
      </c>
      <c r="P42" s="633" t="str">
        <f t="shared" si="242"/>
        <v/>
      </c>
      <c r="Q42" s="585" t="str">
        <f t="shared" si="113"/>
        <v/>
      </c>
      <c r="R42" s="629" t="str">
        <f t="shared" ref="R42:R47" si="385">IF(M42="","",SQRT(N42^2+O42^2))</f>
        <v/>
      </c>
      <c r="S42" s="634" t="str">
        <f t="shared" ref="S42:S47" si="386">IF(M42="","",P42)</f>
        <v/>
      </c>
      <c r="T42" s="635" t="str">
        <f t="shared" ref="T42:T47" si="387">IF(M42="","",X42*COS(RADIANS(W42)))</f>
        <v/>
      </c>
      <c r="U42" s="629" t="str">
        <f t="shared" ref="U42:U47" si="388">IF(M42="","",X42*SIN(RADIANS(W42)))</f>
        <v/>
      </c>
      <c r="V42" s="636" t="str">
        <f t="shared" ref="V42:V47" si="389">IF(M42="","",Y42)</f>
        <v/>
      </c>
      <c r="W42" s="585" t="str">
        <f t="shared" si="224"/>
        <v/>
      </c>
      <c r="X42" s="629" t="str">
        <f t="shared" ref="X42:X47" si="390">IF(M42="","",R42)</f>
        <v/>
      </c>
      <c r="Y42" s="630" t="str">
        <f t="shared" si="223"/>
        <v/>
      </c>
      <c r="Z42" s="632" t="str">
        <f t="shared" si="243"/>
        <v/>
      </c>
      <c r="AA42" s="629" t="str">
        <f t="shared" si="244"/>
        <v/>
      </c>
      <c r="AB42" s="629" t="str">
        <f t="shared" si="245"/>
        <v/>
      </c>
      <c r="AC42" s="636" t="str">
        <f t="shared" ref="AC42:AC47" si="391">IF(M42="","",SQRT(Z42^2+AA42^2+AB42^2))</f>
        <v/>
      </c>
      <c r="AD42" s="637" t="str">
        <f t="shared" ref="AD42:AD47" si="392">IF(M42="","",Z42*(1/SQRT(Z42^2+AA42^2+AB42^2)))</f>
        <v/>
      </c>
      <c r="AE42" s="629" t="str">
        <f t="shared" ref="AE42:AE47" si="393">IF(M42="","",AA42*(1/SQRT(Z42^2+AA42^2+AB42^2)))</f>
        <v/>
      </c>
      <c r="AF42" s="633" t="str">
        <f t="shared" ref="AF42:AF47" si="394">IF(M42="","",AB42*(1/SQRT(Z42^2+AA42^2+AB42^2)))</f>
        <v/>
      </c>
      <c r="AG42" s="602" t="str">
        <f t="shared" ref="AG42:AG47" si="395">IF(M42="","",DEGREES(ATAN2(-AF42,AE42)))</f>
        <v/>
      </c>
      <c r="AH42" s="603" t="str">
        <f t="shared" ref="AH42:AH47" si="396">IF(M42="","",DEGREES(ACOS(AD42)))</f>
        <v/>
      </c>
      <c r="AI42" s="585" t="str">
        <f t="shared" ref="AI42:AI47" si="397">IF(M42="","",DEGREES(-ACOS(-AF42)))</f>
        <v/>
      </c>
      <c r="AJ42" s="586" t="str">
        <f t="shared" ref="AJ42:AJ47" si="398">IF(M42="","",DEGREES(ATAN2(-AE42,AD42)))</f>
        <v/>
      </c>
      <c r="AK42" s="635" t="str">
        <f t="shared" ref="AK42:AK47" si="399">IF(M42="","",(COS(RADIANS((90-$Q$8)-W42))*AD42)+(-SIN(RADIANS((90-$Q$8)-W42))*AE42))</f>
        <v/>
      </c>
      <c r="AL42" s="629" t="str">
        <f t="shared" ref="AL42:AL47" si="400">IF(M42="","",(SIN(RADIANS((90-$Q$8)-W42))*AD42)+(COS(RADIANS((90-$Q$8)-W42))*AE42))</f>
        <v/>
      </c>
      <c r="AM42" s="634" t="str">
        <f t="shared" ref="AM42:AM47" si="401">IF(M42="","",AF42)</f>
        <v/>
      </c>
      <c r="AN42" s="581" t="str">
        <f t="shared" ref="AN42:AN47" si="402">IF(M42="","",DEGREES(ATAN2(-AM42,AL42)))</f>
        <v/>
      </c>
      <c r="AO42" s="582" t="str">
        <f t="shared" si="94"/>
        <v/>
      </c>
      <c r="AP42" s="585" t="str">
        <f t="shared" ref="AP42:AP47" si="403">IF(M42="","",DEGREES(ATAN2(AK42,AL42)))</f>
        <v/>
      </c>
      <c r="AQ42" s="586" t="str">
        <f t="shared" si="246"/>
        <v/>
      </c>
      <c r="AS42" s="52" t="str">
        <f t="shared" si="116"/>
        <v/>
      </c>
      <c r="AT42" s="72" t="str">
        <f t="shared" si="247"/>
        <v/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210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112"/>
        <v/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0.95371696400905348</v>
      </c>
      <c r="F154" s="170">
        <f t="shared" si="929"/>
        <v>6.5084628803148761E-2</v>
      </c>
      <c r="G154" s="170">
        <f t="shared" si="929"/>
        <v>-0.29357783236291934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0.95371696400905348</v>
      </c>
      <c r="F155" s="170">
        <f t="shared" si="929"/>
        <v>6.5084628803148761E-2</v>
      </c>
      <c r="G155" s="170">
        <f t="shared" si="929"/>
        <v>-0.29357783236291934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0.93913826552836133</v>
      </c>
      <c r="F156" s="170">
        <f t="shared" si="929"/>
        <v>-7.4174695122096165E-2</v>
      </c>
      <c r="G156" s="170">
        <f t="shared" si="929"/>
        <v>-0.3354361829378657</v>
      </c>
      <c r="H156" s="139"/>
      <c r="I156" s="86"/>
      <c r="J156" s="79">
        <f t="shared" si="930"/>
        <v>1.1080000000000001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0.91194882607087047</v>
      </c>
      <c r="F157" s="170">
        <f t="shared" si="929"/>
        <v>-0.34282152626963336</v>
      </c>
      <c r="G157" s="170">
        <f t="shared" si="929"/>
        <v>-0.2254389934197733</v>
      </c>
      <c r="H157" s="139"/>
      <c r="I157" s="86"/>
      <c r="J157" s="79">
        <f t="shared" si="930"/>
        <v>1.113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0.8030027197374896</v>
      </c>
      <c r="F158" s="170">
        <f t="shared" si="929"/>
        <v>-0.59597536198586087</v>
      </c>
      <c r="G158" s="170">
        <f t="shared" si="929"/>
        <v>-1.3008419220134666E-7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-6.1298231882969706E-2</v>
      </c>
      <c r="F159" s="170">
        <f t="shared" si="929"/>
        <v>-0.11523718467564427</v>
      </c>
      <c r="G159" s="170">
        <f t="shared" si="929"/>
        <v>-0.99144486384067432</v>
      </c>
      <c r="H159" s="139"/>
      <c r="I159" s="86"/>
      <c r="J159" s="79">
        <f t="shared" si="930"/>
        <v>1.208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0.30659018162712687</v>
      </c>
      <c r="F160" s="170">
        <f t="shared" si="929"/>
        <v>-0.88828522092283457</v>
      </c>
      <c r="G160" s="170">
        <f t="shared" si="929"/>
        <v>-0.34198220249000721</v>
      </c>
      <c r="H160" s="139"/>
      <c r="I160" s="86"/>
      <c r="J160" s="79">
        <f t="shared" si="930"/>
        <v>2.1070000000000002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3.9440170680419009E-2</v>
      </c>
      <c r="F161" s="170">
        <f t="shared" si="929"/>
        <v>-0.96552640679719037</v>
      </c>
      <c r="G161" s="170">
        <f t="shared" si="929"/>
        <v>-0.25729988479205773</v>
      </c>
      <c r="H161" s="139"/>
      <c r="I161" s="86"/>
      <c r="J161" s="79">
        <f t="shared" si="930"/>
        <v>2.1120000000000001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-0.20213695838012077</v>
      </c>
      <c r="F162" s="170">
        <f t="shared" si="929"/>
        <v>-0.97816370830888244</v>
      </c>
      <c r="G162" s="170">
        <f t="shared" si="929"/>
        <v>-4.8336423163584198E-2</v>
      </c>
      <c r="H162" s="139"/>
      <c r="I162" s="86"/>
      <c r="J162" s="79">
        <f t="shared" si="930"/>
        <v>2.117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-0.28539124492395435</v>
      </c>
      <c r="F163" s="170">
        <f t="shared" si="929"/>
        <v>-0.95841110037433241</v>
      </c>
      <c r="G163" s="170">
        <f t="shared" si="929"/>
        <v>-1.300841922891056E-7</v>
      </c>
      <c r="H163" s="139"/>
      <c r="I163" s="86"/>
      <c r="J163" s="79">
        <f t="shared" si="930"/>
        <v>2.1219999999999999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-0.74390851654980039</v>
      </c>
      <c r="F164" s="170">
        <f t="shared" si="929"/>
        <v>-0.60034338119926423</v>
      </c>
      <c r="G164" s="170">
        <f t="shared" si="929"/>
        <v>-0.29357783236291934</v>
      </c>
      <c r="H164" s="139"/>
      <c r="I164" s="86"/>
      <c r="J164" s="79">
        <f t="shared" si="930"/>
        <v>3.1030000000000002</v>
      </c>
    </row>
    <row r="165" spans="5:16" x14ac:dyDescent="0.25">
      <c r="E165" s="170">
        <f t="shared" si="929"/>
        <v>-0.75824848948806078</v>
      </c>
      <c r="F165" s="170">
        <f t="shared" si="929"/>
        <v>-0.56557031593013474</v>
      </c>
      <c r="G165" s="170">
        <f t="shared" si="929"/>
        <v>-0.324329224597109</v>
      </c>
      <c r="H165" s="139"/>
      <c r="I165" s="86"/>
      <c r="J165" s="79">
        <f t="shared" si="930"/>
        <v>3.1059999999999999</v>
      </c>
    </row>
    <row r="166" spans="5:16" x14ac:dyDescent="0.25">
      <c r="E166" s="170">
        <f t="shared" si="929"/>
        <v>-0.89857814251723578</v>
      </c>
      <c r="F166" s="170">
        <f t="shared" si="929"/>
        <v>-0.33669899087507815</v>
      </c>
      <c r="G166" s="170">
        <f t="shared" si="929"/>
        <v>-0.28140915289659357</v>
      </c>
      <c r="H166" s="139"/>
      <c r="I166" s="86"/>
      <c r="J166" s="79">
        <f t="shared" si="930"/>
        <v>3.1110000000000002</v>
      </c>
    </row>
    <row r="167" spans="5:16" x14ac:dyDescent="0.25">
      <c r="E167" s="170">
        <f t="shared" si="929"/>
        <v>-0.98959967994420717</v>
      </c>
      <c r="F167" s="170">
        <f t="shared" si="929"/>
        <v>-0.10046742977303075</v>
      </c>
      <c r="G167" s="170">
        <f t="shared" si="929"/>
        <v>-0.10295032301612271</v>
      </c>
      <c r="H167" s="139"/>
      <c r="I167" s="86"/>
      <c r="J167" s="79">
        <f t="shared" si="930"/>
        <v>3.1160000000000001</v>
      </c>
    </row>
    <row r="168" spans="5:16" x14ac:dyDescent="0.25">
      <c r="E168" s="170">
        <f t="shared" si="929"/>
        <v>-0.99961872876401114</v>
      </c>
      <c r="F168" s="170">
        <f t="shared" si="929"/>
        <v>2.7611539330607459E-2</v>
      </c>
      <c r="G168" s="170">
        <f t="shared" si="929"/>
        <v>-1.3008419197869201E-7</v>
      </c>
      <c r="H168" s="139"/>
      <c r="I168" s="86"/>
      <c r="J168" s="79">
        <f t="shared" si="930"/>
        <v>3.121</v>
      </c>
    </row>
    <row r="169" spans="5:16" x14ac:dyDescent="0.25">
      <c r="E169" s="170">
        <f t="shared" si="929"/>
        <v>-0.11239046496587618</v>
      </c>
      <c r="F169" s="170">
        <f t="shared" si="929"/>
        <v>0.4872045955394389</v>
      </c>
      <c r="G169" s="170">
        <f t="shared" si="929"/>
        <v>-0.86602544158356343</v>
      </c>
      <c r="H169" s="139"/>
      <c r="I169" s="86"/>
      <c r="J169" s="79">
        <f t="shared" si="930"/>
        <v>3.2109999999999999</v>
      </c>
    </row>
    <row r="170" spans="5:16" x14ac:dyDescent="0.25">
      <c r="E170" s="170">
        <f t="shared" si="929"/>
        <v>-0.72040130119855761</v>
      </c>
      <c r="F170" s="170">
        <f t="shared" si="929"/>
        <v>0.62835819528077685</v>
      </c>
      <c r="G170" s="170">
        <f t="shared" si="929"/>
        <v>-0.29357783236291934</v>
      </c>
      <c r="H170" s="139"/>
      <c r="I170" s="86"/>
      <c r="J170" s="79">
        <f t="shared" si="930"/>
        <v>4.1020000000000003</v>
      </c>
    </row>
    <row r="171" spans="5:16" x14ac:dyDescent="0.25">
      <c r="E171" s="170">
        <f t="shared" si="929"/>
        <v>-0.71979208567164432</v>
      </c>
      <c r="F171" s="170">
        <f t="shared" si="929"/>
        <v>0.62520499025675358</v>
      </c>
      <c r="G171" s="170">
        <f t="shared" si="929"/>
        <v>-0.30169201773085935</v>
      </c>
      <c r="H171" s="139"/>
      <c r="I171" s="86"/>
      <c r="J171" s="79">
        <f t="shared" si="930"/>
        <v>4.1050000000000004</v>
      </c>
    </row>
    <row r="172" spans="5:16" x14ac:dyDescent="0.25">
      <c r="E172" s="170">
        <f t="shared" si="929"/>
        <v>-0.53281784467661486</v>
      </c>
      <c r="F172" s="170">
        <f t="shared" si="929"/>
        <v>0.79231643954682773</v>
      </c>
      <c r="G172" s="170">
        <f t="shared" si="929"/>
        <v>-0.29722012720878266</v>
      </c>
      <c r="H172" s="139"/>
      <c r="I172" s="86"/>
      <c r="J172" s="79">
        <f t="shared" si="930"/>
        <v>4.1100000000000003</v>
      </c>
    </row>
    <row r="173" spans="5:16" x14ac:dyDescent="0.25">
      <c r="E173" s="170">
        <f t="shared" si="929"/>
        <v>-0.31594804681823746</v>
      </c>
      <c r="F173" s="170">
        <f t="shared" si="929"/>
        <v>0.93695655261757382</v>
      </c>
      <c r="G173" s="170">
        <f t="shared" si="929"/>
        <v>-0.14929584796213347</v>
      </c>
      <c r="H173" s="139"/>
      <c r="I173" s="86"/>
      <c r="J173" s="79">
        <f t="shared" si="930"/>
        <v>4.1150000000000002</v>
      </c>
    </row>
    <row r="174" spans="5:16" x14ac:dyDescent="0.25">
      <c r="E174" s="170">
        <f t="shared" ref="E174:G193" si="933">E29*-1</f>
        <v>-0.14639011202988667</v>
      </c>
      <c r="F174" s="170">
        <f t="shared" si="933"/>
        <v>0.98922693811878193</v>
      </c>
      <c r="G174" s="170">
        <f t="shared" si="933"/>
        <v>-1.3008419217203273E-7</v>
      </c>
      <c r="H174" s="139"/>
      <c r="I174" s="86"/>
      <c r="J174" s="79">
        <f t="shared" si="930"/>
        <v>4.12</v>
      </c>
    </row>
    <row r="175" spans="5:16" x14ac:dyDescent="0.25">
      <c r="E175" s="170">
        <f t="shared" si="933"/>
        <v>-8.7456604246122515E-9</v>
      </c>
      <c r="F175" s="170">
        <f t="shared" si="933"/>
        <v>2.2662620897378412E-7</v>
      </c>
      <c r="G175" s="170">
        <f t="shared" si="933"/>
        <v>-0.99999999999997435</v>
      </c>
      <c r="H175" s="139"/>
      <c r="I175" s="86"/>
      <c r="J175" s="79">
        <f t="shared" si="930"/>
        <v>4.2050000000000001</v>
      </c>
    </row>
    <row r="176" spans="5:16" x14ac:dyDescent="0.25">
      <c r="E176" s="170">
        <f t="shared" si="933"/>
        <v>0.51490791025754645</v>
      </c>
      <c r="F176" s="170">
        <f t="shared" si="933"/>
        <v>0.79517698366793321</v>
      </c>
      <c r="G176" s="170">
        <f t="shared" si="933"/>
        <v>-0.32025522415563196</v>
      </c>
      <c r="H176" s="139"/>
      <c r="I176" s="86"/>
      <c r="J176" s="79">
        <f t="shared" si="930"/>
        <v>5.109</v>
      </c>
    </row>
    <row r="177" spans="5:21" x14ac:dyDescent="0.25">
      <c r="E177" s="170">
        <f t="shared" si="933"/>
        <v>0.73261845753220745</v>
      </c>
      <c r="F177" s="170">
        <f t="shared" si="933"/>
        <v>0.65457872257350891</v>
      </c>
      <c r="G177" s="170">
        <f t="shared" si="933"/>
        <v>-0.18653924958882673</v>
      </c>
      <c r="H177" s="139"/>
      <c r="I177" s="86"/>
      <c r="J177" s="79">
        <f t="shared" si="930"/>
        <v>5.1139999999999999</v>
      </c>
    </row>
    <row r="178" spans="5:21" x14ac:dyDescent="0.25">
      <c r="E178" s="170">
        <f t="shared" si="933"/>
        <v>0.87950080298853606</v>
      </c>
      <c r="F178" s="170">
        <f t="shared" si="933"/>
        <v>0.4758974023279634</v>
      </c>
      <c r="G178" s="170">
        <f t="shared" si="933"/>
        <v>-1.3008419196317487E-7</v>
      </c>
      <c r="H178" s="139"/>
      <c r="I178" s="86"/>
      <c r="J178" s="79">
        <f t="shared" si="930"/>
        <v>5.1189999999999998</v>
      </c>
    </row>
    <row r="179" spans="5:21" x14ac:dyDescent="0.25">
      <c r="E179" s="170">
        <f t="shared" si="933"/>
        <v>0</v>
      </c>
      <c r="F179" s="170">
        <f t="shared" si="933"/>
        <v>0</v>
      </c>
      <c r="G179" s="170">
        <f t="shared" si="933"/>
        <v>0</v>
      </c>
      <c r="H179" s="139"/>
      <c r="I179" s="86"/>
      <c r="J179" s="79">
        <f t="shared" si="930"/>
        <v>0</v>
      </c>
      <c r="M179" t="s">
        <v>392</v>
      </c>
    </row>
    <row r="180" spans="5:21" x14ac:dyDescent="0.25">
      <c r="E180" s="170">
        <f t="shared" si="933"/>
        <v>0</v>
      </c>
      <c r="F180" s="170">
        <f t="shared" si="933"/>
        <v>0</v>
      </c>
      <c r="G180" s="170">
        <f t="shared" si="933"/>
        <v>0</v>
      </c>
      <c r="H180" s="139"/>
      <c r="I180" s="86"/>
      <c r="J180" s="79">
        <f t="shared" si="930"/>
        <v>0</v>
      </c>
      <c r="M180">
        <v>1.4939793715351438E-17</v>
      </c>
      <c r="N180">
        <v>0.34330103539592266</v>
      </c>
      <c r="O180">
        <v>-0.46490149352770443</v>
      </c>
      <c r="P180">
        <v>-0.93969263802333458</v>
      </c>
      <c r="Q180">
        <v>-8.852130215629557E-2</v>
      </c>
      <c r="R180">
        <v>0.33036604714967344</v>
      </c>
      <c r="S180">
        <v>0.314</v>
      </c>
      <c r="T180">
        <v>0.52</v>
      </c>
      <c r="U180">
        <v>1.101</v>
      </c>
    </row>
    <row r="181" spans="5:21" x14ac:dyDescent="0.25">
      <c r="E181" s="170">
        <f t="shared" si="933"/>
        <v>0</v>
      </c>
      <c r="F181" s="170">
        <f t="shared" si="933"/>
        <v>0</v>
      </c>
      <c r="G181" s="170">
        <f t="shared" si="933"/>
        <v>0</v>
      </c>
      <c r="H181" s="139"/>
      <c r="I181" s="86"/>
      <c r="J181" s="79">
        <f t="shared" si="930"/>
        <v>0</v>
      </c>
      <c r="M181">
        <v>-2.1342562450502056E-18</v>
      </c>
      <c r="N181">
        <v>1.0693032250185268</v>
      </c>
      <c r="O181">
        <v>-0.27040090691393531</v>
      </c>
      <c r="P181">
        <v>-0.96592583607220739</v>
      </c>
      <c r="Q181">
        <v>-6.6987279208207212E-2</v>
      </c>
      <c r="R181">
        <v>0.24999996726497564</v>
      </c>
      <c r="S181">
        <v>0.314</v>
      </c>
      <c r="T181">
        <v>0.52</v>
      </c>
      <c r="U181">
        <v>1.1040000000000001</v>
      </c>
    </row>
    <row r="182" spans="5:21" x14ac:dyDescent="0.25">
      <c r="E182" s="170">
        <f t="shared" si="933"/>
        <v>0</v>
      </c>
      <c r="F182" s="170">
        <f t="shared" si="933"/>
        <v>0</v>
      </c>
      <c r="G182" s="170">
        <f t="shared" si="933"/>
        <v>0</v>
      </c>
      <c r="H182" s="139"/>
      <c r="I182" s="86"/>
      <c r="J182" s="79">
        <f t="shared" si="930"/>
        <v>0</v>
      </c>
      <c r="M182">
        <v>-8.5370249802008226E-18</v>
      </c>
      <c r="N182">
        <v>1.794305411625122</v>
      </c>
      <c r="O182">
        <v>-7.6200321204968724E-2</v>
      </c>
      <c r="P182">
        <v>-0.96592582628906831</v>
      </c>
      <c r="Q182">
        <v>-4.4943455527547763E-2</v>
      </c>
      <c r="R182">
        <v>0.25488700224417882</v>
      </c>
      <c r="S182">
        <v>0.314</v>
      </c>
      <c r="T182">
        <v>0.52</v>
      </c>
      <c r="U182">
        <v>1.107</v>
      </c>
    </row>
    <row r="183" spans="5:21" x14ac:dyDescent="0.25">
      <c r="E183" s="170">
        <f t="shared" si="933"/>
        <v>0</v>
      </c>
      <c r="F183" s="170">
        <f t="shared" si="933"/>
        <v>0</v>
      </c>
      <c r="G183" s="170">
        <f t="shared" si="933"/>
        <v>0</v>
      </c>
      <c r="H183" s="139"/>
      <c r="I183" s="86"/>
      <c r="J183" s="79">
        <f t="shared" si="930"/>
        <v>0</v>
      </c>
      <c r="M183">
        <v>4.1525127014845939E-2</v>
      </c>
      <c r="N183">
        <v>2.6171784885812936</v>
      </c>
      <c r="O183">
        <v>-7.0500304013716944E-2</v>
      </c>
      <c r="P183">
        <v>-0.96101099711342941</v>
      </c>
      <c r="Q183">
        <v>0.1360338541838359</v>
      </c>
      <c r="R183">
        <v>0.24073357460674871</v>
      </c>
      <c r="S183">
        <v>0.314</v>
      </c>
      <c r="T183">
        <v>0.52</v>
      </c>
      <c r="U183">
        <v>1.113</v>
      </c>
    </row>
    <row r="184" spans="5:21" x14ac:dyDescent="0.25">
      <c r="E184" s="170">
        <f t="shared" si="933"/>
        <v>0</v>
      </c>
      <c r="F184" s="170">
        <f t="shared" si="933"/>
        <v>0</v>
      </c>
      <c r="G184" s="170">
        <f t="shared" si="933"/>
        <v>0</v>
      </c>
      <c r="H184" s="139"/>
      <c r="I184" s="86"/>
      <c r="J184" s="79">
        <f t="shared" si="930"/>
        <v>0</v>
      </c>
      <c r="M184">
        <v>0.1091638821707743</v>
      </c>
      <c r="N184">
        <v>3.283095543207676</v>
      </c>
      <c r="O184">
        <v>-0.49440158249997229</v>
      </c>
      <c r="P184">
        <v>-0.93948851336091654</v>
      </c>
      <c r="Q184">
        <v>0.29625628196016235</v>
      </c>
      <c r="R184">
        <v>0.17202775549903504</v>
      </c>
      <c r="S184">
        <v>0.314</v>
      </c>
      <c r="T184">
        <v>0.52</v>
      </c>
      <c r="U184">
        <v>1.119</v>
      </c>
    </row>
    <row r="185" spans="5:21" x14ac:dyDescent="0.25">
      <c r="E185" s="170">
        <f t="shared" si="933"/>
        <v>0</v>
      </c>
      <c r="F185" s="170">
        <f t="shared" si="933"/>
        <v>0</v>
      </c>
      <c r="G185" s="170">
        <f t="shared" si="933"/>
        <v>0</v>
      </c>
      <c r="H185" s="139"/>
      <c r="I185" s="86"/>
      <c r="J185" s="79">
        <f t="shared" si="930"/>
        <v>0</v>
      </c>
      <c r="M185">
        <v>0.15588234920333313</v>
      </c>
      <c r="N185">
        <v>3.6207569275582907</v>
      </c>
      <c r="O185">
        <v>-1.1885036759118863</v>
      </c>
      <c r="P185">
        <v>-0.87691222519662104</v>
      </c>
      <c r="Q185">
        <v>0.46662143319308103</v>
      </c>
      <c r="R185">
        <v>0.11527960524544598</v>
      </c>
      <c r="S185">
        <v>0.314</v>
      </c>
      <c r="T185">
        <v>0.52</v>
      </c>
      <c r="U185">
        <v>1.125</v>
      </c>
    </row>
    <row r="186" spans="5:21" x14ac:dyDescent="0.25">
      <c r="E186" s="170">
        <f t="shared" si="933"/>
        <v>0</v>
      </c>
      <c r="F186" s="170">
        <f t="shared" si="933"/>
        <v>0</v>
      </c>
      <c r="G186" s="170">
        <f t="shared" si="933"/>
        <v>0</v>
      </c>
      <c r="H186" s="139"/>
      <c r="I186" s="86"/>
      <c r="J186" s="79">
        <f t="shared" si="930"/>
        <v>0</v>
      </c>
      <c r="M186">
        <v>0.16481988122623625</v>
      </c>
      <c r="N186">
        <v>3.6792100788210416</v>
      </c>
      <c r="O186">
        <v>-1.9736999999999998</v>
      </c>
      <c r="P186">
        <v>-0.84278135614737548</v>
      </c>
      <c r="Q186">
        <v>0.5382560596318241</v>
      </c>
      <c r="R186">
        <v>1.1339744831728188E-7</v>
      </c>
      <c r="S186">
        <v>0.314</v>
      </c>
      <c r="T186">
        <v>0.52</v>
      </c>
      <c r="U186">
        <v>1.131</v>
      </c>
    </row>
    <row r="187" spans="5:21" x14ac:dyDescent="0.25">
      <c r="E187" s="170">
        <f t="shared" si="933"/>
        <v>0</v>
      </c>
      <c r="F187" s="170">
        <f t="shared" si="933"/>
        <v>0</v>
      </c>
      <c r="G187" s="170">
        <f t="shared" si="933"/>
        <v>0</v>
      </c>
      <c r="H187" s="139"/>
      <c r="I187" s="86"/>
      <c r="J187" s="79">
        <f t="shared" si="930"/>
        <v>0</v>
      </c>
      <c r="M187">
        <v>2.0514231182241853</v>
      </c>
      <c r="N187">
        <v>1.39768152604278</v>
      </c>
      <c r="O187">
        <v>-3.7800205390219409E-2</v>
      </c>
      <c r="P187">
        <v>-0.45738172233859925</v>
      </c>
      <c r="Q187">
        <v>0.85452443201725636</v>
      </c>
      <c r="R187">
        <v>0.24615026946189156</v>
      </c>
      <c r="S187">
        <v>0.314</v>
      </c>
      <c r="T187">
        <v>0.52</v>
      </c>
      <c r="U187">
        <v>2.1120000000000001</v>
      </c>
    </row>
    <row r="188" spans="5:21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  <c r="M188">
        <v>2.6694433370615047</v>
      </c>
      <c r="N188">
        <v>1.7497774035637161</v>
      </c>
      <c r="O188">
        <v>-0.39960129658231047</v>
      </c>
      <c r="P188">
        <v>-0.32316837426443368</v>
      </c>
      <c r="Q188">
        <v>0.92946837998477394</v>
      </c>
      <c r="R188">
        <v>0.17790652737817955</v>
      </c>
      <c r="S188">
        <v>0.314</v>
      </c>
      <c r="T188">
        <v>0.52</v>
      </c>
      <c r="U188">
        <v>2.1179999999999999</v>
      </c>
    </row>
    <row r="189" spans="5:21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  <c r="M189">
        <v>3.0324059417669931</v>
      </c>
      <c r="N189">
        <v>1.9376569042580503</v>
      </c>
      <c r="O189">
        <v>-1.0615032928787316</v>
      </c>
      <c r="P189">
        <v>-0.1435454277288527</v>
      </c>
      <c r="Q189">
        <v>0.98056810289493512</v>
      </c>
      <c r="R189">
        <v>0.13371950404921806</v>
      </c>
      <c r="S189">
        <v>0.314</v>
      </c>
      <c r="T189">
        <v>0.52</v>
      </c>
      <c r="U189">
        <v>2.1240000000000001</v>
      </c>
    </row>
    <row r="190" spans="5:21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  <c r="M190">
        <v>3.108369257402487</v>
      </c>
      <c r="N190">
        <v>1.9752956663839238</v>
      </c>
      <c r="O190">
        <v>-1.8556999999999999</v>
      </c>
      <c r="P190">
        <v>-4.2485975283767075E-2</v>
      </c>
      <c r="Q190">
        <v>0.99909706330474934</v>
      </c>
      <c r="R190">
        <v>1.1339744821699087E-7</v>
      </c>
      <c r="S190">
        <v>0.314</v>
      </c>
      <c r="T190">
        <v>0.52</v>
      </c>
      <c r="U190">
        <v>2.13</v>
      </c>
    </row>
    <row r="191" spans="5:21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  <c r="M191">
        <v>0.55066153657573658</v>
      </c>
      <c r="N191">
        <v>-0.20042440846885767</v>
      </c>
      <c r="O191">
        <v>-0.39990129748711323</v>
      </c>
      <c r="P191">
        <v>0.25305567148571528</v>
      </c>
      <c r="Q191">
        <v>0.92281966229859713</v>
      </c>
      <c r="R191">
        <v>0.29045946017304536</v>
      </c>
      <c r="S191">
        <v>0.314</v>
      </c>
      <c r="T191">
        <v>0.52</v>
      </c>
      <c r="U191">
        <v>3.1019999999999999</v>
      </c>
    </row>
    <row r="192" spans="5:21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  <c r="M192">
        <v>1.2319407413836023</v>
      </c>
      <c r="N192">
        <v>-0.44838976024346844</v>
      </c>
      <c r="O192">
        <v>-0.20570071177814689</v>
      </c>
      <c r="P192">
        <v>0.26741864093690504</v>
      </c>
      <c r="Q192">
        <v>0.93058437921929993</v>
      </c>
      <c r="R192">
        <v>0.24999996726497567</v>
      </c>
      <c r="S192">
        <v>0.314</v>
      </c>
      <c r="T192">
        <v>0.52</v>
      </c>
      <c r="U192">
        <v>3.105</v>
      </c>
    </row>
    <row r="193" spans="5:21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  <c r="M193">
        <v>1.939502820253167</v>
      </c>
      <c r="N193">
        <v>-0.7164665777021757</v>
      </c>
      <c r="O193">
        <v>-2.0600153514862999E-2</v>
      </c>
      <c r="P193">
        <v>0.35581503309976076</v>
      </c>
      <c r="Q193">
        <v>0.89755212734208956</v>
      </c>
      <c r="R193">
        <v>0.26037634478559218</v>
      </c>
      <c r="S193">
        <v>0.314</v>
      </c>
      <c r="T193">
        <v>0.52</v>
      </c>
      <c r="U193">
        <v>3.109</v>
      </c>
    </row>
    <row r="194" spans="5:21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  <c r="M194">
        <v>2.6706229524600156</v>
      </c>
      <c r="N194">
        <v>-1.0389831272793715</v>
      </c>
      <c r="O194">
        <v>-0.16970060320181946</v>
      </c>
      <c r="P194">
        <v>0.51079086005111707</v>
      </c>
      <c r="Q194">
        <v>0.83305155999310898</v>
      </c>
      <c r="R194">
        <v>0.21240949997890368</v>
      </c>
      <c r="S194">
        <v>0.314</v>
      </c>
      <c r="T194">
        <v>0.52</v>
      </c>
      <c r="U194">
        <v>3.1150000000000002</v>
      </c>
    </row>
    <row r="195" spans="5:21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  <c r="M195">
        <v>3.188194676699466</v>
      </c>
      <c r="N195">
        <v>-1.2985732316091709</v>
      </c>
      <c r="O195">
        <v>-0.70410221495708036</v>
      </c>
      <c r="P195">
        <v>0.65195028832248558</v>
      </c>
      <c r="Q195">
        <v>0.73965448314742199</v>
      </c>
      <c r="R195">
        <v>0.16694929504537609</v>
      </c>
      <c r="S195">
        <v>0.314</v>
      </c>
      <c r="T195">
        <v>0.52</v>
      </c>
      <c r="U195">
        <v>3.121</v>
      </c>
    </row>
    <row r="196" spans="5:21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  <c r="M196">
        <v>3.3769372201904901</v>
      </c>
      <c r="N196">
        <v>-1.3994015758652338</v>
      </c>
      <c r="O196">
        <v>-1.4426044422797981</v>
      </c>
      <c r="P196">
        <v>0.78811709781666373</v>
      </c>
      <c r="Q196">
        <v>0.60929405441301832</v>
      </c>
      <c r="R196">
        <v>8.736243692792256E-2</v>
      </c>
      <c r="S196">
        <v>0.314</v>
      </c>
      <c r="T196">
        <v>0.52</v>
      </c>
      <c r="U196">
        <v>3.1269999999999998</v>
      </c>
    </row>
    <row r="197" spans="5:21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  <c r="M197">
        <v>3.4009548447176456</v>
      </c>
      <c r="N197">
        <v>-1.4132439825421466</v>
      </c>
      <c r="O197">
        <v>-2.2137000000000007</v>
      </c>
      <c r="P197">
        <v>0.79404344755105172</v>
      </c>
      <c r="Q197">
        <v>0.60786100664644338</v>
      </c>
      <c r="R197">
        <v>1.133974479308639E-7</v>
      </c>
      <c r="S197">
        <v>0.314</v>
      </c>
      <c r="T197">
        <v>0.52</v>
      </c>
      <c r="U197">
        <v>3.133</v>
      </c>
    </row>
    <row r="198" spans="5:21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  <c r="M198">
        <v>0.3301737809021707</v>
      </c>
      <c r="N198">
        <v>-1.9035780189960076</v>
      </c>
      <c r="O198">
        <v>-4.1700000000000272E-2</v>
      </c>
      <c r="P198">
        <v>0.95096431162806838</v>
      </c>
      <c r="Q198">
        <v>0.16720390295040674</v>
      </c>
      <c r="R198">
        <v>0.26021093913958582</v>
      </c>
      <c r="S198">
        <v>0.314</v>
      </c>
      <c r="T198">
        <v>0.52</v>
      </c>
      <c r="U198">
        <v>4.1079999999999997</v>
      </c>
    </row>
    <row r="199" spans="5:21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  <c r="M199">
        <v>0.42531673613359866</v>
      </c>
      <c r="N199">
        <v>-2.7108461948866256</v>
      </c>
      <c r="O199">
        <v>-0.1143004361149155</v>
      </c>
      <c r="P199">
        <v>0.97425626610641647</v>
      </c>
      <c r="Q199">
        <v>-9.7868323153740139E-4</v>
      </c>
      <c r="R199">
        <v>0.22544127867698929</v>
      </c>
      <c r="S199">
        <v>0.314</v>
      </c>
      <c r="T199">
        <v>0.52</v>
      </c>
      <c r="U199">
        <v>4.1139999999999999</v>
      </c>
    </row>
    <row r="200" spans="5:21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  <c r="M200">
        <v>0.46646028380177207</v>
      </c>
      <c r="N200">
        <v>-3.3355520124079443</v>
      </c>
      <c r="O200">
        <v>-0.59620188952969833</v>
      </c>
      <c r="P200">
        <v>0.9739206972350658</v>
      </c>
      <c r="Q200">
        <v>-0.15636367987350261</v>
      </c>
      <c r="R200">
        <v>0.16440460794509451</v>
      </c>
      <c r="S200">
        <v>0.314</v>
      </c>
      <c r="T200">
        <v>0.52</v>
      </c>
      <c r="U200">
        <v>4.12</v>
      </c>
    </row>
    <row r="201" spans="5:21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  <c r="M201">
        <v>0.47558662080468767</v>
      </c>
      <c r="N201">
        <v>-3.6153644109205287</v>
      </c>
      <c r="O201">
        <v>-1.3117040474842083</v>
      </c>
      <c r="P201">
        <v>0.93354514782553366</v>
      </c>
      <c r="Q201">
        <v>-0.34320816526940162</v>
      </c>
      <c r="R201">
        <v>0.10344859720563496</v>
      </c>
      <c r="S201">
        <v>0.314</v>
      </c>
      <c r="T201">
        <v>0.52</v>
      </c>
      <c r="U201">
        <v>4.1260000000000003</v>
      </c>
    </row>
    <row r="202" spans="5:21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  <c r="M202">
        <v>0.47657223173183128</v>
      </c>
      <c r="N202">
        <v>-3.6519352839203152</v>
      </c>
      <c r="O202">
        <v>-2.0916999999999999</v>
      </c>
      <c r="P202">
        <v>0.92344479750132735</v>
      </c>
      <c r="Q202">
        <v>-0.38373129396456562</v>
      </c>
      <c r="R202">
        <v>1.1339744835503556E-7</v>
      </c>
      <c r="S202">
        <v>0.314</v>
      </c>
      <c r="T202">
        <v>0.52</v>
      </c>
      <c r="U202">
        <v>4.1319999999999997</v>
      </c>
    </row>
    <row r="203" spans="5:21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  <c r="M203">
        <v>-0.67801419194880164</v>
      </c>
      <c r="N203">
        <v>-0.47475064821571616</v>
      </c>
      <c r="O203">
        <v>-0.33520110235132466</v>
      </c>
      <c r="P203">
        <v>0.60890506553846202</v>
      </c>
      <c r="Q203">
        <v>-0.75281779836100604</v>
      </c>
      <c r="R203">
        <v>0.24999996726497561</v>
      </c>
      <c r="S203">
        <v>0.314</v>
      </c>
      <c r="T203">
        <v>0.52</v>
      </c>
      <c r="U203">
        <v>5.1029999999999998</v>
      </c>
    </row>
    <row r="204" spans="5:21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  <c r="M204">
        <v>-1.2718192997700972</v>
      </c>
      <c r="N204">
        <v>-0.89053746093961661</v>
      </c>
      <c r="O204">
        <v>-0.14090051634075718</v>
      </c>
      <c r="P204">
        <v>0.60890506553846202</v>
      </c>
      <c r="Q204">
        <v>-0.75281779836100615</v>
      </c>
      <c r="R204">
        <v>0.24999996726497561</v>
      </c>
      <c r="S204">
        <v>0.314</v>
      </c>
      <c r="T204">
        <v>0.52</v>
      </c>
      <c r="U204">
        <v>5.1059999999999999</v>
      </c>
    </row>
    <row r="205" spans="5:21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  <c r="M205">
        <v>-1.9338398892513715</v>
      </c>
      <c r="N205">
        <v>-1.3258636937945723</v>
      </c>
      <c r="O205">
        <v>-1.8500147181243591E-2</v>
      </c>
      <c r="P205">
        <v>0.4819646982889132</v>
      </c>
      <c r="Q205">
        <v>-0.83876466970416763</v>
      </c>
      <c r="R205">
        <v>0.25334533439425211</v>
      </c>
      <c r="S205">
        <v>0.314</v>
      </c>
      <c r="T205">
        <v>0.52</v>
      </c>
      <c r="U205">
        <v>5.1109999999999998</v>
      </c>
    </row>
    <row r="206" spans="5:21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  <c r="M206">
        <v>-2.5799355018057306</v>
      </c>
      <c r="N206">
        <v>-1.7013414048433402</v>
      </c>
      <c r="O206">
        <v>-0.31360103720552862</v>
      </c>
      <c r="P206">
        <v>0.34999648428787478</v>
      </c>
      <c r="Q206">
        <v>-0.91909064943251251</v>
      </c>
      <c r="R206">
        <v>0.18103822555430102</v>
      </c>
      <c r="S206">
        <v>0.314</v>
      </c>
      <c r="T206">
        <v>0.52</v>
      </c>
      <c r="U206">
        <v>5.117</v>
      </c>
    </row>
    <row r="207" spans="5:21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  <c r="M207">
        <v>-2.9957261608019148</v>
      </c>
      <c r="N207">
        <v>-1.9192816266852528</v>
      </c>
      <c r="O207">
        <v>-0.93760291919520555</v>
      </c>
      <c r="P207">
        <v>0.16784912132102703</v>
      </c>
      <c r="Q207">
        <v>-0.97422254466786606</v>
      </c>
      <c r="R207">
        <v>0.15072194907387271</v>
      </c>
      <c r="S207">
        <v>0.314</v>
      </c>
      <c r="T207">
        <v>0.52</v>
      </c>
      <c r="U207">
        <v>5.1230000000000002</v>
      </c>
    </row>
    <row r="208" spans="5:21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  <c r="M208">
        <v>-3.108369257402487</v>
      </c>
      <c r="N208">
        <v>-1.975295666383925</v>
      </c>
      <c r="O208">
        <v>-1.7388000000000001</v>
      </c>
      <c r="P208">
        <v>4.2485975283767526E-2</v>
      </c>
      <c r="Q208">
        <v>-0.99909706330474946</v>
      </c>
      <c r="R208">
        <v>1.1339744821699083E-7</v>
      </c>
      <c r="S208">
        <v>0.314</v>
      </c>
      <c r="T208">
        <v>0.52</v>
      </c>
      <c r="U208">
        <v>5.1289999999999996</v>
      </c>
    </row>
    <row r="209" spans="5:21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  <c r="M209">
        <v>-1.9925852709492313</v>
      </c>
      <c r="N209">
        <v>0.94660936635495574</v>
      </c>
      <c r="O209">
        <v>-1.2800129989992207E-2</v>
      </c>
      <c r="P209">
        <v>-0.45906968940048559</v>
      </c>
      <c r="Q209">
        <v>-0.85008205648170854</v>
      </c>
      <c r="R209">
        <v>0.25809982084761507</v>
      </c>
      <c r="S209">
        <v>0.314</v>
      </c>
      <c r="T209">
        <v>0.52</v>
      </c>
      <c r="U209">
        <v>6.11</v>
      </c>
    </row>
    <row r="210" spans="5:21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  <c r="M210">
        <v>-2.6699538303051322</v>
      </c>
      <c r="N210">
        <v>1.327154372479308</v>
      </c>
      <c r="O210">
        <v>-0.23650080467122706</v>
      </c>
      <c r="P210">
        <v>-0.60187876238484184</v>
      </c>
      <c r="Q210">
        <v>-0.77373823398964037</v>
      </c>
      <c r="R210">
        <v>0.19766411068447345</v>
      </c>
      <c r="S210">
        <v>0.314</v>
      </c>
      <c r="T210">
        <v>0.52</v>
      </c>
      <c r="U210">
        <v>6.1159999999999997</v>
      </c>
    </row>
    <row r="211" spans="5:21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  <c r="M211">
        <v>-3.1158440855294698</v>
      </c>
      <c r="N211">
        <v>1.6058386721470395</v>
      </c>
      <c r="O211">
        <v>-0.81880256089332393</v>
      </c>
      <c r="P211">
        <v>-0.73367246390729779</v>
      </c>
      <c r="Q211">
        <v>-0.66171234148908686</v>
      </c>
      <c r="R211">
        <v>0.15447165702880594</v>
      </c>
      <c r="S211">
        <v>0.314</v>
      </c>
      <c r="T211">
        <v>0.52</v>
      </c>
      <c r="U211">
        <v>6.1219999999999999</v>
      </c>
    </row>
    <row r="212" spans="5:21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  <c r="M212">
        <v>-3.2648408557750335</v>
      </c>
      <c r="N212">
        <v>1.7042789080611622</v>
      </c>
      <c r="O212">
        <v>-1.6198999999999999</v>
      </c>
      <c r="P212">
        <v>-0.84400045002645863</v>
      </c>
      <c r="Q212">
        <v>-0.53634246555267506</v>
      </c>
      <c r="R212">
        <v>1.1339744853067616E-7</v>
      </c>
      <c r="S212">
        <v>0.314</v>
      </c>
      <c r="T212">
        <v>0.52</v>
      </c>
      <c r="U212">
        <v>6.1280000000000001</v>
      </c>
    </row>
    <row r="213" spans="5:21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21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21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21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  <c r="M216" t="s">
        <v>391</v>
      </c>
    </row>
    <row r="217" spans="5:21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  <c r="M217">
        <v>0</v>
      </c>
      <c r="N217">
        <v>0.34330103539592277</v>
      </c>
      <c r="O217">
        <v>-0.49520149352770448</v>
      </c>
      <c r="P217">
        <v>-0.93969263802333458</v>
      </c>
      <c r="Q217">
        <v>-8.8521302156295584E-2</v>
      </c>
      <c r="R217">
        <v>0.33036604714967344</v>
      </c>
      <c r="S217">
        <v>0.314</v>
      </c>
      <c r="T217">
        <v>0.52</v>
      </c>
      <c r="U217">
        <v>1.101</v>
      </c>
    </row>
    <row r="218" spans="5:21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  <c r="M218">
        <v>3.9056889284418761E-16</v>
      </c>
      <c r="N218">
        <v>1.0693032250185266</v>
      </c>
      <c r="O218">
        <v>-0.30070090691393542</v>
      </c>
      <c r="P218">
        <v>-0.96592583607220739</v>
      </c>
      <c r="Q218">
        <v>-6.6987279208207184E-2</v>
      </c>
      <c r="R218">
        <v>0.24999996726497564</v>
      </c>
      <c r="S218">
        <v>0.314</v>
      </c>
      <c r="T218">
        <v>0.52</v>
      </c>
      <c r="U218">
        <v>1.1040000000000001</v>
      </c>
    </row>
    <row r="219" spans="5:21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  <c r="M219">
        <v>-8.5370249802008226E-18</v>
      </c>
      <c r="N219">
        <v>1.7943054116251218</v>
      </c>
      <c r="O219">
        <v>-0.1065003212049688</v>
      </c>
      <c r="P219">
        <v>-0.98480775301220813</v>
      </c>
      <c r="Q219">
        <v>-4.4943449187448817E-2</v>
      </c>
      <c r="R219">
        <v>0.16773126119534493</v>
      </c>
      <c r="S219">
        <v>0.314</v>
      </c>
      <c r="T219">
        <v>0.52</v>
      </c>
      <c r="U219">
        <v>1.107</v>
      </c>
    </row>
    <row r="220" spans="5:21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  <c r="M220">
        <v>4.1525127014845876E-2</v>
      </c>
      <c r="N220">
        <v>2.6171784885812936</v>
      </c>
      <c r="O220">
        <v>-0.10080030401371684</v>
      </c>
      <c r="P220">
        <v>-0.96101099711342941</v>
      </c>
      <c r="Q220">
        <v>0.13603385418383587</v>
      </c>
      <c r="R220">
        <v>0.24073357460674868</v>
      </c>
      <c r="S220">
        <v>0.314</v>
      </c>
      <c r="T220">
        <v>0.52</v>
      </c>
      <c r="U220">
        <v>1.113</v>
      </c>
    </row>
    <row r="221" spans="5:21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  <c r="M221">
        <v>0.1091638821707743</v>
      </c>
      <c r="N221">
        <v>3.283095543207676</v>
      </c>
      <c r="O221">
        <v>-0.5247015824999729</v>
      </c>
      <c r="P221">
        <v>-0.93948851336091654</v>
      </c>
      <c r="Q221">
        <v>0.29625628196016229</v>
      </c>
      <c r="R221">
        <v>0.17202775549903498</v>
      </c>
      <c r="S221">
        <v>0.314</v>
      </c>
      <c r="T221">
        <v>0.52</v>
      </c>
      <c r="U221">
        <v>1.119</v>
      </c>
    </row>
    <row r="222" spans="5:21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  <c r="M222">
        <v>0.15588234920333341</v>
      </c>
      <c r="N222">
        <v>3.6207569275582911</v>
      </c>
      <c r="O222">
        <v>-1.2188036759118865</v>
      </c>
      <c r="P222">
        <v>-0.87691222519662104</v>
      </c>
      <c r="Q222">
        <v>0.4666214331930808</v>
      </c>
      <c r="R222">
        <v>0.11527960524544605</v>
      </c>
      <c r="S222">
        <v>0.314</v>
      </c>
      <c r="T222">
        <v>0.52</v>
      </c>
      <c r="U222">
        <v>1.125</v>
      </c>
    </row>
    <row r="223" spans="5:21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  <c r="M223">
        <v>0.16481987833048795</v>
      </c>
      <c r="N223">
        <v>3.6792100806704591</v>
      </c>
      <c r="O223">
        <v>-2.0039999999999996</v>
      </c>
      <c r="P223">
        <v>-0.84278135614737548</v>
      </c>
      <c r="Q223">
        <v>0.5382560596318241</v>
      </c>
      <c r="R223">
        <v>1.1339744831728188E-7</v>
      </c>
      <c r="S223">
        <v>0.314</v>
      </c>
      <c r="T223">
        <v>0.52</v>
      </c>
      <c r="U223">
        <v>1.131</v>
      </c>
    </row>
    <row r="224" spans="5:21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  <c r="M224">
        <v>2.0514241924574272</v>
      </c>
      <c r="N224">
        <v>1.3976799493540377</v>
      </c>
      <c r="O224">
        <v>-6.8100205390219479E-2</v>
      </c>
      <c r="P224">
        <v>-0.45738106556576502</v>
      </c>
      <c r="Q224">
        <v>0.85452478355268535</v>
      </c>
      <c r="R224">
        <v>0.24615026946189161</v>
      </c>
      <c r="S224">
        <v>0.314</v>
      </c>
      <c r="T224">
        <v>0.52</v>
      </c>
      <c r="U224">
        <v>2.1120000000000001</v>
      </c>
    </row>
    <row r="225" spans="5:21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  <c r="M225">
        <v>2.6694446819093658</v>
      </c>
      <c r="N225">
        <v>1.7497753518752186</v>
      </c>
      <c r="O225">
        <v>-0.42990129658231024</v>
      </c>
      <c r="P225">
        <v>-0.3231676598910162</v>
      </c>
      <c r="Q225">
        <v>0.92946862836612276</v>
      </c>
      <c r="R225">
        <v>0.17790652737817927</v>
      </c>
      <c r="S225">
        <v>0.314</v>
      </c>
      <c r="T225">
        <v>0.52</v>
      </c>
      <c r="U225">
        <v>2.1179999999999999</v>
      </c>
    </row>
    <row r="226" spans="5:21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  <c r="M226">
        <v>3.0324074310156819</v>
      </c>
      <c r="N226">
        <v>1.9376545736027169</v>
      </c>
      <c r="O226">
        <v>-1.0918032928787311</v>
      </c>
      <c r="P226">
        <v>-0.14354467408112528</v>
      </c>
      <c r="Q226">
        <v>0.9805682132211786</v>
      </c>
      <c r="R226">
        <v>0.13371950404921776</v>
      </c>
      <c r="S226">
        <v>0.314</v>
      </c>
      <c r="T226">
        <v>0.52</v>
      </c>
      <c r="U226">
        <v>2.1240000000000001</v>
      </c>
    </row>
    <row r="227" spans="5:21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  <c r="M227">
        <v>3.108370775579655</v>
      </c>
      <c r="N227">
        <v>1.9752932773444885</v>
      </c>
      <c r="O227">
        <v>-1.8859999999999997</v>
      </c>
      <c r="P227">
        <v>-4.2485207395031144E-2</v>
      </c>
      <c r="Q227">
        <v>0.99909709595844021</v>
      </c>
      <c r="R227">
        <v>1.1339744825155341E-7</v>
      </c>
      <c r="S227">
        <v>0.314</v>
      </c>
      <c r="T227">
        <v>0.52</v>
      </c>
      <c r="U227">
        <v>2.13</v>
      </c>
    </row>
    <row r="228" spans="5:21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  <c r="M228">
        <v>0.50749224001177151</v>
      </c>
      <c r="N228">
        <v>-0.29300119061511898</v>
      </c>
      <c r="O228">
        <v>-0.43020129748711322</v>
      </c>
      <c r="P228">
        <v>0.40945766295005809</v>
      </c>
      <c r="Q228">
        <v>0.86485705422772596</v>
      </c>
      <c r="R228">
        <v>0.29045946017304536</v>
      </c>
      <c r="S228">
        <v>0.314</v>
      </c>
      <c r="T228">
        <v>0.52</v>
      </c>
      <c r="U228">
        <v>3.1019999999999999</v>
      </c>
    </row>
    <row r="229" spans="5:21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  <c r="M229">
        <v>1.1353623321765061</v>
      </c>
      <c r="N229">
        <v>-0.65550266364577026</v>
      </c>
      <c r="O229">
        <v>-0.23600071177814663</v>
      </c>
      <c r="P229">
        <v>0.42495075868149645</v>
      </c>
      <c r="Q229">
        <v>0.87000969481008195</v>
      </c>
      <c r="R229">
        <v>0.24999996726497564</v>
      </c>
      <c r="S229">
        <v>0.314</v>
      </c>
      <c r="T229">
        <v>0.52</v>
      </c>
      <c r="U229">
        <v>3.105</v>
      </c>
    </row>
    <row r="230" spans="5:21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  <c r="M230">
        <v>1.7856236683838014</v>
      </c>
      <c r="N230">
        <v>-1.0423740507331463</v>
      </c>
      <c r="O230">
        <v>-5.0900153514863183E-2</v>
      </c>
      <c r="P230">
        <v>0.50626819172170889</v>
      </c>
      <c r="Q230">
        <v>0.8221293554708563</v>
      </c>
      <c r="R230">
        <v>0.26037634478559213</v>
      </c>
      <c r="S230">
        <v>0.314</v>
      </c>
      <c r="T230">
        <v>0.52</v>
      </c>
      <c r="U230">
        <v>3.109</v>
      </c>
    </row>
    <row r="231" spans="5:21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  <c r="M231">
        <v>2.4496317629901974</v>
      </c>
      <c r="N231">
        <v>-1.4869489294279801</v>
      </c>
      <c r="O231">
        <v>-0.20000060320181942</v>
      </c>
      <c r="P231">
        <v>0.64768912696222369</v>
      </c>
      <c r="Q231">
        <v>0.73169734120989172</v>
      </c>
      <c r="R231">
        <v>0.21240949997890371</v>
      </c>
      <c r="S231">
        <v>0.314</v>
      </c>
      <c r="T231">
        <v>0.52</v>
      </c>
      <c r="U231">
        <v>3.1150000000000002</v>
      </c>
    </row>
    <row r="232" spans="5:21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  <c r="M232">
        <v>2.9142628522369391</v>
      </c>
      <c r="N232">
        <v>-1.8324709445059475</v>
      </c>
      <c r="O232">
        <v>-0.73440221495708058</v>
      </c>
      <c r="P232">
        <v>0.77048572368923052</v>
      </c>
      <c r="Q232">
        <v>0.61520702407802108</v>
      </c>
      <c r="R232">
        <v>0.16694929504537581</v>
      </c>
      <c r="S232">
        <v>0.314</v>
      </c>
      <c r="T232">
        <v>0.52</v>
      </c>
      <c r="U232">
        <v>3.121</v>
      </c>
    </row>
    <row r="233" spans="5:21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  <c r="M233">
        <v>3.0826292342779262</v>
      </c>
      <c r="N233">
        <v>-1.9645423802038622</v>
      </c>
      <c r="O233">
        <v>-1.4729044422797986</v>
      </c>
      <c r="P233">
        <v>0.88194691054970442</v>
      </c>
      <c r="Q233">
        <v>0.4631818774367647</v>
      </c>
      <c r="R233">
        <v>8.7362436927923726E-2</v>
      </c>
      <c r="S233">
        <v>0.314</v>
      </c>
      <c r="T233">
        <v>0.52</v>
      </c>
      <c r="U233">
        <v>3.1269999999999998</v>
      </c>
    </row>
    <row r="234" spans="5:21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  <c r="M234">
        <v>3.1013094869057443</v>
      </c>
      <c r="N234">
        <v>-1.9865468952422967</v>
      </c>
      <c r="O234">
        <v>-2.2449999999999966</v>
      </c>
      <c r="P234">
        <v>0.88814955723140332</v>
      </c>
      <c r="Q234">
        <v>0.45955452776536726</v>
      </c>
      <c r="R234">
        <v>1.1339744855140686E-7</v>
      </c>
      <c r="S234">
        <v>0.314</v>
      </c>
      <c r="T234">
        <v>0.52</v>
      </c>
      <c r="U234">
        <v>3.133</v>
      </c>
    </row>
    <row r="235" spans="5:21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  <c r="M235">
        <v>-5.4606636246277949E-3</v>
      </c>
      <c r="N235">
        <v>-1.9321922836904144</v>
      </c>
      <c r="O235">
        <v>-7.2099999999999942E-2</v>
      </c>
      <c r="P235">
        <v>0.96533866476084951</v>
      </c>
      <c r="Q235">
        <v>-7.5218781620930764E-2</v>
      </c>
      <c r="R235">
        <v>0.24992678369715235</v>
      </c>
      <c r="S235">
        <v>0.314</v>
      </c>
      <c r="T235">
        <v>0.52</v>
      </c>
      <c r="U235">
        <v>4.1079999999999997</v>
      </c>
    </row>
    <row r="236" spans="5:21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  <c r="M236">
        <v>-5.1879526878857718E-2</v>
      </c>
      <c r="N236">
        <v>-2.7435178025770948</v>
      </c>
      <c r="O236">
        <v>-0.1446004361149153</v>
      </c>
      <c r="P236">
        <v>0.95928510054804406</v>
      </c>
      <c r="Q236">
        <v>-0.1701420751460764</v>
      </c>
      <c r="R236">
        <v>0.22544127867698932</v>
      </c>
      <c r="S236">
        <v>0.314</v>
      </c>
      <c r="T236">
        <v>0.52</v>
      </c>
      <c r="U236">
        <v>4.1139999999999999</v>
      </c>
    </row>
    <row r="237" spans="5:21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  <c r="M237">
        <v>-0.11984035123529128</v>
      </c>
      <c r="N237">
        <v>-3.3658774062729799</v>
      </c>
      <c r="O237">
        <v>-0.6265018895296991</v>
      </c>
      <c r="P237">
        <v>0.93197223883435998</v>
      </c>
      <c r="Q237">
        <v>-0.3231081412290483</v>
      </c>
      <c r="R237">
        <v>0.16440460794509457</v>
      </c>
      <c r="S237">
        <v>0.314</v>
      </c>
      <c r="T237">
        <v>0.52</v>
      </c>
      <c r="U237">
        <v>4.12</v>
      </c>
    </row>
    <row r="238" spans="5:21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  <c r="M238">
        <v>-0.1594417025992213</v>
      </c>
      <c r="N238">
        <v>-3.6430235795437031</v>
      </c>
      <c r="O238">
        <v>-1.342004047484207</v>
      </c>
      <c r="P238">
        <v>0.85976480006460398</v>
      </c>
      <c r="Q238">
        <v>-0.50010286572470042</v>
      </c>
      <c r="R238">
        <v>0.10344859720563496</v>
      </c>
      <c r="S238">
        <v>0.314</v>
      </c>
      <c r="T238">
        <v>0.52</v>
      </c>
      <c r="U238">
        <v>4.1260000000000003</v>
      </c>
    </row>
    <row r="239" spans="5:21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  <c r="M239">
        <v>-0.16707353002586495</v>
      </c>
      <c r="N239">
        <v>-3.6792085338513631</v>
      </c>
      <c r="O239">
        <v>-2.1219999999999999</v>
      </c>
      <c r="P239">
        <v>0.8424521561560816</v>
      </c>
      <c r="Q239">
        <v>-0.53877116161498118</v>
      </c>
      <c r="R239">
        <v>1.1339744832902593E-7</v>
      </c>
      <c r="S239">
        <v>0.314</v>
      </c>
      <c r="T239">
        <v>0.52</v>
      </c>
      <c r="U239">
        <v>4.1319999999999997</v>
      </c>
    </row>
    <row r="240" spans="5:21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  <c r="M240">
        <v>-0.75015331916270234</v>
      </c>
      <c r="N240">
        <v>-0.34980197285665726</v>
      </c>
      <c r="O240">
        <v>-0.36550110235132471</v>
      </c>
      <c r="P240">
        <v>0.46892874510133475</v>
      </c>
      <c r="Q240">
        <v>-0.84711619532694482</v>
      </c>
      <c r="R240">
        <v>0.24999996726497561</v>
      </c>
      <c r="S240">
        <v>0.314</v>
      </c>
      <c r="T240">
        <v>0.52</v>
      </c>
      <c r="U240">
        <v>5.1029999999999998</v>
      </c>
    </row>
    <row r="241" spans="5:21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  <c r="M241">
        <v>-1.4071379042310157</v>
      </c>
      <c r="N241">
        <v>-0.6561586843750703</v>
      </c>
      <c r="O241">
        <v>-0.17120051634075742</v>
      </c>
      <c r="P241">
        <v>0.46892874510133464</v>
      </c>
      <c r="Q241">
        <v>-0.84711619532694504</v>
      </c>
      <c r="R241">
        <v>0.24999996726497573</v>
      </c>
      <c r="S241">
        <v>0.314</v>
      </c>
      <c r="T241">
        <v>0.52</v>
      </c>
      <c r="U241">
        <v>5.1059999999999999</v>
      </c>
    </row>
    <row r="242" spans="5:21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  <c r="M242">
        <v>-2.1346946113555871</v>
      </c>
      <c r="N242">
        <v>-0.96991245379764135</v>
      </c>
      <c r="O242">
        <v>-4.8800147181243897E-2</v>
      </c>
      <c r="P242">
        <v>0.32899235153830914</v>
      </c>
      <c r="Q242">
        <v>-0.9097143365749264</v>
      </c>
      <c r="R242">
        <v>0.25334533439425211</v>
      </c>
      <c r="S242">
        <v>0.314</v>
      </c>
      <c r="T242">
        <v>0.52</v>
      </c>
      <c r="U242">
        <v>5.1109999999999998</v>
      </c>
    </row>
    <row r="243" spans="5:21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  <c r="M243">
        <v>-2.8361756747094442</v>
      </c>
      <c r="N243">
        <v>-1.2274922857184549</v>
      </c>
      <c r="O243">
        <v>-0.34390103720552789</v>
      </c>
      <c r="P243">
        <v>0.18508055495639816</v>
      </c>
      <c r="Q243">
        <v>-0.96590390260376424</v>
      </c>
      <c r="R243">
        <v>0.1810382255543008</v>
      </c>
      <c r="S243">
        <v>0.314</v>
      </c>
      <c r="T243">
        <v>0.52</v>
      </c>
      <c r="U243">
        <v>5.117</v>
      </c>
    </row>
    <row r="244" spans="5:21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  <c r="M244">
        <v>-3.283494502956783</v>
      </c>
      <c r="N244">
        <v>-1.3699200860258784</v>
      </c>
      <c r="O244">
        <v>-0.96790291919520377</v>
      </c>
      <c r="P244">
        <v>-3.8731399911171851E-3</v>
      </c>
      <c r="Q244">
        <v>-0.98856860806621927</v>
      </c>
      <c r="R244">
        <v>0.15072194907387235</v>
      </c>
      <c r="S244">
        <v>0.314</v>
      </c>
      <c r="T244">
        <v>0.52</v>
      </c>
      <c r="U244">
        <v>5.1230000000000002</v>
      </c>
    </row>
    <row r="245" spans="5:21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  <c r="M245">
        <v>-3.4061215488960932</v>
      </c>
      <c r="N245">
        <v>-1.4010085631949847</v>
      </c>
      <c r="O245">
        <v>-1.7620000000000002</v>
      </c>
      <c r="P245">
        <v>-0.13297631490676357</v>
      </c>
      <c r="Q245">
        <v>-0.99111921567175987</v>
      </c>
      <c r="R245">
        <v>1.1339744837938798E-7</v>
      </c>
      <c r="S245">
        <v>0.314</v>
      </c>
      <c r="T245">
        <v>0.52</v>
      </c>
      <c r="U245">
        <v>5.1289999999999996</v>
      </c>
    </row>
    <row r="246" spans="5:21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  <c r="M246">
        <v>-1.9025002711616701</v>
      </c>
      <c r="N246">
        <v>1.1166727688559985</v>
      </c>
      <c r="O246">
        <v>-4.3100129989992145E-2</v>
      </c>
      <c r="P246">
        <v>-0.53141244565546242</v>
      </c>
      <c r="Q246">
        <v>-0.80683659750962544</v>
      </c>
      <c r="R246">
        <v>0.25809982084761501</v>
      </c>
      <c r="S246">
        <v>0.314</v>
      </c>
      <c r="T246">
        <v>0.52</v>
      </c>
      <c r="U246">
        <v>6.11</v>
      </c>
    </row>
    <row r="247" spans="5:21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  <c r="M247">
        <v>-2.5441244897440836</v>
      </c>
      <c r="N247">
        <v>1.5548063432583483</v>
      </c>
      <c r="O247">
        <v>-0.26680080467122691</v>
      </c>
      <c r="P247">
        <v>-0.66702427106749229</v>
      </c>
      <c r="Q247">
        <v>-0.71833663497986566</v>
      </c>
      <c r="R247">
        <v>0.19766411068447354</v>
      </c>
      <c r="S247">
        <v>0.314</v>
      </c>
      <c r="T247">
        <v>0.52</v>
      </c>
      <c r="U247">
        <v>6.1159999999999997</v>
      </c>
    </row>
    <row r="248" spans="5:21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  <c r="M248">
        <v>-2.9640290129481226</v>
      </c>
      <c r="N248">
        <v>1.8712921248949115</v>
      </c>
      <c r="O248">
        <v>-0.84910256089332381</v>
      </c>
      <c r="P248">
        <v>-0.7885527392879812</v>
      </c>
      <c r="Q248">
        <v>-0.5952504385014733</v>
      </c>
      <c r="R248">
        <v>0.15447165702880566</v>
      </c>
      <c r="S248">
        <v>0.314</v>
      </c>
      <c r="T248">
        <v>0.52</v>
      </c>
      <c r="U248">
        <v>6.1219999999999999</v>
      </c>
    </row>
    <row r="249" spans="5:21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  <c r="M249">
        <v>-3.1013103637309221</v>
      </c>
      <c r="N249">
        <v>1.9865455010684185</v>
      </c>
      <c r="O249">
        <v>-1.6359999999999997</v>
      </c>
      <c r="P249">
        <v>-0.88814934878206853</v>
      </c>
      <c r="Q249">
        <v>-0.45955493062089403</v>
      </c>
      <c r="R249">
        <v>1.133974479894842E-7</v>
      </c>
      <c r="S249">
        <v>0.314</v>
      </c>
      <c r="T249">
        <v>0.52</v>
      </c>
      <c r="U249">
        <v>6.1280000000000001</v>
      </c>
    </row>
    <row r="250" spans="5:21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21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21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21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21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21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21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39" priority="134" stopIfTrue="1" operator="between">
      <formula>9</formula>
      <formula>9.99</formula>
    </cfRule>
    <cfRule type="cellIs" dxfId="38" priority="135" stopIfTrue="1" operator="between">
      <formula>8</formula>
      <formula>8.99</formula>
    </cfRule>
    <cfRule type="cellIs" dxfId="37" priority="136" stopIfTrue="1" operator="between">
      <formula>7</formula>
      <formula>7.99</formula>
    </cfRule>
    <cfRule type="cellIs" dxfId="36" priority="137" stopIfTrue="1" operator="between">
      <formula>6</formula>
      <formula>6.99</formula>
    </cfRule>
    <cfRule type="cellIs" dxfId="35" priority="138" stopIfTrue="1" operator="between">
      <formula>5</formula>
      <formula>5.99</formula>
    </cfRule>
    <cfRule type="cellIs" dxfId="34" priority="139" stopIfTrue="1" operator="between">
      <formula>4</formula>
      <formula>4.99</formula>
    </cfRule>
    <cfRule type="cellIs" dxfId="33" priority="140" stopIfTrue="1" operator="between">
      <formula>3</formula>
      <formula>3.99</formula>
    </cfRule>
    <cfRule type="cellIs" dxfId="32" priority="141" stopIfTrue="1" operator="between">
      <formula>2</formula>
      <formula>2.99</formula>
    </cfRule>
    <cfRule type="cellIs" dxfId="31" priority="142" stopIfTrue="1" operator="between">
      <formula>1</formula>
      <formula>1.99</formula>
    </cfRule>
  </conditionalFormatting>
  <conditionalFormatting sqref="HN9:HN40 HN54:HN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0" stopIfTrue="1" operator="between">
      <formula>9</formula>
      <formula>9.99</formula>
    </cfRule>
    <cfRule type="cellIs" dxfId="29" priority="21" stopIfTrue="1" operator="between">
      <formula>8</formula>
      <formula>8.99</formula>
    </cfRule>
    <cfRule type="cellIs" dxfId="28" priority="22" stopIfTrue="1" operator="between">
      <formula>7</formula>
      <formula>7.99</formula>
    </cfRule>
    <cfRule type="cellIs" dxfId="27" priority="23" stopIfTrue="1" operator="between">
      <formula>6</formula>
      <formula>6.99</formula>
    </cfRule>
    <cfRule type="cellIs" dxfId="26" priority="24" stopIfTrue="1" operator="between">
      <formula>5</formula>
      <formula>5.99</formula>
    </cfRule>
    <cfRule type="cellIs" dxfId="25" priority="25" stopIfTrue="1" operator="between">
      <formula>4</formula>
      <formula>4.99</formula>
    </cfRule>
    <cfRule type="cellIs" dxfId="24" priority="26" stopIfTrue="1" operator="between">
      <formula>3</formula>
      <formula>3.99</formula>
    </cfRule>
    <cfRule type="cellIs" dxfId="23" priority="27" stopIfTrue="1" operator="between">
      <formula>2</formula>
      <formula>2.99</formula>
    </cfRule>
    <cfRule type="cellIs" dxfId="22" priority="28" stopIfTrue="1" operator="between">
      <formula>1</formula>
      <formula>1.99</formula>
    </cfRule>
  </conditionalFormatting>
  <conditionalFormatting sqref="HN41:HN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6.125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1.1080000000000001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1.113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1.208</v>
      </c>
      <c r="N169" s="869" t="str">
        <f>Assy.Model!K14</f>
        <v>Inactive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2.1070000000000002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2.1120000000000001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2.117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2.1219999999999999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3.1030000000000002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3.1059999999999999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3.1110000000000002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3.1160000000000001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3.121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3.2109999999999999</v>
      </c>
      <c r="N179" s="869" t="str">
        <f>Assy.Model!K24</f>
        <v>Inactive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4.1020000000000003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4.1050000000000004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4.1100000000000003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4.1150000000000002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4.12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4.2050000000000001</v>
      </c>
      <c r="N185" s="869" t="str">
        <f>Assy.Model!K30</f>
        <v>Inactive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5.109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5.1139999999999999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5.1189999999999998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 t="str">
        <f>Assy.Model!$M34</f>
        <v/>
      </c>
      <c r="N189" s="869" t="str">
        <f>Assy.Model!K34</f>
        <v/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 t="str">
        <f>Assy.Model!$M35</f>
        <v/>
      </c>
      <c r="N190" s="869" t="str">
        <f>Assy.Model!K35</f>
        <v/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 t="str">
        <f>Assy.Model!$M36</f>
        <v/>
      </c>
      <c r="N191" s="869" t="str">
        <f>Assy.Model!K36</f>
        <v/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 t="str">
        <f>Assy.Model!$M37</f>
        <v/>
      </c>
      <c r="N192" s="869" t="str">
        <f>Assy.Model!K37</f>
        <v/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 t="str">
        <f>Assy.Model!$M38</f>
        <v/>
      </c>
      <c r="N193" s="869" t="str">
        <f>Assy.Model!K38</f>
        <v/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 t="str">
        <f>Assy.Model!$M39</f>
        <v/>
      </c>
      <c r="N194" s="869" t="str">
        <f>Assy.Model!K39</f>
        <v/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 t="str">
        <f>Assy.Model!$M40</f>
        <v/>
      </c>
      <c r="N195" s="869" t="str">
        <f>Assy.Model!K40</f>
        <v/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 t="str">
        <f>Assy.Model!$M41</f>
        <v/>
      </c>
      <c r="N196" s="869" t="str">
        <f>Assy.Model!K41</f>
        <v/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 t="str">
        <f>Assy.Model!$M42</f>
        <v/>
      </c>
      <c r="N197" s="869" t="str">
        <f>Assy.Model!K42</f>
        <v/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2023-03-28T20:12:38Z</dcterms:modified>
</cp:coreProperties>
</file>