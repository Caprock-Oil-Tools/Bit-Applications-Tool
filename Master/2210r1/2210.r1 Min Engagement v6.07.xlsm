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10\"/>
    </mc:Choice>
  </mc:AlternateContent>
  <xr:revisionPtr revIDLastSave="0" documentId="13_ncr:1_{3A102C18-AB10-4C75-ACD7-3D84CB98E19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Q73" i="1"/>
  <c r="IP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P106" i="1"/>
  <c r="IW106" i="1"/>
  <c r="IQ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P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Q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P105" i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Q70" i="1"/>
  <c r="IP70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P121" i="1"/>
  <c r="IR121" i="1"/>
  <c r="IW121" i="1"/>
  <c r="IK121" i="1"/>
  <c r="IN121" i="1"/>
  <c r="IQ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W71" i="1"/>
  <c r="IK71" i="1"/>
  <c r="IP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R120" i="1"/>
  <c r="IW120" i="1"/>
  <c r="IP120" i="1"/>
  <c r="IN120" i="1"/>
  <c r="IK120" i="1"/>
  <c r="IN75" i="1"/>
  <c r="IW75" i="1"/>
  <c r="IK75" i="1"/>
  <c r="IR75" i="1"/>
  <c r="IK107" i="1"/>
  <c r="IW107" i="1"/>
  <c r="IN107" i="1"/>
  <c r="IR107" i="1"/>
  <c r="IP107" i="1"/>
  <c r="IQ107" i="1"/>
  <c r="IK104" i="1"/>
  <c r="IN104" i="1"/>
  <c r="IR104" i="1"/>
  <c r="IW104" i="1"/>
  <c r="IP104" i="1"/>
  <c r="IQ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Q72" i="1"/>
  <c r="IW72" i="1"/>
  <c r="IK72" i="1"/>
  <c r="IR72" i="1"/>
  <c r="IP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W119" i="1"/>
  <c r="IR119" i="1"/>
  <c r="IN119" i="1"/>
  <c r="IP119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K103" i="1"/>
  <c r="IN103" i="1"/>
  <c r="IW103" i="1"/>
  <c r="IR103" i="1"/>
  <c r="IQ103" i="1"/>
  <c r="IP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Q88" i="1"/>
  <c r="IR88" i="1"/>
  <c r="IW88" i="1"/>
  <c r="IP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A23" i="1" a="1"/>
  <c r="JA23" i="1" s="1"/>
  <c r="IF129" i="1"/>
  <c r="IF49" i="1"/>
  <c r="IF138" i="1"/>
  <c r="IF10" i="1"/>
  <c r="IF150" i="1"/>
  <c r="IF48" i="1"/>
  <c r="IF148" i="1"/>
  <c r="IF127" i="1"/>
  <c r="IF15" i="1"/>
  <c r="IF128" i="1"/>
  <c r="IF9" i="1"/>
  <c r="IF47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4" i="1"/>
  <c r="IF12" i="1"/>
  <c r="IF50" i="1"/>
  <c r="IF133" i="1"/>
  <c r="IF149" i="1"/>
  <c r="IF130" i="1"/>
  <c r="IF132" i="1"/>
  <c r="IF32" i="1"/>
  <c r="IF110" i="1"/>
  <c r="IF125" i="1"/>
  <c r="IF144" i="1"/>
  <c r="IF139" i="1"/>
  <c r="IF126" i="1"/>
  <c r="IF140" i="1"/>
  <c r="IF14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13" i="1" l="1"/>
  <c r="IV106" i="1"/>
  <c r="IQ99" i="1"/>
  <c r="IV90" i="1"/>
  <c r="IQ77" i="1"/>
  <c r="IV71" i="1"/>
  <c r="IQ75" i="1"/>
  <c r="IV69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M119" i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1" i="1" l="1"/>
  <c r="IU121" i="1"/>
  <c r="IE121" i="1" s="1"/>
  <c r="AG119" i="1"/>
  <c r="IQ114" i="1"/>
  <c r="IV107" i="1"/>
  <c r="IQ112" i="1"/>
  <c r="IV105" i="1"/>
  <c r="IQ111" i="1"/>
  <c r="IV104" i="1"/>
  <c r="Q98" i="1"/>
  <c r="V97" i="1"/>
  <c r="AQ91" i="1"/>
  <c r="IU91" i="1"/>
  <c r="IE91" i="1" s="1"/>
  <c r="IQ98" i="1"/>
  <c r="IV89" i="1"/>
  <c r="IQ97" i="1"/>
  <c r="IV88" i="1"/>
  <c r="IQ96" i="1"/>
  <c r="IV87" i="1"/>
  <c r="AD86" i="1"/>
  <c r="AH86" i="1" s="1"/>
  <c r="IQ95" i="1"/>
  <c r="IV86" i="1"/>
  <c r="IQ94" i="1"/>
  <c r="IV85" i="1"/>
  <c r="IQ78" i="1"/>
  <c r="IV72" i="1"/>
  <c r="IQ76" i="1"/>
  <c r="IV70" i="1"/>
  <c r="IQ59" i="1"/>
  <c r="IV56" i="1"/>
  <c r="IQ64" i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22" i="1" l="1"/>
  <c r="IU122" i="1"/>
  <c r="IE122" i="1" s="1"/>
  <c r="AQ120" i="1"/>
  <c r="IU120" i="1"/>
  <c r="IE120" i="1" s="1"/>
  <c r="AQ119" i="1"/>
  <c r="IU119" i="1"/>
  <c r="IE119" i="1" s="1"/>
  <c r="AQ103" i="1"/>
  <c r="IU103" i="1"/>
  <c r="IE103" i="1" s="1"/>
  <c r="AQ92" i="1"/>
  <c r="IU92" i="1"/>
  <c r="IE92" i="1" s="1"/>
  <c r="AQ73" i="1"/>
  <c r="IU73" i="1"/>
  <c r="IE73" i="1" s="1"/>
  <c r="IP59" i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IL92" i="1" s="1"/>
  <c r="W81" i="1"/>
  <c r="IL89" i="1" s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21" i="1" l="1"/>
  <c r="IL103" i="1"/>
  <c r="IL107" i="1"/>
  <c r="IL106" i="1"/>
  <c r="IL105" i="1"/>
  <c r="IL71" i="1"/>
  <c r="IL73" i="1"/>
  <c r="IL72" i="1"/>
  <c r="IL57" i="1"/>
  <c r="IL70" i="1"/>
  <c r="IL69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IT71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115" i="1" l="1"/>
  <c r="IT122" i="1"/>
  <c r="IY114" i="1"/>
  <c r="IT121" i="1"/>
  <c r="IY113" i="1"/>
  <c r="IT120" i="1"/>
  <c r="IY112" i="1"/>
  <c r="IT119" i="1"/>
  <c r="IT114" i="1"/>
  <c r="IY107" i="1"/>
  <c r="IY99" i="1"/>
  <c r="IT106" i="1"/>
  <c r="IT113" i="1"/>
  <c r="IY106" i="1"/>
  <c r="IT112" i="1"/>
  <c r="IY105" i="1"/>
  <c r="IY98" i="1"/>
  <c r="IT105" i="1"/>
  <c r="IT111" i="1"/>
  <c r="IY104" i="1"/>
  <c r="IY97" i="1"/>
  <c r="IT104" i="1"/>
  <c r="IY96" i="1"/>
  <c r="IT103" i="1"/>
  <c r="IT93" i="1"/>
  <c r="IT92" i="1"/>
  <c r="IY83" i="1"/>
  <c r="IT91" i="1"/>
  <c r="IY82" i="1"/>
  <c r="IT90" i="1"/>
  <c r="IT99" i="1"/>
  <c r="IY90" i="1"/>
  <c r="IT98" i="1"/>
  <c r="IY89" i="1"/>
  <c r="IS98" i="1"/>
  <c r="IX89" i="1"/>
  <c r="IY81" i="1"/>
  <c r="IT89" i="1"/>
  <c r="IT97" i="1"/>
  <c r="IY88" i="1"/>
  <c r="IT96" i="1"/>
  <c r="IY87" i="1"/>
  <c r="IT95" i="1"/>
  <c r="IY86" i="1"/>
  <c r="IT94" i="1"/>
  <c r="IY85" i="1"/>
  <c r="IS94" i="1"/>
  <c r="IX85" i="1"/>
  <c r="IY77" i="1"/>
  <c r="IT85" i="1"/>
  <c r="IT78" i="1"/>
  <c r="IY72" i="1"/>
  <c r="IT77" i="1"/>
  <c r="IY71" i="1"/>
  <c r="IS77" i="1"/>
  <c r="IX71" i="1"/>
  <c r="IY64" i="1"/>
  <c r="IT70" i="1"/>
  <c r="IF55" i="1"/>
  <c r="IY63" i="1"/>
  <c r="IT69" i="1"/>
  <c r="IT2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IS87" i="1" s="1"/>
  <c r="AP79" i="1"/>
  <c r="AP80" i="1"/>
  <c r="AO80" i="1"/>
  <c r="IS88" i="1" s="1"/>
  <c r="AO77" i="1"/>
  <c r="AP77" i="1"/>
  <c r="AP78" i="1"/>
  <c r="AO78" i="1"/>
  <c r="IS86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IS73" i="1" s="1"/>
  <c r="AP67" i="1"/>
  <c r="AO68" i="1"/>
  <c r="IX68" i="1" s="1"/>
  <c r="IF68" i="1" s="1"/>
  <c r="AP68" i="1"/>
  <c r="AO65" i="1"/>
  <c r="IS71" i="1" s="1"/>
  <c r="AP65" i="1"/>
  <c r="AP66" i="1"/>
  <c r="AO66" i="1"/>
  <c r="IS72" i="1" s="1"/>
  <c r="AO63" i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115" i="1" l="1"/>
  <c r="IF115" i="1" s="1"/>
  <c r="IS122" i="1"/>
  <c r="IX114" i="1"/>
  <c r="IF114" i="1" s="1"/>
  <c r="IS121" i="1"/>
  <c r="IX113" i="1"/>
  <c r="IF113" i="1" s="1"/>
  <c r="IS120" i="1"/>
  <c r="IX112" i="1"/>
  <c r="IF112" i="1" s="1"/>
  <c r="IS119" i="1"/>
  <c r="IS114" i="1"/>
  <c r="IX107" i="1"/>
  <c r="IF107" i="1" s="1"/>
  <c r="IX99" i="1"/>
  <c r="IF99" i="1" s="1"/>
  <c r="IS106" i="1"/>
  <c r="IS113" i="1"/>
  <c r="IX106" i="1"/>
  <c r="IF106" i="1" s="1"/>
  <c r="IX98" i="1"/>
  <c r="IF98" i="1" s="1"/>
  <c r="IS105" i="1"/>
  <c r="IS112" i="1"/>
  <c r="IX105" i="1"/>
  <c r="IF105" i="1" s="1"/>
  <c r="IX97" i="1"/>
  <c r="IF97" i="1" s="1"/>
  <c r="IS104" i="1"/>
  <c r="IS111" i="1"/>
  <c r="IX104" i="1"/>
  <c r="IF104" i="1" s="1"/>
  <c r="IX96" i="1"/>
  <c r="IF96" i="1" s="1"/>
  <c r="IS103" i="1"/>
  <c r="IS93" i="1"/>
  <c r="IS92" i="1"/>
  <c r="IX83" i="1"/>
  <c r="IF83" i="1" s="1"/>
  <c r="IS91" i="1"/>
  <c r="IF89" i="1"/>
  <c r="IS99" i="1"/>
  <c r="IX90" i="1"/>
  <c r="IF90" i="1" s="1"/>
  <c r="IX82" i="1"/>
  <c r="IF82" i="1" s="1"/>
  <c r="IS90" i="1"/>
  <c r="IX81" i="1"/>
  <c r="IF81" i="1" s="1"/>
  <c r="IS89" i="1"/>
  <c r="IS97" i="1"/>
  <c r="IX88" i="1"/>
  <c r="IF88" i="1" s="1"/>
  <c r="IS96" i="1"/>
  <c r="IX87" i="1"/>
  <c r="IF87" i="1" s="1"/>
  <c r="IS95" i="1"/>
  <c r="IX86" i="1"/>
  <c r="IF86" i="1" s="1"/>
  <c r="IX77" i="1"/>
  <c r="IF77" i="1" s="1"/>
  <c r="IS85" i="1"/>
  <c r="IF85" i="1"/>
  <c r="IS78" i="1"/>
  <c r="IX72" i="1"/>
  <c r="IF72" i="1" s="1"/>
  <c r="IF71" i="1"/>
  <c r="IX64" i="1"/>
  <c r="IF64" i="1" s="1"/>
  <c r="IS70" i="1"/>
  <c r="IX63" i="1"/>
  <c r="IF63" i="1" s="1"/>
  <c r="IS69" i="1"/>
  <c r="IS75" i="1"/>
  <c r="IX69" i="1"/>
  <c r="IF69" i="1" s="1"/>
  <c r="IT60" i="1"/>
  <c r="IY57" i="1"/>
  <c r="IF57" i="1" s="1"/>
  <c r="IS52" i="1"/>
  <c r="IS56" i="1"/>
  <c r="IT29" i="1"/>
  <c r="IT55" i="1"/>
  <c r="IS54" i="1"/>
  <c r="IS2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<sst xmlns="http://schemas.openxmlformats.org/spreadsheetml/2006/main" count="734" uniqueCount="391">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</sst>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63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1.111's θ about Z Axis</v>
      </c>
      <c r="U5" s="1021"/>
      <c r="V5" s="1072"/>
      <c r="W5" s="1021" t="str">
        <f>CONCATENATE("Relative to ",M8,"'s θ about Z Axis")</f>
        <v>Relative to 1.111's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-0.17430052569038548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-0.77540233861345331</v>
      </c>
      <c r="E9" s="705">
        <v>-0.96592583607220739</v>
      </c>
      <c r="F9" s="703">
        <v>-6.6987279208207184E-2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-0.77540233861345331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-0.77540233861345331</v>
      </c>
      <c r="T9" s="627">
        <f>IF(M9="","",X9*COS(RADIANS(W9)))</f>
        <v>0.34260103328471642</v>
      </c>
      <c r="U9" s="624">
        <f>IF(M9="","",X9*SIN(RADIANS(W9)))</f>
        <v>0</v>
      </c>
      <c r="V9" s="628">
        <f>IF(M9="","",Y9)</f>
        <v>-0.77540233861345331</v>
      </c>
      <c r="W9" s="583">
        <f t="shared" ref="W9:W14" si="5">IF(M9="","",IF(Q9-$Q$8&lt;0,360+Q9-$Q$8,Q9-$Q$8))</f>
        <v>0</v>
      </c>
      <c r="X9" s="629">
        <f>IF(M9="","",R9)</f>
        <v>0.34260103328471642</v>
      </c>
      <c r="Y9" s="630">
        <f>IF(M9="","",S9)</f>
        <v>-0.77540233861345331</v>
      </c>
      <c r="Z9" s="623">
        <f t="shared" ref="Z9:Z40" si="6">IF(M9="","",-E9)</f>
        <v>0.96592583607220739</v>
      </c>
      <c r="AA9" s="624">
        <f t="shared" ref="AA9:AA40" si="7">IF(M9="","",-F9)</f>
        <v>6.6987279208207184E-2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6.6987279208207184E-2</v>
      </c>
      <c r="AF9" s="625">
        <f>IF(M9="","",AB9*(1/SQRT(Z9^2+AA9^2+AB9^2)))</f>
        <v>-0.24999996726497564</v>
      </c>
      <c r="AG9" s="599">
        <f>IF(M9="","",DEGREES(ATAN2(-AF9,AE9)))</f>
        <v>14.999997834268264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6.6987279208207184E-2</v>
      </c>
      <c r="AM9" s="626">
        <f>IF(M9="","",AF9)</f>
        <v>-0.24999996726497564</v>
      </c>
      <c r="AN9" s="581">
        <f>IF(M9="","",DEGREES(ATAN2(-AM9,AL9)))</f>
        <v>14.999997834268264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3.9671296450865703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</v>
      </c>
      <c r="AT9" s="71">
        <f t="shared" ref="AT9:AT40" si="10">IF(M9="","",Y9+(((AS9-$AS$9)*$AS$6)*-1))</f>
        <v>-0.77540233861345331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1.1303034089950816</v>
      </c>
      <c r="D10" s="709">
        <v>-0.56440170223553399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1.1303034089950816</v>
      </c>
      <c r="P10" s="633">
        <f t="shared" si="4"/>
        <v>-0.56440170223553399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1.1303034089950816</v>
      </c>
      <c r="S10" s="634">
        <f t="shared" ref="S10:S105" si="80">IF(M10="","",P10)</f>
        <v>-0.56440170223553399</v>
      </c>
      <c r="T10" s="635">
        <f t="shared" ref="T10:T105" si="81">IF(M10="","",X10*COS(RADIANS(W10)))</f>
        <v>1.1303034089950816</v>
      </c>
      <c r="U10" s="629">
        <f t="shared" ref="U10:U105" si="82">IF(M10="","",X10*SIN(RADIANS(W10)))</f>
        <v>0</v>
      </c>
      <c r="V10" s="636">
        <f>IF(M10="","",Y10)</f>
        <v>-0.56440170223553399</v>
      </c>
      <c r="W10" s="585">
        <f t="shared" si="5"/>
        <v>0</v>
      </c>
      <c r="X10" s="629">
        <f t="shared" ref="X10:X105" si="83">IF(M10="","",R10)</f>
        <v>1.1303034089950816</v>
      </c>
      <c r="Y10" s="630">
        <f>IF(M10="","",S10)</f>
        <v>-0.56440170223553399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2.0160831671579897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-0.56440170223553399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1.8727056480802349</v>
      </c>
      <c r="D11" s="709">
        <v>-0.36540110204972376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1.8727056480802349</v>
      </c>
      <c r="P11" s="633">
        <f t="shared" si="4"/>
        <v>-0.36540110204972376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1.8727056480802349</v>
      </c>
      <c r="S11" s="634">
        <f t="shared" si="80"/>
        <v>-0.36540110204972376</v>
      </c>
      <c r="T11" s="635">
        <f t="shared" si="81"/>
        <v>1.8727056480802349</v>
      </c>
      <c r="U11" s="629">
        <f t="shared" si="82"/>
        <v>0</v>
      </c>
      <c r="V11" s="636">
        <f t="shared" ref="V11:V105" si="114">IF(M11="","",Y11)</f>
        <v>-0.36540110204972376</v>
      </c>
      <c r="W11" s="585">
        <f t="shared" si="5"/>
        <v>0</v>
      </c>
      <c r="X11" s="629">
        <f>IF(M11="","",R11)</f>
        <v>1.8727056480802349</v>
      </c>
      <c r="Y11" s="630">
        <f>IF(M11="","",S11)</f>
        <v>-0.36540110204972376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1.2171606833974671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-0.36540110204972376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2.6294079302943176</v>
      </c>
      <c r="D12" s="709">
        <v>-0.17430052569038548</v>
      </c>
      <c r="E12" s="710">
        <v>-0.96592583607220739</v>
      </c>
      <c r="F12" s="708">
        <v>-4.7721098814973981E-2</v>
      </c>
      <c r="G12" s="711">
        <v>0.25438155580957267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0</v>
      </c>
      <c r="O12" s="629">
        <f t="shared" si="3"/>
        <v>2.6294079302943176</v>
      </c>
      <c r="P12" s="633">
        <f t="shared" si="4"/>
        <v>-0.17430052569038548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2.6294079302943176</v>
      </c>
      <c r="S12" s="634">
        <f t="shared" si="80"/>
        <v>-0.17430052569038548</v>
      </c>
      <c r="T12" s="635">
        <f>IF(M12="","",X12*COS(RADIANS(W12)))</f>
        <v>2.6294079302943176</v>
      </c>
      <c r="U12" s="629">
        <f t="shared" si="82"/>
        <v>0</v>
      </c>
      <c r="V12" s="636">
        <f t="shared" si="114"/>
        <v>-0.17430052569038548</v>
      </c>
      <c r="W12" s="585">
        <f>IF(M12="","",IF(Q12-$Q$8&lt;0,360+Q12-$Q$8,Q12-$Q$8))</f>
        <v>0</v>
      </c>
      <c r="X12" s="629">
        <f t="shared" si="83"/>
        <v>2.6294079302943176</v>
      </c>
      <c r="Y12" s="630">
        <f>IF(M12="","",S12)</f>
        <v>-0.17430052569038548</v>
      </c>
      <c r="Z12" s="632">
        <f t="shared" si="6"/>
        <v>0.96592583607220739</v>
      </c>
      <c r="AA12" s="629">
        <f t="shared" si="7"/>
        <v>4.7721098814973981E-2</v>
      </c>
      <c r="AB12" s="629">
        <f t="shared" si="8"/>
        <v>-0.25438155580957267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4.7721098814973981E-2</v>
      </c>
      <c r="AF12" s="633">
        <f t="shared" si="86"/>
        <v>-0.25438155580957267</v>
      </c>
      <c r="AG12" s="602">
        <f t="shared" si="87"/>
        <v>10.624998465940022</v>
      </c>
      <c r="AH12" s="603">
        <f t="shared" si="88"/>
        <v>14.999997834268255</v>
      </c>
      <c r="AI12" s="585">
        <f t="shared" si="89"/>
        <v>-75.263057472154173</v>
      </c>
      <c r="AJ12" s="586">
        <f t="shared" si="90"/>
        <v>92.828370606601226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4.7721098814973981E-2</v>
      </c>
      <c r="AM12" s="634">
        <f t="shared" si="92"/>
        <v>-0.25438155580957267</v>
      </c>
      <c r="AN12" s="581">
        <f>IF(M12="","",DEGREES(ATAN2(-AM12,AL12)))</f>
        <v>10.624998465940022</v>
      </c>
      <c r="AO12" s="582">
        <f t="shared" si="94"/>
        <v>14.999997834268255</v>
      </c>
      <c r="AP12" s="585">
        <f t="shared" si="95"/>
        <v>2.828370606601232</v>
      </c>
      <c r="AQ12" s="586">
        <f t="shared" si="9"/>
        <v>0.86694522479211378</v>
      </c>
      <c r="AS12" s="52">
        <f t="shared" si="116"/>
        <v>0</v>
      </c>
      <c r="AT12" s="72">
        <f>IF(M12="","",Y12+(((AS12-$AS$9)*$AS$6)*-1))</f>
        <v>-0.17430052569038548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1.4468037279214991E-2</v>
      </c>
      <c r="C13" s="708">
        <v>3.3834792715460082</v>
      </c>
      <c r="D13" s="709">
        <v>-0.14870044848055264</v>
      </c>
      <c r="E13" s="710">
        <v>-0.96514722343531389</v>
      </c>
      <c r="F13" s="708">
        <v>5.4808416534225982E-2</v>
      </c>
      <c r="G13" s="711">
        <v>0.25590403391137717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10</v>
      </c>
      <c r="M13" s="168">
        <f t="shared" si="1"/>
        <v>1.1180000000000001</v>
      </c>
      <c r="N13" s="632">
        <f t="shared" si="2"/>
        <v>1.4468037279214991E-2</v>
      </c>
      <c r="O13" s="629">
        <f t="shared" si="3"/>
        <v>3.3834792715460082</v>
      </c>
      <c r="P13" s="633">
        <f t="shared" si="4"/>
        <v>-0.14870044848055264</v>
      </c>
      <c r="Q13" s="585">
        <f t="shared" si="113"/>
        <v>89.754999999999995</v>
      </c>
      <c r="R13" s="629">
        <f t="shared" si="79"/>
        <v>3.3835102046667775</v>
      </c>
      <c r="S13" s="634">
        <f t="shared" si="80"/>
        <v>-0.14870044848055264</v>
      </c>
      <c r="T13" s="635">
        <f>IF(M13="","",X13*COS(RADIANS(W13)))</f>
        <v>3.3834792715460082</v>
      </c>
      <c r="U13" s="629">
        <f t="shared" si="82"/>
        <v>-1.4468037279216429E-2</v>
      </c>
      <c r="V13" s="636">
        <f t="shared" si="114"/>
        <v>-0.14870044848055264</v>
      </c>
      <c r="W13" s="585">
        <f t="shared" si="5"/>
        <v>359.755</v>
      </c>
      <c r="X13" s="629">
        <f t="shared" si="83"/>
        <v>3.3835102046667775</v>
      </c>
      <c r="Y13" s="630">
        <f>IF(M13="","",S13)</f>
        <v>-0.14870044848055264</v>
      </c>
      <c r="Z13" s="632">
        <f t="shared" si="6"/>
        <v>0.96514722343531389</v>
      </c>
      <c r="AA13" s="629">
        <f t="shared" si="7"/>
        <v>-5.4808416534225982E-2</v>
      </c>
      <c r="AB13" s="629">
        <f t="shared" si="8"/>
        <v>-0.25590403391137717</v>
      </c>
      <c r="AC13" s="636">
        <f t="shared" si="84"/>
        <v>1</v>
      </c>
      <c r="AD13" s="637">
        <f>IF(M13="","",Z13*(1/SQRT(Z13^2+AA13^2+AB13^2)))</f>
        <v>0.96514722343531389</v>
      </c>
      <c r="AE13" s="629">
        <f t="shared" si="85"/>
        <v>-5.4808416534225982E-2</v>
      </c>
      <c r="AF13" s="633">
        <f t="shared" si="86"/>
        <v>-0.25590403391137717</v>
      </c>
      <c r="AG13" s="602">
        <f>IF(M13="","",DEGREES(ATAN2(-AF13,AE13)))</f>
        <v>-12.088728379701616</v>
      </c>
      <c r="AH13" s="603">
        <f t="shared" si="88"/>
        <v>15.171405746965995</v>
      </c>
      <c r="AI13" s="585">
        <f t="shared" si="89"/>
        <v>-75.172839998556782</v>
      </c>
      <c r="AJ13" s="586">
        <f t="shared" si="90"/>
        <v>86.749799667417079</v>
      </c>
      <c r="AK13" s="635">
        <f t="shared" si="211"/>
        <v>0.96537276293478302</v>
      </c>
      <c r="AL13" s="629">
        <f t="shared" si="91"/>
        <v>-5.0680903815422895E-2</v>
      </c>
      <c r="AM13" s="634">
        <f t="shared" si="92"/>
        <v>-0.25590403391137717</v>
      </c>
      <c r="AN13" s="581">
        <f t="shared" si="93"/>
        <v>-11.202270944384795</v>
      </c>
      <c r="AO13" s="582">
        <f t="shared" si="94"/>
        <v>15.121949534455648</v>
      </c>
      <c r="AP13" s="585">
        <f t="shared" si="95"/>
        <v>-3.0052003325828998</v>
      </c>
      <c r="AQ13" s="586">
        <f t="shared" si="9"/>
        <v>0.67374454820723417</v>
      </c>
      <c r="AS13" s="52">
        <f t="shared" si="116"/>
        <v>-0.24500000000000455</v>
      </c>
      <c r="AT13" s="72">
        <f t="shared" si="10"/>
        <v>-0.14853030959166375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5.5890929734878282E-2</v>
      </c>
      <c r="C14" s="708">
        <v>4.1158329467107446</v>
      </c>
      <c r="D14" s="709">
        <v>-0.3290009922669927</v>
      </c>
      <c r="E14" s="710">
        <v>-0.95748108559575174</v>
      </c>
      <c r="F14" s="708">
        <v>0.15160209116232487</v>
      </c>
      <c r="G14" s="711">
        <v>0.24545218817845355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5.5890929734878282E-2</v>
      </c>
      <c r="O14" s="629">
        <f t="shared" si="3"/>
        <v>4.1158329467107446</v>
      </c>
      <c r="P14" s="633">
        <f t="shared" si="4"/>
        <v>-0.3290009922669927</v>
      </c>
      <c r="Q14" s="585">
        <f t="shared" si="113"/>
        <v>89.222000112329283</v>
      </c>
      <c r="R14" s="629">
        <f t="shared" si="79"/>
        <v>4.1162124144966423</v>
      </c>
      <c r="S14" s="634">
        <f t="shared" si="80"/>
        <v>-0.3290009922669927</v>
      </c>
      <c r="T14" s="635">
        <f t="shared" si="81"/>
        <v>4.1158329467107446</v>
      </c>
      <c r="U14" s="629">
        <f t="shared" si="82"/>
        <v>-5.5890929734880385E-2</v>
      </c>
      <c r="V14" s="636">
        <f t="shared" si="114"/>
        <v>-0.3290009922669927</v>
      </c>
      <c r="W14" s="585">
        <f t="shared" si="5"/>
        <v>359.22200011232928</v>
      </c>
      <c r="X14" s="629">
        <f t="shared" si="83"/>
        <v>4.1162124144966423</v>
      </c>
      <c r="Y14" s="630">
        <f t="shared" ref="Y14:Y75" si="223">IF(M14="","",S14)</f>
        <v>-0.3290009922669927</v>
      </c>
      <c r="Z14" s="632">
        <f t="shared" si="6"/>
        <v>0.95748108559575174</v>
      </c>
      <c r="AA14" s="629">
        <f t="shared" si="7"/>
        <v>-0.15160209116232487</v>
      </c>
      <c r="AB14" s="629">
        <f t="shared" si="8"/>
        <v>-0.24545218817845355</v>
      </c>
      <c r="AC14" s="636">
        <f t="shared" si="84"/>
        <v>1</v>
      </c>
      <c r="AD14" s="637">
        <f>IF(M14="","",Z14*(1/SQRT(Z14^2+AA14^2+AB14^2)))</f>
        <v>0.95748108559575174</v>
      </c>
      <c r="AE14" s="629">
        <f t="shared" si="85"/>
        <v>-0.15160209116232487</v>
      </c>
      <c r="AF14" s="633">
        <f t="shared" si="86"/>
        <v>-0.24545218817845355</v>
      </c>
      <c r="AG14" s="602">
        <f t="shared" si="87"/>
        <v>-31.701306161348761</v>
      </c>
      <c r="AH14" s="603">
        <f t="shared" si="88"/>
        <v>16.767938121494673</v>
      </c>
      <c r="AI14" s="585">
        <f t="shared" si="89"/>
        <v>-75.791441789413341</v>
      </c>
      <c r="AJ14" s="586">
        <f t="shared" si="90"/>
        <v>81.002802914673779</v>
      </c>
      <c r="AK14" s="635">
        <f>IF(M14="","",(COS(RADIANS((90-$Q$8)-W14))*AD14)+(-SIN(RADIANS((90-$Q$8)-W14))*AE14))</f>
        <v>0.95945130670695167</v>
      </c>
      <c r="AL14" s="629">
        <f t="shared" si="91"/>
        <v>-0.13858720495317109</v>
      </c>
      <c r="AM14" s="634">
        <f t="shared" si="92"/>
        <v>-0.24545218817845355</v>
      </c>
      <c r="AN14" s="581">
        <f t="shared" si="93"/>
        <v>-29.44993997189242</v>
      </c>
      <c r="AO14" s="582">
        <f t="shared" si="94"/>
        <v>16.372108004445998</v>
      </c>
      <c r="AP14" s="585">
        <f>IF(M14="","",DEGREES(ATAN2(AK14,AL14)))</f>
        <v>-8.2191971976554932</v>
      </c>
      <c r="AQ14" s="586">
        <f t="shared" si="9"/>
        <v>0.5538236130244848</v>
      </c>
      <c r="AS14" s="52">
        <f t="shared" si="116"/>
        <v>-0.77799988767071682</v>
      </c>
      <c r="AT14" s="72">
        <f t="shared" si="10"/>
        <v>-0.32846071456722137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0.11601514369375196</v>
      </c>
      <c r="C15" s="708">
        <v>4.770904018625199</v>
      </c>
      <c r="D15" s="709">
        <v>-0.70170211633358293</v>
      </c>
      <c r="E15" s="710">
        <v>-0.94737327467980514</v>
      </c>
      <c r="F15" s="708">
        <v>0.24118281256584098</v>
      </c>
      <c r="G15" s="711">
        <v>0.21051063950616153</v>
      </c>
      <c r="H15" s="710">
        <v>0.314</v>
      </c>
      <c r="I15" s="708">
        <v>0.52</v>
      </c>
      <c r="J15" s="570">
        <v>1.1319999999999999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1.1319999999999999</v>
      </c>
      <c r="N15" s="632">
        <f t="shared" si="2"/>
        <v>0.11601514369375196</v>
      </c>
      <c r="O15" s="629">
        <f t="shared" si="3"/>
        <v>4.770904018625199</v>
      </c>
      <c r="P15" s="633">
        <f t="shared" si="4"/>
        <v>-0.70170211633358293</v>
      </c>
      <c r="Q15" s="585">
        <f t="shared" si="113"/>
        <v>88.607000201124293</v>
      </c>
      <c r="R15" s="629">
        <f t="shared" si="79"/>
        <v>4.7723143933002108</v>
      </c>
      <c r="S15" s="634">
        <f t="shared" si="80"/>
        <v>-0.70170211633358293</v>
      </c>
      <c r="T15" s="635">
        <f t="shared" si="81"/>
        <v>4.770904018625199</v>
      </c>
      <c r="U15" s="629">
        <f t="shared" si="82"/>
        <v>-0.1160151436937551</v>
      </c>
      <c r="V15" s="636">
        <f t="shared" si="114"/>
        <v>-0.70170211633358293</v>
      </c>
      <c r="W15" s="585">
        <f t="shared" ref="W15:W78" si="224">IF(M15="","",IF(Q15-$Q$8&lt;0,360+Q15-$Q$8,Q15-$Q$8))</f>
        <v>358.60700020112427</v>
      </c>
      <c r="X15" s="629">
        <f>IF(M15="","",R15)</f>
        <v>4.7723143933002108</v>
      </c>
      <c r="Y15" s="630">
        <f>IF(M15="","",S15)</f>
        <v>-0.70170211633358293</v>
      </c>
      <c r="Z15" s="632">
        <f t="shared" si="6"/>
        <v>0.94737327467980514</v>
      </c>
      <c r="AA15" s="629">
        <f t="shared" si="7"/>
        <v>-0.24118281256584098</v>
      </c>
      <c r="AB15" s="629">
        <f t="shared" si="8"/>
        <v>-0.21051063950616153</v>
      </c>
      <c r="AC15" s="636">
        <f t="shared" si="84"/>
        <v>1</v>
      </c>
      <c r="AD15" s="637">
        <f t="shared" si="115"/>
        <v>0.94737327467980514</v>
      </c>
      <c r="AE15" s="629">
        <f t="shared" si="85"/>
        <v>-0.24118281256584098</v>
      </c>
      <c r="AF15" s="633">
        <f t="shared" si="86"/>
        <v>-0.21051063950616153</v>
      </c>
      <c r="AG15" s="602">
        <f t="shared" si="87"/>
        <v>-48.884697383297812</v>
      </c>
      <c r="AH15" s="603">
        <f t="shared" si="88"/>
        <v>18.670849400600819</v>
      </c>
      <c r="AI15" s="585">
        <f t="shared" si="89"/>
        <v>-77.847721305717599</v>
      </c>
      <c r="AJ15" s="586">
        <f t="shared" si="90"/>
        <v>75.717015634105053</v>
      </c>
      <c r="AK15" s="635">
        <f t="shared" si="211"/>
        <v>0.95295645826454656</v>
      </c>
      <c r="AL15" s="629">
        <f t="shared" si="91"/>
        <v>-0.21808085497493498</v>
      </c>
      <c r="AM15" s="634">
        <f t="shared" si="92"/>
        <v>-0.21051063950616153</v>
      </c>
      <c r="AN15" s="581">
        <f>IF(M15="","",DEGREES(ATAN2(-AM15,AL15)))</f>
        <v>-46.01191065129526</v>
      </c>
      <c r="AO15" s="582">
        <f t="shared" si="94"/>
        <v>17.64432609102613</v>
      </c>
      <c r="AP15" s="585">
        <f t="shared" si="95"/>
        <v>-12.8899845670192</v>
      </c>
      <c r="AQ15" s="586">
        <f t="shared" si="9"/>
        <v>0.47768726517218552</v>
      </c>
      <c r="AS15" s="52">
        <f t="shared" si="116"/>
        <v>-1.392999798875735</v>
      </c>
      <c r="AT15" s="72">
        <f t="shared" si="10"/>
        <v>-0.70073475536214147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0.18042714143063251</v>
      </c>
      <c r="C16" s="708">
        <v>5.2993453746449886</v>
      </c>
      <c r="D16" s="709">
        <v>-1.2387037359304676</v>
      </c>
      <c r="E16" s="710">
        <v>-0.93603907484108473</v>
      </c>
      <c r="F16" s="708">
        <v>0.31560805331068692</v>
      </c>
      <c r="G16" s="711">
        <v>0.15563549420387612</v>
      </c>
      <c r="H16" s="710">
        <v>0.314</v>
      </c>
      <c r="I16" s="708">
        <v>0.52</v>
      </c>
      <c r="J16" s="570">
        <v>1.139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1.139</v>
      </c>
      <c r="N16" s="632">
        <f t="shared" si="2"/>
        <v>0.18042714143063251</v>
      </c>
      <c r="O16" s="629">
        <f t="shared" si="3"/>
        <v>5.2993453746449886</v>
      </c>
      <c r="P16" s="633">
        <f t="shared" si="4"/>
        <v>-1.2387037359304676</v>
      </c>
      <c r="Q16" s="585">
        <f>IF(M16="","",IF(DEGREES(ATAN2(N16,O16))&lt;0,DEGREES(ATAN2(N16,O16))+360,IF(DEGREES(ATAN2(N16,O16))&gt;360,DEGREES(ATAN2(N16,O16))-360,DEGREES(ATAN2(N16,O16)))))</f>
        <v>88.050000281545124</v>
      </c>
      <c r="R16" s="629">
        <f t="shared" si="79"/>
        <v>5.3024159920866323</v>
      </c>
      <c r="S16" s="634">
        <f t="shared" si="80"/>
        <v>-1.2387037359304676</v>
      </c>
      <c r="T16" s="635">
        <f t="shared" si="81"/>
        <v>5.2993453746449886</v>
      </c>
      <c r="U16" s="629">
        <f t="shared" si="82"/>
        <v>-0.18042714143063507</v>
      </c>
      <c r="V16" s="636">
        <f t="shared" si="114"/>
        <v>-1.2387037359304676</v>
      </c>
      <c r="W16" s="585">
        <f>IF(M16="","",IF(Q16-$Q$8&lt;0,360+Q16-$Q$8,Q16-$Q$8))</f>
        <v>358.05000028154512</v>
      </c>
      <c r="X16" s="629">
        <f t="shared" si="83"/>
        <v>5.3024159920866323</v>
      </c>
      <c r="Y16" s="630">
        <f t="shared" si="223"/>
        <v>-1.2387037359304676</v>
      </c>
      <c r="Z16" s="632">
        <f t="shared" si="6"/>
        <v>0.93603907484108473</v>
      </c>
      <c r="AA16" s="629">
        <f t="shared" si="7"/>
        <v>-0.31560805331068692</v>
      </c>
      <c r="AB16" s="629">
        <f t="shared" si="8"/>
        <v>-0.15563549420387612</v>
      </c>
      <c r="AC16" s="636">
        <f t="shared" si="84"/>
        <v>1</v>
      </c>
      <c r="AD16" s="637">
        <f t="shared" si="115"/>
        <v>0.93603907484108473</v>
      </c>
      <c r="AE16" s="629">
        <f t="shared" si="85"/>
        <v>-0.31560805331068692</v>
      </c>
      <c r="AF16" s="633">
        <f t="shared" si="86"/>
        <v>-0.15563549420387612</v>
      </c>
      <c r="AG16" s="602">
        <f t="shared" si="87"/>
        <v>-63.750755510815665</v>
      </c>
      <c r="AH16" s="603">
        <f t="shared" si="88"/>
        <v>20.60333170454896</v>
      </c>
      <c r="AI16" s="585">
        <f t="shared" si="89"/>
        <v>-81.04634531744621</v>
      </c>
      <c r="AJ16" s="586">
        <f t="shared" si="90"/>
        <v>71.367230515196752</v>
      </c>
      <c r="AK16" s="635">
        <f t="shared" si="211"/>
        <v>0.94623632097242594</v>
      </c>
      <c r="AL16" s="629">
        <f t="shared" si="91"/>
        <v>-0.2835743602945851</v>
      </c>
      <c r="AM16" s="634">
        <f t="shared" si="92"/>
        <v>-0.15563549420387612</v>
      </c>
      <c r="AN16" s="581">
        <f t="shared" si="93"/>
        <v>-61.240484931384053</v>
      </c>
      <c r="AO16" s="582">
        <f t="shared" si="94"/>
        <v>18.873279025534014</v>
      </c>
      <c r="AP16" s="585">
        <f t="shared" si="95"/>
        <v>-16.682769766348351</v>
      </c>
      <c r="AQ16" s="586">
        <f t="shared" si="9"/>
        <v>0.4299330432762325</v>
      </c>
      <c r="AS16" s="52">
        <f t="shared" si="116"/>
        <v>-1.9499997184548761</v>
      </c>
      <c r="AT16" s="72">
        <f t="shared" si="10"/>
        <v>-1.2373495694593184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0.23304417702133104</v>
      </c>
      <c r="C17" s="708">
        <v>5.6618229981250252</v>
      </c>
      <c r="D17" s="709">
        <v>-1.8996057292108794</v>
      </c>
      <c r="E17" s="710">
        <v>-0.91221094259728752</v>
      </c>
      <c r="F17" s="708">
        <v>0.39606637137015138</v>
      </c>
      <c r="G17" s="711">
        <v>0.10489340148669764</v>
      </c>
      <c r="H17" s="710">
        <v>0.314</v>
      </c>
      <c r="I17" s="708">
        <v>0.52</v>
      </c>
      <c r="J17" s="570">
        <v>1.1459999999999999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1.1459999999999999</v>
      </c>
      <c r="N17" s="632">
        <f t="shared" si="2"/>
        <v>0.23304417702133104</v>
      </c>
      <c r="O17" s="629">
        <f t="shared" si="3"/>
        <v>5.6618229981250252</v>
      </c>
      <c r="P17" s="633">
        <f t="shared" si="4"/>
        <v>-1.8996057292108794</v>
      </c>
      <c r="Q17" s="585">
        <f>IF(M17="","",IF(DEGREES(ATAN2(N17,O17))&lt;0,DEGREES(ATAN2(N17,O17))+360,IF(DEGREES(ATAN2(N17,O17))&gt;360,DEGREES(ATAN2(N17,O17))-360,DEGREES(ATAN2(N17,O17)))))</f>
        <v>87.643000340308646</v>
      </c>
      <c r="R17" s="629">
        <f>IF(M17="","",SQRT(N17^2+O17^2))</f>
        <v>5.6666170905171453</v>
      </c>
      <c r="S17" s="634">
        <f>IF(M17="","",P17)</f>
        <v>-1.8996057292108794</v>
      </c>
      <c r="T17" s="635">
        <f>IF(M17="","",X17*COS(RADIANS(W17)))</f>
        <v>5.6618229981250252</v>
      </c>
      <c r="U17" s="629">
        <f>IF(M17="","",X17*SIN(RADIANS(W17)))</f>
        <v>-0.2330441770213357</v>
      </c>
      <c r="V17" s="636">
        <f>IF(M17="","",Y17)</f>
        <v>-1.8996057292108794</v>
      </c>
      <c r="W17" s="585">
        <f t="shared" si="224"/>
        <v>357.64300034030862</v>
      </c>
      <c r="X17" s="629">
        <f>IF(M17="","",R17)</f>
        <v>5.6666170905171453</v>
      </c>
      <c r="Y17" s="630">
        <f t="shared" si="223"/>
        <v>-1.8996057292108794</v>
      </c>
      <c r="Z17" s="632">
        <f t="shared" si="6"/>
        <v>0.91221094259728752</v>
      </c>
      <c r="AA17" s="629">
        <f t="shared" si="7"/>
        <v>-0.39606637137015138</v>
      </c>
      <c r="AB17" s="629">
        <f t="shared" si="8"/>
        <v>-0.10489340148669764</v>
      </c>
      <c r="AC17" s="636">
        <f>IF(M17="","",SQRT(Z17^2+AA17^2+AB17^2))</f>
        <v>1</v>
      </c>
      <c r="AD17" s="637">
        <f>IF(M17="","",Z17*(1/SQRT(Z17^2+AA17^2+AB17^2)))</f>
        <v>0.91221094259728752</v>
      </c>
      <c r="AE17" s="629">
        <f>IF(M17="","",AA17*(1/SQRT(Z17^2+AA17^2+AB17^2)))</f>
        <v>-0.39606637137015138</v>
      </c>
      <c r="AF17" s="633">
        <f>IF(M17="","",AB17*(1/SQRT(Z17^2+AA17^2+AB17^2)))</f>
        <v>-0.10489340148669764</v>
      </c>
      <c r="AG17" s="602">
        <f>IF(M17="","",DEGREES(ATAN2(-AF17,AE17)))</f>
        <v>-75.166449422199065</v>
      </c>
      <c r="AH17" s="603">
        <f>IF(M17="","",DEGREES(ACOS(AD17)))</f>
        <v>24.18730187405043</v>
      </c>
      <c r="AI17" s="585">
        <f>IF(M17="","",DEGREES(-ACOS(-AF17)))</f>
        <v>-83.978974999412316</v>
      </c>
      <c r="AJ17" s="586">
        <f>IF(M17="","",DEGREES(ATAN2(-AE17,AD17)))</f>
        <v>66.530339789537365</v>
      </c>
      <c r="AK17" s="635">
        <f>IF(M17="","",(COS(RADIANS((90-$Q$8)-W17))*AD17)+(-SIN(RADIANS((90-$Q$8)-W17))*AE17))</f>
        <v>0.92772773800049424</v>
      </c>
      <c r="AL17" s="629">
        <f>IF(M17="","",(SIN(RADIANS((90-$Q$8)-W17))*AD17)+(COS(RADIANS((90-$Q$8)-W17))*AE17))</f>
        <v>-0.3582158824913223</v>
      </c>
      <c r="AM17" s="634">
        <f>IF(M17="","",AF17)</f>
        <v>-0.10489340148669764</v>
      </c>
      <c r="AN17" s="581">
        <f>IF(M17="","",DEGREES(ATAN2(-AM17,AL17)))</f>
        <v>-73.678821483085542</v>
      </c>
      <c r="AO17" s="582">
        <f t="shared" si="94"/>
        <v>21.916663427338623</v>
      </c>
      <c r="AP17" s="585">
        <f>IF(M17="","",DEGREES(ATAN2(AK17,AL17)))</f>
        <v>-21.112660550771231</v>
      </c>
      <c r="AQ17" s="586">
        <f t="shared" si="9"/>
        <v>0.40230160798361386</v>
      </c>
      <c r="AS17" s="52">
        <f t="shared" si="116"/>
        <v>-2.3569996596913825</v>
      </c>
      <c r="AT17" s="72">
        <f t="shared" si="10"/>
        <v>-1.8979689238916493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0.26002350184736389</v>
      </c>
      <c r="C18" s="708">
        <v>5.8317235512581913</v>
      </c>
      <c r="D18" s="709">
        <v>-2.6345079456759644</v>
      </c>
      <c r="E18" s="710">
        <v>-0.86337860872282424</v>
      </c>
      <c r="F18" s="708">
        <v>0.50214279143332929</v>
      </c>
      <c r="G18" s="711">
        <v>4.9294979575858322E-2</v>
      </c>
      <c r="H18" s="710">
        <v>0.314</v>
      </c>
      <c r="I18" s="708">
        <v>0.52</v>
      </c>
      <c r="J18" s="570">
        <v>1.153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1.153</v>
      </c>
      <c r="N18" s="632">
        <f t="shared" si="2"/>
        <v>0.26002350184736389</v>
      </c>
      <c r="O18" s="629">
        <f t="shared" si="3"/>
        <v>5.8317235512581913</v>
      </c>
      <c r="P18" s="633">
        <f t="shared" si="4"/>
        <v>-2.6345079456759644</v>
      </c>
      <c r="Q18" s="585">
        <f t="shared" si="113"/>
        <v>87.447000368607547</v>
      </c>
      <c r="R18" s="629">
        <f>IF(M18="","",SQRT(N18^2+O18^2))</f>
        <v>5.8375176059531002</v>
      </c>
      <c r="S18" s="634">
        <f>IF(M18="","",P18)</f>
        <v>-2.6345079456759644</v>
      </c>
      <c r="T18" s="635">
        <f>IF(M18="","",X18*COS(RADIANS(W18)))</f>
        <v>5.8317235512581913</v>
      </c>
      <c r="U18" s="629">
        <f>IF(M18="","",X18*SIN(RADIANS(W18)))</f>
        <v>-0.26002350184736844</v>
      </c>
      <c r="V18" s="636">
        <f>IF(M18="","",Y18)</f>
        <v>-2.6345079456759644</v>
      </c>
      <c r="W18" s="585">
        <f t="shared" si="224"/>
        <v>357.44700036860752</v>
      </c>
      <c r="X18" s="629">
        <f>IF(M18="","",R18)</f>
        <v>5.8375176059531002</v>
      </c>
      <c r="Y18" s="630">
        <f t="shared" si="223"/>
        <v>-2.6345079456759644</v>
      </c>
      <c r="Z18" s="632">
        <f t="shared" si="6"/>
        <v>0.86337860872282424</v>
      </c>
      <c r="AA18" s="629">
        <f t="shared" si="7"/>
        <v>-0.50214279143332929</v>
      </c>
      <c r="AB18" s="629">
        <f t="shared" si="8"/>
        <v>-4.9294979575858322E-2</v>
      </c>
      <c r="AC18" s="636">
        <f>IF(M18="","",SQRT(Z18^2+AA18^2+AB18^2))</f>
        <v>1</v>
      </c>
      <c r="AD18" s="637">
        <f>IF(M18="","",Z18*(1/SQRT(Z18^2+AA18^2+AB18^2)))</f>
        <v>0.86337860872282424</v>
      </c>
      <c r="AE18" s="629">
        <f>IF(M18="","",AA18*(1/SQRT(Z18^2+AA18^2+AB18^2)))</f>
        <v>-0.50214279143332929</v>
      </c>
      <c r="AF18" s="633">
        <f>IF(M18="","",AB18*(1/SQRT(Z18^2+AA18^2+AB18^2)))</f>
        <v>-4.9294979575858322E-2</v>
      </c>
      <c r="AG18" s="602">
        <f>IF(M18="","",DEGREES(ATAN2(-AF18,AE18)))</f>
        <v>-84.393281455372133</v>
      </c>
      <c r="AH18" s="603">
        <f>IF(M18="","",DEGREES(ACOS(AD18)))</f>
        <v>30.301923919549051</v>
      </c>
      <c r="AI18" s="585">
        <f>IF(M18="","",DEGREES(-ACOS(-AF18)))</f>
        <v>-87.174460589144758</v>
      </c>
      <c r="AJ18" s="586">
        <f>IF(M18="","",DEGREES(ATAN2(-AE18,AD18)))</f>
        <v>59.817628428451378</v>
      </c>
      <c r="AK18" s="635">
        <f>IF(M18="","",(COS(RADIANS((90-$Q$8)-W18))*AD18)+(-SIN(RADIANS((90-$Q$8)-W18))*AE18))</f>
        <v>0.8848888589097359</v>
      </c>
      <c r="AL18" s="629">
        <f>IF(M18="","",(SIN(RADIANS((90-$Q$8)-W18))*AD18)+(COS(RADIANS((90-$Q$8)-W18))*AE18))</f>
        <v>-0.46318647688165648</v>
      </c>
      <c r="AM18" s="634">
        <f>IF(M18="","",AF18)</f>
        <v>-4.9294979575858322E-2</v>
      </c>
      <c r="AN18" s="581">
        <f>IF(M18="","",DEGREES(ATAN2(-AM18,AL18)))</f>
        <v>-83.925119021714451</v>
      </c>
      <c r="AO18" s="582">
        <f t="shared" si="94"/>
        <v>27.762152657236399</v>
      </c>
      <c r="AP18" s="585">
        <f>IF(M18="","",DEGREES(ATAN2(AK18,AL18)))</f>
        <v>-27.629371940156112</v>
      </c>
      <c r="AQ18" s="586">
        <f t="shared" si="9"/>
        <v>0.39052410334347332</v>
      </c>
      <c r="AS18" s="52">
        <f t="shared" si="116"/>
        <v>-2.5529996313924812</v>
      </c>
      <c r="AT18" s="72">
        <f t="shared" si="10"/>
        <v>-2.6327350292652749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1.153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0.26923366357986683</v>
      </c>
      <c r="C19" s="708">
        <v>5.888165698564122</v>
      </c>
      <c r="D19" s="709">
        <v>-3.4402103756744928</v>
      </c>
      <c r="E19" s="710">
        <v>-0.79209797936640236</v>
      </c>
      <c r="F19" s="708">
        <v>0.6103939638329049</v>
      </c>
      <c r="G19" s="711">
        <v>1.3008419229090221E-7</v>
      </c>
      <c r="H19" s="710">
        <v>0.314</v>
      </c>
      <c r="I19" s="708">
        <v>0.52</v>
      </c>
      <c r="J19" s="570">
        <v>1.1599999999999999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1.1599999999999999</v>
      </c>
      <c r="N19" s="632">
        <f t="shared" si="2"/>
        <v>0.26923366357986683</v>
      </c>
      <c r="O19" s="629">
        <f t="shared" si="3"/>
        <v>5.888165698564122</v>
      </c>
      <c r="P19" s="633">
        <f t="shared" si="4"/>
        <v>-3.4402103756744928</v>
      </c>
      <c r="Q19" s="585">
        <f t="shared" si="113"/>
        <v>87.382000377992384</v>
      </c>
      <c r="R19" s="629">
        <f>IF(M19="","",SQRT(N19^2+O19^2))</f>
        <v>5.8943177772624162</v>
      </c>
      <c r="S19" s="634">
        <f>IF(M19="","",P19)</f>
        <v>-3.4402103756744928</v>
      </c>
      <c r="T19" s="635">
        <f>IF(M19="","",X19*COS(RADIANS(W19)))</f>
        <v>5.888165698564122</v>
      </c>
      <c r="U19" s="629">
        <f>IF(M19="","",X19*SIN(RADIANS(W19)))</f>
        <v>-0.26923366357986966</v>
      </c>
      <c r="V19" s="636">
        <f>IF(M19="","",Y19)</f>
        <v>-3.4402103756744928</v>
      </c>
      <c r="W19" s="585">
        <f t="shared" si="224"/>
        <v>357.38200037799237</v>
      </c>
      <c r="X19" s="629">
        <f>IF(M19="","",R19)</f>
        <v>5.8943177772624162</v>
      </c>
      <c r="Y19" s="630">
        <f t="shared" si="223"/>
        <v>-3.4402103756744928</v>
      </c>
      <c r="Z19" s="632">
        <f t="shared" si="6"/>
        <v>0.79209797936640236</v>
      </c>
      <c r="AA19" s="629">
        <f t="shared" si="7"/>
        <v>-0.6103939638329049</v>
      </c>
      <c r="AB19" s="629">
        <f t="shared" si="8"/>
        <v>-1.3008419229090221E-7</v>
      </c>
      <c r="AC19" s="636">
        <f>IF(M19="","",SQRT(Z19^2+AA19^2+AB19^2))</f>
        <v>1</v>
      </c>
      <c r="AD19" s="637">
        <f>IF(M19="","",Z19*(1/SQRT(Z19^2+AA19^2+AB19^2)))</f>
        <v>0.79209797936640236</v>
      </c>
      <c r="AE19" s="629">
        <f>IF(M19="","",AA19*(1/SQRT(Z19^2+AA19^2+AB19^2)))</f>
        <v>-0.6103939638329049</v>
      </c>
      <c r="AF19" s="633">
        <f>IF(M19="","",AB19*(1/SQRT(Z19^2+AA19^2+AB19^2)))</f>
        <v>-1.3008419229090221E-7</v>
      </c>
      <c r="AG19" s="602">
        <f>IF(M19="","",DEGREES(ATAN2(-AF19,AE19)))</f>
        <v>-89.999987789402198</v>
      </c>
      <c r="AH19" s="603">
        <f>IF(M19="","",DEGREES(ACOS(AD19)))</f>
        <v>37.617994568633506</v>
      </c>
      <c r="AI19" s="585">
        <f>IF(M19="","",DEGREES(-ACOS(-AF19)))</f>
        <v>-89.999992546724798</v>
      </c>
      <c r="AJ19" s="586">
        <f>IF(M19="","",DEGREES(ATAN2(-AE19,AD19)))</f>
        <v>52.382005431367112</v>
      </c>
      <c r="AK19" s="635">
        <f>IF(M19="","",(COS(RADIANS((90-$Q$8)-W19))*AD19)+(-SIN(RADIANS((90-$Q$8)-W19))*AE19))</f>
        <v>0.81915209487729235</v>
      </c>
      <c r="AL19" s="629">
        <f>IF(M19="","",(SIN(RADIANS((90-$Q$8)-W19))*AD19)+(COS(RADIANS((90-$Q$8)-W19))*AE19))</f>
        <v>-0.57357636410344415</v>
      </c>
      <c r="AM19" s="634">
        <f>IF(M19="","",AF19)</f>
        <v>-1.3008419229090221E-7</v>
      </c>
      <c r="AN19" s="581">
        <f>IF(M19="","",DEGREES(ATAN2(-AM19,AL19)))</f>
        <v>-89.999987005609611</v>
      </c>
      <c r="AO19" s="582">
        <f t="shared" si="94"/>
        <v>34.999994946625911</v>
      </c>
      <c r="AP19" s="585">
        <f>IF(M19="","",DEGREES(ATAN2(AK19,AL19)))</f>
        <v>-34.999994946625236</v>
      </c>
      <c r="AQ19" s="586">
        <f t="shared" si="9"/>
        <v>0.38676096065028631</v>
      </c>
      <c r="AS19" s="52">
        <f t="shared" si="116"/>
        <v>-2.6179996220076305</v>
      </c>
      <c r="AT19" s="72">
        <f t="shared" si="10"/>
        <v>-3.4383923203814319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1.1599999999999999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0.93946964166200342</v>
      </c>
      <c r="C20" s="708">
        <v>2.4466366432173179</v>
      </c>
      <c r="D20" s="709">
        <v>-0.1557004695926163</v>
      </c>
      <c r="E20" s="710">
        <v>-2.1172276831651943E-7</v>
      </c>
      <c r="F20" s="708">
        <v>8.1298182854647141E-8</v>
      </c>
      <c r="G20" s="711">
        <v>0.99999999999997435</v>
      </c>
      <c r="H20" s="710">
        <v>0.25700000000000001</v>
      </c>
      <c r="I20" s="708">
        <v>0.41499999999999992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190</v>
      </c>
      <c r="M20" s="168">
        <f t="shared" si="1"/>
        <v>1.2110000000000001</v>
      </c>
      <c r="N20" s="632">
        <f t="shared" si="2"/>
        <v>0.93946964166200342</v>
      </c>
      <c r="O20" s="629">
        <f t="shared" si="3"/>
        <v>2.4466366432173179</v>
      </c>
      <c r="P20" s="633">
        <f t="shared" si="4"/>
        <v>-0.1557004695926163</v>
      </c>
      <c r="Q20" s="585">
        <f t="shared" si="113"/>
        <v>68.994003032890731</v>
      </c>
      <c r="R20" s="629">
        <f>IF(M20="","",SQRT(N20^2+O20^2))</f>
        <v>2.620807904356639</v>
      </c>
      <c r="S20" s="634">
        <f>IF(M20="","",P20)</f>
        <v>-0.1557004695926163</v>
      </c>
      <c r="T20" s="635">
        <f>IF(M20="","",X20*COS(RADIANS(W20)))</f>
        <v>2.4466366432173183</v>
      </c>
      <c r="U20" s="629">
        <f>IF(M20="","",X20*SIN(RADIANS(W20)))</f>
        <v>-0.93946964166200209</v>
      </c>
      <c r="V20" s="636">
        <f>IF(M20="","",Y20)</f>
        <v>-0.1557004695926163</v>
      </c>
      <c r="W20" s="585">
        <f t="shared" si="224"/>
        <v>338.99400303289076</v>
      </c>
      <c r="X20" s="629">
        <f>IF(M20="","",R20)</f>
        <v>2.620807904356639</v>
      </c>
      <c r="Y20" s="630">
        <f t="shared" si="223"/>
        <v>-0.1557004695926163</v>
      </c>
      <c r="Z20" s="632">
        <f t="shared" si="6"/>
        <v>2.1172276831651943E-7</v>
      </c>
      <c r="AA20" s="629">
        <f t="shared" si="7"/>
        <v>-8.1298182854647141E-8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2.1172276831651943E-7</v>
      </c>
      <c r="AE20" s="629">
        <f>IF(M20="","",AA20*(1/SQRT(Z20^2+AA20^2+AB20^2)))</f>
        <v>-8.1298182854647141E-8</v>
      </c>
      <c r="AF20" s="633">
        <f>IF(M20="","",AB20*(1/SQRT(Z20^2+AA20^2+AB20^2)))</f>
        <v>-0.99999999999997435</v>
      </c>
      <c r="AG20" s="602">
        <f>IF(M20="","",DEGREES(ATAN2(-AF20,AE20)))</f>
        <v>-4.6580427596542211E-6</v>
      </c>
      <c r="AH20" s="603">
        <f>IF(M20="","",DEGREES(ACOS(AD20)))</f>
        <v>89.999987869178952</v>
      </c>
      <c r="AI20" s="585">
        <f>IF(M20="","",DEGREES(-ACOS(-AF20)))</f>
        <v>-1.2976235990044085E-5</v>
      </c>
      <c r="AJ20" s="586">
        <f>IF(M20="","",DEGREES(ATAN2(-AE20,AD20)))</f>
        <v>68.994003040876677</v>
      </c>
      <c r="AK20" s="635">
        <f>IF(M20="","",(COS(RADIANS((90-$Q$8)-W20))*AD20)+(-SIN(RADIANS((90-$Q$8)-W20))*AE20))</f>
        <v>2.2679489667776523E-7</v>
      </c>
      <c r="AL20" s="629">
        <f>IF(M20="","",(SIN(RADIANS((90-$Q$8)-W20))*AD20)+(COS(RADIANS((90-$Q$8)-W20))*AE20))</f>
        <v>3.1610859309946662E-17</v>
      </c>
      <c r="AM20" s="634">
        <f>IF(M20="","",AF20)</f>
        <v>-0.99999999999997435</v>
      </c>
      <c r="AN20" s="581">
        <f>IF(M20="","",DEGREES(ATAN2(-AM20,AL20)))</f>
        <v>1.8111688252418163E-15</v>
      </c>
      <c r="AO20" s="582">
        <f t="shared" si="94"/>
        <v>0</v>
      </c>
      <c r="AP20" s="585">
        <f>IF(M20="","",DEGREES(ATAN2(AK20,AL20)))</f>
        <v>7.9859328925514351E-9</v>
      </c>
      <c r="AQ20" s="586">
        <f t="shared" si="9"/>
        <v>0.86978961787558906</v>
      </c>
      <c r="AS20" s="52">
        <f t="shared" si="116"/>
        <v>-21.00599696710924</v>
      </c>
      <c r="AT20" s="72">
        <f t="shared" si="10"/>
        <v>-0.14111297169879045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IFERROR(ROUND(VALUE(IF($IH20&lt;1,$IH20+LARGE((IF($M$9:$M$150="",0,$M$9:$M$150)-MOD(IF($M$9:$M$150="",0,$M$9:$M$150),1)),1),$IH20)),4),"")</f>
        <v>1.111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21.00599696710924</v>
      </c>
      <c r="IM20" s="759">
        <v>2.6134827155696101E-2</v>
      </c>
      <c r="IN20" s="5">
        <f t="shared" si="226"/>
        <v>0.44</v>
      </c>
      <c r="IO20" s="771">
        <v>220</v>
      </c>
      <c r="IP20" s="9">
        <f t="shared" si="227"/>
        <v>-2.6294079302943176</v>
      </c>
      <c r="IQ20" s="5">
        <f t="shared" si="228"/>
        <v>-0.17430052569038548</v>
      </c>
      <c r="IR20" s="5">
        <f t="shared" si="71"/>
        <v>0.314</v>
      </c>
      <c r="IS20" s="5">
        <f t="shared" si="229"/>
        <v>0.30330071252667312</v>
      </c>
      <c r="IT20" s="727">
        <f t="shared" si="230"/>
        <v>-10.624998465940022</v>
      </c>
      <c r="IU20" s="9">
        <f t="shared" si="231"/>
        <v>-2.620807904356639</v>
      </c>
      <c r="IV20" s="5">
        <f t="shared" si="232"/>
        <v>-0.1557004695926163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-1.8111688252418163E-15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0.93937243446452989</v>
      </c>
      <c r="C21" s="708">
        <v>3.2537222025010721</v>
      </c>
      <c r="D21" s="709">
        <v>-0.12940039027157707</v>
      </c>
      <c r="E21" s="710">
        <v>1.8141193127802921E-2</v>
      </c>
      <c r="F21" s="708">
        <v>6.2836813983532705E-2</v>
      </c>
      <c r="G21" s="711">
        <v>0.99785892385662356</v>
      </c>
      <c r="H21" s="710">
        <v>0.25700000000000001</v>
      </c>
      <c r="I21" s="708">
        <v>0.41499999999999992</v>
      </c>
      <c r="J21" s="570">
        <v>1.218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1.218</v>
      </c>
      <c r="N21" s="632">
        <f t="shared" si="2"/>
        <v>0.93937243446452989</v>
      </c>
      <c r="O21" s="629">
        <f t="shared" si="3"/>
        <v>3.2537222025010721</v>
      </c>
      <c r="P21" s="633">
        <f t="shared" si="4"/>
        <v>-0.12940039027157707</v>
      </c>
      <c r="Q21" s="585">
        <f t="shared" si="113"/>
        <v>73.896199999999993</v>
      </c>
      <c r="R21" s="629">
        <f>IF(M21="","",SQRT(N21^2+O21^2))</f>
        <v>3.3866102140164056</v>
      </c>
      <c r="S21" s="634">
        <f>IF(M21="","",P21)</f>
        <v>-0.12940039027157707</v>
      </c>
      <c r="T21" s="635">
        <f>IF(M21="","",X21*COS(RADIANS(W21)))</f>
        <v>3.2537222025010721</v>
      </c>
      <c r="U21" s="629">
        <f>IF(M21="","",X21*SIN(RADIANS(W21)))</f>
        <v>-0.93937243446452934</v>
      </c>
      <c r="V21" s="636">
        <f>IF(M21="","",Y21)</f>
        <v>-0.12940039027157707</v>
      </c>
      <c r="W21" s="585">
        <f t="shared" si="224"/>
        <v>343.89620000000002</v>
      </c>
      <c r="X21" s="629">
        <f>IF(M21="","",R21)</f>
        <v>3.3866102140164056</v>
      </c>
      <c r="Y21" s="630">
        <f t="shared" si="223"/>
        <v>-0.12940039027157707</v>
      </c>
      <c r="Z21" s="632">
        <f t="shared" si="6"/>
        <v>-1.8141193127802921E-2</v>
      </c>
      <c r="AA21" s="629">
        <f t="shared" si="7"/>
        <v>-6.2836813983532705E-2</v>
      </c>
      <c r="AB21" s="629">
        <f t="shared" si="8"/>
        <v>-0.99785892385662356</v>
      </c>
      <c r="AC21" s="636">
        <f>IF(M21="","",SQRT(Z21^2+AA21^2+AB21^2))</f>
        <v>1</v>
      </c>
      <c r="AD21" s="637">
        <f>IF(M21="","",Z21*(1/SQRT(Z21^2+AA21^2+AB21^2)))</f>
        <v>-1.8141193127802921E-2</v>
      </c>
      <c r="AE21" s="629">
        <f>IF(M21="","",AA21*(1/SQRT(Z21^2+AA21^2+AB21^2)))</f>
        <v>-6.2836813983532705E-2</v>
      </c>
      <c r="AF21" s="633">
        <f>IF(M21="","",AB21*(1/SQRT(Z21^2+AA21^2+AB21^2)))</f>
        <v>-0.99785892385662356</v>
      </c>
      <c r="AG21" s="602">
        <f>IF(M21="","",DEGREES(ATAN2(-AF21,AE21)))</f>
        <v>-3.6032514769223254</v>
      </c>
      <c r="AH21" s="603">
        <f>IF(M21="","",DEGREES(ACOS(AD21)))</f>
        <v>91.039470822347141</v>
      </c>
      <c r="AI21" s="585">
        <f>IF(M21="","",DEGREES(-ACOS(-AF21)))</f>
        <v>-3.7499994585894645</v>
      </c>
      <c r="AJ21" s="586">
        <f>IF(M21="","",DEGREES(ATAN2(-AE21,AD21)))</f>
        <v>-16.103601318493119</v>
      </c>
      <c r="AK21" s="635">
        <f>IF(M21="","",(COS(RADIANS((90-$Q$8)-W21))*AD21)+(-SIN(RADIANS((90-$Q$8)-W21))*AE21))</f>
        <v>2.2679489670301978E-7</v>
      </c>
      <c r="AL21" s="629">
        <f>IF(M21="","",(SIN(RADIANS((90-$Q$8)-W21))*AD21)+(COS(RADIANS((90-$Q$8)-W21))*AE21))</f>
        <v>-6.5403119800586731E-2</v>
      </c>
      <c r="AM21" s="634">
        <f>IF(M21="","",AF21)</f>
        <v>-0.99785892385662356</v>
      </c>
      <c r="AN21" s="581">
        <f>IF(M21="","",DEGREES(ATAN2(-AM21,AL21)))</f>
        <v>-3.749999458567066</v>
      </c>
      <c r="AO21" s="582">
        <f>IF(ROUND(IF(M21="",0,DEGREES(ACOS(AK21))),4)=90,0,IF(M21="","",DEGREES(ACOS(AK21))))</f>
        <v>0</v>
      </c>
      <c r="AP21" s="585">
        <f>IF(M21="","",DEGREES(ATAN2(AK21,AL21)))</f>
        <v>-89.999801318493127</v>
      </c>
      <c r="AQ21" s="586">
        <f t="shared" si="9"/>
        <v>0.67312787784951611</v>
      </c>
      <c r="AS21" s="52">
        <f t="shared" si="116"/>
        <v>-16.103799999999978</v>
      </c>
      <c r="AT21" s="72">
        <f t="shared" si="10"/>
        <v>-0.11821719582713264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1.218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1.1180000000000001</v>
      </c>
      <c r="II21" s="734" cm="1">
        <f t="array" ref="II21">IFERROR(ROUND(VALUE(IF($IH21&lt;1,$IH21+LARGE((IF($M$9:$M$150="",0,$M$9:$M$150)-MOD(IF($M$9:$M$150="",0,$M$9:$M$150),1)),1),$IH21)),4),"")</f>
        <v>1.1180000000000001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15.858799999999974</v>
      </c>
      <c r="IM21" s="759">
        <v>2.6586490959163701E-2</v>
      </c>
      <c r="IN21" s="5">
        <f t="shared" si="226"/>
        <v>0.57999999999999996</v>
      </c>
      <c r="IO21" s="771">
        <v>290</v>
      </c>
      <c r="IP21" s="9">
        <f t="shared" si="227"/>
        <v>-3.3835102046667775</v>
      </c>
      <c r="IQ21" s="5">
        <f t="shared" si="228"/>
        <v>-0.14870044848055264</v>
      </c>
      <c r="IR21" s="5">
        <f t="shared" si="71"/>
        <v>0.314</v>
      </c>
      <c r="IS21" s="5">
        <f t="shared" si="229"/>
        <v>0.30312704756152187</v>
      </c>
      <c r="IT21" s="727">
        <f t="shared" si="230"/>
        <v>11.202270944384795</v>
      </c>
      <c r="IU21" s="9">
        <f t="shared" si="231"/>
        <v>-3.3866102140164056</v>
      </c>
      <c r="IV21" s="5">
        <f t="shared" si="232"/>
        <v>-0.12940039027157707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3.749999458567066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1.0135701250234406</v>
      </c>
      <c r="C22" s="708">
        <v>4.0043270195181524</v>
      </c>
      <c r="D22" s="709">
        <v>-0.28370085564178066</v>
      </c>
      <c r="E22" s="710">
        <v>-0.880629320044644</v>
      </c>
      <c r="F22" s="708">
        <v>0.3783185433325626</v>
      </c>
      <c r="G22" s="711">
        <v>0.28524915503544612</v>
      </c>
      <c r="H22" s="710">
        <v>0.26600000000000001</v>
      </c>
      <c r="I22" s="708">
        <v>0.52</v>
      </c>
      <c r="J22" s="570">
        <v>1.2250000000000001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1.2250000000000001</v>
      </c>
      <c r="N22" s="632">
        <f t="shared" si="2"/>
        <v>1.0135701250234406</v>
      </c>
      <c r="O22" s="629">
        <f t="shared" si="3"/>
        <v>4.0043270195181524</v>
      </c>
      <c r="P22" s="633">
        <f t="shared" si="4"/>
        <v>-0.28370085564178066</v>
      </c>
      <c r="Q22" s="585">
        <f t="shared" si="113"/>
        <v>75.795702050846884</v>
      </c>
      <c r="R22" s="629">
        <f t="shared" si="79"/>
        <v>4.1306124579271728</v>
      </c>
      <c r="S22" s="634">
        <f t="shared" si="80"/>
        <v>-0.28370085564178066</v>
      </c>
      <c r="T22" s="635">
        <f t="shared" si="81"/>
        <v>4.0043270195181524</v>
      </c>
      <c r="U22" s="629">
        <f t="shared" si="82"/>
        <v>-1.0135701250234395</v>
      </c>
      <c r="V22" s="636">
        <f t="shared" si="114"/>
        <v>-0.28370085564178066</v>
      </c>
      <c r="W22" s="585">
        <f t="shared" si="224"/>
        <v>345.7957020508469</v>
      </c>
      <c r="X22" s="629">
        <f t="shared" si="83"/>
        <v>4.1306124579271728</v>
      </c>
      <c r="Y22" s="630">
        <f t="shared" si="223"/>
        <v>-0.28370085564178066</v>
      </c>
      <c r="Z22" s="632">
        <f t="shared" si="6"/>
        <v>0.880629320044644</v>
      </c>
      <c r="AA22" s="629">
        <f t="shared" si="7"/>
        <v>-0.3783185433325626</v>
      </c>
      <c r="AB22" s="629">
        <f t="shared" si="8"/>
        <v>-0.28524915503544612</v>
      </c>
      <c r="AC22" s="636">
        <f t="shared" si="84"/>
        <v>1</v>
      </c>
      <c r="AD22" s="637">
        <f t="shared" si="115"/>
        <v>0.880629320044644</v>
      </c>
      <c r="AE22" s="629">
        <f t="shared" si="85"/>
        <v>-0.3783185433325626</v>
      </c>
      <c r="AF22" s="633">
        <f t="shared" si="86"/>
        <v>-0.28524915503544612</v>
      </c>
      <c r="AG22" s="602">
        <f t="shared" si="87"/>
        <v>-52.983998796676516</v>
      </c>
      <c r="AH22" s="603">
        <f t="shared" si="88"/>
        <v>28.281628662431039</v>
      </c>
      <c r="AI22" s="585">
        <f t="shared" si="89"/>
        <v>-73.426257648240124</v>
      </c>
      <c r="AJ22" s="586">
        <f t="shared" si="90"/>
        <v>66.751629681738976</v>
      </c>
      <c r="AK22" s="635">
        <f t="shared" si="211"/>
        <v>0.94653763661501822</v>
      </c>
      <c r="AL22" s="629">
        <f t="shared" si="91"/>
        <v>-0.15066327363634402</v>
      </c>
      <c r="AM22" s="634">
        <f t="shared" si="92"/>
        <v>-0.28524915503544612</v>
      </c>
      <c r="AN22" s="581">
        <f t="shared" si="93"/>
        <v>-27.842177104273091</v>
      </c>
      <c r="AO22" s="582">
        <f t="shared" si="94"/>
        <v>18.819835512766325</v>
      </c>
      <c r="AP22" s="585">
        <f t="shared" si="95"/>
        <v>-9.0440723691079175</v>
      </c>
      <c r="AQ22" s="586">
        <f t="shared" si="9"/>
        <v>0.55189300587821799</v>
      </c>
      <c r="AS22" s="52">
        <f t="shared" si="116"/>
        <v>-14.204297949153101</v>
      </c>
      <c r="AT22" s="72">
        <f t="shared" si="10"/>
        <v>-0.27383675984375766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</v>
      </c>
      <c r="II22" s="734" cm="1">
        <f t="array" ref="II22">IFERROR(ROUND(VALUE(IF($IH22&lt;1,$IH22+LARGE((IF($M$9:$M$150="",0,$M$9:$M$150)-MOD(IF($M$9:$M$150="",0,$M$9:$M$150),1)),1),$IH22)),4),"")</f>
        <v>1.125</v>
      </c>
      <c r="IJ22" s="533">
        <f t="shared" si="112"/>
        <v>1613</v>
      </c>
      <c r="IK22" s="533">
        <f t="shared" si="66"/>
        <v>1313</v>
      </c>
      <c r="IL22" s="727">
        <f t="shared" si="225"/>
        <v>13.426298061482385</v>
      </c>
      <c r="IM22" s="759">
        <v>2.0459633770345E-3</v>
      </c>
      <c r="IN22" s="5">
        <f t="shared" si="226"/>
        <v>0.02</v>
      </c>
      <c r="IO22" s="771">
        <v>10</v>
      </c>
      <c r="IP22" s="9">
        <f t="shared" si="227"/>
        <v>-4.1162124144966423</v>
      </c>
      <c r="IQ22" s="5">
        <f t="shared" si="228"/>
        <v>-0.3290009922669927</v>
      </c>
      <c r="IR22" s="5">
        <f t="shared" si="71"/>
        <v>0.314</v>
      </c>
      <c r="IS22" s="5">
        <f t="shared" si="229"/>
        <v>0.30126771030598282</v>
      </c>
      <c r="IT22" s="727">
        <f t="shared" si="230"/>
        <v>29.44993997189242</v>
      </c>
      <c r="IU22" s="9">
        <f t="shared" si="231"/>
        <v>-4.1306124579271728</v>
      </c>
      <c r="IV22" s="5">
        <f t="shared" si="232"/>
        <v>-0.28370085564178066</v>
      </c>
      <c r="IW22" s="5">
        <f t="shared" si="76"/>
        <v>0.26600000000000001</v>
      </c>
      <c r="IX22" s="5">
        <f t="shared" si="233"/>
        <v>0.25177901133959485</v>
      </c>
      <c r="IY22" s="762">
        <f t="shared" si="234"/>
        <v>27.842177104273091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1.1722864670176079</v>
      </c>
      <c r="C23" s="708">
        <v>4.6516719208554687</v>
      </c>
      <c r="D23" s="709">
        <v>-0.66080199297881093</v>
      </c>
      <c r="E23" s="710">
        <v>-0.85252316205344847</v>
      </c>
      <c r="F23" s="708">
        <v>0.46103784087380251</v>
      </c>
      <c r="G23" s="711">
        <v>0.24626889256422968</v>
      </c>
      <c r="H23" s="710">
        <v>0.26600000000000001</v>
      </c>
      <c r="I23" s="708">
        <v>0.52</v>
      </c>
      <c r="J23" s="570">
        <v>1.232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1.232</v>
      </c>
      <c r="N23" s="632">
        <f t="shared" si="2"/>
        <v>1.1722864670176079</v>
      </c>
      <c r="O23" s="629">
        <f t="shared" si="3"/>
        <v>4.6516719208554687</v>
      </c>
      <c r="P23" s="633">
        <f t="shared" si="4"/>
        <v>-0.66080199297881093</v>
      </c>
      <c r="Q23" s="585">
        <f t="shared" si="113"/>
        <v>75.855202042256153</v>
      </c>
      <c r="R23" s="629">
        <f t="shared" si="79"/>
        <v>4.7971144680972362</v>
      </c>
      <c r="S23" s="634">
        <f t="shared" si="80"/>
        <v>-0.66080199297881093</v>
      </c>
      <c r="T23" s="635">
        <f t="shared" si="81"/>
        <v>4.6516719208554687</v>
      </c>
      <c r="U23" s="629">
        <f t="shared" si="82"/>
        <v>-1.1722864670176076</v>
      </c>
      <c r="V23" s="636">
        <f t="shared" si="114"/>
        <v>-0.66080199297881093</v>
      </c>
      <c r="W23" s="585">
        <f t="shared" si="224"/>
        <v>345.85520204225617</v>
      </c>
      <c r="X23" s="629">
        <f t="shared" si="83"/>
        <v>4.7971144680972362</v>
      </c>
      <c r="Y23" s="630">
        <f t="shared" si="223"/>
        <v>-0.66080199297881093</v>
      </c>
      <c r="Z23" s="632">
        <f t="shared" si="6"/>
        <v>0.85252316205344847</v>
      </c>
      <c r="AA23" s="629">
        <f t="shared" si="7"/>
        <v>-0.46103784087380251</v>
      </c>
      <c r="AB23" s="629">
        <f t="shared" si="8"/>
        <v>-0.24626889256422968</v>
      </c>
      <c r="AC23" s="636">
        <f t="shared" si="84"/>
        <v>1</v>
      </c>
      <c r="AD23" s="637">
        <f t="shared" si="115"/>
        <v>0.85252316205344847</v>
      </c>
      <c r="AE23" s="629">
        <f t="shared" si="85"/>
        <v>-0.46103784087380251</v>
      </c>
      <c r="AF23" s="633">
        <f t="shared" si="86"/>
        <v>-0.24626889256422968</v>
      </c>
      <c r="AG23" s="602">
        <f t="shared" si="87"/>
        <v>-61.890561335220688</v>
      </c>
      <c r="AH23" s="603">
        <f t="shared" si="88"/>
        <v>31.512827812634846</v>
      </c>
      <c r="AI23" s="585">
        <f t="shared" si="89"/>
        <v>-75.743166266420261</v>
      </c>
      <c r="AJ23" s="586">
        <f t="shared" si="90"/>
        <v>61.595824952318587</v>
      </c>
      <c r="AK23" s="635">
        <f t="shared" si="211"/>
        <v>0.93934103645220346</v>
      </c>
      <c r="AL23" s="629">
        <f t="shared" si="91"/>
        <v>-0.23872588839941136</v>
      </c>
      <c r="AM23" s="634">
        <f t="shared" si="92"/>
        <v>-0.24626889256422968</v>
      </c>
      <c r="AN23" s="581">
        <f t="shared" si="93"/>
        <v>-44.108964716896089</v>
      </c>
      <c r="AO23" s="582">
        <f t="shared" si="94"/>
        <v>20.058815059863402</v>
      </c>
      <c r="AP23" s="585">
        <f t="shared" si="95"/>
        <v>-14.25937708993756</v>
      </c>
      <c r="AQ23" s="586">
        <f t="shared" si="9"/>
        <v>0.47521783583645077</v>
      </c>
      <c r="AS23" s="52">
        <f t="shared" si="116"/>
        <v>-14.144797957743833</v>
      </c>
      <c r="AT23" s="72">
        <f t="shared" si="10"/>
        <v>-0.65097921661926661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1.1319999999999999</v>
      </c>
      <c r="II23" s="734" cm="1">
        <f t="array" ref="II23">IFERROR(ROUND(VALUE(IF($IH23&lt;1,$IH23+LARGE((IF($M$9:$M$150="",0,$M$9:$M$150)-MOD(IF($M$9:$M$150="",0,$M$9:$M$150),1)),1),$IH23)),4),"")</f>
        <v>1.1319999999999999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12.751798158868098</v>
      </c>
      <c r="IM23" s="759">
        <v>1.69879315679046E-3</v>
      </c>
      <c r="IN23" s="5">
        <f t="shared" si="226"/>
        <v>0.02</v>
      </c>
      <c r="IO23" s="771">
        <v>10</v>
      </c>
      <c r="IP23" s="9">
        <f t="shared" si="227"/>
        <v>-4.7723143933002108</v>
      </c>
      <c r="IQ23" s="5">
        <f t="shared" si="228"/>
        <v>-0.70170211633358293</v>
      </c>
      <c r="IR23" s="5">
        <f t="shared" si="71"/>
        <v>0.314</v>
      </c>
      <c r="IS23" s="5">
        <f t="shared" si="229"/>
        <v>0.29922832789506765</v>
      </c>
      <c r="IT23" s="727">
        <f t="shared" si="230"/>
        <v>46.01191065129526</v>
      </c>
      <c r="IU23" s="9">
        <f t="shared" si="231"/>
        <v>-4.7971144680972362</v>
      </c>
      <c r="IV23" s="5">
        <f t="shared" si="232"/>
        <v>-0.66080199297881093</v>
      </c>
      <c r="IW23" s="5">
        <f t="shared" si="76"/>
        <v>0.26600000000000001</v>
      </c>
      <c r="IX23" s="5">
        <f t="shared" si="233"/>
        <v>0.24986471569628613</v>
      </c>
      <c r="IY23" s="762">
        <f t="shared" si="234"/>
        <v>44.108964716896089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34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7</v>
      </c>
      <c r="JG23" s="801">
        <v>22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10</v>
      </c>
      <c r="JI23" s="801">
        <v>0</v>
      </c>
    </row>
    <row r="24" spans="1:269" ht="15" customHeight="1" x14ac:dyDescent="0.25">
      <c r="A24" s="79"/>
      <c r="B24" s="707">
        <v>1.2367201363220299</v>
      </c>
      <c r="C24" s="708">
        <v>5.1909272299442124</v>
      </c>
      <c r="D24" s="709">
        <v>-1.2044036324813556</v>
      </c>
      <c r="E24" s="710">
        <v>-0.83433702040519819</v>
      </c>
      <c r="F24" s="708">
        <v>0.51909068295692806</v>
      </c>
      <c r="G24" s="711">
        <v>0.18554406282251645</v>
      </c>
      <c r="H24" s="710">
        <v>0.26600000000000001</v>
      </c>
      <c r="I24" s="708">
        <v>0.52</v>
      </c>
      <c r="J24" s="570">
        <v>1.2390000000000001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1.2390000000000001</v>
      </c>
      <c r="N24" s="632">
        <f t="shared" si="2"/>
        <v>1.2367201363220299</v>
      </c>
      <c r="O24" s="629">
        <f t="shared" si="3"/>
        <v>5.1909272299442124</v>
      </c>
      <c r="P24" s="633">
        <f t="shared" si="4"/>
        <v>-1.2044036324813556</v>
      </c>
      <c r="Q24" s="585">
        <f t="shared" si="113"/>
        <v>76.599301934821412</v>
      </c>
      <c r="R24" s="629">
        <f t="shared" si="79"/>
        <v>5.3362160940277406</v>
      </c>
      <c r="S24" s="634">
        <f t="shared" si="80"/>
        <v>-1.2044036324813556</v>
      </c>
      <c r="T24" s="635">
        <f t="shared" si="81"/>
        <v>5.1909272299442124</v>
      </c>
      <c r="U24" s="629">
        <f t="shared" si="82"/>
        <v>-1.236720136322029</v>
      </c>
      <c r="V24" s="636">
        <f t="shared" si="114"/>
        <v>-1.2044036324813556</v>
      </c>
      <c r="W24" s="585">
        <f t="shared" si="224"/>
        <v>346.59930193482143</v>
      </c>
      <c r="X24" s="629">
        <f t="shared" si="83"/>
        <v>5.3362160940277406</v>
      </c>
      <c r="Y24" s="630">
        <f t="shared" si="223"/>
        <v>-1.2044036324813556</v>
      </c>
      <c r="Z24" s="632">
        <f t="shared" si="6"/>
        <v>0.83433702040519819</v>
      </c>
      <c r="AA24" s="629">
        <f t="shared" si="7"/>
        <v>-0.51909068295692806</v>
      </c>
      <c r="AB24" s="629">
        <f t="shared" si="8"/>
        <v>-0.18554406282251645</v>
      </c>
      <c r="AC24" s="636">
        <f t="shared" si="84"/>
        <v>1</v>
      </c>
      <c r="AD24" s="637">
        <f t="shared" si="115"/>
        <v>0.83433702040519819</v>
      </c>
      <c r="AE24" s="629">
        <f t="shared" si="85"/>
        <v>-0.51909068295692806</v>
      </c>
      <c r="AF24" s="633">
        <f t="shared" si="86"/>
        <v>-0.18554406282251645</v>
      </c>
      <c r="AG24" s="602">
        <f t="shared" si="87"/>
        <v>-70.331049944576165</v>
      </c>
      <c r="AH24" s="603">
        <f t="shared" si="88"/>
        <v>33.453132788140287</v>
      </c>
      <c r="AI24" s="585">
        <f t="shared" si="89"/>
        <v>-79.307145909292529</v>
      </c>
      <c r="AJ24" s="586">
        <f t="shared" si="90"/>
        <v>58.111799986849668</v>
      </c>
      <c r="AK24" s="635">
        <f>IF(M24="","",(COS(RADIANS((90-$Q$8)-W24))*AD24)+(-SIN(RADIANS((90-$Q$8)-W24))*AE24))</f>
        <v>0.93192490160350672</v>
      </c>
      <c r="AL24" s="629">
        <f t="shared" si="91"/>
        <v>-0.3115916855800368</v>
      </c>
      <c r="AM24" s="634">
        <f t="shared" si="92"/>
        <v>-0.18554406282251645</v>
      </c>
      <c r="AN24" s="581">
        <f t="shared" si="93"/>
        <v>-59.227394168838266</v>
      </c>
      <c r="AO24" s="582">
        <f t="shared" si="94"/>
        <v>21.263112033168266</v>
      </c>
      <c r="AP24" s="585">
        <f t="shared" si="95"/>
        <v>-18.487501947971747</v>
      </c>
      <c r="AQ24" s="586">
        <f t="shared" si="9"/>
        <v>0.42720990760748312</v>
      </c>
      <c r="AS24" s="52">
        <f t="shared" si="116"/>
        <v>-13.400698065178574</v>
      </c>
      <c r="AT24" s="72">
        <f t="shared" si="10"/>
        <v>-1.1950975921583149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1.2390000000000001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1.139</v>
      </c>
      <c r="II24" s="734" cm="1">
        <f t="array" ref="II24">IFERROR(ROUND(VALUE(IF($IH24&lt;1,$IH24+LARGE((IF($M$9:$M$150="",0,$M$9:$M$150)-MOD(IF($M$9:$M$150="",0,$M$9:$M$150),1)),1),$IH24)),4),"")</f>
        <v>1.139</v>
      </c>
      <c r="IJ24" s="533">
        <f t="shared" si="112"/>
        <v>1613</v>
      </c>
      <c r="IK24" s="533">
        <f t="shared" si="66"/>
        <v>1313</v>
      </c>
      <c r="IL24" s="727">
        <f t="shared" si="225"/>
        <v>11.450698346723698</v>
      </c>
      <c r="IM24" s="759">
        <v>1.29863124131495E-3</v>
      </c>
      <c r="IN24" s="5">
        <f t="shared" si="226"/>
        <v>0</v>
      </c>
      <c r="IO24" s="771">
        <v>0</v>
      </c>
      <c r="IP24" s="9">
        <f t="shared" si="227"/>
        <v>-5.3024159920866323</v>
      </c>
      <c r="IQ24" s="5">
        <f t="shared" si="228"/>
        <v>-1.2387037359304676</v>
      </c>
      <c r="IR24" s="5">
        <f t="shared" si="71"/>
        <v>0.314</v>
      </c>
      <c r="IS24" s="5">
        <f t="shared" si="229"/>
        <v>0.29711820478534173</v>
      </c>
      <c r="IT24" s="727">
        <f t="shared" si="230"/>
        <v>61.240484931384053</v>
      </c>
      <c r="IU24" s="9">
        <f t="shared" si="231"/>
        <v>-5.3362160940277406</v>
      </c>
      <c r="IV24" s="5">
        <f t="shared" si="232"/>
        <v>-1.2044036324813556</v>
      </c>
      <c r="IW24" s="5">
        <f t="shared" si="76"/>
        <v>0.26600000000000001</v>
      </c>
      <c r="IX24" s="5">
        <f t="shared" si="233"/>
        <v>0.2478920238265328</v>
      </c>
      <c r="IY24" s="762">
        <f t="shared" si="234"/>
        <v>59.227394168838266</v>
      </c>
      <c r="JA24" s="798" t="str">
        <v>CPS-32193r1</v>
      </c>
      <c r="JB24" s="856" cm="1">
        <f t="array" ref="JB24">IF($JA24="","",COUNT(IF(IF($II$9:$II$150&lt;&gt;"",$IK$9:$IK$150,"")=$JA24,$IG$9:$IG$150,"")))</f>
        <v>17</v>
      </c>
      <c r="JC24" s="5"/>
      <c r="JD24" s="5"/>
      <c r="JE24" s="10"/>
      <c r="JF24" s="247">
        <v>10</v>
      </c>
      <c r="JG24" s="803" t="str">
        <v/>
      </c>
      <c r="JH24" s="787">
        <v>190</v>
      </c>
      <c r="JI24" s="803" t="str">
        <v/>
      </c>
    </row>
    <row r="25" spans="1:269" ht="15" customHeight="1" x14ac:dyDescent="0.25">
      <c r="A25" s="79"/>
      <c r="B25" s="707">
        <v>1.3046158739037783</v>
      </c>
      <c r="C25" s="708">
        <v>5.5564134266811482</v>
      </c>
      <c r="D25" s="709">
        <v>-1.8740056520010469</v>
      </c>
      <c r="E25" s="710">
        <v>-0.79767741507141132</v>
      </c>
      <c r="F25" s="708">
        <v>0.58952025445745138</v>
      </c>
      <c r="G25" s="711">
        <v>0.12718730702948763</v>
      </c>
      <c r="H25" s="710">
        <v>0.26600000000000001</v>
      </c>
      <c r="I25" s="708">
        <v>0.52</v>
      </c>
      <c r="J25" s="570">
        <v>1.246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1.246</v>
      </c>
      <c r="N25" s="632">
        <f t="shared" si="2"/>
        <v>1.3046158739037783</v>
      </c>
      <c r="O25" s="629">
        <f t="shared" si="3"/>
        <v>5.5564134266811482</v>
      </c>
      <c r="P25" s="633">
        <f t="shared" si="4"/>
        <v>-1.8740056520010469</v>
      </c>
      <c r="Q25" s="585">
        <f t="shared" si="113"/>
        <v>76.786601907778646</v>
      </c>
      <c r="R25" s="629">
        <f>IF(M25="","",SQRT(N25^2+O25^2))</f>
        <v>5.7075172138719177</v>
      </c>
      <c r="S25" s="634">
        <f>IF(M25="","",P25)</f>
        <v>-1.8740056520010469</v>
      </c>
      <c r="T25" s="635">
        <f>IF(M25="","",X25*COS(RADIANS(W25)))</f>
        <v>5.5564134266811473</v>
      </c>
      <c r="U25" s="629">
        <f>IF(M25="","",X25*SIN(RADIANS(W25)))</f>
        <v>-1.3046158739037816</v>
      </c>
      <c r="V25" s="636">
        <f>IF(M25="","",Y25)</f>
        <v>-1.8740056520010469</v>
      </c>
      <c r="W25" s="585">
        <f t="shared" si="224"/>
        <v>346.78660190777862</v>
      </c>
      <c r="X25" s="629">
        <f>IF(M25="","",R25)</f>
        <v>5.7075172138719177</v>
      </c>
      <c r="Y25" s="630">
        <f t="shared" si="223"/>
        <v>-1.8740056520010469</v>
      </c>
      <c r="Z25" s="632">
        <f t="shared" si="6"/>
        <v>0.79767741507141132</v>
      </c>
      <c r="AA25" s="629">
        <f t="shared" si="7"/>
        <v>-0.58952025445745138</v>
      </c>
      <c r="AB25" s="629">
        <f t="shared" si="8"/>
        <v>-0.12718730702948763</v>
      </c>
      <c r="AC25" s="636">
        <f>IF(M25="","",SQRT(Z25^2+AA25^2+AB25^2))</f>
        <v>1</v>
      </c>
      <c r="AD25" s="637">
        <f>IF(M25="","",Z25*(1/SQRT(Z25^2+AA25^2+AB25^2)))</f>
        <v>0.79767741507141132</v>
      </c>
      <c r="AE25" s="629">
        <f>IF(M25="","",AA25*(1/SQRT(Z25^2+AA25^2+AB25^2)))</f>
        <v>-0.58952025445745138</v>
      </c>
      <c r="AF25" s="633">
        <f>IF(M25="","",AB25*(1/SQRT(Z25^2+AA25^2+AB25^2)))</f>
        <v>-0.12718730702948763</v>
      </c>
      <c r="AG25" s="602">
        <f>IF(M25="","",DEGREES(ATAN2(-AF25,AE25)))</f>
        <v>-77.825209689721518</v>
      </c>
      <c r="AH25" s="603">
        <f>IF(M25="","",DEGREES(ACOS(AD25)))</f>
        <v>37.091119288185745</v>
      </c>
      <c r="AI25" s="585">
        <f>IF(M25="","",DEGREES(-ACOS(-AF25)))</f>
        <v>-82.69291239319098</v>
      </c>
      <c r="AJ25" s="586">
        <f>IF(M25="","",DEGREES(ATAN2(-AE25,AD25)))</f>
        <v>53.533896560266427</v>
      </c>
      <c r="AK25" s="635">
        <f>IF(M25="","",(COS(RADIANS((90-$Q$8)-W25))*AD25)+(-SIN(RADIANS((90-$Q$8)-W25))*AE25))</f>
        <v>0.91131095821742891</v>
      </c>
      <c r="AL25" s="629">
        <f>IF(M25="","",(SIN(RADIANS((90-$Q$8)-W25))*AD25)+(COS(RADIANS((90-$Q$8)-W25))*AE25))</f>
        <v>-0.39158105976083435</v>
      </c>
      <c r="AM25" s="634">
        <f>IF(M25="","",AF25)</f>
        <v>-0.12718730702948763</v>
      </c>
      <c r="AN25" s="581">
        <f>IF(M25="","",DEGREES(ATAN2(-AM25,AL25)))</f>
        <v>-72.005967980586504</v>
      </c>
      <c r="AO25" s="582">
        <f>IF(ROUND(IF(M25="",0,DEGREES(ACOS(AK25))),4)=90,0,IF(M25="","",DEGREES(ACOS(AK25))))</f>
        <v>24.312850444378856</v>
      </c>
      <c r="AP25" s="585">
        <f>IF(M25="","",DEGREES(ATAN2(AK25,AL25)))</f>
        <v>-23.252705347512187</v>
      </c>
      <c r="AQ25" s="586">
        <f t="shared" si="9"/>
        <v>0.39941880452078427</v>
      </c>
      <c r="AS25" s="52">
        <f t="shared" si="116"/>
        <v>-13.213398092221382</v>
      </c>
      <c r="AT25" s="72">
        <f t="shared" si="10"/>
        <v>-1.8648296811036709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1.1459999999999999</v>
      </c>
      <c r="II25" s="734" cm="1">
        <f t="array" ref="II25">IFERROR(ROUND(VALUE(IF($IH25&lt;1,$IH25+LARGE((IF($M$9:$M$150="",0,$M$9:$M$150)-MOD(IF($M$9:$M$150="",0,$M$9:$M$150),1)),1),$IH25)),4),"")</f>
        <v>1.1459999999999999</v>
      </c>
      <c r="IJ25" s="533">
        <f t="shared" si="112"/>
        <v>1613</v>
      </c>
      <c r="IK25" s="533">
        <f t="shared" si="66"/>
        <v>1313</v>
      </c>
      <c r="IL25" s="727">
        <f t="shared" si="225"/>
        <v>10.85639843253</v>
      </c>
      <c r="IM25" s="759">
        <v>9.3399928229997802E-4</v>
      </c>
      <c r="IN25" s="5">
        <f t="shared" si="226"/>
        <v>0</v>
      </c>
      <c r="IO25" s="771">
        <v>0</v>
      </c>
      <c r="IP25" s="9">
        <f t="shared" si="227"/>
        <v>-5.6666170905171453</v>
      </c>
      <c r="IQ25" s="5">
        <f t="shared" si="228"/>
        <v>-1.8996057292108794</v>
      </c>
      <c r="IR25" s="5">
        <f t="shared" si="71"/>
        <v>0.314</v>
      </c>
      <c r="IS25" s="5">
        <f t="shared" si="229"/>
        <v>0.29130650973215522</v>
      </c>
      <c r="IT25" s="727">
        <f t="shared" si="230"/>
        <v>73.678821483085542</v>
      </c>
      <c r="IU25" s="9">
        <f t="shared" si="231"/>
        <v>-5.7075172138719177</v>
      </c>
      <c r="IV25" s="5">
        <f t="shared" si="232"/>
        <v>-1.8740056520010469</v>
      </c>
      <c r="IW25" s="5">
        <f t="shared" si="76"/>
        <v>0.26600000000000001</v>
      </c>
      <c r="IX25" s="5">
        <f t="shared" si="233"/>
        <v>0.2424087148858361</v>
      </c>
      <c r="IY25" s="762">
        <f t="shared" si="234"/>
        <v>72.005967980586504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1.3752762279941062</v>
      </c>
      <c r="C26" s="708">
        <v>5.7195984819666021</v>
      </c>
      <c r="D26" s="709">
        <v>-2.6192078995310251</v>
      </c>
      <c r="E26" s="710">
        <v>-0.72378762486604342</v>
      </c>
      <c r="F26" s="708">
        <v>0.68716486214551054</v>
      </c>
      <c r="G26" s="711">
        <v>6.2736961380936485E-2</v>
      </c>
      <c r="H26" s="710">
        <v>0.26600000000000001</v>
      </c>
      <c r="I26" s="708">
        <v>0.52</v>
      </c>
      <c r="J26" s="570">
        <v>1.2529999999999999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1.2529999999999999</v>
      </c>
      <c r="N26" s="632">
        <f t="shared" si="2"/>
        <v>1.3752762279941062</v>
      </c>
      <c r="O26" s="629">
        <f t="shared" si="3"/>
        <v>5.7195984819666021</v>
      </c>
      <c r="P26" s="633">
        <f t="shared" si="4"/>
        <v>-2.6192078995310251</v>
      </c>
      <c r="Q26" s="585">
        <f t="shared" si="113"/>
        <v>76.479901952060644</v>
      </c>
      <c r="R26" s="629">
        <f>IF(M26="","",SQRT(N26^2+O26^2))</f>
        <v>5.8826177419751113</v>
      </c>
      <c r="S26" s="634">
        <f>IF(M26="","",P26)</f>
        <v>-2.6192078995310251</v>
      </c>
      <c r="T26" s="635">
        <f>IF(M26="","",X26*COS(RADIANS(W26)))</f>
        <v>5.7195984819666013</v>
      </c>
      <c r="U26" s="629">
        <f>IF(M26="","",X26*SIN(RADIANS(W26)))</f>
        <v>-1.3752762279941078</v>
      </c>
      <c r="V26" s="636">
        <f>IF(M26="","",Y26)</f>
        <v>-2.6192078995310251</v>
      </c>
      <c r="W26" s="585">
        <f t="shared" si="224"/>
        <v>346.47990195206063</v>
      </c>
      <c r="X26" s="629">
        <f>IF(M26="","",R26)</f>
        <v>5.8826177419751113</v>
      </c>
      <c r="Y26" s="630">
        <f t="shared" si="223"/>
        <v>-2.6192078995310251</v>
      </c>
      <c r="Z26" s="632">
        <f t="shared" si="6"/>
        <v>0.72378762486604342</v>
      </c>
      <c r="AA26" s="629">
        <f t="shared" si="7"/>
        <v>-0.68716486214551054</v>
      </c>
      <c r="AB26" s="629">
        <f t="shared" si="8"/>
        <v>-6.2736961380936485E-2</v>
      </c>
      <c r="AC26" s="636">
        <f>IF(M26="","",SQRT(Z26^2+AA26^2+AB26^2))</f>
        <v>1</v>
      </c>
      <c r="AD26" s="637">
        <f>IF(M26="","",Z26*(1/SQRT(Z26^2+AA26^2+AB26^2)))</f>
        <v>0.72378762486604342</v>
      </c>
      <c r="AE26" s="629">
        <f>IF(M26="","",AA26*(1/SQRT(Z26^2+AA26^2+AB26^2)))</f>
        <v>-0.68716486214551054</v>
      </c>
      <c r="AF26" s="633">
        <f>IF(M26="","",AB26*(1/SQRT(Z26^2+AA26^2+AB26^2)))</f>
        <v>-6.2736961380936485E-2</v>
      </c>
      <c r="AG26" s="602">
        <f>IF(M26="","",DEGREES(ATAN2(-AF26,AE26)))</f>
        <v>-84.783456466789445</v>
      </c>
      <c r="AH26" s="603">
        <f>IF(M26="","",DEGREES(ACOS(AD26)))</f>
        <v>43.631914261398649</v>
      </c>
      <c r="AI26" s="585">
        <f>IF(M26="","",DEGREES(-ACOS(-AF26)))</f>
        <v>-86.40307471793524</v>
      </c>
      <c r="AJ26" s="586">
        <f>IF(M26="","",DEGREES(ATAN2(-AE26,AD26)))</f>
        <v>46.486838657559041</v>
      </c>
      <c r="AK26" s="635">
        <f>IF(M26="","",(COS(RADIANS((90-$Q$8)-W26))*AD26)+(-SIN(RADIANS((90-$Q$8)-W26))*AE26))</f>
        <v>0.86437982597257057</v>
      </c>
      <c r="AL26" s="629">
        <f>IF(M26="","",(SIN(RADIANS((90-$Q$8)-W26))*AD26)+(COS(RADIANS((90-$Q$8)-W26))*AE26))</f>
        <v>-0.49891040290648919</v>
      </c>
      <c r="AM26" s="634">
        <f>IF(M26="","",AF26)</f>
        <v>-6.2736961380936485E-2</v>
      </c>
      <c r="AN26" s="581">
        <f>IF(M26="","",DEGREES(ATAN2(-AM26,AL26)))</f>
        <v>-82.832792351498384</v>
      </c>
      <c r="AO26" s="582">
        <f t="shared" si="94"/>
        <v>30.188035240306625</v>
      </c>
      <c r="AP26" s="585">
        <f>IF(M26="","",DEGREES(ATAN2(AK26,AL26)))</f>
        <v>-29.993063294501589</v>
      </c>
      <c r="AQ26" s="586">
        <f t="shared" si="9"/>
        <v>0.38753017245632954</v>
      </c>
      <c r="AS26" s="52">
        <f t="shared" si="116"/>
        <v>-13.520098047939371</v>
      </c>
      <c r="AT26" s="72">
        <f t="shared" si="10"/>
        <v>-2.6098189425532894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1.2529999999999999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1.153</v>
      </c>
      <c r="II26" s="734" cm="1">
        <f t="array" ref="II26">IFERROR(ROUND(VALUE(IF($IH26&lt;1,$IH26+LARGE((IF($M$9:$M$150="",0,$M$9:$M$150)-MOD(IF($M$9:$M$150="",0,$M$9:$M$150),1)),1),$IH26)),4),"")</f>
        <v>1.153</v>
      </c>
      <c r="IJ26" s="533">
        <f t="shared" si="112"/>
        <v>1613</v>
      </c>
      <c r="IK26" s="533">
        <f t="shared" si="66"/>
        <v>1313</v>
      </c>
      <c r="IL26" s="727">
        <f t="shared" si="225"/>
        <v>10.967098416546889</v>
      </c>
      <c r="IM26" s="759">
        <v>5.8214755502298805E-4</v>
      </c>
      <c r="IN26" s="5">
        <f t="shared" si="226"/>
        <v>0</v>
      </c>
      <c r="IO26" s="771">
        <v>0</v>
      </c>
      <c r="IP26" s="9">
        <f t="shared" si="227"/>
        <v>-5.8375176059531002</v>
      </c>
      <c r="IQ26" s="5">
        <f t="shared" si="228"/>
        <v>-2.6345079456759644</v>
      </c>
      <c r="IR26" s="5">
        <f t="shared" si="71"/>
        <v>0.314</v>
      </c>
      <c r="IS26" s="5">
        <f t="shared" si="229"/>
        <v>0.27785510169765709</v>
      </c>
      <c r="IT26" s="727">
        <f t="shared" si="230"/>
        <v>83.925119021714451</v>
      </c>
      <c r="IU26" s="9">
        <f t="shared" si="231"/>
        <v>-5.8826177419751113</v>
      </c>
      <c r="IV26" s="5">
        <f t="shared" si="232"/>
        <v>-2.6192078995310251</v>
      </c>
      <c r="IW26" s="5">
        <f t="shared" si="76"/>
        <v>0.26600000000000001</v>
      </c>
      <c r="IX26" s="5">
        <f t="shared" si="233"/>
        <v>0.22992503370870379</v>
      </c>
      <c r="IY26" s="762">
        <f t="shared" si="234"/>
        <v>82.832792351498384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1.858419897869491</v>
      </c>
      <c r="C27" s="708">
        <v>5.5947338822923189</v>
      </c>
      <c r="D27" s="709">
        <v>-3.4427103832145161</v>
      </c>
      <c r="E27" s="710">
        <v>0.31523637881392252</v>
      </c>
      <c r="F27" s="708">
        <v>0.94901318508871824</v>
      </c>
      <c r="G27" s="711">
        <v>2.2679489679767139E-7</v>
      </c>
      <c r="H27" s="710">
        <v>0.25700000000000001</v>
      </c>
      <c r="I27" s="708">
        <v>0.41499999999999992</v>
      </c>
      <c r="J27" s="570">
        <v>1.26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1.26</v>
      </c>
      <c r="N27" s="632">
        <f t="shared" si="2"/>
        <v>1.858419897869491</v>
      </c>
      <c r="O27" s="629">
        <f t="shared" si="3"/>
        <v>5.5947338822923189</v>
      </c>
      <c r="P27" s="633">
        <f t="shared" si="4"/>
        <v>-3.4427103832145161</v>
      </c>
      <c r="Q27" s="585">
        <f t="shared" si="113"/>
        <v>71.624902653035804</v>
      </c>
      <c r="R27" s="629">
        <f t="shared" si="79"/>
        <v>5.8953177802784245</v>
      </c>
      <c r="S27" s="634">
        <f t="shared" si="80"/>
        <v>-3.4427103832145161</v>
      </c>
      <c r="T27" s="635">
        <f t="shared" si="81"/>
        <v>5.5947338822923189</v>
      </c>
      <c r="U27" s="629">
        <f t="shared" si="82"/>
        <v>-1.8584198978694899</v>
      </c>
      <c r="V27" s="636">
        <f t="shared" si="114"/>
        <v>-3.4427103832145161</v>
      </c>
      <c r="W27" s="585">
        <f t="shared" si="224"/>
        <v>341.6249026530358</v>
      </c>
      <c r="X27" s="629">
        <f t="shared" si="83"/>
        <v>5.8953177802784245</v>
      </c>
      <c r="Y27" s="630">
        <f t="shared" si="223"/>
        <v>-3.4427103832145161</v>
      </c>
      <c r="Z27" s="632">
        <f t="shared" si="6"/>
        <v>-0.31523637881392252</v>
      </c>
      <c r="AA27" s="629">
        <f t="shared" si="7"/>
        <v>-0.94901318508871824</v>
      </c>
      <c r="AB27" s="629">
        <f t="shared" si="8"/>
        <v>-2.2679489679767139E-7</v>
      </c>
      <c r="AC27" s="636">
        <f t="shared" si="84"/>
        <v>1</v>
      </c>
      <c r="AD27" s="637">
        <f t="shared" si="115"/>
        <v>-0.31523637881392252</v>
      </c>
      <c r="AE27" s="629">
        <f t="shared" si="85"/>
        <v>-0.94901318508871824</v>
      </c>
      <c r="AF27" s="633">
        <f t="shared" si="86"/>
        <v>-2.2679489679767139E-7</v>
      </c>
      <c r="AG27" s="602">
        <f t="shared" si="87"/>
        <v>-89.999986307471161</v>
      </c>
      <c r="AH27" s="603">
        <f t="shared" si="88"/>
        <v>108.37508435257331</v>
      </c>
      <c r="AI27" s="585">
        <f t="shared" si="89"/>
        <v>-89.999987005609597</v>
      </c>
      <c r="AJ27" s="586">
        <f t="shared" si="90"/>
        <v>-18.375084352573797</v>
      </c>
      <c r="AK27" s="635">
        <f t="shared" si="211"/>
        <v>2.2679489658505858E-7</v>
      </c>
      <c r="AL27" s="629">
        <f t="shared" si="91"/>
        <v>-0.9999999999999486</v>
      </c>
      <c r="AM27" s="634">
        <f t="shared" si="92"/>
        <v>-2.2679489679767139E-7</v>
      </c>
      <c r="AN27" s="581">
        <f t="shared" si="93"/>
        <v>-89.999987005609611</v>
      </c>
      <c r="AO27" s="582">
        <f t="shared" si="94"/>
        <v>0</v>
      </c>
      <c r="AP27" s="585">
        <f t="shared" si="95"/>
        <v>-89.999987005609626</v>
      </c>
      <c r="AQ27" s="586">
        <f t="shared" si="9"/>
        <v>0.38669535767588226</v>
      </c>
      <c r="AS27" s="52">
        <f t="shared" si="116"/>
        <v>-18.375097346964196</v>
      </c>
      <c r="AT27" s="72">
        <f t="shared" si="10"/>
        <v>-3.4299498989457908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1.26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1.1599999999999999</v>
      </c>
      <c r="II27" s="734" cm="1">
        <f t="array" ref="II27">IFERROR(ROUND(VALUE(IF($IH27&lt;1,$IH27+LARGE((IF($M$9:$M$150="",0,$M$9:$M$150)-MOD(IF($M$9:$M$150="",0,$M$9:$M$150),1)),1),$IH27)),4),"")</f>
        <v>1.1599999999999999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15.757097724956566</v>
      </c>
      <c r="IM27" s="759">
        <v>2.02371340822542E-4</v>
      </c>
      <c r="IN27" s="5">
        <f t="shared" si="226"/>
        <v>0</v>
      </c>
      <c r="IO27" s="771">
        <v>0</v>
      </c>
      <c r="IP27" s="9">
        <f t="shared" si="227"/>
        <v>-5.8943177772624162</v>
      </c>
      <c r="IQ27" s="5">
        <f t="shared" si="228"/>
        <v>-3.4402103756744928</v>
      </c>
      <c r="IR27" s="5">
        <f t="shared" si="71"/>
        <v>0.314</v>
      </c>
      <c r="IS27" s="5">
        <f t="shared" si="229"/>
        <v>0.25721375779146982</v>
      </c>
      <c r="IT27" s="727">
        <f t="shared" si="230"/>
        <v>89.999987005609611</v>
      </c>
      <c r="IU27" s="9">
        <f t="shared" si="231"/>
        <v>-5.8953177802784245</v>
      </c>
      <c r="IV27" s="5">
        <f t="shared" si="232"/>
        <v>-3.4427103832145161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89.999987005609611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2.2686904465175126</v>
      </c>
      <c r="C28" s="708">
        <v>1.5298452574379664</v>
      </c>
      <c r="D28" s="709">
        <v>-0.15790047622783632</v>
      </c>
      <c r="E28" s="710">
        <v>-0.56725617903884062</v>
      </c>
      <c r="F28" s="708">
        <v>0.78248532022250239</v>
      </c>
      <c r="G28" s="711">
        <v>0.25678230269732905</v>
      </c>
      <c r="H28" s="710">
        <v>0.314</v>
      </c>
      <c r="I28" s="708">
        <v>0.52</v>
      </c>
      <c r="J28" s="570">
        <v>2.1120000000000001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2.1120000000000001</v>
      </c>
      <c r="N28" s="632">
        <f t="shared" si="2"/>
        <v>2.2686904465175126</v>
      </c>
      <c r="O28" s="629">
        <f t="shared" si="3"/>
        <v>1.5298452574379664</v>
      </c>
      <c r="P28" s="633">
        <f t="shared" si="4"/>
        <v>-0.15790047622783632</v>
      </c>
      <c r="Q28" s="585">
        <f t="shared" si="113"/>
        <v>33.992956108847551</v>
      </c>
      <c r="R28" s="629">
        <f t="shared" si="79"/>
        <v>2.7363082527056903</v>
      </c>
      <c r="S28" s="634">
        <f t="shared" si="80"/>
        <v>-0.15790047622783632</v>
      </c>
      <c r="T28" s="635">
        <f t="shared" si="81"/>
        <v>1.5298452574379675</v>
      </c>
      <c r="U28" s="629">
        <f t="shared" si="82"/>
        <v>-2.2686904465175117</v>
      </c>
      <c r="V28" s="636">
        <f t="shared" si="114"/>
        <v>-0.15790047622783632</v>
      </c>
      <c r="W28" s="585">
        <f t="shared" si="224"/>
        <v>303.99295610884758</v>
      </c>
      <c r="X28" s="629">
        <f t="shared" si="83"/>
        <v>2.7363082527056903</v>
      </c>
      <c r="Y28" s="630">
        <f t="shared" si="223"/>
        <v>-0.15790047622783632</v>
      </c>
      <c r="Z28" s="632">
        <f t="shared" si="6"/>
        <v>0.56725617903884062</v>
      </c>
      <c r="AA28" s="629">
        <f t="shared" si="7"/>
        <v>-0.78248532022250239</v>
      </c>
      <c r="AB28" s="629">
        <f t="shared" si="8"/>
        <v>-0.25678230269732905</v>
      </c>
      <c r="AC28" s="636">
        <f t="shared" si="84"/>
        <v>1</v>
      </c>
      <c r="AD28" s="637">
        <f t="shared" si="115"/>
        <v>0.56725617903884062</v>
      </c>
      <c r="AE28" s="629">
        <f t="shared" si="85"/>
        <v>-0.78248532022250239</v>
      </c>
      <c r="AF28" s="633">
        <f t="shared" si="86"/>
        <v>-0.25678230269732905</v>
      </c>
      <c r="AG28" s="602">
        <f t="shared" si="87"/>
        <v>-71.832106138390841</v>
      </c>
      <c r="AH28" s="603">
        <f t="shared" si="88"/>
        <v>55.440888450847225</v>
      </c>
      <c r="AI28" s="585">
        <f t="shared" si="89"/>
        <v>-75.120779338355405</v>
      </c>
      <c r="AJ28" s="586">
        <f t="shared" si="90"/>
        <v>35.939919475744695</v>
      </c>
      <c r="AK28" s="635">
        <f t="shared" si="211"/>
        <v>0.96591133077586666</v>
      </c>
      <c r="AL28" s="629">
        <f t="shared" si="91"/>
        <v>3.2835196059281091E-2</v>
      </c>
      <c r="AM28" s="634">
        <f t="shared" si="92"/>
        <v>-0.25678230269732905</v>
      </c>
      <c r="AN28" s="581">
        <f t="shared" si="93"/>
        <v>7.2869650646894142</v>
      </c>
      <c r="AO28" s="582">
        <f t="shared" si="94"/>
        <v>15.003208592892715</v>
      </c>
      <c r="AP28" s="585">
        <f t="shared" si="95"/>
        <v>1.9469633668971089</v>
      </c>
      <c r="AQ28" s="586">
        <f t="shared" si="9"/>
        <v>0.83308083941326372</v>
      </c>
      <c r="AS28" s="52">
        <f t="shared" si="116"/>
        <v>-56.007043891152421</v>
      </c>
      <c r="AT28" s="72">
        <f t="shared" si="10"/>
        <v>-0.11900669574786936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2.1120000000000001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2.9044998953980272</v>
      </c>
      <c r="C29" s="708">
        <v>1.9363983324758196</v>
      </c>
      <c r="D29" s="709">
        <v>-0.1620004885934736</v>
      </c>
      <c r="E29" s="710">
        <v>-0.4827562139081234</v>
      </c>
      <c r="F29" s="708">
        <v>0.83821880112679104</v>
      </c>
      <c r="G29" s="711">
        <v>0.2536447897565795</v>
      </c>
      <c r="H29" s="710">
        <v>0.314</v>
      </c>
      <c r="I29" s="708">
        <v>0.52</v>
      </c>
      <c r="J29" s="570">
        <v>2.1190000000000002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2.1190000000000002</v>
      </c>
      <c r="N29" s="632">
        <f t="shared" si="2"/>
        <v>2.9044998953980272</v>
      </c>
      <c r="O29" s="629">
        <f t="shared" si="3"/>
        <v>1.9363983324758196</v>
      </c>
      <c r="P29" s="633">
        <f t="shared" si="4"/>
        <v>-0.1620004885934736</v>
      </c>
      <c r="Q29" s="585">
        <f t="shared" si="113"/>
        <v>33.690956152450951</v>
      </c>
      <c r="R29" s="629">
        <f>IF(M29="","",SQRT(N29^2+O29^2))</f>
        <v>3.4908105282845536</v>
      </c>
      <c r="S29" s="634">
        <f>IF(M29="","",P29)</f>
        <v>-0.1620004885934736</v>
      </c>
      <c r="T29" s="635">
        <f>IF(M29="","",X29*COS(RADIANS(W29)))</f>
        <v>1.9363983324758196</v>
      </c>
      <c r="U29" s="629">
        <f>IF(M29="","",X29*SIN(RADIANS(W29)))</f>
        <v>-2.9044998953980268</v>
      </c>
      <c r="V29" s="636">
        <f>IF(M29="","",Y29)</f>
        <v>-0.1620004885934736</v>
      </c>
      <c r="W29" s="585">
        <f t="shared" si="224"/>
        <v>303.69095615245095</v>
      </c>
      <c r="X29" s="629">
        <f>IF(M29="","",R29)</f>
        <v>3.4908105282845536</v>
      </c>
      <c r="Y29" s="630">
        <f t="shared" si="223"/>
        <v>-0.1620004885934736</v>
      </c>
      <c r="Z29" s="632">
        <f t="shared" si="6"/>
        <v>0.4827562139081234</v>
      </c>
      <c r="AA29" s="629">
        <f t="shared" si="7"/>
        <v>-0.83821880112679104</v>
      </c>
      <c r="AB29" s="629">
        <f t="shared" si="8"/>
        <v>-0.2536447897565795</v>
      </c>
      <c r="AC29" s="636">
        <f>IF(M29="","",SQRT(Z29^2+AA29^2+AB29^2))</f>
        <v>1</v>
      </c>
      <c r="AD29" s="637">
        <f>IF(M29="","",Z29*(1/SQRT(Z29^2+AA29^2+AB29^2)))</f>
        <v>0.4827562139081234</v>
      </c>
      <c r="AE29" s="629">
        <f>IF(M29="","",AA29*(1/SQRT(Z29^2+AA29^2+AB29^2)))</f>
        <v>-0.83821880112679104</v>
      </c>
      <c r="AF29" s="633">
        <f>IF(M29="","",AB29*(1/SQRT(Z29^2+AA29^2+AB29^2)))</f>
        <v>-0.2536447897565795</v>
      </c>
      <c r="AG29" s="602">
        <f>IF(M29="","",DEGREES(ATAN2(-AF29,AE29)))</f>
        <v>-73.164198665487461</v>
      </c>
      <c r="AH29" s="603">
        <f>IF(M29="","",DEGREES(ACOS(AD29)))</f>
        <v>61.134430047482667</v>
      </c>
      <c r="AI29" s="585">
        <f>IF(M29="","",DEGREES(-ACOS(-AF29)))</f>
        <v>-75.306702585299064</v>
      </c>
      <c r="AJ29" s="586">
        <f>IF(M29="","",DEGREES(ATAN2(-AE29,AD29)))</f>
        <v>29.938975024317777</v>
      </c>
      <c r="AK29" s="635">
        <f>IF(M29="","",(COS(RADIANS((90-$Q$8)-W29))*AD29)+(-SIN(RADIANS((90-$Q$8)-W29))*AE29))</f>
        <v>0.96522418518464947</v>
      </c>
      <c r="AL29" s="629">
        <f>IF(M29="","",(SIN(RADIANS((90-$Q$8)-W29))*AD29)+(COS(RADIANS((90-$Q$8)-W29))*AE29))</f>
        <v>-6.3297653700354395E-2</v>
      </c>
      <c r="AM29" s="634">
        <f>IF(M29="","",AF29)</f>
        <v>-0.2536447897565795</v>
      </c>
      <c r="AN29" s="581">
        <f>IF(M29="","",DEGREES(ATAN2(-AM29,AL29)))</f>
        <v>-14.012101278165987</v>
      </c>
      <c r="AO29" s="582">
        <f t="shared" si="94"/>
        <v>15.154547320975906</v>
      </c>
      <c r="AP29" s="585">
        <f>IF(M29="","",DEGREES(ATAN2(AK29,AL29)))</f>
        <v>-3.7519811281331727</v>
      </c>
      <c r="AQ29" s="586">
        <f t="shared" si="9"/>
        <v>0.6530368508112675</v>
      </c>
      <c r="AS29" s="52">
        <f t="shared" si="116"/>
        <v>-56.309043847549049</v>
      </c>
      <c r="AT29" s="72">
        <f t="shared" si="10"/>
        <v>-0.12289698592156453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2.1190000000000002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34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3.5303436844873048</v>
      </c>
      <c r="C30" s="708">
        <v>2.3044724974545714</v>
      </c>
      <c r="D30" s="709">
        <v>-0.37100111893937471</v>
      </c>
      <c r="E30" s="710">
        <v>-0.39887624891550005</v>
      </c>
      <c r="F30" s="708">
        <v>0.88514515133589922</v>
      </c>
      <c r="G30" s="711">
        <v>0.23961594086714688</v>
      </c>
      <c r="H30" s="710">
        <v>0.314</v>
      </c>
      <c r="I30" s="708">
        <v>0.52</v>
      </c>
      <c r="J30" s="570">
        <v>2.1259999999999999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2.1259999999999999</v>
      </c>
      <c r="N30" s="632">
        <f t="shared" si="2"/>
        <v>3.5303436844873048</v>
      </c>
      <c r="O30" s="629">
        <f t="shared" si="3"/>
        <v>2.3044724974545714</v>
      </c>
      <c r="P30" s="633">
        <f t="shared" si="4"/>
        <v>-0.37100111893937471</v>
      </c>
      <c r="Q30" s="585">
        <f t="shared" si="113"/>
        <v>33.134956232727397</v>
      </c>
      <c r="R30" s="629">
        <f>IF(M30="","",SQRT(N30^2+O30^2))</f>
        <v>4.2159127151927507</v>
      </c>
      <c r="S30" s="634">
        <f>IF(M30="","",P30)</f>
        <v>-0.37100111893937471</v>
      </c>
      <c r="T30" s="635">
        <f>IF(M30="","",X30*COS(RADIANS(W30)))</f>
        <v>2.3044724974545723</v>
      </c>
      <c r="U30" s="629">
        <f>IF(M30="","",X30*SIN(RADIANS(W30)))</f>
        <v>-3.5303436844873044</v>
      </c>
      <c r="V30" s="636">
        <f>IF(M30="","",Y30)</f>
        <v>-0.37100111893937471</v>
      </c>
      <c r="W30" s="585">
        <f t="shared" si="224"/>
        <v>303.1349562327274</v>
      </c>
      <c r="X30" s="629">
        <f>IF(M30="","",R30)</f>
        <v>4.2159127151927507</v>
      </c>
      <c r="Y30" s="630">
        <f t="shared" si="223"/>
        <v>-0.37100111893937471</v>
      </c>
      <c r="Z30" s="632">
        <f t="shared" si="6"/>
        <v>0.39887624891550005</v>
      </c>
      <c r="AA30" s="629">
        <f t="shared" si="7"/>
        <v>-0.88514515133589922</v>
      </c>
      <c r="AB30" s="629">
        <f t="shared" si="8"/>
        <v>-0.23961594086714688</v>
      </c>
      <c r="AC30" s="636">
        <f>IF(M30="","",SQRT(Z30^2+AA30^2+AB30^2))</f>
        <v>1</v>
      </c>
      <c r="AD30" s="637">
        <f>IF(M30="","",Z30*(1/SQRT(Z30^2+AA30^2+AB30^2)))</f>
        <v>0.39887624891550005</v>
      </c>
      <c r="AE30" s="629">
        <f>IF(M30="","",AA30*(1/SQRT(Z30^2+AA30^2+AB30^2)))</f>
        <v>-0.88514515133589922</v>
      </c>
      <c r="AF30" s="633">
        <f>IF(M30="","",AB30*(1/SQRT(Z30^2+AA30^2+AB30^2)))</f>
        <v>-0.23961594086714688</v>
      </c>
      <c r="AG30" s="602">
        <f>IF(M30="","",DEGREES(ATAN2(-AF30,AE30)))</f>
        <v>-74.852618436632071</v>
      </c>
      <c r="AH30" s="603">
        <f>IF(M30="","",DEGREES(ACOS(AD30)))</f>
        <v>66.492053850535669</v>
      </c>
      <c r="AI30" s="585">
        <f>IF(M30="","",DEGREES(-ACOS(-AF30)))</f>
        <v>-76.136126001685284</v>
      </c>
      <c r="AJ30" s="586">
        <f>IF(M30="","",DEGREES(ATAN2(-AE30,AD30)))</f>
        <v>24.257932969636627</v>
      </c>
      <c r="AK30" s="635">
        <f>IF(M30="","",(COS(RADIANS((90-$Q$8)-W30))*AD30)+(-SIN(RADIANS((90-$Q$8)-W30))*AE30))</f>
        <v>0.95923853589600983</v>
      </c>
      <c r="AL30" s="629">
        <f>IF(M30="","",(SIN(RADIANS((90-$Q$8)-W30))*AD30)+(COS(RADIANS((90-$Q$8)-W30))*AE30))</f>
        <v>-0.14981866417249712</v>
      </c>
      <c r="AM30" s="634">
        <f>IF(M30="","",AF30)</f>
        <v>-0.23961594086714688</v>
      </c>
      <c r="AN30" s="581">
        <f>IF(M30="","",DEGREES(ATAN2(-AM30,AL30)))</f>
        <v>-32.015475633279721</v>
      </c>
      <c r="AO30" s="582">
        <f>IF(ROUND(IF(M30="",0,DEGREES(ACOS(AK30))),4)=90,0,IF(M30="","",DEGREES(ACOS(AK30))))</f>
        <v>16.415301882434047</v>
      </c>
      <c r="AP30" s="585">
        <f>IF(M30="","",DEGREES(ATAN2(AK30,AL30)))</f>
        <v>-8.8770232630907824</v>
      </c>
      <c r="AQ30" s="586">
        <f t="shared" si="9"/>
        <v>0.54072726444194197</v>
      </c>
      <c r="AS30" s="52">
        <f t="shared" si="116"/>
        <v>-56.865043767272596</v>
      </c>
      <c r="AT30" s="72">
        <f t="shared" si="10"/>
        <v>-0.33151150521210204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17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190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4.0952411881625137</v>
      </c>
      <c r="C31" s="708">
        <v>2.6110626452252395</v>
      </c>
      <c r="D31" s="709">
        <v>-0.76920231991419685</v>
      </c>
      <c r="E31" s="710">
        <v>-0.32065092322771366</v>
      </c>
      <c r="F31" s="708">
        <v>0.92546558556007141</v>
      </c>
      <c r="G31" s="711">
        <v>0.2017335752351827</v>
      </c>
      <c r="H31" s="710">
        <v>0.314</v>
      </c>
      <c r="I31" s="708">
        <v>0.52</v>
      </c>
      <c r="J31" s="570">
        <v>2.133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2.133</v>
      </c>
      <c r="N31" s="632">
        <f t="shared" si="2"/>
        <v>4.0952411881625137</v>
      </c>
      <c r="O31" s="629">
        <f t="shared" si="3"/>
        <v>2.6110626452252395</v>
      </c>
      <c r="P31" s="633">
        <f t="shared" si="4"/>
        <v>-0.76920231991419685</v>
      </c>
      <c r="Q31" s="585">
        <f t="shared" si="113"/>
        <v>32.520956321378023</v>
      </c>
      <c r="R31" s="629">
        <f>IF(M31="","",SQRT(N31^2+O31^2))</f>
        <v>4.8568146481529784</v>
      </c>
      <c r="S31" s="634">
        <f>IF(M31="","",P31)</f>
        <v>-0.76920231991419685</v>
      </c>
      <c r="T31" s="635">
        <f>IF(M31="","",X31*COS(RADIANS(W31)))</f>
        <v>2.611062645225239</v>
      </c>
      <c r="U31" s="629">
        <f>IF(M31="","",X31*SIN(RADIANS(W31)))</f>
        <v>-4.0952411881625137</v>
      </c>
      <c r="V31" s="636">
        <f>IF(M31="","",Y31)</f>
        <v>-0.76920231991419685</v>
      </c>
      <c r="W31" s="585">
        <f t="shared" si="224"/>
        <v>302.52095632137804</v>
      </c>
      <c r="X31" s="629">
        <f>IF(M31="","",R31)</f>
        <v>4.8568146481529784</v>
      </c>
      <c r="Y31" s="630">
        <f t="shared" si="223"/>
        <v>-0.76920231991419685</v>
      </c>
      <c r="Z31" s="632">
        <f t="shared" si="6"/>
        <v>0.32065092322771366</v>
      </c>
      <c r="AA31" s="629">
        <f t="shared" si="7"/>
        <v>-0.92546558556007141</v>
      </c>
      <c r="AB31" s="629">
        <f t="shared" si="8"/>
        <v>-0.2017335752351827</v>
      </c>
      <c r="AC31" s="636">
        <f>IF(M31="","",SQRT(Z31^2+AA31^2+AB31^2))</f>
        <v>1</v>
      </c>
      <c r="AD31" s="637">
        <f>IF(M31="","",Z31*(1/SQRT(Z31^2+AA31^2+AB31^2)))</f>
        <v>0.32065092322771366</v>
      </c>
      <c r="AE31" s="629">
        <f>IF(M31="","",AA31*(1/SQRT(Z31^2+AA31^2+AB31^2)))</f>
        <v>-0.92546558556007141</v>
      </c>
      <c r="AF31" s="633">
        <f>IF(M31="","",AB31*(1/SQRT(Z31^2+AA31^2+AB31^2)))</f>
        <v>-0.2017335752351827</v>
      </c>
      <c r="AG31" s="602">
        <f>IF(M31="","",DEGREES(ATAN2(-AF31,AE31)))</f>
        <v>-77.702987849759253</v>
      </c>
      <c r="AH31" s="603">
        <f>IF(M31="","",DEGREES(ACOS(AD31)))</f>
        <v>71.297705477784064</v>
      </c>
      <c r="AI31" s="585">
        <f>IF(M31="","",DEGREES(-ACOS(-AF31)))</f>
        <v>-78.361647871391696</v>
      </c>
      <c r="AJ31" s="586">
        <f>IF(M31="","",DEGREES(ATAN2(-AE31,AD31)))</f>
        <v>19.109935183603273</v>
      </c>
      <c r="AK31" s="635">
        <f>IF(M31="","",(COS(RADIANS((90-$Q$8)-W31))*AD31)+(-SIN(RADIANS((90-$Q$8)-W31))*AE31))</f>
        <v>0.9527323497447302</v>
      </c>
      <c r="AL31" s="629">
        <f>IF(M31="","",(SIN(RADIANS((90-$Q$8)-W31))*AD31)+(COS(RADIANS((90-$Q$8)-W31))*AE31))</f>
        <v>-0.2271665344471232</v>
      </c>
      <c r="AM31" s="634">
        <f>IF(M31="","",AF31)</f>
        <v>-0.2017335752351827</v>
      </c>
      <c r="AN31" s="581">
        <f>IF(M31="","",DEGREES(ATAN2(-AM31,AL31)))</f>
        <v>-48.393556720596486</v>
      </c>
      <c r="AO31" s="582">
        <f t="shared" si="94"/>
        <v>17.686639777275186</v>
      </c>
      <c r="AP31" s="585">
        <f>IF(M31="","",DEGREES(ATAN2(AK31,AL31)))</f>
        <v>-13.411021137774748</v>
      </c>
      <c r="AQ31" s="586">
        <f t="shared" si="9"/>
        <v>0.46937670019332622</v>
      </c>
      <c r="AS31" s="52">
        <f t="shared" si="116"/>
        <v>-57.479043678621963</v>
      </c>
      <c r="AT31" s="72">
        <f t="shared" si="10"/>
        <v>-0.72928631735959826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4.5510757438218645</v>
      </c>
      <c r="C32" s="708">
        <v>2.8417248953910645</v>
      </c>
      <c r="D32" s="709">
        <v>-1.3266040010376672</v>
      </c>
      <c r="E32" s="710">
        <v>-0.25520717869474829</v>
      </c>
      <c r="F32" s="708">
        <v>0.95597205949508368</v>
      </c>
      <c r="G32" s="711">
        <v>0.1448679309143166</v>
      </c>
      <c r="H32" s="710">
        <v>0.314</v>
      </c>
      <c r="I32" s="708">
        <v>0.52</v>
      </c>
      <c r="J32" s="570">
        <v>2.14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2.14</v>
      </c>
      <c r="N32" s="632">
        <f t="shared" si="2"/>
        <v>4.5510757438218645</v>
      </c>
      <c r="O32" s="629">
        <f t="shared" si="3"/>
        <v>2.8417248953910645</v>
      </c>
      <c r="P32" s="633">
        <f t="shared" si="4"/>
        <v>-1.3266040010376672</v>
      </c>
      <c r="Q32" s="585">
        <f t="shared" si="113"/>
        <v>31.980956399344368</v>
      </c>
      <c r="R32" s="629">
        <f t="shared" si="79"/>
        <v>5.3654161820952053</v>
      </c>
      <c r="S32" s="634">
        <f t="shared" si="80"/>
        <v>-1.3266040010376672</v>
      </c>
      <c r="T32" s="635">
        <f t="shared" si="81"/>
        <v>2.8417248953910659</v>
      </c>
      <c r="U32" s="629">
        <f t="shared" si="82"/>
        <v>-4.5510757438218628</v>
      </c>
      <c r="V32" s="636">
        <f t="shared" si="114"/>
        <v>-1.3266040010376672</v>
      </c>
      <c r="W32" s="585">
        <f t="shared" si="224"/>
        <v>301.98095639934439</v>
      </c>
      <c r="X32" s="629">
        <f t="shared" si="83"/>
        <v>5.3654161820952053</v>
      </c>
      <c r="Y32" s="630">
        <f t="shared" si="223"/>
        <v>-1.3266040010376672</v>
      </c>
      <c r="Z32" s="632">
        <f t="shared" si="6"/>
        <v>0.25520717869474829</v>
      </c>
      <c r="AA32" s="629">
        <f t="shared" si="7"/>
        <v>-0.95597205949508368</v>
      </c>
      <c r="AB32" s="629">
        <f t="shared" si="8"/>
        <v>-0.1448679309143166</v>
      </c>
      <c r="AC32" s="636">
        <f t="shared" si="84"/>
        <v>1</v>
      </c>
      <c r="AD32" s="637">
        <f t="shared" si="115"/>
        <v>0.25520717869474829</v>
      </c>
      <c r="AE32" s="629">
        <f t="shared" si="85"/>
        <v>-0.95597205949508368</v>
      </c>
      <c r="AF32" s="633">
        <f t="shared" si="86"/>
        <v>-0.1448679309143166</v>
      </c>
      <c r="AG32" s="602">
        <f t="shared" si="87"/>
        <v>-81.382964451231189</v>
      </c>
      <c r="AH32" s="603">
        <f t="shared" si="88"/>
        <v>75.214138195561276</v>
      </c>
      <c r="AI32" s="585">
        <f t="shared" si="89"/>
        <v>-81.670368562395765</v>
      </c>
      <c r="AJ32" s="586">
        <f t="shared" si="90"/>
        <v>14.947156096816336</v>
      </c>
      <c r="AK32" s="635">
        <f t="shared" si="211"/>
        <v>0.94604587466255574</v>
      </c>
      <c r="AL32" s="629">
        <f t="shared" si="91"/>
        <v>-0.2898456237837046</v>
      </c>
      <c r="AM32" s="634">
        <f t="shared" si="92"/>
        <v>-0.1448679309143166</v>
      </c>
      <c r="AN32" s="581">
        <f t="shared" si="93"/>
        <v>-63.443628440702533</v>
      </c>
      <c r="AO32" s="582">
        <f t="shared" si="94"/>
        <v>18.906982870682626</v>
      </c>
      <c r="AP32" s="585">
        <f t="shared" si="95"/>
        <v>-17.03380030252805</v>
      </c>
      <c r="AQ32" s="586">
        <f t="shared" si="9"/>
        <v>0.42488499786632694</v>
      </c>
      <c r="AS32" s="52">
        <f t="shared" si="116"/>
        <v>-58.019043600655607</v>
      </c>
      <c r="AT32" s="72">
        <f t="shared" si="10"/>
        <v>-1.2863129985372119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2.14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4.8576519969865366</v>
      </c>
      <c r="C33" s="708">
        <v>2.9886761033291047</v>
      </c>
      <c r="D33" s="709">
        <v>-2.0013060359390047</v>
      </c>
      <c r="E33" s="710">
        <v>-0.17775288774530382</v>
      </c>
      <c r="F33" s="708">
        <v>0.97975406580454938</v>
      </c>
      <c r="G33" s="711">
        <v>9.2118844096419461E-2</v>
      </c>
      <c r="H33" s="710">
        <v>0.314</v>
      </c>
      <c r="I33" s="708">
        <v>0.52</v>
      </c>
      <c r="J33" s="570">
        <v>2.1469999999999998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2.1469999999999998</v>
      </c>
      <c r="N33" s="632">
        <f t="shared" si="2"/>
        <v>4.8576519969865366</v>
      </c>
      <c r="O33" s="629">
        <f t="shared" si="3"/>
        <v>2.9886761033291047</v>
      </c>
      <c r="P33" s="633">
        <f t="shared" si="4"/>
        <v>-2.0013060359390047</v>
      </c>
      <c r="Q33" s="585">
        <f t="shared" si="113"/>
        <v>31.601956454065185</v>
      </c>
      <c r="R33" s="629">
        <f t="shared" si="79"/>
        <v>5.7034172015062801</v>
      </c>
      <c r="S33" s="634">
        <f t="shared" si="80"/>
        <v>-2.0013060359390047</v>
      </c>
      <c r="T33" s="635">
        <f t="shared" si="81"/>
        <v>2.9886761033291065</v>
      </c>
      <c r="U33" s="629">
        <f t="shared" si="82"/>
        <v>-4.8576519969865357</v>
      </c>
      <c r="V33" s="636">
        <f t="shared" si="114"/>
        <v>-2.0013060359390047</v>
      </c>
      <c r="W33" s="585">
        <f t="shared" si="224"/>
        <v>301.6019564540652</v>
      </c>
      <c r="X33" s="629">
        <f t="shared" si="83"/>
        <v>5.7034172015062801</v>
      </c>
      <c r="Y33" s="630">
        <f t="shared" si="223"/>
        <v>-2.0013060359390047</v>
      </c>
      <c r="Z33" s="632">
        <f t="shared" si="6"/>
        <v>0.17775288774530382</v>
      </c>
      <c r="AA33" s="629">
        <f t="shared" si="7"/>
        <v>-0.97975406580454938</v>
      </c>
      <c r="AB33" s="629">
        <f t="shared" si="8"/>
        <v>-9.2118844096419461E-2</v>
      </c>
      <c r="AC33" s="636">
        <f t="shared" si="84"/>
        <v>1</v>
      </c>
      <c r="AD33" s="637">
        <f t="shared" si="115"/>
        <v>0.17775288774530382</v>
      </c>
      <c r="AE33" s="629">
        <f t="shared" si="85"/>
        <v>-0.97975406580454938</v>
      </c>
      <c r="AF33" s="633">
        <f t="shared" si="86"/>
        <v>-9.2118844096419461E-2</v>
      </c>
      <c r="AG33" s="602">
        <f t="shared" si="87"/>
        <v>-84.628703064015482</v>
      </c>
      <c r="AH33" s="603">
        <f t="shared" si="88"/>
        <v>79.761100853770699</v>
      </c>
      <c r="AI33" s="585">
        <f t="shared" si="89"/>
        <v>-84.714485592775532</v>
      </c>
      <c r="AJ33" s="586">
        <f t="shared" si="90"/>
        <v>10.283095163118052</v>
      </c>
      <c r="AK33" s="635">
        <f t="shared" si="211"/>
        <v>0.92761057367783584</v>
      </c>
      <c r="AL33" s="629">
        <f t="shared" si="91"/>
        <v>-0.36201207460997231</v>
      </c>
      <c r="AM33" s="634">
        <f t="shared" si="92"/>
        <v>-9.2118844096419461E-2</v>
      </c>
      <c r="AN33" s="581">
        <f t="shared" si="93"/>
        <v>-75.723316563309169</v>
      </c>
      <c r="AO33" s="582">
        <f t="shared" si="94"/>
        <v>21.934641371918023</v>
      </c>
      <c r="AP33" s="585">
        <f t="shared" si="95"/>
        <v>-21.318861290947151</v>
      </c>
      <c r="AQ33" s="586">
        <f t="shared" si="9"/>
        <v>0.39970592518320158</v>
      </c>
      <c r="AS33" s="52">
        <f t="shared" si="116"/>
        <v>-58.398043545934797</v>
      </c>
      <c r="AT33" s="72">
        <f t="shared" si="10"/>
        <v>-1.9607518390321055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2.1469999999999998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4.9871715908098313</v>
      </c>
      <c r="C34" s="708">
        <v>3.0487191829116651</v>
      </c>
      <c r="D34" s="709">
        <v>-2.7424082711033457</v>
      </c>
      <c r="E34" s="710">
        <v>-4.8520550182317809E-2</v>
      </c>
      <c r="F34" s="708">
        <v>0.99806522711657386</v>
      </c>
      <c r="G34" s="711">
        <v>3.8878768380020592E-2</v>
      </c>
      <c r="H34" s="710">
        <v>0.314</v>
      </c>
      <c r="I34" s="708">
        <v>0.52</v>
      </c>
      <c r="J34" s="570">
        <v>2.1539999999999999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2.1539999999999999</v>
      </c>
      <c r="N34" s="632">
        <f t="shared" si="2"/>
        <v>4.9871715908098313</v>
      </c>
      <c r="O34" s="629">
        <f t="shared" si="3"/>
        <v>3.0487191829116651</v>
      </c>
      <c r="P34" s="633">
        <f t="shared" si="4"/>
        <v>-2.7424082711033457</v>
      </c>
      <c r="Q34" s="585">
        <f t="shared" si="113"/>
        <v>31.43795647774385</v>
      </c>
      <c r="R34" s="629">
        <f>IF(M34="","",SQRT(N34^2+O34^2))</f>
        <v>5.8452176291763704</v>
      </c>
      <c r="S34" s="634">
        <f>IF(M34="","",P34)</f>
        <v>-2.7424082711033457</v>
      </c>
      <c r="T34" s="635">
        <f>IF(M34="","",X34*COS(RADIANS(W34)))</f>
        <v>3.0487191829116669</v>
      </c>
      <c r="U34" s="629">
        <f>IF(M34="","",X34*SIN(RADIANS(W34)))</f>
        <v>-4.9871715908098304</v>
      </c>
      <c r="V34" s="636">
        <f>IF(M34="","",Y34)</f>
        <v>-2.7424082711033457</v>
      </c>
      <c r="W34" s="585">
        <f t="shared" si="224"/>
        <v>301.43795647774385</v>
      </c>
      <c r="X34" s="629">
        <f>IF(M34="","",R34)</f>
        <v>5.8452176291763704</v>
      </c>
      <c r="Y34" s="630">
        <f t="shared" si="223"/>
        <v>-2.7424082711033457</v>
      </c>
      <c r="Z34" s="632">
        <f t="shared" si="6"/>
        <v>4.8520550182317809E-2</v>
      </c>
      <c r="AA34" s="629">
        <f t="shared" si="7"/>
        <v>-0.99806522711657386</v>
      </c>
      <c r="AB34" s="629">
        <f t="shared" si="8"/>
        <v>-3.8878768380020592E-2</v>
      </c>
      <c r="AC34" s="636">
        <f>IF(M34="","",SQRT(Z34^2+AA34^2+AB34^2))</f>
        <v>1</v>
      </c>
      <c r="AD34" s="637">
        <f>IF(M34="","",Z34*(1/SQRT(Z34^2+AA34^2+AB34^2)))</f>
        <v>4.8520550182317809E-2</v>
      </c>
      <c r="AE34" s="629">
        <f>IF(M34="","",AA34*(1/SQRT(Z34^2+AA34^2+AB34^2)))</f>
        <v>-0.99806522711657386</v>
      </c>
      <c r="AF34" s="633">
        <f>IF(M34="","",AB34*(1/SQRT(Z34^2+AA34^2+AB34^2)))</f>
        <v>-3.8878768380020592E-2</v>
      </c>
      <c r="AG34" s="602">
        <f>IF(M34="","",DEGREES(ATAN2(-AF34,AE34)))</f>
        <v>-87.7692203154118</v>
      </c>
      <c r="AH34" s="603">
        <f>IF(M34="","",DEGREES(ACOS(AD34)))</f>
        <v>87.218885289118035</v>
      </c>
      <c r="AI34" s="585">
        <f>IF(M34="","",DEGREES(-ACOS(-AF34)))</f>
        <v>-87.771849088444057</v>
      </c>
      <c r="AJ34" s="586">
        <f>IF(M34="","",DEGREES(ATAN2(-AE34,AD34)))</f>
        <v>2.7832206618067508</v>
      </c>
      <c r="AK34" s="635">
        <f>IF(M34="","",(COS(RADIANS((90-$Q$8)-W34))*AD34)+(-SIN(RADIANS((90-$Q$8)-W34))*AE34))</f>
        <v>0.87686180459279284</v>
      </c>
      <c r="AL34" s="629">
        <f>IF(M34="","",(SIN(RADIANS((90-$Q$8)-W34))*AD34)+(COS(RADIANS((90-$Q$8)-W34))*AE34))</f>
        <v>-0.47916783804375246</v>
      </c>
      <c r="AM34" s="634">
        <f>IF(M34="","",AF34)</f>
        <v>-3.8878768380020592E-2</v>
      </c>
      <c r="AN34" s="581">
        <f>IF(M34="","",DEGREES(ATAN2(-AM34,AL34)))</f>
        <v>-85.361290931779706</v>
      </c>
      <c r="AO34" s="582">
        <f t="shared" si="94"/>
        <v>28.73390874634045</v>
      </c>
      <c r="AP34" s="585">
        <f>IF(M34="","",DEGREES(ATAN2(AK34,AL34)))</f>
        <v>-28.654735815937119</v>
      </c>
      <c r="AQ34" s="586">
        <f t="shared" si="9"/>
        <v>0.39000967395717279</v>
      </c>
      <c r="AS34" s="52">
        <f t="shared" si="116"/>
        <v>-58.562043522256147</v>
      </c>
      <c r="AT34" s="72">
        <f t="shared" si="10"/>
        <v>-2.7017401853240011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2.1539999999999999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5.0320665029523086</v>
      </c>
      <c r="C35" s="708">
        <v>3.0694117953147106</v>
      </c>
      <c r="D35" s="709">
        <v>-3.5433106866250306</v>
      </c>
      <c r="E35" s="710">
        <v>6.3104725699020689E-2</v>
      </c>
      <c r="F35" s="708">
        <v>0.99800691059452817</v>
      </c>
      <c r="G35" s="711">
        <v>1.3008419243733727E-7</v>
      </c>
      <c r="H35" s="710">
        <v>0.314</v>
      </c>
      <c r="I35" s="708">
        <v>0.52</v>
      </c>
      <c r="J35" s="570">
        <v>2.161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2.161</v>
      </c>
      <c r="N35" s="632">
        <f t="shared" si="2"/>
        <v>5.0320665029523086</v>
      </c>
      <c r="O35" s="629">
        <f t="shared" si="3"/>
        <v>3.0694117953147106</v>
      </c>
      <c r="P35" s="633">
        <f t="shared" si="4"/>
        <v>-3.5433106866250306</v>
      </c>
      <c r="Q35" s="585">
        <f t="shared" si="113"/>
        <v>31.381956485829249</v>
      </c>
      <c r="R35" s="629">
        <f>IF(M35="","",SQRT(N35^2+O35^2))</f>
        <v>5.8943177772624162</v>
      </c>
      <c r="S35" s="634">
        <f>IF(M35="","",P35)</f>
        <v>-3.5433106866250306</v>
      </c>
      <c r="T35" s="635">
        <f>IF(M35="","",X35*COS(RADIANS(W35)))</f>
        <v>3.0694117953147142</v>
      </c>
      <c r="U35" s="629">
        <f>IF(M35="","",X35*SIN(RADIANS(W35)))</f>
        <v>-5.0320665029523068</v>
      </c>
      <c r="V35" s="636">
        <f>IF(M35="","",Y35)</f>
        <v>-3.5433106866250306</v>
      </c>
      <c r="W35" s="585">
        <f t="shared" si="224"/>
        <v>301.38195648582928</v>
      </c>
      <c r="X35" s="629">
        <f>IF(M35="","",R35)</f>
        <v>5.8943177772624162</v>
      </c>
      <c r="Y35" s="630">
        <f t="shared" si="223"/>
        <v>-3.5433106866250306</v>
      </c>
      <c r="Z35" s="632">
        <f t="shared" si="6"/>
        <v>-6.3104725699020689E-2</v>
      </c>
      <c r="AA35" s="629">
        <f t="shared" si="7"/>
        <v>-0.99800691059452817</v>
      </c>
      <c r="AB35" s="629">
        <f t="shared" si="8"/>
        <v>-1.3008419243733727E-7</v>
      </c>
      <c r="AC35" s="636">
        <f>IF(M35="","",SQRT(Z35^2+AA35^2+AB35^2))</f>
        <v>1</v>
      </c>
      <c r="AD35" s="637">
        <f>IF(M35="","",Z35*(1/SQRT(Z35^2+AA35^2+AB35^2)))</f>
        <v>-6.3104725699020689E-2</v>
      </c>
      <c r="AE35" s="629">
        <f>IF(M35="","",AA35*(1/SQRT(Z35^2+AA35^2+AB35^2)))</f>
        <v>-0.99800691059452817</v>
      </c>
      <c r="AF35" s="633">
        <f>IF(M35="","",AB35*(1/SQRT(Z35^2+AA35^2+AB35^2)))</f>
        <v>-1.3008419243733727E-7</v>
      </c>
      <c r="AG35" s="602">
        <f>IF(M35="","",DEGREES(ATAN2(-AF35,AE35)))</f>
        <v>-89.999992531840078</v>
      </c>
      <c r="AH35" s="603">
        <f>IF(M35="","",DEGREES(ACOS(AD35)))</f>
        <v>93.618038460796001</v>
      </c>
      <c r="AI35" s="585">
        <f>IF(M35="","",DEGREES(-ACOS(-AF35)))</f>
        <v>-89.999992546724783</v>
      </c>
      <c r="AJ35" s="586">
        <f>IF(M35="","",DEGREES(ATAN2(-AE35,AD35)))</f>
        <v>-3.6180384607960256</v>
      </c>
      <c r="AK35" s="635">
        <f>IF(M35="","",(COS(RADIANS((90-$Q$8)-W35))*AD35)+(-SIN(RADIANS((90-$Q$8)-W35))*AE35))</f>
        <v>0.81915209487729146</v>
      </c>
      <c r="AL35" s="629">
        <f>IF(M35="","",(SIN(RADIANS((90-$Q$8)-W35))*AD35)+(COS(RADIANS((90-$Q$8)-W35))*AE35))</f>
        <v>-0.57357636410344526</v>
      </c>
      <c r="AM35" s="634">
        <f>IF(M35="","",AF35)</f>
        <v>-1.3008419243733727E-7</v>
      </c>
      <c r="AN35" s="581">
        <f>IF(M35="","",DEGREES(ATAN2(-AM35,AL35)))</f>
        <v>-89.999987005609597</v>
      </c>
      <c r="AO35" s="582">
        <f t="shared" si="94"/>
        <v>34.999994946626011</v>
      </c>
      <c r="AP35" s="585">
        <f>IF(M35="","",DEGREES(ATAN2(AK35,AL35)))</f>
        <v>-34.999994946625314</v>
      </c>
      <c r="AQ35" s="586">
        <f t="shared" si="9"/>
        <v>0.38676096065028631</v>
      </c>
      <c r="AS35" s="52">
        <f t="shared" si="116"/>
        <v>-58.618043514170722</v>
      </c>
      <c r="AT35" s="72">
        <f t="shared" si="10"/>
        <v>-3.5026037119624118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2.161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3.3176927873423554</v>
      </c>
      <c r="C36" s="708">
        <v>1.1003678598755775</v>
      </c>
      <c r="D36" s="709">
        <v>-0.14280043068609896</v>
      </c>
      <c r="E36" s="710">
        <v>9.3115983694318491E-2</v>
      </c>
      <c r="F36" s="708">
        <v>3.0883699910405876E-2</v>
      </c>
      <c r="G36" s="711">
        <v>0.99517617066551767</v>
      </c>
      <c r="H36" s="710">
        <v>0.25700000000000001</v>
      </c>
      <c r="I36" s="708">
        <v>0.41499999999999992</v>
      </c>
      <c r="J36" s="570">
        <v>2.2189999999999999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2.2189999999999999</v>
      </c>
      <c r="N36" s="632">
        <f t="shared" si="2"/>
        <v>3.3176927873423554</v>
      </c>
      <c r="O36" s="629">
        <f t="shared" si="3"/>
        <v>1.1003678598755775</v>
      </c>
      <c r="P36" s="633">
        <f t="shared" si="4"/>
        <v>-0.14280043068609896</v>
      </c>
      <c r="Q36" s="585">
        <f t="shared" si="113"/>
        <v>18.348958367561362</v>
      </c>
      <c r="R36" s="629">
        <f>IF(M36="","",SQRT(N36^2+O36^2))</f>
        <v>3.4954105421581949</v>
      </c>
      <c r="S36" s="634">
        <f>IF(M36="","",P36)</f>
        <v>-0.14280043068609896</v>
      </c>
      <c r="T36" s="635">
        <f>IF(M36="","",X36*COS(RADIANS(W36)))</f>
        <v>1.1003678598755773</v>
      </c>
      <c r="U36" s="629">
        <f>IF(M36="","",X36*SIN(RADIANS(W36)))</f>
        <v>-3.3176927873423554</v>
      </c>
      <c r="V36" s="636">
        <f>IF(M36="","",Y36)</f>
        <v>-0.14280043068609896</v>
      </c>
      <c r="W36" s="585">
        <f t="shared" si="224"/>
        <v>288.34895836756135</v>
      </c>
      <c r="X36" s="629">
        <f>IF(M36="","",R36)</f>
        <v>3.4954105421581949</v>
      </c>
      <c r="Y36" s="630">
        <f t="shared" si="223"/>
        <v>-0.14280043068609896</v>
      </c>
      <c r="Z36" s="632">
        <f t="shared" si="6"/>
        <v>-9.3115983694318491E-2</v>
      </c>
      <c r="AA36" s="629">
        <f t="shared" si="7"/>
        <v>-3.0883699910405876E-2</v>
      </c>
      <c r="AB36" s="629">
        <f t="shared" si="8"/>
        <v>-0.99517617066551767</v>
      </c>
      <c r="AC36" s="636">
        <f>IF(M36="","",SQRT(Z36^2+AA36^2+AB36^2))</f>
        <v>1</v>
      </c>
      <c r="AD36" s="637">
        <f>IF(M36="","",Z36*(1/SQRT(Z36^2+AA36^2+AB36^2)))</f>
        <v>-9.3115983694318491E-2</v>
      </c>
      <c r="AE36" s="629">
        <f>IF(M36="","",AA36*(1/SQRT(Z36^2+AA36^2+AB36^2)))</f>
        <v>-3.0883699910405876E-2</v>
      </c>
      <c r="AF36" s="633">
        <f>IF(M36="","",AB36*(1/SQRT(Z36^2+AA36^2+AB36^2)))</f>
        <v>-0.99517617066551767</v>
      </c>
      <c r="AG36" s="602">
        <f>IF(M36="","",DEGREES(ATAN2(-AF36,AE36)))</f>
        <v>-1.7775123511312569</v>
      </c>
      <c r="AH36" s="603">
        <f>IF(M36="","",DEGREES(ACOS(AD36)))</f>
        <v>95.342892926294795</v>
      </c>
      <c r="AI36" s="585">
        <f>IF(M36="","",DEGREES(-ACOS(-AF36)))</f>
        <v>-5.6299991871435981</v>
      </c>
      <c r="AJ36" s="586">
        <f>IF(M36="","",DEGREES(ATAN2(-AE36,AD36)))</f>
        <v>-71.650909177145337</v>
      </c>
      <c r="AK36" s="635">
        <f>IF(M36="","",(COS(RADIANS((90-$Q$8)-W36))*AD36)+(-SIN(RADIANS((90-$Q$8)-W36))*AE36))</f>
        <v>2.2679489672730591E-7</v>
      </c>
      <c r="AL36" s="629">
        <f>IF(M36="","",(SIN(RADIANS((90-$Q$8)-W36))*AD36)+(COS(RADIANS((90-$Q$8)-W36))*AE36))</f>
        <v>-9.8103972088112501E-2</v>
      </c>
      <c r="AM36" s="634">
        <f>IF(M36="","",AF36)</f>
        <v>-0.99517617066551767</v>
      </c>
      <c r="AN36" s="581">
        <f>IF(M36="","",DEGREES(ATAN2(-AM36,AL36)))</f>
        <v>-5.629999187128691</v>
      </c>
      <c r="AO36" s="582">
        <f t="shared" si="94"/>
        <v>0</v>
      </c>
      <c r="AP36" s="585">
        <f>IF(M36="","",DEGREES(ATAN2(AK36,AL36)))</f>
        <v>-89.999867544706703</v>
      </c>
      <c r="AQ36" s="586">
        <f t="shared" si="9"/>
        <v>0.65217751858106876</v>
      </c>
      <c r="AS36" s="52">
        <f t="shared" si="116"/>
        <v>-71.651041632438648</v>
      </c>
      <c r="AT36" s="72">
        <f t="shared" si="10"/>
        <v>-9.3042762885794342E-2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2.2189999999999999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2.1190000000000002</v>
      </c>
      <c r="II36" s="734" cm="1">
        <f t="array" ref="II36">IFERROR(ROUND(VALUE(IF($IH36&lt;1,$IH36+LARGE((IF($M$9:$M$150="",0,$M$9:$M$150)-MOD(IF($M$9:$M$150="",0,$M$9:$M$150),1)),1),$IH36)),4),"")</f>
        <v>2.1190000000000002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15.3419977848896</v>
      </c>
      <c r="IM36" s="759">
        <v>2.6340633690802098E-2</v>
      </c>
      <c r="IN36" s="5">
        <f t="shared" si="226"/>
        <v>0.6</v>
      </c>
      <c r="IO36" s="771">
        <v>300</v>
      </c>
      <c r="IP36" s="9">
        <f t="shared" si="227"/>
        <v>-3.4908105282845536</v>
      </c>
      <c r="IQ36" s="5">
        <f t="shared" si="228"/>
        <v>-0.1620004885934736</v>
      </c>
      <c r="IR36" s="5">
        <f t="shared" si="71"/>
        <v>0.314</v>
      </c>
      <c r="IS36" s="5">
        <f t="shared" si="229"/>
        <v>0.30308039414797994</v>
      </c>
      <c r="IT36" s="727">
        <f t="shared" si="230"/>
        <v>14.012101278165987</v>
      </c>
      <c r="IU36" s="9">
        <f t="shared" si="231"/>
        <v>-3.4954105421581949</v>
      </c>
      <c r="IV36" s="5">
        <f t="shared" si="232"/>
        <v>-0.14280043068609896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5.629999187128691</v>
      </c>
    </row>
    <row r="37" spans="1:267" ht="15" customHeight="1" x14ac:dyDescent="0.25">
      <c r="A37" s="79"/>
      <c r="B37" s="707">
        <v>3.9822498881546893</v>
      </c>
      <c r="C37" s="708">
        <v>1.4317559466013396</v>
      </c>
      <c r="D37" s="709">
        <v>-0.32610098352056627</v>
      </c>
      <c r="E37" s="710">
        <v>-0.16661203689986809</v>
      </c>
      <c r="F37" s="708">
        <v>0.94573020159934584</v>
      </c>
      <c r="G37" s="711">
        <v>0.27898891544815485</v>
      </c>
      <c r="H37" s="710">
        <v>0.26600000000000001</v>
      </c>
      <c r="I37" s="708">
        <v>0.52</v>
      </c>
      <c r="J37" s="570">
        <v>2.226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2.226</v>
      </c>
      <c r="N37" s="632">
        <f t="shared" si="2"/>
        <v>3.9822498881546893</v>
      </c>
      <c r="O37" s="629">
        <f t="shared" si="3"/>
        <v>1.4317559466013396</v>
      </c>
      <c r="P37" s="633">
        <f t="shared" si="4"/>
        <v>-0.32610098352056627</v>
      </c>
      <c r="Q37" s="585">
        <f t="shared" si="113"/>
        <v>19.775258161629136</v>
      </c>
      <c r="R37" s="629">
        <f t="shared" si="79"/>
        <v>4.2318127631472935</v>
      </c>
      <c r="S37" s="634">
        <f t="shared" si="80"/>
        <v>-0.32610098352056627</v>
      </c>
      <c r="T37" s="635">
        <f t="shared" si="81"/>
        <v>1.431755946601339</v>
      </c>
      <c r="U37" s="629">
        <f t="shared" si="82"/>
        <v>-3.9822498881546893</v>
      </c>
      <c r="V37" s="636">
        <f t="shared" si="114"/>
        <v>-0.32610098352056627</v>
      </c>
      <c r="W37" s="585">
        <f t="shared" si="224"/>
        <v>289.77525816162915</v>
      </c>
      <c r="X37" s="629">
        <f t="shared" si="83"/>
        <v>4.2318127631472935</v>
      </c>
      <c r="Y37" s="630">
        <f t="shared" si="223"/>
        <v>-0.32610098352056627</v>
      </c>
      <c r="Z37" s="632">
        <f t="shared" si="6"/>
        <v>0.16661203689986809</v>
      </c>
      <c r="AA37" s="629">
        <f t="shared" si="7"/>
        <v>-0.94573020159934584</v>
      </c>
      <c r="AB37" s="629">
        <f t="shared" si="8"/>
        <v>-0.27898891544815485</v>
      </c>
      <c r="AC37" s="636">
        <f t="shared" si="84"/>
        <v>1</v>
      </c>
      <c r="AD37" s="637">
        <f t="shared" si="115"/>
        <v>0.16661203689986809</v>
      </c>
      <c r="AE37" s="629">
        <f t="shared" si="85"/>
        <v>-0.94573020159934584</v>
      </c>
      <c r="AF37" s="633">
        <f t="shared" si="86"/>
        <v>-0.27898891544815485</v>
      </c>
      <c r="AG37" s="602">
        <f t="shared" si="87"/>
        <v>-73.564024042476134</v>
      </c>
      <c r="AH37" s="603">
        <f t="shared" si="88"/>
        <v>80.409106213512075</v>
      </c>
      <c r="AI37" s="585">
        <f t="shared" si="89"/>
        <v>-73.800130701246374</v>
      </c>
      <c r="AJ37" s="586">
        <f t="shared" si="90"/>
        <v>9.991438076388274</v>
      </c>
      <c r="AK37" s="635">
        <f t="shared" si="211"/>
        <v>0.9463277295784428</v>
      </c>
      <c r="AL37" s="629">
        <f t="shared" si="91"/>
        <v>-0.16318398600344364</v>
      </c>
      <c r="AM37" s="634">
        <f t="shared" si="92"/>
        <v>-0.27898891544815485</v>
      </c>
      <c r="AN37" s="581">
        <f t="shared" si="93"/>
        <v>-30.323880793064696</v>
      </c>
      <c r="AO37" s="582">
        <f t="shared" si="94"/>
        <v>18.85708156032242</v>
      </c>
      <c r="AP37" s="585">
        <f t="shared" si="95"/>
        <v>-9.7838200852408566</v>
      </c>
      <c r="AQ37" s="586">
        <f t="shared" si="9"/>
        <v>0.53869572800652721</v>
      </c>
      <c r="AS37" s="52">
        <f t="shared" si="116"/>
        <v>-70.224741838370846</v>
      </c>
      <c r="AT37" s="72">
        <f t="shared" si="10"/>
        <v>-0.2773338016883643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I37" s="734" cm="1">
        <f t="array" ref="II37">IFERROR(ROUND(VALUE(IF($IH37&lt;1,$IH37+LARGE((IF($M$9:$M$150="",0,$M$9:$M$150)-MOD(IF($M$9:$M$150="",0,$M$9:$M$150),1)),1),$IH37)),4),"")</f>
        <v>2.1259999999999999</v>
      </c>
      <c r="IJ37" s="533">
        <f t="shared" si="112"/>
        <v>1613</v>
      </c>
      <c r="IK37" s="533">
        <f t="shared" si="66"/>
        <v>1313</v>
      </c>
      <c r="IL37" s="727">
        <f t="shared" si="225"/>
        <v>13.359698071098251</v>
      </c>
      <c r="IM37" s="759">
        <v>1.94410346466663E-3</v>
      </c>
      <c r="IN37" s="5">
        <f t="shared" si="226"/>
        <v>0.02</v>
      </c>
      <c r="IO37" s="771">
        <v>10</v>
      </c>
      <c r="IP37" s="9">
        <f t="shared" si="227"/>
        <v>-4.2159127151927507</v>
      </c>
      <c r="IQ37" s="5">
        <f t="shared" si="228"/>
        <v>-0.37100111893937471</v>
      </c>
      <c r="IR37" s="5">
        <f t="shared" si="71"/>
        <v>0.314</v>
      </c>
      <c r="IS37" s="5">
        <f t="shared" si="229"/>
        <v>0.30120090027134711</v>
      </c>
      <c r="IT37" s="727">
        <f t="shared" si="230"/>
        <v>32.015475633279721</v>
      </c>
      <c r="IU37" s="9">
        <f t="shared" si="231"/>
        <v>-4.2318127631472935</v>
      </c>
      <c r="IV37" s="5">
        <f t="shared" si="232"/>
        <v>-0.32610098352056627</v>
      </c>
      <c r="IW37" s="5">
        <f t="shared" si="76"/>
        <v>0.26600000000000001</v>
      </c>
      <c r="IX37" s="5">
        <f t="shared" si="233"/>
        <v>0.25172317606786582</v>
      </c>
      <c r="IY37" s="762">
        <f t="shared" si="234"/>
        <v>30.323880793064696</v>
      </c>
    </row>
    <row r="38" spans="1:267" ht="15" customHeight="1" x14ac:dyDescent="0.25">
      <c r="A38" s="79"/>
      <c r="B38" s="707">
        <v>4.5882892301070699</v>
      </c>
      <c r="C38" s="708">
        <v>1.6707587398143966</v>
      </c>
      <c r="D38" s="709">
        <v>-0.72910219897223216</v>
      </c>
      <c r="E38" s="710">
        <v>-8.7385366605120779E-2</v>
      </c>
      <c r="F38" s="708">
        <v>0.9676237345168166</v>
      </c>
      <c r="G38" s="711">
        <v>0.23678704800520212</v>
      </c>
      <c r="H38" s="710">
        <v>0.26600000000000001</v>
      </c>
      <c r="I38" s="708">
        <v>0.52</v>
      </c>
      <c r="J38" s="570">
        <v>2.2330000000000001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2.2330000000000001</v>
      </c>
      <c r="N38" s="632">
        <f t="shared" si="2"/>
        <v>4.5882892301070699</v>
      </c>
      <c r="O38" s="629">
        <f t="shared" si="3"/>
        <v>1.6707587398143966</v>
      </c>
      <c r="P38" s="633">
        <f t="shared" si="4"/>
        <v>-0.72910219897223216</v>
      </c>
      <c r="Q38" s="585">
        <f t="shared" si="113"/>
        <v>20.008358127973676</v>
      </c>
      <c r="R38" s="629">
        <f t="shared" si="79"/>
        <v>4.8830147271724176</v>
      </c>
      <c r="S38" s="634">
        <f t="shared" si="80"/>
        <v>-0.72910219897223216</v>
      </c>
      <c r="T38" s="635">
        <f t="shared" si="81"/>
        <v>1.6707587398143946</v>
      </c>
      <c r="U38" s="629">
        <f t="shared" si="82"/>
        <v>-4.5882892301070708</v>
      </c>
      <c r="V38" s="636">
        <f t="shared" si="114"/>
        <v>-0.72910219897223216</v>
      </c>
      <c r="W38" s="585">
        <f t="shared" si="224"/>
        <v>290.00835812797368</v>
      </c>
      <c r="X38" s="629">
        <f t="shared" si="83"/>
        <v>4.8830147271724176</v>
      </c>
      <c r="Y38" s="630">
        <f t="shared" si="223"/>
        <v>-0.72910219897223216</v>
      </c>
      <c r="Z38" s="632">
        <f t="shared" si="6"/>
        <v>8.7385366605120779E-2</v>
      </c>
      <c r="AA38" s="629">
        <f t="shared" si="7"/>
        <v>-0.9676237345168166</v>
      </c>
      <c r="AB38" s="629">
        <f t="shared" si="8"/>
        <v>-0.23678704800520212</v>
      </c>
      <c r="AC38" s="636">
        <f t="shared" si="84"/>
        <v>1</v>
      </c>
      <c r="AD38" s="637">
        <f t="shared" si="115"/>
        <v>8.7385366605120779E-2</v>
      </c>
      <c r="AE38" s="629">
        <f t="shared" si="85"/>
        <v>-0.9676237345168166</v>
      </c>
      <c r="AF38" s="633">
        <f t="shared" si="86"/>
        <v>-0.23678704800520212</v>
      </c>
      <c r="AG38" s="602">
        <f t="shared" si="87"/>
        <v>-76.249383974722846</v>
      </c>
      <c r="AH38" s="603">
        <f t="shared" si="88"/>
        <v>84.986793133199015</v>
      </c>
      <c r="AI38" s="585">
        <f t="shared" si="89"/>
        <v>-76.303013418854761</v>
      </c>
      <c r="AJ38" s="586">
        <f t="shared" si="90"/>
        <v>5.1603400040159242</v>
      </c>
      <c r="AK38" s="635">
        <f t="shared" si="211"/>
        <v>0.93912012989613136</v>
      </c>
      <c r="AL38" s="629">
        <f t="shared" si="91"/>
        <v>-0.24896842273841754</v>
      </c>
      <c r="AM38" s="634">
        <f t="shared" si="92"/>
        <v>-0.23678704800520212</v>
      </c>
      <c r="AN38" s="581">
        <f t="shared" si="93"/>
        <v>-46.436515190313465</v>
      </c>
      <c r="AO38" s="582">
        <f t="shared" si="94"/>
        <v>20.095685146072629</v>
      </c>
      <c r="AP38" s="585">
        <f t="shared" si="95"/>
        <v>-14.848018123957729</v>
      </c>
      <c r="AQ38" s="586">
        <f t="shared" si="9"/>
        <v>0.46685834595179138</v>
      </c>
      <c r="AS38" s="52">
        <f t="shared" si="116"/>
        <v>-69.991641872026321</v>
      </c>
      <c r="AT38" s="72">
        <f t="shared" si="10"/>
        <v>-0.68049689211665831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2.2330000000000001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2.133</v>
      </c>
      <c r="II38" s="734" cm="1">
        <f t="array" ref="II38">IFERROR(ROUND(VALUE(IF($IH38&lt;1,$IH38+LARGE((IF($M$9:$M$150="",0,$M$9:$M$150)-MOD(IF($M$9:$M$150="",0,$M$9:$M$150),1)),1),$IH38)),4),"")</f>
        <v>2.133</v>
      </c>
      <c r="IJ38" s="533">
        <f t="shared" si="112"/>
        <v>1613</v>
      </c>
      <c r="IK38" s="533">
        <f t="shared" si="66"/>
        <v>1313</v>
      </c>
      <c r="IL38" s="727">
        <f t="shared" si="225"/>
        <v>12.512598193404358</v>
      </c>
      <c r="IM38" s="759">
        <v>1.6312076071643899E-3</v>
      </c>
      <c r="IN38" s="5">
        <f t="shared" si="226"/>
        <v>0</v>
      </c>
      <c r="IO38" s="771">
        <v>0</v>
      </c>
      <c r="IP38" s="9">
        <f t="shared" si="227"/>
        <v>-4.8568146481529784</v>
      </c>
      <c r="IQ38" s="5">
        <f t="shared" si="228"/>
        <v>-0.76920231991419685</v>
      </c>
      <c r="IR38" s="5">
        <f t="shared" si="71"/>
        <v>0.314</v>
      </c>
      <c r="IS38" s="5">
        <f t="shared" si="229"/>
        <v>0.29915795781984528</v>
      </c>
      <c r="IT38" s="727">
        <f t="shared" si="230"/>
        <v>48.393556720596486</v>
      </c>
      <c r="IU38" s="9">
        <f t="shared" si="231"/>
        <v>-4.8830147271724176</v>
      </c>
      <c r="IV38" s="5">
        <f t="shared" si="232"/>
        <v>-0.72910219897223216</v>
      </c>
      <c r="IW38" s="5">
        <f t="shared" si="76"/>
        <v>0.26600000000000001</v>
      </c>
      <c r="IX38" s="5">
        <f t="shared" si="233"/>
        <v>0.24980595455237095</v>
      </c>
      <c r="IY38" s="762">
        <f t="shared" si="234"/>
        <v>46.436515190313465</v>
      </c>
    </row>
    <row r="39" spans="1:267" ht="15" customHeight="1" x14ac:dyDescent="0.25">
      <c r="A39" s="79"/>
      <c r="B39" s="707">
        <v>5.0527175161125548</v>
      </c>
      <c r="C39" s="708">
        <v>1.9064474244899721</v>
      </c>
      <c r="D39" s="709">
        <v>-1.2934039009061655</v>
      </c>
      <c r="E39" s="710">
        <v>-3.0629139253576118E-2</v>
      </c>
      <c r="F39" s="708">
        <v>0.98429738533670608</v>
      </c>
      <c r="G39" s="711">
        <v>0.1738404816143499</v>
      </c>
      <c r="H39" s="710">
        <v>0.26600000000000001</v>
      </c>
      <c r="I39" s="708">
        <v>0.52</v>
      </c>
      <c r="J39" s="570">
        <v>2.2400000000000002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2.2400000000000002</v>
      </c>
      <c r="N39" s="632">
        <f t="shared" si="2"/>
        <v>5.0527175161125548</v>
      </c>
      <c r="O39" s="629">
        <f t="shared" si="3"/>
        <v>1.9064474244899721</v>
      </c>
      <c r="P39" s="633">
        <f t="shared" si="4"/>
        <v>-1.2934039009061655</v>
      </c>
      <c r="Q39" s="585">
        <f t="shared" si="113"/>
        <v>20.672058032147273</v>
      </c>
      <c r="R39" s="629">
        <f t="shared" si="79"/>
        <v>5.4004162876555242</v>
      </c>
      <c r="S39" s="634">
        <f t="shared" si="80"/>
        <v>-1.2934039009061655</v>
      </c>
      <c r="T39" s="635">
        <f t="shared" si="81"/>
        <v>1.9064474244899734</v>
      </c>
      <c r="U39" s="629">
        <f t="shared" si="82"/>
        <v>-5.0527175161125548</v>
      </c>
      <c r="V39" s="636">
        <f t="shared" si="114"/>
        <v>-1.2934039009061655</v>
      </c>
      <c r="W39" s="585">
        <f t="shared" si="224"/>
        <v>290.67205803214728</v>
      </c>
      <c r="X39" s="629">
        <f t="shared" si="83"/>
        <v>5.4004162876555242</v>
      </c>
      <c r="Y39" s="630">
        <f t="shared" si="223"/>
        <v>-1.2934039009061655</v>
      </c>
      <c r="Z39" s="632">
        <f t="shared" si="6"/>
        <v>3.0629139253576118E-2</v>
      </c>
      <c r="AA39" s="629">
        <f t="shared" si="7"/>
        <v>-0.98429738533670608</v>
      </c>
      <c r="AB39" s="629">
        <f t="shared" si="8"/>
        <v>-0.1738404816143499</v>
      </c>
      <c r="AC39" s="636">
        <f t="shared" si="84"/>
        <v>1</v>
      </c>
      <c r="AD39" s="637">
        <f t="shared" si="115"/>
        <v>3.0629139253576118E-2</v>
      </c>
      <c r="AE39" s="629">
        <f t="shared" si="85"/>
        <v>-0.98429738533670608</v>
      </c>
      <c r="AF39" s="633">
        <f t="shared" si="86"/>
        <v>-0.1738404816143499</v>
      </c>
      <c r="AG39" s="602">
        <f t="shared" si="87"/>
        <v>-79.984063904533485</v>
      </c>
      <c r="AH39" s="603">
        <f t="shared" si="88"/>
        <v>88.244805080021507</v>
      </c>
      <c r="AI39" s="585">
        <f t="shared" si="89"/>
        <v>-79.988811629173128</v>
      </c>
      <c r="AJ39" s="586">
        <f t="shared" si="90"/>
        <v>1.7823417245879574</v>
      </c>
      <c r="AK39" s="635">
        <f t="shared" si="211"/>
        <v>0.93173733571256301</v>
      </c>
      <c r="AL39" s="629">
        <f t="shared" si="91"/>
        <v>-0.31881816791291195</v>
      </c>
      <c r="AM39" s="634">
        <f t="shared" si="92"/>
        <v>-0.1738404816143499</v>
      </c>
      <c r="AN39" s="581">
        <f t="shared" si="93"/>
        <v>-61.397898006190154</v>
      </c>
      <c r="AO39" s="582">
        <f t="shared" si="94"/>
        <v>21.292726160185396</v>
      </c>
      <c r="AP39" s="585">
        <f t="shared" si="95"/>
        <v>-18.889716307559329</v>
      </c>
      <c r="AQ39" s="586">
        <f t="shared" si="9"/>
        <v>0.42213141756998912</v>
      </c>
      <c r="AS39" s="52">
        <f t="shared" si="116"/>
        <v>-69.327941967852723</v>
      </c>
      <c r="AT39" s="72">
        <f t="shared" si="10"/>
        <v>-1.2452594967618233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2.2400000000000002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2.14</v>
      </c>
      <c r="II39" s="734" cm="1">
        <f t="array" ref="II39">IFERROR(ROUND(VALUE(IF($IH39&lt;1,$IH39+LARGE((IF($M$9:$M$150="",0,$M$9:$M$150)-MOD(IF($M$9:$M$150="",0,$M$9:$M$150),1)),1),$IH39)),4),"")</f>
        <v>2.14</v>
      </c>
      <c r="IJ39" s="533">
        <f t="shared" si="112"/>
        <v>1613</v>
      </c>
      <c r="IK39" s="533">
        <f t="shared" si="66"/>
        <v>1313</v>
      </c>
      <c r="IL39" s="727">
        <f t="shared" si="225"/>
        <v>11.308898367197116</v>
      </c>
      <c r="IM39" s="759">
        <v>1.2115252706710201E-3</v>
      </c>
      <c r="IN39" s="5">
        <f t="shared" si="226"/>
        <v>0</v>
      </c>
      <c r="IO39" s="771">
        <v>0</v>
      </c>
      <c r="IP39" s="9">
        <f t="shared" si="227"/>
        <v>-5.3654161820952053</v>
      </c>
      <c r="IQ39" s="5">
        <f t="shared" si="228"/>
        <v>-1.3266040010376672</v>
      </c>
      <c r="IR39" s="5">
        <f t="shared" si="71"/>
        <v>0.314</v>
      </c>
      <c r="IS39" s="5">
        <f t="shared" si="229"/>
        <v>0.29705840464404248</v>
      </c>
      <c r="IT39" s="727">
        <f t="shared" si="230"/>
        <v>63.443628440702533</v>
      </c>
      <c r="IU39" s="9">
        <f t="shared" si="231"/>
        <v>-5.4004162876555242</v>
      </c>
      <c r="IV39" s="5">
        <f t="shared" si="232"/>
        <v>-1.2934039009061655</v>
      </c>
      <c r="IW39" s="5">
        <f t="shared" si="76"/>
        <v>0.26600000000000001</v>
      </c>
      <c r="IX39" s="5">
        <f t="shared" si="233"/>
        <v>0.24784213129954177</v>
      </c>
      <c r="IY39" s="762">
        <f t="shared" si="234"/>
        <v>61.397898006190154</v>
      </c>
    </row>
    <row r="40" spans="1:267" ht="15" customHeight="1" x14ac:dyDescent="0.25">
      <c r="A40" s="79"/>
      <c r="B40" s="707">
        <v>5.370122713433112</v>
      </c>
      <c r="C40" s="708">
        <v>2.0418874072149764</v>
      </c>
      <c r="D40" s="709">
        <v>-1.9770059626499836</v>
      </c>
      <c r="E40" s="710">
        <v>4.6381716268683842E-2</v>
      </c>
      <c r="F40" s="708">
        <v>0.99247723223957007</v>
      </c>
      <c r="G40" s="711">
        <v>0.11330348574538121</v>
      </c>
      <c r="H40" s="710">
        <v>0.26600000000000001</v>
      </c>
      <c r="I40" s="708">
        <v>0.52</v>
      </c>
      <c r="J40" s="570">
        <v>2.2469999999999999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2.2469999999999999</v>
      </c>
      <c r="N40" s="632">
        <f t="shared" si="2"/>
        <v>5.370122713433112</v>
      </c>
      <c r="O40" s="629">
        <f t="shared" si="3"/>
        <v>2.0418874072149764</v>
      </c>
      <c r="P40" s="633">
        <f t="shared" si="4"/>
        <v>-1.9770059626499836</v>
      </c>
      <c r="Q40" s="585">
        <f t="shared" si="113"/>
        <v>20.818358011024163</v>
      </c>
      <c r="R40" s="629">
        <f t="shared" si="79"/>
        <v>5.7452173275754603</v>
      </c>
      <c r="S40" s="634">
        <f t="shared" si="80"/>
        <v>-1.9770059626499836</v>
      </c>
      <c r="T40" s="635">
        <f t="shared" si="81"/>
        <v>2.0418874072149751</v>
      </c>
      <c r="U40" s="629">
        <f t="shared" si="82"/>
        <v>-5.3701227134331129</v>
      </c>
      <c r="V40" s="636">
        <f t="shared" si="114"/>
        <v>-1.9770059626499836</v>
      </c>
      <c r="W40" s="585">
        <f t="shared" si="224"/>
        <v>290.81835801102415</v>
      </c>
      <c r="X40" s="629">
        <f t="shared" si="83"/>
        <v>5.7452173275754603</v>
      </c>
      <c r="Y40" s="630">
        <f t="shared" si="223"/>
        <v>-1.9770059626499836</v>
      </c>
      <c r="Z40" s="632">
        <f t="shared" si="6"/>
        <v>-4.6381716268683842E-2</v>
      </c>
      <c r="AA40" s="629">
        <f t="shared" si="7"/>
        <v>-0.99247723223957007</v>
      </c>
      <c r="AB40" s="629">
        <f t="shared" si="8"/>
        <v>-0.11330348574538121</v>
      </c>
      <c r="AC40" s="636">
        <f t="shared" si="84"/>
        <v>1</v>
      </c>
      <c r="AD40" s="637">
        <f t="shared" si="115"/>
        <v>-4.6381716268683842E-2</v>
      </c>
      <c r="AE40" s="629">
        <f t="shared" si="85"/>
        <v>-0.99247723223957007</v>
      </c>
      <c r="AF40" s="633">
        <f t="shared" si="86"/>
        <v>-0.11330348574538121</v>
      </c>
      <c r="AG40" s="602">
        <f t="shared" si="87"/>
        <v>-83.487178170242558</v>
      </c>
      <c r="AH40" s="603">
        <f t="shared" si="88"/>
        <v>92.658430334459567</v>
      </c>
      <c r="AI40" s="585">
        <f t="shared" si="89"/>
        <v>-83.494217635976412</v>
      </c>
      <c r="AJ40" s="586">
        <f t="shared" si="90"/>
        <v>-2.6756729436656874</v>
      </c>
      <c r="AK40" s="635">
        <f t="shared" si="211"/>
        <v>0.91119586719796597</v>
      </c>
      <c r="AL40" s="629">
        <f t="shared" si="91"/>
        <v>-0.39608636901475519</v>
      </c>
      <c r="AM40" s="634">
        <f t="shared" si="92"/>
        <v>-0.11330348574538121</v>
      </c>
      <c r="AN40" s="581">
        <f t="shared" si="93"/>
        <v>-74.036423912691092</v>
      </c>
      <c r="AO40" s="582">
        <f t="shared" si="94"/>
        <v>24.32886183761811</v>
      </c>
      <c r="AP40" s="585">
        <f t="shared" si="95"/>
        <v>-23.494030954689833</v>
      </c>
      <c r="AQ40" s="586">
        <f t="shared" si="9"/>
        <v>0.39679790257274844</v>
      </c>
      <c r="AS40" s="52">
        <f t="shared" si="116"/>
        <v>-69.181641988975855</v>
      </c>
      <c r="AT40" s="72">
        <f t="shared" si="10"/>
        <v>-1.9289631557131948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2.2469999999999999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2.1469999999999998</v>
      </c>
      <c r="II40" s="734" cm="1">
        <f t="array" ref="II40">IFERROR(ROUND(VALUE(IF($IH40&lt;1,$IH40+LARGE((IF($M$9:$M$150="",0,$M$9:$M$150)-MOD(IF($M$9:$M$150="",0,$M$9:$M$150),1)),1),$IH40)),4),"")</f>
        <v>2.1469999999999998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10.783598443041058</v>
      </c>
      <c r="IM40" s="759">
        <v>8.1582165560466604E-4</v>
      </c>
      <c r="IN40" s="5">
        <f t="shared" si="226"/>
        <v>0</v>
      </c>
      <c r="IO40" s="771">
        <v>0</v>
      </c>
      <c r="IP40" s="9">
        <f t="shared" si="227"/>
        <v>-5.7034172015062801</v>
      </c>
      <c r="IQ40" s="5">
        <f t="shared" si="228"/>
        <v>-2.0013060359390047</v>
      </c>
      <c r="IR40" s="5">
        <f t="shared" si="71"/>
        <v>0.314</v>
      </c>
      <c r="IS40" s="5">
        <f t="shared" si="229"/>
        <v>0.29126972013484043</v>
      </c>
      <c r="IT40" s="727">
        <f t="shared" si="230"/>
        <v>75.723316563309169</v>
      </c>
      <c r="IU40" s="9">
        <f t="shared" si="231"/>
        <v>-5.7452173275754603</v>
      </c>
      <c r="IV40" s="5">
        <f t="shared" si="232"/>
        <v>-1.9770059626499836</v>
      </c>
      <c r="IW40" s="5">
        <f t="shared" si="76"/>
        <v>0.26600000000000001</v>
      </c>
      <c r="IX40" s="5">
        <f t="shared" si="233"/>
        <v>0.24237810067465895</v>
      </c>
      <c r="IY40" s="762">
        <f t="shared" si="234"/>
        <v>74.036423912691092</v>
      </c>
    </row>
    <row r="41" spans="1:267" ht="15" customHeight="1" x14ac:dyDescent="0.25">
      <c r="A41" s="79"/>
      <c r="B41" s="707">
        <v>5.521268753983736</v>
      </c>
      <c r="C41" s="708">
        <v>2.0533258751888024</v>
      </c>
      <c r="D41" s="709">
        <v>-2.7287082297840217</v>
      </c>
      <c r="E41" s="710">
        <v>0.18440104057166021</v>
      </c>
      <c r="F41" s="708">
        <v>0.98152541152480188</v>
      </c>
      <c r="G41" s="711">
        <v>5.1030606180579252E-2</v>
      </c>
      <c r="H41" s="710">
        <v>0.26600000000000001</v>
      </c>
      <c r="I41" s="708">
        <v>0.52</v>
      </c>
      <c r="J41" s="570">
        <v>2.254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2.254</v>
      </c>
      <c r="N41" s="632">
        <f t="shared" ref="N41:N72" si="240">IF(M41="","",B41)</f>
        <v>5.521268753983736</v>
      </c>
      <c r="O41" s="629">
        <f t="shared" ref="O41:O72" si="241">IF(M41="","",C41)</f>
        <v>2.0533258751888024</v>
      </c>
      <c r="P41" s="633">
        <f t="shared" ref="P41:P72" si="242">IF(M41="","",D41)</f>
        <v>-2.7287082297840217</v>
      </c>
      <c r="Q41" s="585">
        <f t="shared" si="113"/>
        <v>20.399858071448065</v>
      </c>
      <c r="R41" s="629">
        <f t="shared" si="79"/>
        <v>5.8907177664047845</v>
      </c>
      <c r="S41" s="634">
        <f t="shared" si="80"/>
        <v>-2.7287082297840217</v>
      </c>
      <c r="T41" s="635">
        <f t="shared" si="81"/>
        <v>2.0533258751888033</v>
      </c>
      <c r="U41" s="629">
        <f t="shared" si="82"/>
        <v>-5.5212687539837351</v>
      </c>
      <c r="V41" s="636">
        <f t="shared" si="114"/>
        <v>-2.7287082297840217</v>
      </c>
      <c r="W41" s="585">
        <f t="shared" si="224"/>
        <v>290.39985807144808</v>
      </c>
      <c r="X41" s="629">
        <f t="shared" si="83"/>
        <v>5.8907177664047845</v>
      </c>
      <c r="Y41" s="630">
        <f t="shared" si="223"/>
        <v>-2.7287082297840217</v>
      </c>
      <c r="Z41" s="632">
        <f t="shared" ref="Z41:Z72" si="243">IF(M41="","",-E41)</f>
        <v>-0.18440104057166021</v>
      </c>
      <c r="AA41" s="629">
        <f t="shared" ref="AA41:AA72" si="244">IF(M41="","",-F41)</f>
        <v>-0.98152541152480188</v>
      </c>
      <c r="AB41" s="629">
        <f t="shared" ref="AB41:AB72" si="245">IF(M41="","",-G41)</f>
        <v>-5.1030606180579252E-2</v>
      </c>
      <c r="AC41" s="636">
        <f t="shared" si="84"/>
        <v>1</v>
      </c>
      <c r="AD41" s="637">
        <f t="shared" si="115"/>
        <v>-0.18440104057166021</v>
      </c>
      <c r="AE41" s="629">
        <f t="shared" si="85"/>
        <v>-0.98152541152480188</v>
      </c>
      <c r="AF41" s="633">
        <f t="shared" si="86"/>
        <v>-5.1030606180579252E-2</v>
      </c>
      <c r="AG41" s="602">
        <f t="shared" si="87"/>
        <v>-87.023807904274875</v>
      </c>
      <c r="AH41" s="603">
        <f t="shared" si="88"/>
        <v>100.62621376954618</v>
      </c>
      <c r="AI41" s="585">
        <f t="shared" si="89"/>
        <v>-87.074891144784928</v>
      </c>
      <c r="AJ41" s="586">
        <f t="shared" si="90"/>
        <v>-10.640238319864832</v>
      </c>
      <c r="AK41" s="635">
        <f t="shared" si="211"/>
        <v>0.85569031784589744</v>
      </c>
      <c r="AL41" s="629">
        <f t="shared" si="91"/>
        <v>-0.5149659767184912</v>
      </c>
      <c r="AM41" s="634">
        <f t="shared" si="92"/>
        <v>-5.1030606180579252E-2</v>
      </c>
      <c r="AN41" s="581">
        <f t="shared" si="93"/>
        <v>-84.340744928558522</v>
      </c>
      <c r="AO41" s="582">
        <f t="shared" si="94"/>
        <v>31.163918003872787</v>
      </c>
      <c r="AP41" s="585">
        <f t="shared" si="95"/>
        <v>-31.040096391312911</v>
      </c>
      <c r="AQ41" s="586">
        <f t="shared" ref="AQ41:AQ72" si="246">IF(M41="","",DEGREES(ATAN(($AS$5*SIN(RADIANS(90)))/(($X41*2*PI())-($AS$5*COS(RADIANS(90)))))))</f>
        <v>0.38699731577352736</v>
      </c>
      <c r="AS41" s="52">
        <f t="shared" si="116"/>
        <v>-69.600141928551921</v>
      </c>
      <c r="AT41" s="72">
        <f t="shared" ref="AT41:AT72" si="247">IF(M41="","",Y41+(((AS41-$AS$9)*$AS$6)*-1))</f>
        <v>-2.6803747978891939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>Gage</v>
      </c>
      <c r="IG41" s="847">
        <f t="shared" si="210"/>
        <v>2.254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2.1539999999999999</v>
      </c>
      <c r="II41" s="734" cm="1">
        <f t="array" ref="II41">IFERROR(ROUND(VALUE(IF($IH41&lt;1,$IH41+LARGE((IF($M$9:$M$150="",0,$M$9:$M$150)-MOD(IF($M$9:$M$150="",0,$M$9:$M$150),1)),1),$IH41)),4),"")</f>
        <v>2.1539999999999999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11.038098406295774</v>
      </c>
      <c r="IM41" s="759">
        <v>4.7724695546349599E-4</v>
      </c>
      <c r="IN41" s="5">
        <f t="shared" si="226"/>
        <v>0</v>
      </c>
      <c r="IO41" s="771">
        <v>0</v>
      </c>
      <c r="IP41" s="9">
        <f t="shared" si="227"/>
        <v>-5.8452176291763704</v>
      </c>
      <c r="IQ41" s="5">
        <f t="shared" si="228"/>
        <v>-2.7424082711033457</v>
      </c>
      <c r="IR41" s="5">
        <f t="shared" ref="IR41:IR72" si="383">IF(ISNUMBER($II41),INDEX($H$9:$H$150,MATCH($II41,$M$9:$M$150,0)),"")</f>
        <v>0.314</v>
      </c>
      <c r="IS41" s="5">
        <f t="shared" si="229"/>
        <v>0.27533460664213694</v>
      </c>
      <c r="IT41" s="727">
        <f t="shared" si="230"/>
        <v>85.361290931779706</v>
      </c>
      <c r="IU41" s="9">
        <f t="shared" si="231"/>
        <v>-5.8907177664047845</v>
      </c>
      <c r="IV41" s="5">
        <f t="shared" si="232"/>
        <v>-2.7287082297840217</v>
      </c>
      <c r="IW41" s="5">
        <f t="shared" ref="IW41:IW72" si="384">IF(ISNUMBER($II41),$H41,"")</f>
        <v>0.26600000000000001</v>
      </c>
      <c r="IX41" s="5">
        <f t="shared" si="233"/>
        <v>0.22761362454700873</v>
      </c>
      <c r="IY41" s="762">
        <f t="shared" si="234"/>
        <v>84.340744928558522</v>
      </c>
    </row>
    <row r="42" spans="1:267" ht="15" customHeight="1" x14ac:dyDescent="0.25">
      <c r="A42" s="79"/>
      <c r="B42" s="707">
        <v>5.6774804303958826</v>
      </c>
      <c r="C42" s="708">
        <v>1.5877618501962825</v>
      </c>
      <c r="D42" s="709">
        <v>-3.5458106941650533</v>
      </c>
      <c r="E42" s="710">
        <v>0.9630490300780985</v>
      </c>
      <c r="F42" s="708">
        <v>0.26932613253374127</v>
      </c>
      <c r="G42" s="711">
        <v>2.2679489533562379E-7</v>
      </c>
      <c r="H42" s="710">
        <v>0.25700000000000001</v>
      </c>
      <c r="I42" s="708">
        <v>0.41499999999999992</v>
      </c>
      <c r="J42" s="570">
        <v>2.2610000000000001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2.2610000000000001</v>
      </c>
      <c r="N42" s="632">
        <f t="shared" si="240"/>
        <v>5.6774804303958826</v>
      </c>
      <c r="O42" s="629">
        <f t="shared" si="241"/>
        <v>1.5877618501962825</v>
      </c>
      <c r="P42" s="633">
        <f t="shared" si="242"/>
        <v>-3.5458106941650533</v>
      </c>
      <c r="Q42" s="585">
        <f t="shared" si="113"/>
        <v>15.624158760973749</v>
      </c>
      <c r="R42" s="629">
        <f t="shared" ref="R42:R47" si="385">IF(M42="","",SQRT(N42^2+O42^2))</f>
        <v>5.8953177802784253</v>
      </c>
      <c r="S42" s="634">
        <f t="shared" ref="S42:S47" si="386">IF(M42="","",P42)</f>
        <v>-3.5458106941650533</v>
      </c>
      <c r="T42" s="635">
        <f t="shared" ref="T42:T47" si="387">IF(M42="","",X42*COS(RADIANS(W42)))</f>
        <v>1.5877618501962776</v>
      </c>
      <c r="U42" s="629">
        <f t="shared" ref="U42:U47" si="388">IF(M42="","",X42*SIN(RADIANS(W42)))</f>
        <v>-5.6774804303958843</v>
      </c>
      <c r="V42" s="636">
        <f t="shared" ref="V42:V47" si="389">IF(M42="","",Y42)</f>
        <v>-3.5458106941650533</v>
      </c>
      <c r="W42" s="585">
        <f t="shared" si="224"/>
        <v>285.62415876097373</v>
      </c>
      <c r="X42" s="629">
        <f t="shared" ref="X42:X47" si="390">IF(M42="","",R42)</f>
        <v>5.8953177802784253</v>
      </c>
      <c r="Y42" s="630">
        <f t="shared" si="223"/>
        <v>-3.5458106941650533</v>
      </c>
      <c r="Z42" s="632">
        <f t="shared" si="243"/>
        <v>-0.9630490300780985</v>
      </c>
      <c r="AA42" s="629">
        <f t="shared" si="244"/>
        <v>-0.26932613253374127</v>
      </c>
      <c r="AB42" s="629">
        <f t="shared" si="245"/>
        <v>-2.2679489533562379E-7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-0.9630490300780985</v>
      </c>
      <c r="AE42" s="629">
        <f t="shared" ref="AE42:AE47" si="393">IF(M42="","",AA42*(1/SQRT(Z42^2+AA42^2+AB42^2)))</f>
        <v>-0.26932613253374127</v>
      </c>
      <c r="AF42" s="633">
        <f t="shared" ref="AF42:AF47" si="394">IF(M42="","",AB42*(1/SQRT(Z42^2+AA42^2+AB42^2)))</f>
        <v>-2.2679489533562379E-7</v>
      </c>
      <c r="AG42" s="602">
        <f t="shared" ref="AG42:AG47" si="395">IF(M42="","",DEGREES(ATAN2(-AF42,AE42)))</f>
        <v>-89.999951752211359</v>
      </c>
      <c r="AH42" s="603">
        <f t="shared" ref="AH42:AH47" si="396">IF(M42="","",DEGREES(ACOS(AD42)))</f>
        <v>164.37582824463061</v>
      </c>
      <c r="AI42" s="585">
        <f t="shared" ref="AI42:AI47" si="397">IF(M42="","",DEGREES(-ACOS(-AF42)))</f>
        <v>-89.999987005609682</v>
      </c>
      <c r="AJ42" s="586">
        <f t="shared" ref="AJ42:AJ47" si="398">IF(M42="","",DEGREES(ATAN2(-AE42,AD42)))</f>
        <v>-74.375828244635855</v>
      </c>
      <c r="AK42" s="635">
        <f t="shared" ref="AK42:AK47" si="399">IF(M42="","",(COS(RADIANS((90-$Q$8)-W42))*AD42)+(-SIN(RADIANS((90-$Q$8)-W42))*AE42))</f>
        <v>2.267948975842593E-7</v>
      </c>
      <c r="AL42" s="629">
        <f t="shared" ref="AL42:AL47" si="400">IF(M42="","",(SIN(RADIANS((90-$Q$8)-W42))*AD42)+(COS(RADIANS((90-$Q$8)-W42))*AE42))</f>
        <v>-0.99999999999994871</v>
      </c>
      <c r="AM42" s="634">
        <f t="shared" ref="AM42:AM47" si="401">IF(M42="","",AF42)</f>
        <v>-2.2679489533562379E-7</v>
      </c>
      <c r="AN42" s="581">
        <f t="shared" ref="AN42:AN47" si="402">IF(M42="","",DEGREES(ATAN2(-AM42,AL42)))</f>
        <v>-89.999987005609682</v>
      </c>
      <c r="AO42" s="582">
        <f t="shared" si="94"/>
        <v>0</v>
      </c>
      <c r="AP42" s="585">
        <f t="shared" ref="AP42:AP47" si="403">IF(M42="","",DEGREES(ATAN2(AK42,AL42)))</f>
        <v>-89.999987005609555</v>
      </c>
      <c r="AQ42" s="586">
        <f t="shared" si="246"/>
        <v>0.38669535767588215</v>
      </c>
      <c r="AS42" s="52">
        <f t="shared" si="116"/>
        <v>-74.375841239026272</v>
      </c>
      <c r="AT42" s="72">
        <f t="shared" si="247"/>
        <v>-3.4941608044157295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2.2610000000000001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2.161</v>
      </c>
      <c r="II42" s="734" cm="1">
        <f t="array" ref="II42">IFERROR(ROUND(VALUE(IF($IH42&lt;1,$IH42+LARGE((IF($M$9:$M$150="",0,$M$9:$M$150)-MOD(IF($M$9:$M$150="",0,$M$9:$M$150),1)),1),$IH42)),4),"")</f>
        <v>2.161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15.75779772485555</v>
      </c>
      <c r="IM42" s="759">
        <v>2.02371340832286E-4</v>
      </c>
      <c r="IN42" s="5">
        <f t="shared" si="226"/>
        <v>0</v>
      </c>
      <c r="IO42" s="771">
        <v>0</v>
      </c>
      <c r="IP42" s="9">
        <f t="shared" si="227"/>
        <v>-5.8943177772624162</v>
      </c>
      <c r="IQ42" s="5">
        <f t="shared" si="228"/>
        <v>-3.5433106866250306</v>
      </c>
      <c r="IR42" s="5">
        <f t="shared" si="383"/>
        <v>0.314</v>
      </c>
      <c r="IS42" s="5">
        <f t="shared" si="229"/>
        <v>0.25721375779146954</v>
      </c>
      <c r="IT42" s="727">
        <f t="shared" si="230"/>
        <v>89.999987005609597</v>
      </c>
      <c r="IU42" s="9">
        <f t="shared" si="231"/>
        <v>-5.8953177802784253</v>
      </c>
      <c r="IV42" s="5">
        <f t="shared" si="232"/>
        <v>-3.5458106941650533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89.999987005609682</v>
      </c>
    </row>
    <row r="43" spans="1:267" ht="15" customHeight="1" x14ac:dyDescent="0.25">
      <c r="A43" s="79"/>
      <c r="B43" s="707">
        <v>0.83889545818694056</v>
      </c>
      <c r="C43" s="708">
        <v>-0.24054998286679607</v>
      </c>
      <c r="D43" s="709">
        <v>-0.63340191034016158</v>
      </c>
      <c r="E43" s="710">
        <v>0.20185354387626067</v>
      </c>
      <c r="F43" s="708">
        <v>0.94697157464841875</v>
      </c>
      <c r="G43" s="711">
        <v>0.24999996726497567</v>
      </c>
      <c r="H43" s="710">
        <v>0.314</v>
      </c>
      <c r="I43" s="708">
        <v>0.52</v>
      </c>
      <c r="J43" s="570">
        <v>3.1030000000000002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3.1030000000000002</v>
      </c>
      <c r="N43" s="632">
        <f t="shared" si="240"/>
        <v>0.83889545818694056</v>
      </c>
      <c r="O43" s="629">
        <f t="shared" si="241"/>
        <v>-0.24054998286679607</v>
      </c>
      <c r="P43" s="633">
        <f t="shared" si="242"/>
        <v>-0.63340191034016158</v>
      </c>
      <c r="Q43" s="585">
        <f t="shared" si="113"/>
        <v>343.99996332694263</v>
      </c>
      <c r="R43" s="629">
        <f t="shared" si="385"/>
        <v>0.87270263207113841</v>
      </c>
      <c r="S43" s="634">
        <f t="shared" si="386"/>
        <v>-0.63340191034016158</v>
      </c>
      <c r="T43" s="635">
        <f t="shared" si="387"/>
        <v>-0.24054998286679607</v>
      </c>
      <c r="U43" s="629">
        <f t="shared" si="388"/>
        <v>-0.83889545818694056</v>
      </c>
      <c r="V43" s="636">
        <f t="shared" si="389"/>
        <v>-0.63340191034016158</v>
      </c>
      <c r="W43" s="585">
        <f t="shared" si="224"/>
        <v>253.99996332694263</v>
      </c>
      <c r="X43" s="629">
        <f t="shared" si="390"/>
        <v>0.87270263207113841</v>
      </c>
      <c r="Y43" s="630">
        <f t="shared" si="223"/>
        <v>-0.63340191034016158</v>
      </c>
      <c r="Z43" s="632">
        <f t="shared" si="243"/>
        <v>-0.20185354387626067</v>
      </c>
      <c r="AA43" s="629">
        <f t="shared" si="244"/>
        <v>-0.94697157464841875</v>
      </c>
      <c r="AB43" s="629">
        <f t="shared" si="245"/>
        <v>-0.24999996726497567</v>
      </c>
      <c r="AC43" s="636">
        <f t="shared" si="391"/>
        <v>1</v>
      </c>
      <c r="AD43" s="637">
        <f t="shared" si="392"/>
        <v>-0.20185354387626067</v>
      </c>
      <c r="AE43" s="629">
        <f t="shared" si="393"/>
        <v>-0.94697157464841875</v>
      </c>
      <c r="AF43" s="633">
        <f t="shared" si="394"/>
        <v>-0.24999996726497567</v>
      </c>
      <c r="AG43" s="602">
        <f t="shared" si="395"/>
        <v>-75.2113522756256</v>
      </c>
      <c r="AH43" s="603">
        <f t="shared" si="396"/>
        <v>101.64537020065389</v>
      </c>
      <c r="AI43" s="585">
        <f t="shared" si="397"/>
        <v>-75.522489751159455</v>
      </c>
      <c r="AJ43" s="586">
        <f t="shared" si="398"/>
        <v>-12.032907027970781</v>
      </c>
      <c r="AK43" s="635">
        <f t="shared" si="399"/>
        <v>0.96592583607220739</v>
      </c>
      <c r="AL43" s="629">
        <f t="shared" si="400"/>
        <v>6.6987279208207157E-2</v>
      </c>
      <c r="AM43" s="634">
        <f t="shared" si="401"/>
        <v>-0.24999996726497567</v>
      </c>
      <c r="AN43" s="581">
        <f t="shared" si="402"/>
        <v>14.999997834268259</v>
      </c>
      <c r="AO43" s="582">
        <f t="shared" si="94"/>
        <v>14.999997834268255</v>
      </c>
      <c r="AP43" s="585">
        <f t="shared" si="403"/>
        <v>3.967129645086569</v>
      </c>
      <c r="AQ43" s="586">
        <f t="shared" si="246"/>
        <v>2.6104527564904569</v>
      </c>
      <c r="AS43" s="52">
        <f t="shared" ref="AS43:AS74" si="406">IF(G43="","",IF(AND(W43&lt;(AS42+180),W43&gt;(AS42-180)),W43,IF(W43&gt;(AS42+180),W43-360,IF(W43&lt;(AS42-180),W43+360,"Error"))))</f>
        <v>-106.00003667305737</v>
      </c>
      <c r="AT43" s="72">
        <f t="shared" si="247"/>
        <v>-0.55979077376164954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3.1030000000000002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1.5670532553412977</v>
      </c>
      <c r="C44" s="708">
        <v>-0.44934637569548636</v>
      </c>
      <c r="D44" s="709">
        <v>-0.43040129809031502</v>
      </c>
      <c r="E44" s="710">
        <v>0.20185354387626059</v>
      </c>
      <c r="F44" s="708">
        <v>0.94697157464841886</v>
      </c>
      <c r="G44" s="711">
        <v>0.2499999672649757</v>
      </c>
      <c r="H44" s="710">
        <v>0.314</v>
      </c>
      <c r="I44" s="708">
        <v>0.52</v>
      </c>
      <c r="J44" s="570">
        <v>3.1059999999999999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3.1059999999999999</v>
      </c>
      <c r="N44" s="632">
        <f t="shared" si="240"/>
        <v>1.5670532553412977</v>
      </c>
      <c r="O44" s="629">
        <f t="shared" si="241"/>
        <v>-0.44934637569548636</v>
      </c>
      <c r="P44" s="633">
        <f t="shared" si="242"/>
        <v>-0.43040129809031502</v>
      </c>
      <c r="Q44" s="585">
        <f t="shared" si="113"/>
        <v>343.99996332694263</v>
      </c>
      <c r="R44" s="629">
        <f t="shared" si="385"/>
        <v>1.630204916698029</v>
      </c>
      <c r="S44" s="634">
        <f t="shared" si="386"/>
        <v>-0.43040129809031502</v>
      </c>
      <c r="T44" s="635">
        <f t="shared" si="387"/>
        <v>-0.44934637569548641</v>
      </c>
      <c r="U44" s="629">
        <f t="shared" si="388"/>
        <v>-1.5670532553412977</v>
      </c>
      <c r="V44" s="636">
        <f t="shared" si="389"/>
        <v>-0.43040129809031502</v>
      </c>
      <c r="W44" s="585">
        <f t="shared" si="224"/>
        <v>253.99996332694263</v>
      </c>
      <c r="X44" s="629">
        <f t="shared" si="390"/>
        <v>1.630204916698029</v>
      </c>
      <c r="Y44" s="630">
        <f t="shared" si="223"/>
        <v>-0.43040129809031502</v>
      </c>
      <c r="Z44" s="632">
        <f t="shared" si="243"/>
        <v>-0.20185354387626059</v>
      </c>
      <c r="AA44" s="629">
        <f t="shared" si="244"/>
        <v>-0.94697157464841886</v>
      </c>
      <c r="AB44" s="629">
        <f t="shared" si="245"/>
        <v>-0.2499999672649757</v>
      </c>
      <c r="AC44" s="636">
        <f t="shared" si="391"/>
        <v>1</v>
      </c>
      <c r="AD44" s="637">
        <f t="shared" si="392"/>
        <v>-0.20185354387626059</v>
      </c>
      <c r="AE44" s="629">
        <f t="shared" si="393"/>
        <v>-0.94697157464841886</v>
      </c>
      <c r="AF44" s="633">
        <f t="shared" si="394"/>
        <v>-0.2499999672649757</v>
      </c>
      <c r="AG44" s="602">
        <f t="shared" si="395"/>
        <v>-75.2113522756256</v>
      </c>
      <c r="AH44" s="603">
        <f t="shared" si="396"/>
        <v>101.64537020065387</v>
      </c>
      <c r="AI44" s="585">
        <f t="shared" si="397"/>
        <v>-75.522489751159455</v>
      </c>
      <c r="AJ44" s="586">
        <f t="shared" si="398"/>
        <v>-12.032907027970774</v>
      </c>
      <c r="AK44" s="635">
        <f t="shared" si="399"/>
        <v>0.9659258360722075</v>
      </c>
      <c r="AL44" s="629">
        <f t="shared" si="400"/>
        <v>6.6987279208207295E-2</v>
      </c>
      <c r="AM44" s="634">
        <f t="shared" si="401"/>
        <v>-0.2499999672649757</v>
      </c>
      <c r="AN44" s="581">
        <f t="shared" si="402"/>
        <v>14.999997834268287</v>
      </c>
      <c r="AO44" s="582">
        <f t="shared" si="94"/>
        <v>14.99999783426823</v>
      </c>
      <c r="AP44" s="585">
        <f t="shared" si="403"/>
        <v>3.9671296450865765</v>
      </c>
      <c r="AQ44" s="586">
        <f t="shared" si="246"/>
        <v>1.3981519034738914</v>
      </c>
      <c r="AS44" s="52">
        <f t="shared" si="406"/>
        <v>-106.00003667305737</v>
      </c>
      <c r="AT44" s="72">
        <f t="shared" si="247"/>
        <v>-0.35679016151180298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3.1059999999999999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2.2470517051195054</v>
      </c>
      <c r="C45" s="708">
        <v>-0.6443332645232297</v>
      </c>
      <c r="D45" s="709">
        <v>-0.24090072655659131</v>
      </c>
      <c r="E45" s="710">
        <v>0.20185354387626067</v>
      </c>
      <c r="F45" s="708">
        <v>0.94697157464841875</v>
      </c>
      <c r="G45" s="711">
        <v>0.24999996726497567</v>
      </c>
      <c r="H45" s="710">
        <v>0.314</v>
      </c>
      <c r="I45" s="708">
        <v>0.52</v>
      </c>
      <c r="J45" s="570">
        <v>3.109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3.109</v>
      </c>
      <c r="N45" s="632">
        <f t="shared" si="240"/>
        <v>2.2470517051195054</v>
      </c>
      <c r="O45" s="629">
        <f t="shared" si="241"/>
        <v>-0.6443332645232297</v>
      </c>
      <c r="P45" s="633">
        <f t="shared" si="242"/>
        <v>-0.24090072655659131</v>
      </c>
      <c r="Q45" s="585">
        <f t="shared" si="113"/>
        <v>343.99996332694263</v>
      </c>
      <c r="R45" s="629">
        <f t="shared" si="385"/>
        <v>2.3376070502228639</v>
      </c>
      <c r="S45" s="634">
        <f t="shared" si="386"/>
        <v>-0.24090072655659131</v>
      </c>
      <c r="T45" s="635">
        <f t="shared" si="387"/>
        <v>-0.6443332645232297</v>
      </c>
      <c r="U45" s="629">
        <f t="shared" si="388"/>
        <v>-2.2470517051195054</v>
      </c>
      <c r="V45" s="636">
        <f t="shared" si="389"/>
        <v>-0.24090072655659131</v>
      </c>
      <c r="W45" s="585">
        <f t="shared" si="224"/>
        <v>253.99996332694263</v>
      </c>
      <c r="X45" s="629">
        <f t="shared" si="390"/>
        <v>2.3376070502228639</v>
      </c>
      <c r="Y45" s="630">
        <f t="shared" si="223"/>
        <v>-0.24090072655659131</v>
      </c>
      <c r="Z45" s="632">
        <f t="shared" si="243"/>
        <v>-0.20185354387626067</v>
      </c>
      <c r="AA45" s="629">
        <f t="shared" si="244"/>
        <v>-0.94697157464841875</v>
      </c>
      <c r="AB45" s="629">
        <f t="shared" si="245"/>
        <v>-0.24999996726497567</v>
      </c>
      <c r="AC45" s="636">
        <f t="shared" si="391"/>
        <v>1</v>
      </c>
      <c r="AD45" s="637">
        <f t="shared" si="392"/>
        <v>-0.20185354387626067</v>
      </c>
      <c r="AE45" s="629">
        <f t="shared" si="393"/>
        <v>-0.94697157464841875</v>
      </c>
      <c r="AF45" s="633">
        <f t="shared" si="394"/>
        <v>-0.24999996726497567</v>
      </c>
      <c r="AG45" s="602">
        <f t="shared" si="395"/>
        <v>-75.2113522756256</v>
      </c>
      <c r="AH45" s="603">
        <f t="shared" si="396"/>
        <v>101.64537020065389</v>
      </c>
      <c r="AI45" s="585">
        <f t="shared" si="397"/>
        <v>-75.522489751159455</v>
      </c>
      <c r="AJ45" s="586">
        <f t="shared" si="398"/>
        <v>-12.032907027970781</v>
      </c>
      <c r="AK45" s="635">
        <f t="shared" si="399"/>
        <v>0.96592583607220739</v>
      </c>
      <c r="AL45" s="629">
        <f t="shared" si="400"/>
        <v>6.6987279208207157E-2</v>
      </c>
      <c r="AM45" s="634">
        <f t="shared" si="401"/>
        <v>-0.24999996726497567</v>
      </c>
      <c r="AN45" s="581">
        <f t="shared" si="402"/>
        <v>14.999997834268259</v>
      </c>
      <c r="AO45" s="582">
        <f t="shared" si="94"/>
        <v>14.999997834268255</v>
      </c>
      <c r="AP45" s="585">
        <f t="shared" si="403"/>
        <v>3.967129645086569</v>
      </c>
      <c r="AQ45" s="586">
        <f t="shared" si="246"/>
        <v>0.97514529219655988</v>
      </c>
      <c r="AS45" s="52">
        <f t="shared" si="406"/>
        <v>-106.00003667305737</v>
      </c>
      <c r="AT45" s="72">
        <f t="shared" si="247"/>
        <v>-0.16728958997807925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3.109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2.9397710646207638</v>
      </c>
      <c r="C46" s="708">
        <v>-0.84791197322823009</v>
      </c>
      <c r="D46" s="709">
        <v>-0.13420040474842077</v>
      </c>
      <c r="E46" s="710">
        <v>0.27788523920092167</v>
      </c>
      <c r="F46" s="708">
        <v>0.92494468469293245</v>
      </c>
      <c r="G46" s="711">
        <v>0.25933978501675881</v>
      </c>
      <c r="H46" s="710">
        <v>0.314</v>
      </c>
      <c r="I46" s="708">
        <v>0.52</v>
      </c>
      <c r="J46" s="570">
        <v>3.1150000000000002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3.1150000000000002</v>
      </c>
      <c r="N46" s="632">
        <f t="shared" si="240"/>
        <v>2.9397710646207638</v>
      </c>
      <c r="O46" s="629">
        <f t="shared" si="241"/>
        <v>-0.84791197322823009</v>
      </c>
      <c r="P46" s="633">
        <f t="shared" si="242"/>
        <v>-0.13420040474842077</v>
      </c>
      <c r="Q46" s="585">
        <f t="shared" si="113"/>
        <v>343.91096333979266</v>
      </c>
      <c r="R46" s="629">
        <f t="shared" si="385"/>
        <v>3.059609227781432</v>
      </c>
      <c r="S46" s="634">
        <f t="shared" si="386"/>
        <v>-0.13420040474842077</v>
      </c>
      <c r="T46" s="635">
        <f t="shared" si="387"/>
        <v>-0.84791197322823109</v>
      </c>
      <c r="U46" s="629">
        <f t="shared" si="388"/>
        <v>-2.9397710646207638</v>
      </c>
      <c r="V46" s="636">
        <f t="shared" si="389"/>
        <v>-0.13420040474842077</v>
      </c>
      <c r="W46" s="585">
        <f t="shared" si="224"/>
        <v>253.91096333979266</v>
      </c>
      <c r="X46" s="629">
        <f t="shared" si="390"/>
        <v>3.059609227781432</v>
      </c>
      <c r="Y46" s="630">
        <f t="shared" si="223"/>
        <v>-0.13420040474842077</v>
      </c>
      <c r="Z46" s="632">
        <f t="shared" si="243"/>
        <v>-0.27788523920092167</v>
      </c>
      <c r="AA46" s="629">
        <f t="shared" si="244"/>
        <v>-0.92494468469293245</v>
      </c>
      <c r="AB46" s="629">
        <f t="shared" si="245"/>
        <v>-0.25933978501675881</v>
      </c>
      <c r="AC46" s="636">
        <f t="shared" si="391"/>
        <v>1</v>
      </c>
      <c r="AD46" s="637">
        <f t="shared" si="392"/>
        <v>-0.27788523920092167</v>
      </c>
      <c r="AE46" s="629">
        <f t="shared" si="393"/>
        <v>-0.92494468469293245</v>
      </c>
      <c r="AF46" s="633">
        <f t="shared" si="394"/>
        <v>-0.25933978501675881</v>
      </c>
      <c r="AG46" s="602">
        <f t="shared" si="395"/>
        <v>-74.337348089945195</v>
      </c>
      <c r="AH46" s="603">
        <f t="shared" si="396"/>
        <v>106.1340296394313</v>
      </c>
      <c r="AI46" s="585">
        <f t="shared" si="397"/>
        <v>-74.969109060723042</v>
      </c>
      <c r="AJ46" s="586">
        <f t="shared" si="398"/>
        <v>-16.72207785989481</v>
      </c>
      <c r="AK46" s="635">
        <f t="shared" si="399"/>
        <v>0.96572719650196714</v>
      </c>
      <c r="AL46" s="629">
        <f t="shared" si="400"/>
        <v>-1.0670419106695472E-2</v>
      </c>
      <c r="AM46" s="634">
        <f t="shared" si="401"/>
        <v>-0.25933978501675881</v>
      </c>
      <c r="AN46" s="581">
        <f t="shared" si="402"/>
        <v>-2.3560802273320522</v>
      </c>
      <c r="AO46" s="582">
        <f t="shared" si="94"/>
        <v>15.04390866277055</v>
      </c>
      <c r="AP46" s="585">
        <f t="shared" si="403"/>
        <v>-0.63304119968744832</v>
      </c>
      <c r="AQ46" s="586">
        <f t="shared" si="246"/>
        <v>0.74506185641624045</v>
      </c>
      <c r="AS46" s="52">
        <f t="shared" si="406"/>
        <v>-106.08903666020734</v>
      </c>
      <c r="AT46" s="72">
        <f t="shared" si="247"/>
        <v>-6.0527462623276782E-2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3.1150000000000002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3.6511084169681318</v>
      </c>
      <c r="C47" s="708">
        <v>-1.0835898994191915</v>
      </c>
      <c r="D47" s="709">
        <v>-0.22700068463406486</v>
      </c>
      <c r="E47" s="710">
        <v>0.37003123135445271</v>
      </c>
      <c r="F47" s="708">
        <v>0.89647778331279016</v>
      </c>
      <c r="G47" s="711">
        <v>0.2437303260755494</v>
      </c>
      <c r="H47" s="710">
        <v>0.314</v>
      </c>
      <c r="I47" s="708">
        <v>0.52</v>
      </c>
      <c r="J47" s="570">
        <v>3.1219999999999999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3.1219999999999999</v>
      </c>
      <c r="N47" s="632">
        <f t="shared" si="240"/>
        <v>3.6511084169681318</v>
      </c>
      <c r="O47" s="629">
        <f t="shared" si="241"/>
        <v>-1.0835898994191915</v>
      </c>
      <c r="P47" s="633">
        <f t="shared" si="242"/>
        <v>-0.22700068463406486</v>
      </c>
      <c r="Q47" s="585">
        <f t="shared" si="113"/>
        <v>343.46996340346516</v>
      </c>
      <c r="R47" s="629">
        <f t="shared" si="385"/>
        <v>3.8085114864706435</v>
      </c>
      <c r="S47" s="634">
        <f t="shared" si="386"/>
        <v>-0.22700068463406486</v>
      </c>
      <c r="T47" s="635">
        <f t="shared" si="387"/>
        <v>-1.0835898994191928</v>
      </c>
      <c r="U47" s="629">
        <f t="shared" si="388"/>
        <v>-3.6511084169681314</v>
      </c>
      <c r="V47" s="636">
        <f t="shared" si="389"/>
        <v>-0.22700068463406486</v>
      </c>
      <c r="W47" s="585">
        <f t="shared" si="224"/>
        <v>253.46996340346516</v>
      </c>
      <c r="X47" s="629">
        <f t="shared" si="390"/>
        <v>3.8085114864706435</v>
      </c>
      <c r="Y47" s="630">
        <f t="shared" si="223"/>
        <v>-0.22700068463406486</v>
      </c>
      <c r="Z47" s="632">
        <f t="shared" si="243"/>
        <v>-0.37003123135445271</v>
      </c>
      <c r="AA47" s="629">
        <f t="shared" si="244"/>
        <v>-0.89647778331279016</v>
      </c>
      <c r="AB47" s="629">
        <f t="shared" si="245"/>
        <v>-0.2437303260755494</v>
      </c>
      <c r="AC47" s="636">
        <f t="shared" si="391"/>
        <v>1</v>
      </c>
      <c r="AD47" s="637">
        <f t="shared" si="392"/>
        <v>-0.37003123135445271</v>
      </c>
      <c r="AE47" s="629">
        <f t="shared" si="393"/>
        <v>-0.89647778331279016</v>
      </c>
      <c r="AF47" s="633">
        <f t="shared" si="394"/>
        <v>-0.2437303260755494</v>
      </c>
      <c r="AG47" s="602">
        <f t="shared" si="395"/>
        <v>-74.790316586115239</v>
      </c>
      <c r="AH47" s="603">
        <f t="shared" si="396"/>
        <v>111.7175434141746</v>
      </c>
      <c r="AI47" s="585">
        <f t="shared" si="397"/>
        <v>-75.893187636430127</v>
      </c>
      <c r="AJ47" s="586">
        <f t="shared" si="398"/>
        <v>-22.428934975311016</v>
      </c>
      <c r="AK47" s="635">
        <f t="shared" si="399"/>
        <v>0.96470752368621293</v>
      </c>
      <c r="AL47" s="629">
        <f t="shared" si="400"/>
        <v>-9.9674078346987549E-2</v>
      </c>
      <c r="AM47" s="634">
        <f t="shared" si="401"/>
        <v>-0.2437303260755494</v>
      </c>
      <c r="AN47" s="581">
        <f t="shared" si="402"/>
        <v>-22.242220342750596</v>
      </c>
      <c r="AO47" s="582">
        <f t="shared" si="94"/>
        <v>15.267373110194184</v>
      </c>
      <c r="AP47" s="585">
        <f t="shared" si="403"/>
        <v>-5.8988983787761624</v>
      </c>
      <c r="AQ47" s="586">
        <f t="shared" si="246"/>
        <v>0.59856552989314471</v>
      </c>
      <c r="AS47" s="52">
        <f t="shared" si="406"/>
        <v>-106.53003659653484</v>
      </c>
      <c r="AT47" s="72">
        <f t="shared" si="247"/>
        <v>-0.15302149255313791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3.1219999999999999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4.3041142885406289</v>
      </c>
      <c r="C48" s="708">
        <v>-1.3265887688160616</v>
      </c>
      <c r="D48" s="709">
        <v>-0.51990156802312926</v>
      </c>
      <c r="E48" s="710">
        <v>0.45578918543990093</v>
      </c>
      <c r="F48" s="708">
        <v>0.86259292555677358</v>
      </c>
      <c r="G48" s="711">
        <v>0.21952144135696225</v>
      </c>
      <c r="H48" s="710">
        <v>0.314</v>
      </c>
      <c r="I48" s="708">
        <v>0.52</v>
      </c>
      <c r="J48" s="570">
        <v>3.129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3.129</v>
      </c>
      <c r="N48" s="632">
        <f t="shared" si="240"/>
        <v>4.3041142885406289</v>
      </c>
      <c r="O48" s="629">
        <f t="shared" si="241"/>
        <v>-1.3265887688160616</v>
      </c>
      <c r="P48" s="633">
        <f t="shared" si="242"/>
        <v>-0.51990156802312926</v>
      </c>
      <c r="Q48" s="585">
        <f t="shared" si="113"/>
        <v>342.86996349009445</v>
      </c>
      <c r="R48" s="629">
        <f t="shared" si="79"/>
        <v>4.5039135838033699</v>
      </c>
      <c r="S48" s="634">
        <f t="shared" si="80"/>
        <v>-0.51990156802312926</v>
      </c>
      <c r="T48" s="635">
        <f t="shared" si="81"/>
        <v>-1.3265887688160616</v>
      </c>
      <c r="U48" s="629">
        <f t="shared" si="82"/>
        <v>-4.3041142885406289</v>
      </c>
      <c r="V48" s="636">
        <f t="shared" si="114"/>
        <v>-0.51990156802312926</v>
      </c>
      <c r="W48" s="585">
        <f t="shared" si="224"/>
        <v>252.86996349009445</v>
      </c>
      <c r="X48" s="629">
        <f t="shared" si="83"/>
        <v>4.5039135838033699</v>
      </c>
      <c r="Y48" s="630">
        <f t="shared" si="223"/>
        <v>-0.51990156802312926</v>
      </c>
      <c r="Z48" s="632">
        <f t="shared" si="243"/>
        <v>-0.45578918543990093</v>
      </c>
      <c r="AA48" s="629">
        <f t="shared" si="244"/>
        <v>-0.86259292555677358</v>
      </c>
      <c r="AB48" s="629">
        <f t="shared" si="245"/>
        <v>-0.21952144135696225</v>
      </c>
      <c r="AC48" s="636">
        <f t="shared" si="84"/>
        <v>1</v>
      </c>
      <c r="AD48" s="637">
        <f t="shared" si="115"/>
        <v>-0.45578918543990093</v>
      </c>
      <c r="AE48" s="629">
        <f t="shared" si="85"/>
        <v>-0.86259292555677358</v>
      </c>
      <c r="AF48" s="633">
        <f t="shared" si="86"/>
        <v>-0.21952144135696225</v>
      </c>
      <c r="AG48" s="602">
        <f t="shared" si="87"/>
        <v>-75.721877809928628</v>
      </c>
      <c r="AH48" s="603">
        <f t="shared" si="88"/>
        <v>117.11572331150414</v>
      </c>
      <c r="AI48" s="585">
        <f t="shared" si="89"/>
        <v>-77.319073493102621</v>
      </c>
      <c r="AJ48" s="586">
        <f t="shared" si="90"/>
        <v>-27.851717651805014</v>
      </c>
      <c r="AK48" s="635">
        <f t="shared" si="211"/>
        <v>0.95857597400648764</v>
      </c>
      <c r="AL48" s="629">
        <f t="shared" si="91"/>
        <v>-0.18150052022535773</v>
      </c>
      <c r="AM48" s="634">
        <f t="shared" si="92"/>
        <v>-0.21952144135696225</v>
      </c>
      <c r="AN48" s="581">
        <f t="shared" si="93"/>
        <v>-39.583972423296409</v>
      </c>
      <c r="AO48" s="582">
        <f t="shared" si="94"/>
        <v>16.549104019652145</v>
      </c>
      <c r="AP48" s="585">
        <f t="shared" si="95"/>
        <v>-10.721681141899452</v>
      </c>
      <c r="AQ48" s="586">
        <f t="shared" si="246"/>
        <v>0.50615254620086148</v>
      </c>
      <c r="AS48" s="52">
        <f t="shared" si="406"/>
        <v>-107.13003650990555</v>
      </c>
      <c r="AT48" s="72">
        <f t="shared" si="247"/>
        <v>-0.44550570933569483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3.129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4.8517187389398888</v>
      </c>
      <c r="C49" s="708">
        <v>-1.5507172603607537</v>
      </c>
      <c r="D49" s="709">
        <v>-0.99080298826181268</v>
      </c>
      <c r="E49" s="710">
        <v>0.52964268459485497</v>
      </c>
      <c r="F49" s="708">
        <v>0.83023804187649708</v>
      </c>
      <c r="G49" s="711">
        <v>0.1737337632017299</v>
      </c>
      <c r="H49" s="710">
        <v>0.314</v>
      </c>
      <c r="I49" s="708">
        <v>0.52</v>
      </c>
      <c r="J49" s="570">
        <v>3.1360000000000001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3.1360000000000001</v>
      </c>
      <c r="N49" s="632">
        <f t="shared" si="240"/>
        <v>4.8517187389398888</v>
      </c>
      <c r="O49" s="629">
        <f t="shared" si="241"/>
        <v>-1.5507172603607537</v>
      </c>
      <c r="P49" s="633">
        <f t="shared" si="242"/>
        <v>-0.99080298826181268</v>
      </c>
      <c r="Q49" s="585">
        <f t="shared" si="113"/>
        <v>342.27496357600182</v>
      </c>
      <c r="R49" s="629">
        <f t="shared" si="79"/>
        <v>5.0935153620423321</v>
      </c>
      <c r="S49" s="634">
        <f t="shared" si="80"/>
        <v>-0.99080298826181268</v>
      </c>
      <c r="T49" s="635">
        <f t="shared" si="81"/>
        <v>-1.55071726036075</v>
      </c>
      <c r="U49" s="629">
        <f t="shared" si="82"/>
        <v>-4.8517187389398906</v>
      </c>
      <c r="V49" s="636">
        <f t="shared" si="114"/>
        <v>-0.99080298826181268</v>
      </c>
      <c r="W49" s="585">
        <f t="shared" si="224"/>
        <v>252.27496357600182</v>
      </c>
      <c r="X49" s="629">
        <f t="shared" si="83"/>
        <v>5.0935153620423321</v>
      </c>
      <c r="Y49" s="630">
        <f t="shared" si="223"/>
        <v>-0.99080298826181268</v>
      </c>
      <c r="Z49" s="632">
        <f t="shared" si="243"/>
        <v>-0.52964268459485497</v>
      </c>
      <c r="AA49" s="629">
        <f t="shared" si="244"/>
        <v>-0.83023804187649708</v>
      </c>
      <c r="AB49" s="629">
        <f t="shared" si="245"/>
        <v>-0.1737337632017299</v>
      </c>
      <c r="AC49" s="636">
        <f t="shared" si="84"/>
        <v>1</v>
      </c>
      <c r="AD49" s="637">
        <f t="shared" si="115"/>
        <v>-0.52964268459485497</v>
      </c>
      <c r="AE49" s="629">
        <f t="shared" si="85"/>
        <v>-0.83023804187649708</v>
      </c>
      <c r="AF49" s="633">
        <f t="shared" si="86"/>
        <v>-0.1737337632017299</v>
      </c>
      <c r="AG49" s="602">
        <f t="shared" si="87"/>
        <v>-78.18095725627127</v>
      </c>
      <c r="AH49" s="603">
        <f t="shared" si="88"/>
        <v>121.98131564480676</v>
      </c>
      <c r="AI49" s="585">
        <f t="shared" si="89"/>
        <v>-79.995020624589102</v>
      </c>
      <c r="AJ49" s="586">
        <f t="shared" si="90"/>
        <v>-32.535463072214242</v>
      </c>
      <c r="AK49" s="635">
        <f t="shared" si="211"/>
        <v>0.95207478012465541</v>
      </c>
      <c r="AL49" s="629">
        <f t="shared" si="91"/>
        <v>-0.2517343690765208</v>
      </c>
      <c r="AM49" s="634">
        <f t="shared" si="92"/>
        <v>-0.1737337632017299</v>
      </c>
      <c r="AN49" s="581">
        <f t="shared" si="93"/>
        <v>-55.388612220196798</v>
      </c>
      <c r="AO49" s="582">
        <f t="shared" si="94"/>
        <v>17.810233073204504</v>
      </c>
      <c r="AP49" s="585">
        <f t="shared" si="95"/>
        <v>-14.810426648216096</v>
      </c>
      <c r="AQ49" s="586">
        <f t="shared" si="246"/>
        <v>0.44756520803462335</v>
      </c>
      <c r="AS49" s="52">
        <f t="shared" si="406"/>
        <v>-107.72503642399818</v>
      </c>
      <c r="AT49" s="72">
        <f t="shared" si="247"/>
        <v>-0.91599393518959171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3.1360000000000001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5.255934122025872</v>
      </c>
      <c r="C50" s="708">
        <v>-1.7286768273073536</v>
      </c>
      <c r="D50" s="709">
        <v>-1.6042048382817924</v>
      </c>
      <c r="E50" s="710">
        <v>0.59627993374338761</v>
      </c>
      <c r="F50" s="708">
        <v>0.79344191766370054</v>
      </c>
      <c r="G50" s="711">
        <v>0.12206622755345065</v>
      </c>
      <c r="H50" s="710">
        <v>0.314</v>
      </c>
      <c r="I50" s="708">
        <v>0.52</v>
      </c>
      <c r="J50" s="570">
        <v>3.1429999999999998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3.1429999999999998</v>
      </c>
      <c r="N50" s="632">
        <f t="shared" si="240"/>
        <v>5.255934122025872</v>
      </c>
      <c r="O50" s="629">
        <f t="shared" si="241"/>
        <v>-1.7286768273073536</v>
      </c>
      <c r="P50" s="633">
        <f t="shared" si="242"/>
        <v>-1.6042048382817924</v>
      </c>
      <c r="Q50" s="585">
        <f t="shared" si="113"/>
        <v>341.79396364544959</v>
      </c>
      <c r="R50" s="629">
        <f t="shared" si="79"/>
        <v>5.532916687276729</v>
      </c>
      <c r="S50" s="634">
        <f t="shared" si="80"/>
        <v>-1.6042048382817924</v>
      </c>
      <c r="T50" s="635">
        <f t="shared" si="81"/>
        <v>-1.7286768273073549</v>
      </c>
      <c r="U50" s="629">
        <f t="shared" si="82"/>
        <v>-5.255934122025872</v>
      </c>
      <c r="V50" s="636">
        <f t="shared" si="114"/>
        <v>-1.6042048382817924</v>
      </c>
      <c r="W50" s="585">
        <f t="shared" si="224"/>
        <v>251.79396364544959</v>
      </c>
      <c r="X50" s="629">
        <f t="shared" si="83"/>
        <v>5.532916687276729</v>
      </c>
      <c r="Y50" s="630">
        <f t="shared" si="223"/>
        <v>-1.6042048382817924</v>
      </c>
      <c r="Z50" s="632">
        <f t="shared" si="243"/>
        <v>-0.59627993374338761</v>
      </c>
      <c r="AA50" s="629">
        <f t="shared" si="244"/>
        <v>-0.79344191766370054</v>
      </c>
      <c r="AB50" s="629">
        <f t="shared" si="245"/>
        <v>-0.12206622755345065</v>
      </c>
      <c r="AC50" s="636">
        <f t="shared" si="84"/>
        <v>1</v>
      </c>
      <c r="AD50" s="637">
        <f t="shared" si="115"/>
        <v>-0.59627993374338761</v>
      </c>
      <c r="AE50" s="629">
        <f t="shared" si="85"/>
        <v>-0.79344191766370054</v>
      </c>
      <c r="AF50" s="633">
        <f t="shared" si="86"/>
        <v>-0.12206622755345065</v>
      </c>
      <c r="AG50" s="602">
        <f t="shared" si="87"/>
        <v>-81.253961875939282</v>
      </c>
      <c r="AH50" s="603">
        <f t="shared" si="88"/>
        <v>126.60392955563843</v>
      </c>
      <c r="AI50" s="585">
        <f t="shared" si="89"/>
        <v>-82.988634515196793</v>
      </c>
      <c r="AJ50" s="586">
        <f t="shared" si="90"/>
        <v>-36.925246542723421</v>
      </c>
      <c r="AK50" s="635">
        <f t="shared" si="211"/>
        <v>0.94002025458018856</v>
      </c>
      <c r="AL50" s="629">
        <f t="shared" si="91"/>
        <v>-0.31853062187153458</v>
      </c>
      <c r="AM50" s="634">
        <f t="shared" si="92"/>
        <v>-0.12206622755345065</v>
      </c>
      <c r="AN50" s="581">
        <f t="shared" si="93"/>
        <v>-69.03233735191705</v>
      </c>
      <c r="AO50" s="582">
        <f t="shared" si="94"/>
        <v>19.945041819080924</v>
      </c>
      <c r="AP50" s="585">
        <f t="shared" si="95"/>
        <v>-18.719210188172994</v>
      </c>
      <c r="AQ50" s="586">
        <f t="shared" si="246"/>
        <v>0.41202271130066304</v>
      </c>
      <c r="AS50" s="52">
        <f t="shared" si="406"/>
        <v>-108.20603635455041</v>
      </c>
      <c r="AT50" s="72">
        <f t="shared" si="247"/>
        <v>-1.5290617574800214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3.1429999999999998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5.490052039121414</v>
      </c>
      <c r="C51" s="708">
        <v>-1.8366299499801098</v>
      </c>
      <c r="D51" s="709">
        <v>-2.3139069787434479</v>
      </c>
      <c r="E51" s="710">
        <v>0.67996689600887206</v>
      </c>
      <c r="F51" s="708">
        <v>0.72938737297577982</v>
      </c>
      <c r="G51" s="711">
        <v>7.5093811166770774E-2</v>
      </c>
      <c r="H51" s="710">
        <v>0.314</v>
      </c>
      <c r="I51" s="708">
        <v>0.52</v>
      </c>
      <c r="J51" s="570">
        <v>3.15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3.15</v>
      </c>
      <c r="N51" s="632">
        <f t="shared" si="240"/>
        <v>5.490052039121414</v>
      </c>
      <c r="O51" s="629">
        <f t="shared" si="241"/>
        <v>-1.8366299499801098</v>
      </c>
      <c r="P51" s="633">
        <f t="shared" si="242"/>
        <v>-2.3139069787434479</v>
      </c>
      <c r="Q51" s="585">
        <f t="shared" si="113"/>
        <v>341.50296368746478</v>
      </c>
      <c r="R51" s="629">
        <f t="shared" si="79"/>
        <v>5.78911745997826</v>
      </c>
      <c r="S51" s="634">
        <f t="shared" si="80"/>
        <v>-2.3139069787434479</v>
      </c>
      <c r="T51" s="635">
        <f t="shared" si="81"/>
        <v>-1.8366299499801102</v>
      </c>
      <c r="U51" s="629">
        <f t="shared" si="82"/>
        <v>-5.490052039121414</v>
      </c>
      <c r="V51" s="636">
        <f t="shared" si="114"/>
        <v>-2.3139069787434479</v>
      </c>
      <c r="W51" s="585">
        <f t="shared" si="224"/>
        <v>251.50296368746478</v>
      </c>
      <c r="X51" s="629">
        <f t="shared" si="83"/>
        <v>5.78911745997826</v>
      </c>
      <c r="Y51" s="630">
        <f t="shared" si="223"/>
        <v>-2.3139069787434479</v>
      </c>
      <c r="Z51" s="632">
        <f t="shared" si="243"/>
        <v>-0.67996689600887206</v>
      </c>
      <c r="AA51" s="629">
        <f t="shared" si="244"/>
        <v>-0.72938737297577982</v>
      </c>
      <c r="AB51" s="629">
        <f t="shared" si="245"/>
        <v>-7.5093811166770774E-2</v>
      </c>
      <c r="AC51" s="636">
        <f t="shared" si="84"/>
        <v>1</v>
      </c>
      <c r="AD51" s="637">
        <f t="shared" si="115"/>
        <v>-0.67996689600887206</v>
      </c>
      <c r="AE51" s="629">
        <f t="shared" si="85"/>
        <v>-0.72938737297577982</v>
      </c>
      <c r="AF51" s="633">
        <f t="shared" si="86"/>
        <v>-7.5093811166770774E-2</v>
      </c>
      <c r="AG51" s="602">
        <f t="shared" si="87"/>
        <v>-84.121844331475657</v>
      </c>
      <c r="AH51" s="603">
        <f t="shared" si="88"/>
        <v>132.84105623516842</v>
      </c>
      <c r="AI51" s="585">
        <f t="shared" si="89"/>
        <v>-85.693387511106792</v>
      </c>
      <c r="AJ51" s="586">
        <f t="shared" si="90"/>
        <v>-42.991686638691228</v>
      </c>
      <c r="AK51" s="635">
        <f t="shared" si="211"/>
        <v>0.90743057760305401</v>
      </c>
      <c r="AL51" s="629">
        <f t="shared" si="91"/>
        <v>-0.41343762087579483</v>
      </c>
      <c r="AM51" s="634">
        <f t="shared" si="92"/>
        <v>-7.5093811166770774E-2</v>
      </c>
      <c r="AN51" s="581">
        <f t="shared" si="93"/>
        <v>-79.705438460838408</v>
      </c>
      <c r="AO51" s="582">
        <f t="shared" si="94"/>
        <v>24.847343204163185</v>
      </c>
      <c r="AP51" s="585">
        <f t="shared" si="95"/>
        <v>-24.494650326156023</v>
      </c>
      <c r="AQ51" s="586">
        <f t="shared" si="246"/>
        <v>0.39378899319616811</v>
      </c>
      <c r="AS51" s="52">
        <f t="shared" si="406"/>
        <v>-108.49703631253522</v>
      </c>
      <c r="AT51" s="72">
        <f t="shared" si="247"/>
        <v>-2.2385618146375208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5.5858560857633641</v>
      </c>
      <c r="C52" s="708">
        <v>-1.8818060071357365</v>
      </c>
      <c r="D52" s="709">
        <v>-3.1307094422196777</v>
      </c>
      <c r="E52" s="710">
        <v>0.80508050911010354</v>
      </c>
      <c r="F52" s="708">
        <v>0.59316555349328892</v>
      </c>
      <c r="G52" s="711">
        <v>1.3008419193260696E-7</v>
      </c>
      <c r="H52" s="710">
        <v>0.314</v>
      </c>
      <c r="I52" s="708">
        <v>0.52</v>
      </c>
      <c r="J52" s="570">
        <v>3.157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3.157</v>
      </c>
      <c r="N52" s="632">
        <f t="shared" si="240"/>
        <v>5.5858560857633641</v>
      </c>
      <c r="O52" s="629">
        <f t="shared" si="241"/>
        <v>-1.8818060071357365</v>
      </c>
      <c r="P52" s="633">
        <f t="shared" si="242"/>
        <v>-3.1307094422196777</v>
      </c>
      <c r="Q52" s="585">
        <f t="shared" si="113"/>
        <v>341.38196370493506</v>
      </c>
      <c r="R52" s="629">
        <f t="shared" si="79"/>
        <v>5.8943177772624162</v>
      </c>
      <c r="S52" s="634">
        <f t="shared" si="80"/>
        <v>-3.1307094422196777</v>
      </c>
      <c r="T52" s="635">
        <f t="shared" si="81"/>
        <v>-1.8818060071357332</v>
      </c>
      <c r="U52" s="629">
        <f t="shared" si="82"/>
        <v>-5.585856085763365</v>
      </c>
      <c r="V52" s="636">
        <f t="shared" si="114"/>
        <v>-3.1307094422196777</v>
      </c>
      <c r="W52" s="585">
        <f t="shared" si="224"/>
        <v>251.38196370493506</v>
      </c>
      <c r="X52" s="629">
        <f t="shared" si="83"/>
        <v>5.8943177772624162</v>
      </c>
      <c r="Y52" s="630">
        <f t="shared" si="223"/>
        <v>-3.1307094422196777</v>
      </c>
      <c r="Z52" s="632">
        <f t="shared" si="243"/>
        <v>-0.80508050911010354</v>
      </c>
      <c r="AA52" s="629">
        <f t="shared" si="244"/>
        <v>-0.59316555349328892</v>
      </c>
      <c r="AB52" s="629">
        <f t="shared" si="245"/>
        <v>-1.3008419193260696E-7</v>
      </c>
      <c r="AC52" s="636">
        <f t="shared" si="84"/>
        <v>1</v>
      </c>
      <c r="AD52" s="637">
        <f t="shared" si="115"/>
        <v>-0.80508050911010354</v>
      </c>
      <c r="AE52" s="629">
        <f t="shared" si="85"/>
        <v>-0.59316555349328892</v>
      </c>
      <c r="AF52" s="633">
        <f t="shared" si="86"/>
        <v>-1.3008419193260696E-7</v>
      </c>
      <c r="AG52" s="602">
        <f t="shared" si="87"/>
        <v>-89.999987434747112</v>
      </c>
      <c r="AH52" s="603">
        <f t="shared" si="88"/>
        <v>143.61803124168958</v>
      </c>
      <c r="AI52" s="585">
        <f t="shared" si="89"/>
        <v>-89.999992546724826</v>
      </c>
      <c r="AJ52" s="586">
        <f t="shared" si="90"/>
        <v>-53.61803124169024</v>
      </c>
      <c r="AK52" s="635">
        <f t="shared" si="211"/>
        <v>0.81915209487729168</v>
      </c>
      <c r="AL52" s="629">
        <f t="shared" si="91"/>
        <v>-0.57357636410344504</v>
      </c>
      <c r="AM52" s="634">
        <f t="shared" si="92"/>
        <v>-1.3008419193260696E-7</v>
      </c>
      <c r="AN52" s="581">
        <f t="shared" si="93"/>
        <v>-89.999987005609626</v>
      </c>
      <c r="AO52" s="582">
        <f t="shared" si="94"/>
        <v>34.999994946625982</v>
      </c>
      <c r="AP52" s="585">
        <f t="shared" si="95"/>
        <v>-34.9999949466253</v>
      </c>
      <c r="AQ52" s="586">
        <f t="shared" si="246"/>
        <v>0.38676096065028631</v>
      </c>
      <c r="AS52" s="52">
        <f t="shared" si="406"/>
        <v>-108.61803629506494</v>
      </c>
      <c r="AT52" s="72">
        <f t="shared" si="247"/>
        <v>-3.0552802503481047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1.78200686938915</v>
      </c>
      <c r="C53" s="708">
        <v>-1.4941333234866849</v>
      </c>
      <c r="D53" s="709">
        <v>-0.22280067196682668</v>
      </c>
      <c r="E53" s="710">
        <v>1.457152400769462E-7</v>
      </c>
      <c r="F53" s="708">
        <v>1.7379008600508028E-7</v>
      </c>
      <c r="G53" s="711">
        <v>0.99999999999997435</v>
      </c>
      <c r="H53" s="710">
        <v>0.25700000000000001</v>
      </c>
      <c r="I53" s="708">
        <v>0.41499999999999992</v>
      </c>
      <c r="J53" s="570">
        <v>3.2090000000000001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3.2090000000000001</v>
      </c>
      <c r="N53" s="632">
        <f t="shared" si="240"/>
        <v>1.78200686938915</v>
      </c>
      <c r="O53" s="629">
        <f t="shared" si="241"/>
        <v>-1.4941333234866849</v>
      </c>
      <c r="P53" s="633">
        <f t="shared" si="242"/>
        <v>-0.22280067196682668</v>
      </c>
      <c r="Q53" s="585">
        <f t="shared" si="113"/>
        <v>320.02166678898033</v>
      </c>
      <c r="R53" s="629">
        <f t="shared" ref="R53:R58" si="410">IF(M53="","",SQRT(N53^2+O53^2))</f>
        <v>2.3255070137291538</v>
      </c>
      <c r="S53" s="634">
        <f t="shared" ref="S53:S58" si="411">IF(M53="","",P53)</f>
        <v>-0.22280067196682668</v>
      </c>
      <c r="T53" s="635">
        <f t="shared" ref="T53:T58" si="412">IF(M53="","",X53*COS(RADIANS(W53)))</f>
        <v>-1.4941333234866856</v>
      </c>
      <c r="U53" s="629">
        <f t="shared" ref="U53:U58" si="413">IF(M53="","",X53*SIN(RADIANS(W53)))</f>
        <v>-1.7820068693891498</v>
      </c>
      <c r="V53" s="636">
        <f t="shared" ref="V53:V58" si="414">IF(M53="","",Y53)</f>
        <v>-0.22280067196682668</v>
      </c>
      <c r="W53" s="585">
        <f t="shared" si="224"/>
        <v>230.02166678898033</v>
      </c>
      <c r="X53" s="629">
        <f t="shared" ref="X53:X58" si="415">IF(M53="","",R53)</f>
        <v>2.3255070137291538</v>
      </c>
      <c r="Y53" s="630">
        <f t="shared" si="223"/>
        <v>-0.22280067196682668</v>
      </c>
      <c r="Z53" s="632">
        <f t="shared" si="243"/>
        <v>-1.457152400769462E-7</v>
      </c>
      <c r="AA53" s="629">
        <f t="shared" si="244"/>
        <v>-1.7379008600508028E-7</v>
      </c>
      <c r="AB53" s="629">
        <f t="shared" si="245"/>
        <v>-0.99999999999997435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-1.457152400769462E-7</v>
      </c>
      <c r="AE53" s="629">
        <f t="shared" ref="AE53:AE58" si="418">IF(M53="","",AA53*(1/SQRT(Z53^2+AA53^2+AB53^2)))</f>
        <v>-1.7379008600508028E-7</v>
      </c>
      <c r="AF53" s="633">
        <f t="shared" ref="AF53:AF58" si="419">IF(M53="","",AB53*(1/SQRT(Z53^2+AA53^2+AB53^2)))</f>
        <v>-0.99999999999997435</v>
      </c>
      <c r="AG53" s="602">
        <f t="shared" ref="AG53:AG58" si="420">IF(M53="","",DEGREES(ATAN2(-AF53,AE53)))</f>
        <v>-9.9574384493068493E-6</v>
      </c>
      <c r="AH53" s="603">
        <f t="shared" ref="AH53:AH58" si="421">IF(M53="","",DEGREES(ACOS(AD53)))</f>
        <v>90.000008348868263</v>
      </c>
      <c r="AI53" s="585">
        <f t="shared" ref="AI53:AI58" si="422">IF(M53="","",DEGREES(-ACOS(-AF53)))</f>
        <v>-1.2976235990044085E-5</v>
      </c>
      <c r="AJ53" s="586">
        <f t="shared" ref="AJ53:AJ58" si="423">IF(M53="","",DEGREES(ATAN2(-AE53,AD53)))</f>
        <v>-39.97833321101966</v>
      </c>
      <c r="AK53" s="635">
        <f t="shared" ref="AK53:AK58" si="424">IF(M53="","",(COS(RADIANS((90-$Q$8)-W53))*AD53)+(-SIN(RADIANS((90-$Q$8)-W53))*AE53))</f>
        <v>2.2679489673344785E-7</v>
      </c>
      <c r="AL53" s="629">
        <f t="shared" ref="AL53:AL58" si="425">IF(M53="","",(SIN(RADIANS((90-$Q$8)-W53))*AD53)+(COS(RADIANS((90-$Q$8)-W53))*AE53))</f>
        <v>1.0587911840678754E-22</v>
      </c>
      <c r="AM53" s="634">
        <f t="shared" ref="AM53:AM58" si="426">IF(M53="","",AF53)</f>
        <v>-0.99999999999997435</v>
      </c>
      <c r="AN53" s="581">
        <f t="shared" ref="AN53:AN58" si="427">IF(M53="","",DEGREES(ATAN2(-AM53,AL53)))</f>
        <v>6.0664266232749916E-21</v>
      </c>
      <c r="AO53" s="582">
        <f t="shared" si="94"/>
        <v>0</v>
      </c>
      <c r="AP53" s="585">
        <f t="shared" ref="AP53:AP58" si="428">IF(M53="","",DEGREES(ATAN2(AK53,AL53)))</f>
        <v>2.6748514674052429E-14</v>
      </c>
      <c r="AQ53" s="586">
        <f t="shared" si="246"/>
        <v>0.9802181633285818</v>
      </c>
      <c r="AS53" s="52">
        <f t="shared" si="406"/>
        <v>-129.97833321101967</v>
      </c>
      <c r="AT53" s="72">
        <f t="shared" si="247"/>
        <v>-0.13253794057028523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3.2090000000000001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3.109</v>
      </c>
      <c r="II53" s="734" cm="1">
        <f t="array" ref="II53">IFERROR(ROUND(VALUE(IF($IH53&lt;1,$IH53+LARGE((IF($M$9:$M$150="",0,$M$9:$M$150)-MOD(IF($M$9:$M$150="",0,$M$9:$M$150),1)),1),$IH53)),4),"")</f>
        <v>3.109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23.978296537962308</v>
      </c>
      <c r="IM53" s="759">
        <v>2.5116405032511301E-2</v>
      </c>
      <c r="IN53" s="5">
        <f t="shared" si="226"/>
        <v>0.38</v>
      </c>
      <c r="IO53" s="771">
        <v>190</v>
      </c>
      <c r="IP53" s="9">
        <f t="shared" si="227"/>
        <v>-2.3376070502228639</v>
      </c>
      <c r="IQ53" s="5">
        <f t="shared" si="228"/>
        <v>-0.24090072655659131</v>
      </c>
      <c r="IR53" s="5">
        <f t="shared" si="383"/>
        <v>0.314</v>
      </c>
      <c r="IS53" s="5">
        <f t="shared" si="229"/>
        <v>0.30330071252667312</v>
      </c>
      <c r="IT53" s="727">
        <f t="shared" si="230"/>
        <v>-14.999997834268259</v>
      </c>
      <c r="IU53" s="9">
        <f t="shared" si="231"/>
        <v>-2.3255070137291538</v>
      </c>
      <c r="IV53" s="5">
        <f t="shared" si="232"/>
        <v>-0.22280067196682668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-6.0664266232749916E-21</v>
      </c>
    </row>
    <row r="54" spans="1:259" ht="15" customHeight="1" x14ac:dyDescent="0.25">
      <c r="A54" s="79"/>
      <c r="B54" s="707">
        <v>2.5418665028623555</v>
      </c>
      <c r="C54" s="708">
        <v>-1.6999186732370495</v>
      </c>
      <c r="D54" s="709">
        <v>-0.115100347142647</v>
      </c>
      <c r="E54" s="710">
        <v>1.2607728088958696E-7</v>
      </c>
      <c r="F54" s="708">
        <v>1.8852173455886571E-7</v>
      </c>
      <c r="G54" s="711">
        <v>0.99999999999997435</v>
      </c>
      <c r="H54" s="710">
        <v>0.25700000000000001</v>
      </c>
      <c r="I54" s="708">
        <v>0.41499999999999992</v>
      </c>
      <c r="J54" s="570">
        <v>3.2149999999999999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3.2149999999999999</v>
      </c>
      <c r="N54" s="632">
        <f t="shared" si="240"/>
        <v>2.5418665028623555</v>
      </c>
      <c r="O54" s="629">
        <f t="shared" si="241"/>
        <v>-1.6999186732370495</v>
      </c>
      <c r="P54" s="633">
        <f t="shared" si="242"/>
        <v>-0.115100347142647</v>
      </c>
      <c r="Q54" s="585">
        <f t="shared" si="113"/>
        <v>326.22666589308932</v>
      </c>
      <c r="R54" s="629">
        <f t="shared" si="410"/>
        <v>3.0579092226542159</v>
      </c>
      <c r="S54" s="634">
        <f t="shared" si="411"/>
        <v>-0.115100347142647</v>
      </c>
      <c r="T54" s="635">
        <f t="shared" si="412"/>
        <v>-1.6999186732370501</v>
      </c>
      <c r="U54" s="629">
        <f t="shared" si="413"/>
        <v>-2.541866502862355</v>
      </c>
      <c r="V54" s="636">
        <f t="shared" si="414"/>
        <v>-0.115100347142647</v>
      </c>
      <c r="W54" s="585">
        <f t="shared" si="224"/>
        <v>236.22666589308932</v>
      </c>
      <c r="X54" s="629">
        <f t="shared" si="415"/>
        <v>3.0579092226542159</v>
      </c>
      <c r="Y54" s="630">
        <f t="shared" si="223"/>
        <v>-0.115100347142647</v>
      </c>
      <c r="Z54" s="632">
        <f t="shared" si="243"/>
        <v>-1.2607728088958696E-7</v>
      </c>
      <c r="AA54" s="629">
        <f t="shared" si="244"/>
        <v>-1.8852173455886571E-7</v>
      </c>
      <c r="AB54" s="629">
        <f t="shared" si="245"/>
        <v>-0.99999999999997435</v>
      </c>
      <c r="AC54" s="636">
        <f t="shared" si="416"/>
        <v>1</v>
      </c>
      <c r="AD54" s="637">
        <f t="shared" si="417"/>
        <v>-1.2607728088958696E-7</v>
      </c>
      <c r="AE54" s="629">
        <f t="shared" si="418"/>
        <v>-1.8852173455886571E-7</v>
      </c>
      <c r="AF54" s="633">
        <f t="shared" si="419"/>
        <v>-0.99999999999997435</v>
      </c>
      <c r="AG54" s="602">
        <f t="shared" si="420"/>
        <v>-1.0801499736708751E-5</v>
      </c>
      <c r="AH54" s="603">
        <f t="shared" si="421"/>
        <v>90.000007223696088</v>
      </c>
      <c r="AI54" s="585">
        <f t="shared" si="422"/>
        <v>-1.2976235990044085E-5</v>
      </c>
      <c r="AJ54" s="586">
        <f t="shared" si="423"/>
        <v>-33.773334121579602</v>
      </c>
      <c r="AK54" s="635">
        <f t="shared" si="424"/>
        <v>2.2679489667449578E-7</v>
      </c>
      <c r="AL54" s="629">
        <f t="shared" si="425"/>
        <v>-5.8064148238951691E-17</v>
      </c>
      <c r="AM54" s="634">
        <f t="shared" si="426"/>
        <v>-0.99999999999997435</v>
      </c>
      <c r="AN54" s="581">
        <f t="shared" si="427"/>
        <v>-3.3268306351139888E-15</v>
      </c>
      <c r="AO54" s="582">
        <f t="shared" si="94"/>
        <v>0</v>
      </c>
      <c r="AP54" s="585">
        <f t="shared" si="428"/>
        <v>-1.4668895481756323E-8</v>
      </c>
      <c r="AQ54" s="586">
        <f t="shared" si="246"/>
        <v>0.74547601719796242</v>
      </c>
      <c r="AS54" s="52">
        <f t="shared" si="406"/>
        <v>-123.77333410691068</v>
      </c>
      <c r="AT54" s="72">
        <f t="shared" si="247"/>
        <v>-2.9146642901736797E-2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3.2149999999999999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3.1150000000000002</v>
      </c>
      <c r="II54" s="734" cm="1">
        <f t="array" ref="II54">IFERROR(ROUND(VALUE(IF($IH54&lt;1,$IH54+LARGE((IF($M$9:$M$150="",0,$M$9:$M$150)-MOD(IF($M$9:$M$150="",0,$M$9:$M$150),1)),1),$IH54)),4),"")</f>
        <v>3.1150000000000002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17.68429744670334</v>
      </c>
      <c r="IM54" s="759">
        <v>2.71490740709508E-2</v>
      </c>
      <c r="IN54" s="5">
        <f t="shared" si="226"/>
        <v>0.52</v>
      </c>
      <c r="IO54" s="771">
        <v>260</v>
      </c>
      <c r="IP54" s="9">
        <f t="shared" si="227"/>
        <v>-3.059609227781432</v>
      </c>
      <c r="IQ54" s="5">
        <f t="shared" si="228"/>
        <v>-0.13420040474842077</v>
      </c>
      <c r="IR54" s="5">
        <f t="shared" si="383"/>
        <v>0.314</v>
      </c>
      <c r="IS54" s="5">
        <f t="shared" si="229"/>
        <v>0.30323833970161768</v>
      </c>
      <c r="IT54" s="727">
        <f t="shared" si="230"/>
        <v>2.3560802273320522</v>
      </c>
      <c r="IU54" s="9">
        <f t="shared" si="231"/>
        <v>-3.0579092226542159</v>
      </c>
      <c r="IV54" s="5">
        <f t="shared" si="232"/>
        <v>-0.115100347142647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3.3268306351139888E-15</v>
      </c>
    </row>
    <row r="55" spans="1:259" ht="15" customHeight="1" x14ac:dyDescent="0.25">
      <c r="A55" s="79"/>
      <c r="B55" s="707">
        <v>3.2805762453723943</v>
      </c>
      <c r="C55" s="708">
        <v>-1.9536014632264387</v>
      </c>
      <c r="D55" s="709">
        <v>-0.18060054469124281</v>
      </c>
      <c r="E55" s="710">
        <v>0.58000854950954261</v>
      </c>
      <c r="F55" s="708">
        <v>0.76321791612729728</v>
      </c>
      <c r="G55" s="711">
        <v>0.28476041683868658</v>
      </c>
      <c r="H55" s="710">
        <v>0.26600000000000001</v>
      </c>
      <c r="I55" s="708">
        <v>0.52</v>
      </c>
      <c r="J55" s="570">
        <v>3.222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</v>
      </c>
      <c r="N55" s="632">
        <f t="shared" si="240"/>
        <v>3.2805762453723943</v>
      </c>
      <c r="O55" s="629">
        <f t="shared" si="241"/>
        <v>-1.9536014632264387</v>
      </c>
      <c r="P55" s="633">
        <f t="shared" si="242"/>
        <v>-0.18060054469124281</v>
      </c>
      <c r="Q55" s="585">
        <f t="shared" si="113"/>
        <v>329.22596546004399</v>
      </c>
      <c r="R55" s="629">
        <f t="shared" si="410"/>
        <v>3.818211515725932</v>
      </c>
      <c r="S55" s="634">
        <f t="shared" si="411"/>
        <v>-0.18060054469124281</v>
      </c>
      <c r="T55" s="635">
        <f t="shared" si="412"/>
        <v>-1.9536014632264405</v>
      </c>
      <c r="U55" s="629">
        <f t="shared" si="413"/>
        <v>-3.2805762453723935</v>
      </c>
      <c r="V55" s="636">
        <f t="shared" si="414"/>
        <v>-0.18060054469124281</v>
      </c>
      <c r="W55" s="585">
        <f t="shared" si="224"/>
        <v>239.22596546004399</v>
      </c>
      <c r="X55" s="629">
        <f t="shared" si="415"/>
        <v>3.818211515725932</v>
      </c>
      <c r="Y55" s="630">
        <f t="shared" si="223"/>
        <v>-0.18060054469124281</v>
      </c>
      <c r="Z55" s="632">
        <f t="shared" si="243"/>
        <v>-0.58000854950954261</v>
      </c>
      <c r="AA55" s="629">
        <f t="shared" si="244"/>
        <v>-0.76321791612729728</v>
      </c>
      <c r="AB55" s="629">
        <f t="shared" si="245"/>
        <v>-0.28476041683868658</v>
      </c>
      <c r="AC55" s="636">
        <f t="shared" si="416"/>
        <v>1</v>
      </c>
      <c r="AD55" s="637">
        <f t="shared" si="417"/>
        <v>-0.58000854950954261</v>
      </c>
      <c r="AE55" s="629">
        <f t="shared" si="418"/>
        <v>-0.76321791612729728</v>
      </c>
      <c r="AF55" s="633">
        <f t="shared" si="419"/>
        <v>-0.28476041683868658</v>
      </c>
      <c r="AG55" s="602">
        <f t="shared" si="420"/>
        <v>-69.53920376299935</v>
      </c>
      <c r="AH55" s="603">
        <f t="shared" si="421"/>
        <v>125.45114396834005</v>
      </c>
      <c r="AI55" s="585">
        <f t="shared" si="422"/>
        <v>-73.455471914323994</v>
      </c>
      <c r="AJ55" s="586">
        <f t="shared" si="423"/>
        <v>-37.23307009028634</v>
      </c>
      <c r="AK55" s="635">
        <f t="shared" si="424"/>
        <v>0.9525140505486267</v>
      </c>
      <c r="AL55" s="629">
        <f t="shared" si="425"/>
        <v>-0.10783546962528584</v>
      </c>
      <c r="AM55" s="634">
        <f t="shared" si="426"/>
        <v>-0.28476041683868658</v>
      </c>
      <c r="AN55" s="581">
        <f t="shared" si="427"/>
        <v>-20.741096104800626</v>
      </c>
      <c r="AO55" s="582">
        <f>IF(ROUND(IF(M55="",0,DEGREES(ACOS(AK55))),4)=90,0,IF(M55="","",DEGREES(ACOS(AK55))))</f>
        <v>17.727762604853318</v>
      </c>
      <c r="AP55" s="585">
        <f t="shared" si="428"/>
        <v>-6.4590355503303307</v>
      </c>
      <c r="AQ55" s="586">
        <f t="shared" si="246"/>
        <v>0.59704500587336706</v>
      </c>
      <c r="AS55" s="52">
        <f t="shared" si="406"/>
        <v>-120.77403453995601</v>
      </c>
      <c r="AT55" s="72">
        <f t="shared" si="247"/>
        <v>-9.6729687371828924E-2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3.1219999999999999</v>
      </c>
      <c r="II55" s="734" cm="1">
        <f t="array" ref="II55">IFERROR(ROUND(VALUE(IF($IH55&lt;1,$IH55+LARGE((IF($M$9:$M$150="",0,$M$9:$M$150)-MOD(IF($M$9:$M$150="",0,$M$9:$M$150),1)),1),$IH55)),4),"")</f>
        <v>3.1219999999999999</v>
      </c>
      <c r="IJ55" s="533">
        <f t="shared" si="112"/>
        <v>1613</v>
      </c>
      <c r="IK55" s="533">
        <f t="shared" si="382"/>
        <v>1313</v>
      </c>
      <c r="IL55" s="727">
        <f t="shared" si="225"/>
        <v>14.243997943421164</v>
      </c>
      <c r="IM55" s="759">
        <v>2.2067805662908E-3</v>
      </c>
      <c r="IN55" s="5">
        <f t="shared" si="226"/>
        <v>0.02</v>
      </c>
      <c r="IO55" s="771">
        <v>10</v>
      </c>
      <c r="IP55" s="9">
        <f t="shared" si="227"/>
        <v>-3.8085114864706435</v>
      </c>
      <c r="IQ55" s="5">
        <f t="shared" si="228"/>
        <v>-0.22700068463406486</v>
      </c>
      <c r="IR55" s="5">
        <f t="shared" si="383"/>
        <v>0.314</v>
      </c>
      <c r="IS55" s="5">
        <f t="shared" si="229"/>
        <v>0.30291816243747088</v>
      </c>
      <c r="IT55" s="727">
        <f t="shared" si="230"/>
        <v>22.242220342750596</v>
      </c>
      <c r="IU55" s="9">
        <f t="shared" si="231"/>
        <v>-3.818211515725932</v>
      </c>
      <c r="IV55" s="5">
        <f t="shared" si="232"/>
        <v>-0.18060054469124281</v>
      </c>
      <c r="IW55" s="5">
        <f t="shared" si="384"/>
        <v>0.26600000000000001</v>
      </c>
      <c r="IX55" s="5">
        <f t="shared" si="233"/>
        <v>0.25336873744593469</v>
      </c>
      <c r="IY55" s="762">
        <f t="shared" si="234"/>
        <v>20.741096104800626</v>
      </c>
    </row>
    <row r="56" spans="1:259" ht="15" customHeight="1" x14ac:dyDescent="0.25">
      <c r="A56" s="79"/>
      <c r="B56" s="707">
        <v>3.8925535940170408</v>
      </c>
      <c r="C56" s="708">
        <v>-2.3061538011334028</v>
      </c>
      <c r="D56" s="709">
        <v>-0.47690143833473803</v>
      </c>
      <c r="E56" s="710">
        <v>0.65293191513019977</v>
      </c>
      <c r="F56" s="708">
        <v>0.71234968288906486</v>
      </c>
      <c r="G56" s="711">
        <v>0.25736713755306539</v>
      </c>
      <c r="H56" s="710">
        <v>0.26600000000000001</v>
      </c>
      <c r="I56" s="708">
        <v>0.52</v>
      </c>
      <c r="J56" s="570">
        <v>3.2290000000000001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3.2290000000000001</v>
      </c>
      <c r="N56" s="632">
        <f t="shared" si="240"/>
        <v>3.8925535940170408</v>
      </c>
      <c r="O56" s="629">
        <f t="shared" si="241"/>
        <v>-2.3061538011334028</v>
      </c>
      <c r="P56" s="633">
        <f t="shared" si="242"/>
        <v>-0.47690143833473803</v>
      </c>
      <c r="Q56" s="585">
        <f t="shared" si="113"/>
        <v>329.35526544137542</v>
      </c>
      <c r="R56" s="629">
        <f t="shared" si="410"/>
        <v>4.5244136456315553</v>
      </c>
      <c r="S56" s="634">
        <f t="shared" si="411"/>
        <v>-0.47690143833473803</v>
      </c>
      <c r="T56" s="635">
        <f t="shared" si="412"/>
        <v>-2.3061538011334011</v>
      </c>
      <c r="U56" s="629">
        <f t="shared" si="413"/>
        <v>-3.8925535940170413</v>
      </c>
      <c r="V56" s="636">
        <f t="shared" si="414"/>
        <v>-0.47690143833473803</v>
      </c>
      <c r="W56" s="585">
        <f t="shared" si="224"/>
        <v>239.35526544137542</v>
      </c>
      <c r="X56" s="629">
        <f t="shared" si="415"/>
        <v>4.5244136456315553</v>
      </c>
      <c r="Y56" s="630">
        <f t="shared" si="223"/>
        <v>-0.47690143833473803</v>
      </c>
      <c r="Z56" s="632">
        <f t="shared" si="243"/>
        <v>-0.65293191513019977</v>
      </c>
      <c r="AA56" s="629">
        <f t="shared" si="244"/>
        <v>-0.71234968288906486</v>
      </c>
      <c r="AB56" s="629">
        <f t="shared" si="245"/>
        <v>-0.25736713755306539</v>
      </c>
      <c r="AC56" s="636">
        <f t="shared" si="416"/>
        <v>1</v>
      </c>
      <c r="AD56" s="637">
        <f t="shared" si="417"/>
        <v>-0.65293191513019977</v>
      </c>
      <c r="AE56" s="629">
        <f t="shared" si="418"/>
        <v>-0.71234968288906486</v>
      </c>
      <c r="AF56" s="633">
        <f t="shared" si="419"/>
        <v>-0.25736713755306539</v>
      </c>
      <c r="AG56" s="602">
        <f t="shared" si="420"/>
        <v>-70.135553843588113</v>
      </c>
      <c r="AH56" s="603">
        <f t="shared" si="421"/>
        <v>130.76302219678433</v>
      </c>
      <c r="AI56" s="585">
        <f t="shared" si="422"/>
        <v>-75.08610543182462</v>
      </c>
      <c r="AJ56" s="586">
        <f t="shared" si="423"/>
        <v>-42.508030269350847</v>
      </c>
      <c r="AK56" s="635">
        <f t="shared" si="424"/>
        <v>0.94567408539594422</v>
      </c>
      <c r="AL56" s="629">
        <f t="shared" si="425"/>
        <v>-0.19865216011482506</v>
      </c>
      <c r="AM56" s="634">
        <f t="shared" si="426"/>
        <v>-0.25736713755306539</v>
      </c>
      <c r="AN56" s="581">
        <f t="shared" si="427"/>
        <v>-37.663220454680996</v>
      </c>
      <c r="AO56" s="582">
        <f t="shared" ref="AO56:AO119" si="461">IF(ROUND(IF(M56="",0,DEGREES(ACOS(AK56))),4)=90,0,IF(M56="","",DEGREES(ACOS(AK56))))</f>
        <v>18.972613279556256</v>
      </c>
      <c r="AP56" s="585">
        <f t="shared" si="428"/>
        <v>-11.863295710726279</v>
      </c>
      <c r="AQ56" s="586">
        <f t="shared" si="246"/>
        <v>0.50385929382861683</v>
      </c>
      <c r="AS56" s="52">
        <f t="shared" si="406"/>
        <v>-120.64473455862458</v>
      </c>
      <c r="AT56" s="72">
        <f t="shared" si="247"/>
        <v>-0.3931203726690265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3.2290000000000001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3.129</v>
      </c>
      <c r="II56" s="734" cm="1">
        <f t="array" ref="II56">IFERROR(ROUND(VALUE(IF($IH56&lt;1,$IH56+LARGE((IF($M$9:$M$150="",0,$M$9:$M$150)-MOD(IF($M$9:$M$150="",0,$M$9:$M$150),1)),1),$IH56)),4),"")</f>
        <v>3.129</v>
      </c>
      <c r="IJ56" s="533">
        <f t="shared" si="112"/>
        <v>1613</v>
      </c>
      <c r="IK56" s="533">
        <f t="shared" si="382"/>
        <v>1313</v>
      </c>
      <c r="IL56" s="727">
        <f t="shared" si="225"/>
        <v>13.514698048719026</v>
      </c>
      <c r="IM56" s="759">
        <v>1.9401989317160699E-3</v>
      </c>
      <c r="IN56" s="5">
        <f t="shared" si="226"/>
        <v>0.02</v>
      </c>
      <c r="IO56" s="771">
        <v>10</v>
      </c>
      <c r="IP56" s="9">
        <f t="shared" si="227"/>
        <v>-4.5039135838033699</v>
      </c>
      <c r="IQ56" s="5">
        <f t="shared" si="228"/>
        <v>-0.51990156802312926</v>
      </c>
      <c r="IR56" s="5">
        <f t="shared" si="383"/>
        <v>0.314</v>
      </c>
      <c r="IS56" s="5">
        <f t="shared" si="229"/>
        <v>0.30099285583803714</v>
      </c>
      <c r="IT56" s="727">
        <f t="shared" si="230"/>
        <v>39.583972423296409</v>
      </c>
      <c r="IU56" s="9">
        <f t="shared" si="231"/>
        <v>-4.5244136456315553</v>
      </c>
      <c r="IV56" s="5">
        <f t="shared" si="232"/>
        <v>-0.47690143833473803</v>
      </c>
      <c r="IW56" s="5">
        <f t="shared" si="384"/>
        <v>0.26600000000000001</v>
      </c>
      <c r="IX56" s="5">
        <f t="shared" si="233"/>
        <v>0.25154930671532116</v>
      </c>
      <c r="IY56" s="762">
        <f t="shared" si="234"/>
        <v>37.663220454680996</v>
      </c>
    </row>
    <row r="57" spans="1:259" ht="15" customHeight="1" x14ac:dyDescent="0.25">
      <c r="A57" s="79"/>
      <c r="B57" s="707">
        <v>4.4542669023831163</v>
      </c>
      <c r="C57" s="708">
        <v>-2.5319837421976681</v>
      </c>
      <c r="D57" s="709">
        <v>-0.95340287546307245</v>
      </c>
      <c r="E57" s="710">
        <v>0.70445290267810368</v>
      </c>
      <c r="F57" s="708">
        <v>0.67905812156962497</v>
      </c>
      <c r="G57" s="711">
        <v>0.20646107487545101</v>
      </c>
      <c r="H57" s="710">
        <v>0.26600000000000001</v>
      </c>
      <c r="I57" s="708">
        <v>0.52</v>
      </c>
      <c r="J57" s="570">
        <v>3.2360000000000002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3.2360000000000002</v>
      </c>
      <c r="N57" s="632">
        <f t="shared" si="240"/>
        <v>4.4542669023831163</v>
      </c>
      <c r="O57" s="629">
        <f t="shared" si="241"/>
        <v>-2.5319837421976681</v>
      </c>
      <c r="P57" s="633">
        <f t="shared" si="242"/>
        <v>-0.95340287546307245</v>
      </c>
      <c r="Q57" s="585">
        <f t="shared" si="113"/>
        <v>330.38436529279176</v>
      </c>
      <c r="R57" s="629">
        <f t="shared" si="410"/>
        <v>5.1236154528242057</v>
      </c>
      <c r="S57" s="634">
        <f t="shared" si="411"/>
        <v>-0.95340287546307245</v>
      </c>
      <c r="T57" s="635">
        <f t="shared" si="412"/>
        <v>-2.531983742197669</v>
      </c>
      <c r="U57" s="629">
        <f t="shared" si="413"/>
        <v>-4.4542669023831163</v>
      </c>
      <c r="V57" s="636">
        <f t="shared" si="414"/>
        <v>-0.95340287546307245</v>
      </c>
      <c r="W57" s="585">
        <f t="shared" si="224"/>
        <v>240.38436529279176</v>
      </c>
      <c r="X57" s="629">
        <f t="shared" si="415"/>
        <v>5.1236154528242057</v>
      </c>
      <c r="Y57" s="630">
        <f t="shared" si="223"/>
        <v>-0.95340287546307245</v>
      </c>
      <c r="Z57" s="632">
        <f t="shared" si="243"/>
        <v>-0.70445290267810368</v>
      </c>
      <c r="AA57" s="629">
        <f t="shared" si="244"/>
        <v>-0.67905812156962497</v>
      </c>
      <c r="AB57" s="629">
        <f t="shared" si="245"/>
        <v>-0.20646107487545101</v>
      </c>
      <c r="AC57" s="636">
        <f t="shared" si="416"/>
        <v>1</v>
      </c>
      <c r="AD57" s="637">
        <f t="shared" si="417"/>
        <v>-0.70445290267810368</v>
      </c>
      <c r="AE57" s="629">
        <f t="shared" si="418"/>
        <v>-0.67905812156962497</v>
      </c>
      <c r="AF57" s="633">
        <f t="shared" si="419"/>
        <v>-0.20646107487545101</v>
      </c>
      <c r="AG57" s="602">
        <f t="shared" si="420"/>
        <v>-73.088611451427212</v>
      </c>
      <c r="AH57" s="603">
        <f t="shared" si="421"/>
        <v>134.78536181915834</v>
      </c>
      <c r="AI57" s="585">
        <f t="shared" si="422"/>
        <v>-78.084957634010252</v>
      </c>
      <c r="AJ57" s="586">
        <f t="shared" si="423"/>
        <v>-46.051564013670493</v>
      </c>
      <c r="AK57" s="635">
        <f t="shared" si="424"/>
        <v>0.93847195534093186</v>
      </c>
      <c r="AL57" s="629">
        <f t="shared" si="425"/>
        <v>-0.27684691365417374</v>
      </c>
      <c r="AM57" s="634">
        <f t="shared" si="426"/>
        <v>-0.20646107487545101</v>
      </c>
      <c r="AN57" s="581">
        <f t="shared" si="427"/>
        <v>-53.285934036384532</v>
      </c>
      <c r="AO57" s="582">
        <f t="shared" si="461"/>
        <v>20.203495454395178</v>
      </c>
      <c r="AP57" s="585">
        <f t="shared" si="428"/>
        <v>-16.43592930646227</v>
      </c>
      <c r="AQ57" s="586">
        <f t="shared" si="246"/>
        <v>0.44493596891274201</v>
      </c>
      <c r="AS57" s="52">
        <f t="shared" si="406"/>
        <v>-119.61563470720824</v>
      </c>
      <c r="AT57" s="72">
        <f t="shared" si="247"/>
        <v>-0.87033646247195562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3.2360000000000002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3.1360000000000001</v>
      </c>
      <c r="II57" s="734" cm="1">
        <f t="array" ref="II57">IFERROR(ROUND(VALUE(IF($IH57&lt;1,$IH57+LARGE((IF($M$9:$M$150="",0,$M$9:$M$150)-MOD(IF($M$9:$M$150="",0,$M$9:$M$150),1)),1),$IH57)),4),"")</f>
        <v>3.1360000000000001</v>
      </c>
      <c r="IJ57" s="533">
        <f t="shared" si="112"/>
        <v>1613</v>
      </c>
      <c r="IK57" s="533">
        <f t="shared" si="382"/>
        <v>1313</v>
      </c>
      <c r="IL57" s="727">
        <f t="shared" si="225"/>
        <v>11.890598283210068</v>
      </c>
      <c r="IM57" s="759">
        <v>1.50933184801177E-3</v>
      </c>
      <c r="IN57" s="5">
        <f t="shared" si="226"/>
        <v>0</v>
      </c>
      <c r="IO57" s="771">
        <v>0</v>
      </c>
      <c r="IP57" s="9">
        <f t="shared" si="227"/>
        <v>-5.0935153620423321</v>
      </c>
      <c r="IQ57" s="5">
        <f t="shared" si="228"/>
        <v>-0.99080298826181268</v>
      </c>
      <c r="IR57" s="5">
        <f t="shared" si="383"/>
        <v>0.314</v>
      </c>
      <c r="IS57" s="5">
        <f t="shared" si="229"/>
        <v>0.29895148095914181</v>
      </c>
      <c r="IT57" s="727">
        <f t="shared" si="230"/>
        <v>55.388612220196798</v>
      </c>
      <c r="IU57" s="9">
        <f t="shared" si="231"/>
        <v>-5.1236154528242057</v>
      </c>
      <c r="IV57" s="5">
        <f t="shared" si="232"/>
        <v>-0.95340287546307245</v>
      </c>
      <c r="IW57" s="5">
        <f t="shared" si="384"/>
        <v>0.26600000000000001</v>
      </c>
      <c r="IX57" s="5">
        <f t="shared" si="233"/>
        <v>0.24963354012068789</v>
      </c>
      <c r="IY57" s="762">
        <f t="shared" si="234"/>
        <v>53.285934036384532</v>
      </c>
    </row>
    <row r="58" spans="1:259" ht="15" customHeight="1" x14ac:dyDescent="0.25">
      <c r="A58" s="79"/>
      <c r="B58" s="707">
        <v>4.8625561275638987</v>
      </c>
      <c r="C58" s="708">
        <v>-2.7189870049814471</v>
      </c>
      <c r="D58" s="709">
        <v>-1.5746047490079231</v>
      </c>
      <c r="E58" s="710">
        <v>0.75692739494872441</v>
      </c>
      <c r="F58" s="708">
        <v>0.63654723471844066</v>
      </c>
      <c r="G58" s="711">
        <v>0.14788014318509574</v>
      </c>
      <c r="H58" s="710">
        <v>0.26600000000000001</v>
      </c>
      <c r="I58" s="708">
        <v>0.52</v>
      </c>
      <c r="J58" s="570">
        <v>3.2429999999999999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3.2429999999999999</v>
      </c>
      <c r="N58" s="632">
        <f t="shared" si="240"/>
        <v>4.8625561275638987</v>
      </c>
      <c r="O58" s="629">
        <f t="shared" si="241"/>
        <v>-2.7189870049814471</v>
      </c>
      <c r="P58" s="633">
        <f t="shared" si="242"/>
        <v>-1.5746047490079231</v>
      </c>
      <c r="Q58" s="585">
        <f t="shared" si="113"/>
        <v>330.78746523459137</v>
      </c>
      <c r="R58" s="629">
        <f t="shared" si="410"/>
        <v>5.5711168024882767</v>
      </c>
      <c r="S58" s="634">
        <f t="shared" si="411"/>
        <v>-1.5746047490079231</v>
      </c>
      <c r="T58" s="635">
        <f t="shared" si="412"/>
        <v>-2.7189870049814475</v>
      </c>
      <c r="U58" s="629">
        <f t="shared" si="413"/>
        <v>-4.8625561275638987</v>
      </c>
      <c r="V58" s="636">
        <f t="shared" si="414"/>
        <v>-1.5746047490079231</v>
      </c>
      <c r="W58" s="585">
        <f t="shared" si="224"/>
        <v>240.78746523459137</v>
      </c>
      <c r="X58" s="629">
        <f t="shared" si="415"/>
        <v>5.5711168024882767</v>
      </c>
      <c r="Y58" s="630">
        <f t="shared" si="223"/>
        <v>-1.5746047490079231</v>
      </c>
      <c r="Z58" s="632">
        <f t="shared" si="243"/>
        <v>-0.75692739494872441</v>
      </c>
      <c r="AA58" s="629">
        <f t="shared" si="244"/>
        <v>-0.63654723471844066</v>
      </c>
      <c r="AB58" s="629">
        <f t="shared" si="245"/>
        <v>-0.14788014318509574</v>
      </c>
      <c r="AC58" s="636">
        <f t="shared" si="416"/>
        <v>1</v>
      </c>
      <c r="AD58" s="637">
        <f t="shared" si="417"/>
        <v>-0.75692739494872441</v>
      </c>
      <c r="AE58" s="629">
        <f t="shared" si="418"/>
        <v>-0.63654723471844066</v>
      </c>
      <c r="AF58" s="633">
        <f t="shared" si="419"/>
        <v>-0.14788014318509574</v>
      </c>
      <c r="AG58" s="602">
        <f t="shared" si="420"/>
        <v>-76.921266323925664</v>
      </c>
      <c r="AH58" s="603">
        <f t="shared" si="421"/>
        <v>139.1940674655697</v>
      </c>
      <c r="AI58" s="585">
        <f t="shared" si="422"/>
        <v>-81.495902320612316</v>
      </c>
      <c r="AJ58" s="586">
        <f t="shared" si="423"/>
        <v>-49.937437210540068</v>
      </c>
      <c r="AK58" s="635">
        <f t="shared" si="424"/>
        <v>0.92500706589787829</v>
      </c>
      <c r="AL58" s="629">
        <f t="shared" si="425"/>
        <v>-0.34999055885916985</v>
      </c>
      <c r="AM58" s="634">
        <f t="shared" si="426"/>
        <v>-0.14788014318509574</v>
      </c>
      <c r="AN58" s="581">
        <f t="shared" si="427"/>
        <v>-67.094673670154947</v>
      </c>
      <c r="AO58" s="582">
        <f t="shared" si="461"/>
        <v>22.33057950832136</v>
      </c>
      <c r="AP58" s="585">
        <f t="shared" si="428"/>
        <v>-20.724902445131427</v>
      </c>
      <c r="AQ58" s="586">
        <f t="shared" si="246"/>
        <v>0.40919764434225026</v>
      </c>
      <c r="AS58" s="52">
        <f t="shared" si="406"/>
        <v>-119.21253476540863</v>
      </c>
      <c r="AT58" s="72">
        <f t="shared" si="247"/>
        <v>-1.4918182665319448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3.2429999999999999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3.1429999999999998</v>
      </c>
      <c r="II58" s="734" cm="1">
        <f t="array" ref="II58">IFERROR(ROUND(VALUE(IF($IH58&lt;1,$IH58+LARGE((IF($M$9:$M$150="",0,$M$9:$M$150)-MOD(IF($M$9:$M$150="",0,$M$9:$M$150),1)),1),$IH58)),4),"")</f>
        <v>3.1429999999999998</v>
      </c>
      <c r="IJ58" s="533">
        <f t="shared" si="112"/>
        <v>1613</v>
      </c>
      <c r="IK58" s="533">
        <f t="shared" si="382"/>
        <v>1313</v>
      </c>
      <c r="IL58" s="727">
        <f t="shared" si="225"/>
        <v>11.006498410858228</v>
      </c>
      <c r="IM58" s="759">
        <v>1.0564117720133601E-3</v>
      </c>
      <c r="IN58" s="5">
        <f t="shared" si="226"/>
        <v>0</v>
      </c>
      <c r="IO58" s="771">
        <v>0</v>
      </c>
      <c r="IP58" s="9">
        <f t="shared" si="227"/>
        <v>-5.532916687276729</v>
      </c>
      <c r="IQ58" s="5">
        <f t="shared" si="228"/>
        <v>-1.6042048382817924</v>
      </c>
      <c r="IR58" s="5">
        <f t="shared" si="383"/>
        <v>0.314</v>
      </c>
      <c r="IS58" s="5">
        <f t="shared" si="229"/>
        <v>0.29516635993817919</v>
      </c>
      <c r="IT58" s="727">
        <f t="shared" si="230"/>
        <v>69.03233735191705</v>
      </c>
      <c r="IU58" s="9">
        <f t="shared" si="231"/>
        <v>-5.5711168024882767</v>
      </c>
      <c r="IV58" s="5">
        <f t="shared" si="232"/>
        <v>-1.5746047490079231</v>
      </c>
      <c r="IW58" s="5">
        <f t="shared" si="384"/>
        <v>0.26600000000000001</v>
      </c>
      <c r="IX58" s="5">
        <f t="shared" si="233"/>
        <v>0.24605187952883564</v>
      </c>
      <c r="IY58" s="762">
        <f t="shared" si="234"/>
        <v>67.094673670154947</v>
      </c>
    </row>
    <row r="59" spans="1:259" ht="15" customHeight="1" x14ac:dyDescent="0.25">
      <c r="A59" s="79"/>
      <c r="B59" s="707">
        <v>5.0857820658394717</v>
      </c>
      <c r="C59" s="708">
        <v>-2.8559730106810934</v>
      </c>
      <c r="D59" s="709">
        <v>-2.294006918724866</v>
      </c>
      <c r="E59" s="710">
        <v>0.82640047880146084</v>
      </c>
      <c r="F59" s="708">
        <v>0.55544477963230854</v>
      </c>
      <c r="G59" s="711">
        <v>9.2430219170640066E-2</v>
      </c>
      <c r="H59" s="710">
        <v>0.26600000000000001</v>
      </c>
      <c r="I59" s="708">
        <v>0.52</v>
      </c>
      <c r="J59" s="570">
        <v>3.25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3.25</v>
      </c>
      <c r="N59" s="632">
        <f t="shared" si="240"/>
        <v>5.0857820658394717</v>
      </c>
      <c r="O59" s="629">
        <f t="shared" si="241"/>
        <v>-2.8559730106810934</v>
      </c>
      <c r="P59" s="633">
        <f t="shared" si="242"/>
        <v>-2.294006918724866</v>
      </c>
      <c r="Q59" s="585">
        <f t="shared" si="113"/>
        <v>330.68316524965041</v>
      </c>
      <c r="R59" s="629">
        <f t="shared" si="79"/>
        <v>5.8328175917778564</v>
      </c>
      <c r="S59" s="634">
        <f t="shared" si="80"/>
        <v>-2.294006918724866</v>
      </c>
      <c r="T59" s="635">
        <f t="shared" si="81"/>
        <v>-2.8559730106810952</v>
      </c>
      <c r="U59" s="629">
        <f t="shared" si="82"/>
        <v>-5.0857820658394699</v>
      </c>
      <c r="V59" s="636">
        <f t="shared" si="114"/>
        <v>-2.294006918724866</v>
      </c>
      <c r="W59" s="585">
        <f t="shared" si="224"/>
        <v>240.68316524965041</v>
      </c>
      <c r="X59" s="629">
        <f t="shared" si="83"/>
        <v>5.8328175917778564</v>
      </c>
      <c r="Y59" s="630">
        <f t="shared" si="223"/>
        <v>-2.294006918724866</v>
      </c>
      <c r="Z59" s="632">
        <f t="shared" si="243"/>
        <v>-0.82640047880146084</v>
      </c>
      <c r="AA59" s="629">
        <f t="shared" si="244"/>
        <v>-0.55544477963230854</v>
      </c>
      <c r="AB59" s="629">
        <f t="shared" si="245"/>
        <v>-9.2430219170640066E-2</v>
      </c>
      <c r="AC59" s="636">
        <f t="shared" si="84"/>
        <v>1</v>
      </c>
      <c r="AD59" s="637">
        <f t="shared" si="115"/>
        <v>-0.82640047880146084</v>
      </c>
      <c r="AE59" s="629">
        <f t="shared" si="85"/>
        <v>-0.55544477963230854</v>
      </c>
      <c r="AF59" s="633">
        <f t="shared" si="86"/>
        <v>-9.2430219170640066E-2</v>
      </c>
      <c r="AG59" s="602">
        <f t="shared" si="87"/>
        <v>-80.552122010452251</v>
      </c>
      <c r="AH59" s="603">
        <f t="shared" si="88"/>
        <v>145.73073628407957</v>
      </c>
      <c r="AI59" s="585">
        <f t="shared" si="89"/>
        <v>-84.696568674439931</v>
      </c>
      <c r="AJ59" s="586">
        <f t="shared" si="90"/>
        <v>-56.093948545269718</v>
      </c>
      <c r="AK59" s="635">
        <f t="shared" si="211"/>
        <v>0.88894406188838881</v>
      </c>
      <c r="AL59" s="629">
        <f t="shared" si="91"/>
        <v>-0.44859236442168704</v>
      </c>
      <c r="AM59" s="634">
        <f t="shared" si="92"/>
        <v>-9.2430219170640066E-2</v>
      </c>
      <c r="AN59" s="581">
        <f t="shared" si="93"/>
        <v>-78.3574255778462</v>
      </c>
      <c r="AO59" s="582">
        <f t="shared" si="461"/>
        <v>27.259143355383188</v>
      </c>
      <c r="AP59" s="585">
        <f t="shared" si="95"/>
        <v>-26.777113794920105</v>
      </c>
      <c r="AQ59" s="586">
        <f t="shared" si="246"/>
        <v>0.39083877320543836</v>
      </c>
      <c r="AS59" s="52">
        <f t="shared" si="406"/>
        <v>-119.31683475034959</v>
      </c>
      <c r="AT59" s="72">
        <f t="shared" si="247"/>
        <v>-2.21114800570379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3.25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</v>
      </c>
      <c r="II59" s="734" cm="1">
        <f t="array" ref="II59">IFERROR(ROUND(VALUE(IF($IH59&lt;1,$IH59+LARGE((IF($M$9:$M$150="",0,$M$9:$M$150)-MOD(IF($M$9:$M$150="",0,$M$9:$M$150),1)),1),$IH59)),4),"")</f>
        <v>3.15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10.81979843781437</v>
      </c>
      <c r="IM59" s="759">
        <v>7.4101240797936599E-4</v>
      </c>
      <c r="IN59" s="5">
        <f t="shared" si="226"/>
        <v>0</v>
      </c>
      <c r="IO59" s="771">
        <v>0</v>
      </c>
      <c r="IP59" s="9">
        <f t="shared" si="227"/>
        <v>-5.78911745997826</v>
      </c>
      <c r="IQ59" s="5">
        <f t="shared" si="228"/>
        <v>-2.3139069787434479</v>
      </c>
      <c r="IR59" s="5">
        <f t="shared" si="383"/>
        <v>0.314</v>
      </c>
      <c r="IS59" s="5">
        <f t="shared" si="229"/>
        <v>0.284933201367359</v>
      </c>
      <c r="IT59" s="727">
        <f t="shared" si="230"/>
        <v>79.705438460838408</v>
      </c>
      <c r="IU59" s="9">
        <f t="shared" si="231"/>
        <v>-5.8328175917778564</v>
      </c>
      <c r="IV59" s="5">
        <f t="shared" si="232"/>
        <v>-2.294006918724866</v>
      </c>
      <c r="IW59" s="5">
        <f t="shared" si="384"/>
        <v>0.26600000000000001</v>
      </c>
      <c r="IX59" s="5">
        <f t="shared" si="233"/>
        <v>0.23645912046231143</v>
      </c>
      <c r="IY59" s="762">
        <f t="shared" si="234"/>
        <v>78.3574255778462</v>
      </c>
    </row>
    <row r="60" spans="1:259" ht="15" customHeight="1" x14ac:dyDescent="0.25">
      <c r="A60" s="79"/>
      <c r="B60" s="707">
        <v>4.865751302880974</v>
      </c>
      <c r="C60" s="708">
        <v>-3.3285486310070707</v>
      </c>
      <c r="D60" s="709">
        <v>-3.1332094497597001</v>
      </c>
      <c r="E60" s="710">
        <v>0.82535874046619506</v>
      </c>
      <c r="F60" s="708">
        <v>-0.56460866937729959</v>
      </c>
      <c r="G60" s="711">
        <v>2.2679489638950702E-7</v>
      </c>
      <c r="H60" s="710">
        <v>0.25700000000000001</v>
      </c>
      <c r="I60" s="708">
        <v>0.41499999999999992</v>
      </c>
      <c r="J60" s="570">
        <v>3.2570000000000001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3.2570000000000001</v>
      </c>
      <c r="N60" s="632">
        <f t="shared" si="240"/>
        <v>4.865751302880974</v>
      </c>
      <c r="O60" s="629">
        <f t="shared" si="241"/>
        <v>-3.3285486310070707</v>
      </c>
      <c r="P60" s="633">
        <f t="shared" si="242"/>
        <v>-3.1332094497597001</v>
      </c>
      <c r="Q60" s="585">
        <f t="shared" si="113"/>
        <v>325.62486597997844</v>
      </c>
      <c r="R60" s="629">
        <f t="shared" si="79"/>
        <v>5.8953177802784253</v>
      </c>
      <c r="S60" s="634">
        <f t="shared" si="80"/>
        <v>-3.1332094497597001</v>
      </c>
      <c r="T60" s="635">
        <f t="shared" si="81"/>
        <v>-3.3285486310070729</v>
      </c>
      <c r="U60" s="629">
        <f t="shared" si="82"/>
        <v>-4.8657513028809722</v>
      </c>
      <c r="V60" s="636">
        <f t="shared" si="114"/>
        <v>-3.1332094497597001</v>
      </c>
      <c r="W60" s="585">
        <f t="shared" si="224"/>
        <v>235.62486597997844</v>
      </c>
      <c r="X60" s="629">
        <f t="shared" si="83"/>
        <v>5.8953177802784253</v>
      </c>
      <c r="Y60" s="630">
        <f t="shared" si="223"/>
        <v>-3.1332094497597001</v>
      </c>
      <c r="Z60" s="632">
        <f t="shared" si="243"/>
        <v>-0.82535874046619506</v>
      </c>
      <c r="AA60" s="629">
        <f t="shared" si="244"/>
        <v>0.56460866937729959</v>
      </c>
      <c r="AB60" s="629">
        <f t="shared" si="245"/>
        <v>-2.2679489638950702E-7</v>
      </c>
      <c r="AC60" s="636">
        <f t="shared" si="84"/>
        <v>1</v>
      </c>
      <c r="AD60" s="637">
        <f t="shared" si="115"/>
        <v>-0.82535874046619506</v>
      </c>
      <c r="AE60" s="629">
        <f t="shared" si="85"/>
        <v>0.56460866937729959</v>
      </c>
      <c r="AF60" s="633">
        <f t="shared" si="86"/>
        <v>-2.2679489638950702E-7</v>
      </c>
      <c r="AG60" s="602">
        <f t="shared" si="87"/>
        <v>89.999976985138417</v>
      </c>
      <c r="AH60" s="603">
        <f t="shared" si="88"/>
        <v>145.62487897436668</v>
      </c>
      <c r="AI60" s="585">
        <f t="shared" si="89"/>
        <v>-89.999987005609626</v>
      </c>
      <c r="AJ60" s="586">
        <f t="shared" si="90"/>
        <v>-124.37512102563117</v>
      </c>
      <c r="AK60" s="635">
        <f t="shared" si="211"/>
        <v>2.2679489680710319E-7</v>
      </c>
      <c r="AL60" s="629">
        <f t="shared" si="91"/>
        <v>-0.99999999999994871</v>
      </c>
      <c r="AM60" s="634">
        <f t="shared" si="92"/>
        <v>-2.2679489638950702E-7</v>
      </c>
      <c r="AN60" s="581">
        <f t="shared" si="93"/>
        <v>-89.999987005609626</v>
      </c>
      <c r="AO60" s="582">
        <f t="shared" si="461"/>
        <v>0</v>
      </c>
      <c r="AP60" s="585">
        <f t="shared" si="95"/>
        <v>-89.999987005609611</v>
      </c>
      <c r="AQ60" s="586">
        <f t="shared" si="246"/>
        <v>0.38669535767588215</v>
      </c>
      <c r="AS60" s="52">
        <f t="shared" si="406"/>
        <v>-124.37513402002156</v>
      </c>
      <c r="AT60" s="72">
        <f t="shared" si="247"/>
        <v>-3.0468378289124627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>Gage</v>
      </c>
      <c r="IG60" s="847">
        <f t="shared" si="210"/>
        <v>3.2570000000000001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3.157</v>
      </c>
      <c r="II60" s="734" cm="1">
        <f t="array" ref="II60">IFERROR(ROUND(VALUE(IF($IH60&lt;1,$IH60+LARGE((IF($M$9:$M$150="",0,$M$9:$M$150)-MOD(IF($M$9:$M$150="",0,$M$9:$M$150),1)),1),$IH60)),4),"")</f>
        <v>3.157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15.757097724956623</v>
      </c>
      <c r="IM60" s="759">
        <v>2.02371340832286E-4</v>
      </c>
      <c r="IN60" s="5">
        <f t="shared" si="226"/>
        <v>0</v>
      </c>
      <c r="IO60" s="771">
        <v>0</v>
      </c>
      <c r="IP60" s="9">
        <f t="shared" si="227"/>
        <v>-5.8943177772624162</v>
      </c>
      <c r="IQ60" s="5">
        <f t="shared" si="228"/>
        <v>-3.1307094422196777</v>
      </c>
      <c r="IR60" s="5">
        <f t="shared" si="383"/>
        <v>0.314</v>
      </c>
      <c r="IS60" s="5">
        <f t="shared" si="229"/>
        <v>0.2572137577914696</v>
      </c>
      <c r="IT60" s="727">
        <f t="shared" si="230"/>
        <v>89.999987005609626</v>
      </c>
      <c r="IU60" s="9">
        <f t="shared" si="231"/>
        <v>-5.8953177802784253</v>
      </c>
      <c r="IV60" s="5">
        <f t="shared" si="232"/>
        <v>-3.1332094497597001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89.999987005609626</v>
      </c>
    </row>
    <row r="61" spans="1:259" ht="15" customHeight="1" x14ac:dyDescent="0.25">
      <c r="A61" s="79"/>
      <c r="B61" s="707">
        <v>0.86604107700995714</v>
      </c>
      <c r="C61" s="708">
        <v>-3.0471281929162313</v>
      </c>
      <c r="D61" s="709">
        <v>-0.13480040655802619</v>
      </c>
      <c r="E61" s="710">
        <v>0.93565660859228394</v>
      </c>
      <c r="F61" s="708">
        <v>0.24000227455120046</v>
      </c>
      <c r="G61" s="711">
        <v>0.25873851473608594</v>
      </c>
      <c r="H61" s="710">
        <v>0.314</v>
      </c>
      <c r="I61" s="708">
        <v>0.52</v>
      </c>
      <c r="J61" s="570">
        <v>4.1159999999999997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4.1159999999999997</v>
      </c>
      <c r="N61" s="632">
        <f t="shared" si="240"/>
        <v>0.86604107700995714</v>
      </c>
      <c r="O61" s="629">
        <f t="shared" si="241"/>
        <v>-3.0471281929162313</v>
      </c>
      <c r="P61" s="633">
        <f t="shared" si="242"/>
        <v>-0.13480040655802619</v>
      </c>
      <c r="Q61" s="585">
        <f t="shared" si="113"/>
        <v>285.86597172045254</v>
      </c>
      <c r="R61" s="629">
        <f t="shared" si="79"/>
        <v>3.1678095541136155</v>
      </c>
      <c r="S61" s="634">
        <f t="shared" si="80"/>
        <v>-0.13480040655802619</v>
      </c>
      <c r="T61" s="635">
        <f t="shared" si="81"/>
        <v>-3.0471281929162322</v>
      </c>
      <c r="U61" s="629">
        <f t="shared" si="82"/>
        <v>-0.86604107700995447</v>
      </c>
      <c r="V61" s="636">
        <f t="shared" si="114"/>
        <v>-0.13480040655802619</v>
      </c>
      <c r="W61" s="585">
        <f t="shared" si="224"/>
        <v>195.86597172045254</v>
      </c>
      <c r="X61" s="629">
        <f t="shared" si="83"/>
        <v>3.1678095541136155</v>
      </c>
      <c r="Y61" s="630">
        <f t="shared" si="223"/>
        <v>-0.13480040655802619</v>
      </c>
      <c r="Z61" s="632">
        <f t="shared" si="243"/>
        <v>-0.93565660859228394</v>
      </c>
      <c r="AA61" s="629">
        <f t="shared" si="244"/>
        <v>-0.24000227455120046</v>
      </c>
      <c r="AB61" s="629">
        <f t="shared" si="245"/>
        <v>-0.25873851473608594</v>
      </c>
      <c r="AC61" s="636">
        <f t="shared" si="84"/>
        <v>1</v>
      </c>
      <c r="AD61" s="637">
        <f t="shared" si="115"/>
        <v>-0.93565660859228394</v>
      </c>
      <c r="AE61" s="629">
        <f t="shared" si="85"/>
        <v>-0.24000227455120046</v>
      </c>
      <c r="AF61" s="633">
        <f t="shared" si="86"/>
        <v>-0.25873851473608594</v>
      </c>
      <c r="AG61" s="602">
        <f t="shared" si="87"/>
        <v>-42.848575997807849</v>
      </c>
      <c r="AH61" s="603">
        <f t="shared" si="88"/>
        <v>159.33448482222323</v>
      </c>
      <c r="AI61" s="585">
        <f t="shared" si="89"/>
        <v>-75.004776762835306</v>
      </c>
      <c r="AJ61" s="586">
        <f t="shared" si="90"/>
        <v>-75.6134156923642</v>
      </c>
      <c r="AK61" s="635">
        <f t="shared" si="211"/>
        <v>0.96562542886925917</v>
      </c>
      <c r="AL61" s="629">
        <f t="shared" si="91"/>
        <v>-2.4938165795090839E-2</v>
      </c>
      <c r="AM61" s="634">
        <f t="shared" si="92"/>
        <v>-0.25873851473608594</v>
      </c>
      <c r="AN61" s="581">
        <f t="shared" si="93"/>
        <v>-5.5053711774274348</v>
      </c>
      <c r="AO61" s="582">
        <f t="shared" si="461"/>
        <v>15.06635675572101</v>
      </c>
      <c r="AP61" s="585">
        <f t="shared" si="95"/>
        <v>-1.4793874128167153</v>
      </c>
      <c r="AQ61" s="586">
        <f t="shared" si="246"/>
        <v>0.71961610055254321</v>
      </c>
      <c r="AS61" s="52">
        <f t="shared" si="406"/>
        <v>-164.13402827954746</v>
      </c>
      <c r="AT61" s="72">
        <f t="shared" si="247"/>
        <v>-2.081844247500711E-2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4.1159999999999997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1.0383046870534474</v>
      </c>
      <c r="C62" s="708">
        <v>-3.7721200230537564</v>
      </c>
      <c r="D62" s="709">
        <v>-0.25700077511433778</v>
      </c>
      <c r="E62" s="710">
        <v>0.95947281636681703</v>
      </c>
      <c r="F62" s="708">
        <v>0.14864003511802698</v>
      </c>
      <c r="G62" s="711">
        <v>0.23941189321593845</v>
      </c>
      <c r="H62" s="710">
        <v>0.314</v>
      </c>
      <c r="I62" s="708">
        <v>0.52</v>
      </c>
      <c r="J62" s="570">
        <v>4.1230000000000002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4.1230000000000002</v>
      </c>
      <c r="N62" s="632">
        <f t="shared" si="240"/>
        <v>1.0383046870534474</v>
      </c>
      <c r="O62" s="629">
        <f t="shared" si="241"/>
        <v>-3.7721200230537564</v>
      </c>
      <c r="P62" s="633">
        <f t="shared" si="242"/>
        <v>-0.25700077511433778</v>
      </c>
      <c r="Q62" s="585">
        <f t="shared" si="113"/>
        <v>285.38997178917845</v>
      </c>
      <c r="R62" s="629">
        <f t="shared" si="79"/>
        <v>3.9124117998339885</v>
      </c>
      <c r="S62" s="634">
        <f t="shared" si="80"/>
        <v>-0.25700077511433778</v>
      </c>
      <c r="T62" s="635">
        <f t="shared" si="81"/>
        <v>-3.7721200230537568</v>
      </c>
      <c r="U62" s="629">
        <f t="shared" si="82"/>
        <v>-1.0383046870534465</v>
      </c>
      <c r="V62" s="636">
        <f t="shared" si="114"/>
        <v>-0.25700077511433778</v>
      </c>
      <c r="W62" s="585">
        <f t="shared" si="224"/>
        <v>195.38997178917845</v>
      </c>
      <c r="X62" s="629">
        <f t="shared" si="83"/>
        <v>3.9124117998339885</v>
      </c>
      <c r="Y62" s="630">
        <f t="shared" si="223"/>
        <v>-0.25700077511433778</v>
      </c>
      <c r="Z62" s="632">
        <f t="shared" si="243"/>
        <v>-0.95947281636681703</v>
      </c>
      <c r="AA62" s="629">
        <f t="shared" si="244"/>
        <v>-0.14864003511802698</v>
      </c>
      <c r="AB62" s="629">
        <f t="shared" si="245"/>
        <v>-0.23941189321593845</v>
      </c>
      <c r="AC62" s="636">
        <f t="shared" si="84"/>
        <v>1</v>
      </c>
      <c r="AD62" s="637">
        <f t="shared" si="115"/>
        <v>-0.95947281636681703</v>
      </c>
      <c r="AE62" s="629">
        <f t="shared" si="85"/>
        <v>-0.14864003511802698</v>
      </c>
      <c r="AF62" s="633">
        <f t="shared" si="86"/>
        <v>-0.23941189321593845</v>
      </c>
      <c r="AG62" s="602">
        <f t="shared" si="87"/>
        <v>-31.834278732125114</v>
      </c>
      <c r="AH62" s="603">
        <f t="shared" si="88"/>
        <v>163.63226476842456</v>
      </c>
      <c r="AI62" s="585">
        <f t="shared" si="89"/>
        <v>-76.148167565575051</v>
      </c>
      <c r="AJ62" s="586">
        <f t="shared" si="90"/>
        <v>-81.193830292561145</v>
      </c>
      <c r="AK62" s="635">
        <f t="shared" si="211"/>
        <v>0.96451510229572657</v>
      </c>
      <c r="AL62" s="629">
        <f t="shared" si="91"/>
        <v>-0.11132188836982718</v>
      </c>
      <c r="AM62" s="634">
        <f t="shared" si="92"/>
        <v>-0.23941189321593845</v>
      </c>
      <c r="AN62" s="581">
        <f t="shared" si="93"/>
        <v>-24.937514238528244</v>
      </c>
      <c r="AO62" s="582">
        <f t="shared" si="461"/>
        <v>15.30918558105655</v>
      </c>
      <c r="AP62" s="585">
        <f t="shared" si="95"/>
        <v>-6.583802081739603</v>
      </c>
      <c r="AQ62" s="586">
        <f t="shared" si="246"/>
        <v>0.58267078182607424</v>
      </c>
      <c r="AS62" s="52">
        <f t="shared" si="406"/>
        <v>-164.61002821082155</v>
      </c>
      <c r="AT62" s="72">
        <f t="shared" si="247"/>
        <v>-0.14268825552348946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4.1230000000000002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1.172557485225022</v>
      </c>
      <c r="C63" s="708">
        <v>-4.443612813131308</v>
      </c>
      <c r="D63" s="709">
        <v>-0.57700174023724848</v>
      </c>
      <c r="E63" s="710">
        <v>0.97544062648967789</v>
      </c>
      <c r="F63" s="708">
        <v>5.9545013810767114E-2</v>
      </c>
      <c r="G63" s="711">
        <v>0.21206125417836319</v>
      </c>
      <c r="H63" s="710">
        <v>0.314</v>
      </c>
      <c r="I63" s="708">
        <v>0.52</v>
      </c>
      <c r="J63" s="570">
        <v>4.13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</v>
      </c>
      <c r="N63" s="632">
        <f t="shared" si="240"/>
        <v>1.172557485225022</v>
      </c>
      <c r="O63" s="629">
        <f t="shared" si="241"/>
        <v>-4.443612813131308</v>
      </c>
      <c r="P63" s="633">
        <f t="shared" si="242"/>
        <v>-0.57700174023724848</v>
      </c>
      <c r="Q63" s="585">
        <f t="shared" si="113"/>
        <v>284.78197187696276</v>
      </c>
      <c r="R63" s="629">
        <f t="shared" si="79"/>
        <v>4.5957138606730039</v>
      </c>
      <c r="S63" s="634">
        <f t="shared" si="80"/>
        <v>-0.57700174023724848</v>
      </c>
      <c r="T63" s="635">
        <f t="shared" si="81"/>
        <v>-4.4436128131313088</v>
      </c>
      <c r="U63" s="629">
        <f t="shared" si="82"/>
        <v>-1.17255748522502</v>
      </c>
      <c r="V63" s="636">
        <f t="shared" si="114"/>
        <v>-0.57700174023724848</v>
      </c>
      <c r="W63" s="585">
        <f t="shared" si="224"/>
        <v>194.78197187696276</v>
      </c>
      <c r="X63" s="629">
        <f t="shared" si="83"/>
        <v>4.5957138606730039</v>
      </c>
      <c r="Y63" s="630">
        <f t="shared" si="223"/>
        <v>-0.57700174023724848</v>
      </c>
      <c r="Z63" s="632">
        <f t="shared" si="243"/>
        <v>-0.97544062648967789</v>
      </c>
      <c r="AA63" s="629">
        <f t="shared" si="244"/>
        <v>-5.9545013810767114E-2</v>
      </c>
      <c r="AB63" s="629">
        <f t="shared" si="245"/>
        <v>-0.21206125417836319</v>
      </c>
      <c r="AC63" s="636">
        <f t="shared" si="84"/>
        <v>1</v>
      </c>
      <c r="AD63" s="637">
        <f t="shared" si="115"/>
        <v>-0.97544062648967789</v>
      </c>
      <c r="AE63" s="629">
        <f t="shared" si="85"/>
        <v>-5.9545013810767114E-2</v>
      </c>
      <c r="AF63" s="633">
        <f t="shared" si="86"/>
        <v>-0.21206125417836319</v>
      </c>
      <c r="AG63" s="602">
        <f t="shared" si="87"/>
        <v>-15.684294535323454</v>
      </c>
      <c r="AH63" s="603">
        <f t="shared" si="88"/>
        <v>167.27554661699506</v>
      </c>
      <c r="AI63" s="585">
        <f t="shared" si="89"/>
        <v>-77.756825583540945</v>
      </c>
      <c r="AJ63" s="586">
        <f t="shared" si="90"/>
        <v>-86.506758500589484</v>
      </c>
      <c r="AK63" s="635">
        <f t="shared" si="211"/>
        <v>0.9583495734273223</v>
      </c>
      <c r="AL63" s="629">
        <f t="shared" si="91"/>
        <v>-0.19130112280896069</v>
      </c>
      <c r="AM63" s="634">
        <f t="shared" si="92"/>
        <v>-0.21206125417836319</v>
      </c>
      <c r="AN63" s="581">
        <f t="shared" si="93"/>
        <v>-42.053718012229943</v>
      </c>
      <c r="AO63" s="582">
        <f t="shared" si="461"/>
        <v>16.594584407216907</v>
      </c>
      <c r="AP63" s="585">
        <f t="shared" si="95"/>
        <v>-11.288730377552241</v>
      </c>
      <c r="AQ63" s="586">
        <f t="shared" si="246"/>
        <v>0.49604256114680689</v>
      </c>
      <c r="AS63" s="52">
        <f t="shared" si="406"/>
        <v>-165.21802812303724</v>
      </c>
      <c r="AT63" s="72">
        <f t="shared" si="247"/>
        <v>-0.4622669984851393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1.2670952005163472</v>
      </c>
      <c r="C64" s="708">
        <v>-5.0086245335246122</v>
      </c>
      <c r="D64" s="709">
        <v>-1.0707032292409395</v>
      </c>
      <c r="E64" s="710">
        <v>0.9838379164152794</v>
      </c>
      <c r="F64" s="708">
        <v>-2.9153423513911508E-2</v>
      </c>
      <c r="G64" s="711">
        <v>0.17667210340362283</v>
      </c>
      <c r="H64" s="710">
        <v>0.314</v>
      </c>
      <c r="I64" s="708">
        <v>0.52</v>
      </c>
      <c r="J64" s="570">
        <v>4.1369999999999996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4.1369999999999996</v>
      </c>
      <c r="N64" s="632">
        <f t="shared" si="240"/>
        <v>1.2670952005163472</v>
      </c>
      <c r="O64" s="629">
        <f t="shared" si="241"/>
        <v>-5.0086245335246122</v>
      </c>
      <c r="P64" s="633">
        <f t="shared" si="242"/>
        <v>-1.0707032292409395</v>
      </c>
      <c r="Q64" s="585">
        <f t="shared" si="113"/>
        <v>284.19697196142636</v>
      </c>
      <c r="R64" s="629">
        <f t="shared" si="79"/>
        <v>5.166415581909396</v>
      </c>
      <c r="S64" s="634">
        <f t="shared" si="80"/>
        <v>-1.0707032292409395</v>
      </c>
      <c r="T64" s="635">
        <f t="shared" si="81"/>
        <v>-5.0086245335246113</v>
      </c>
      <c r="U64" s="629">
        <f t="shared" si="82"/>
        <v>-1.2670952005163489</v>
      </c>
      <c r="V64" s="636">
        <f t="shared" si="114"/>
        <v>-1.0707032292409395</v>
      </c>
      <c r="W64" s="585">
        <f t="shared" si="224"/>
        <v>194.19697196142636</v>
      </c>
      <c r="X64" s="629">
        <f t="shared" si="83"/>
        <v>5.166415581909396</v>
      </c>
      <c r="Y64" s="630">
        <f t="shared" si="223"/>
        <v>-1.0707032292409395</v>
      </c>
      <c r="Z64" s="632">
        <f t="shared" si="243"/>
        <v>-0.9838379164152794</v>
      </c>
      <c r="AA64" s="629">
        <f t="shared" si="244"/>
        <v>2.9153423513911508E-2</v>
      </c>
      <c r="AB64" s="629">
        <f t="shared" si="245"/>
        <v>-0.17667210340362283</v>
      </c>
      <c r="AC64" s="636">
        <f t="shared" si="84"/>
        <v>1</v>
      </c>
      <c r="AD64" s="637">
        <f t="shared" si="115"/>
        <v>-0.9838379164152794</v>
      </c>
      <c r="AE64" s="629">
        <f t="shared" si="85"/>
        <v>2.9153423513911508E-2</v>
      </c>
      <c r="AF64" s="633">
        <f t="shared" si="86"/>
        <v>-0.17667210340362283</v>
      </c>
      <c r="AG64" s="602">
        <f t="shared" si="87"/>
        <v>9.3701827222634595</v>
      </c>
      <c r="AH64" s="603">
        <f t="shared" si="88"/>
        <v>169.68491120841159</v>
      </c>
      <c r="AI64" s="585">
        <f t="shared" si="89"/>
        <v>-79.824021101665195</v>
      </c>
      <c r="AJ64" s="586">
        <f t="shared" si="90"/>
        <v>-91.697311571324704</v>
      </c>
      <c r="AK64" s="635">
        <f t="shared" si="211"/>
        <v>0.94663979012480004</v>
      </c>
      <c r="AL64" s="629">
        <f t="shared" si="91"/>
        <v>-0.26955532944353811</v>
      </c>
      <c r="AM64" s="634">
        <f t="shared" si="92"/>
        <v>-0.17667210340362283</v>
      </c>
      <c r="AN64" s="581">
        <f t="shared" si="93"/>
        <v>-56.758342617277705</v>
      </c>
      <c r="AO64" s="582">
        <f t="shared" si="461"/>
        <v>18.801683601768225</v>
      </c>
      <c r="AP64" s="585">
        <f t="shared" si="95"/>
        <v>-15.894283532751054</v>
      </c>
      <c r="AQ64" s="586">
        <f t="shared" si="246"/>
        <v>0.44125013286263687</v>
      </c>
      <c r="AS64" s="52">
        <f t="shared" si="406"/>
        <v>-165.80302803857364</v>
      </c>
      <c r="AT64" s="72">
        <f t="shared" si="247"/>
        <v>-0.95556223754748559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4.1369999999999996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1.3256751492375642</v>
      </c>
      <c r="C65" s="708">
        <v>-5.4216970838073077</v>
      </c>
      <c r="D65" s="709">
        <v>-1.7009051299298721</v>
      </c>
      <c r="E65" s="710">
        <v>0.98719464019581837</v>
      </c>
      <c r="F65" s="708">
        <v>-0.1047066749264446</v>
      </c>
      <c r="G65" s="711">
        <v>0.1203463941898413</v>
      </c>
      <c r="H65" s="710">
        <v>0.314</v>
      </c>
      <c r="I65" s="708">
        <v>0.52</v>
      </c>
      <c r="J65" s="570">
        <v>4.1440000000000001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4.1440000000000001</v>
      </c>
      <c r="N65" s="632">
        <f t="shared" si="240"/>
        <v>1.3256751492375642</v>
      </c>
      <c r="O65" s="629">
        <f t="shared" si="241"/>
        <v>-5.4216970838073077</v>
      </c>
      <c r="P65" s="633">
        <f t="shared" si="242"/>
        <v>-1.7009051299298721</v>
      </c>
      <c r="Q65" s="585">
        <f t="shared" si="113"/>
        <v>283.73997202740895</v>
      </c>
      <c r="R65" s="629">
        <f t="shared" si="79"/>
        <v>5.5814168335531704</v>
      </c>
      <c r="S65" s="634">
        <f t="shared" si="80"/>
        <v>-1.7009051299298721</v>
      </c>
      <c r="T65" s="635">
        <f t="shared" si="81"/>
        <v>-5.4216970838073069</v>
      </c>
      <c r="U65" s="629">
        <f t="shared" si="82"/>
        <v>-1.3256751492375636</v>
      </c>
      <c r="V65" s="636">
        <f t="shared" si="114"/>
        <v>-1.7009051299298721</v>
      </c>
      <c r="W65" s="585">
        <f t="shared" si="224"/>
        <v>193.73997202740895</v>
      </c>
      <c r="X65" s="629">
        <f t="shared" si="83"/>
        <v>5.5814168335531704</v>
      </c>
      <c r="Y65" s="630">
        <f t="shared" si="223"/>
        <v>-1.7009051299298721</v>
      </c>
      <c r="Z65" s="632">
        <f t="shared" si="243"/>
        <v>-0.98719464019581837</v>
      </c>
      <c r="AA65" s="629">
        <f t="shared" si="244"/>
        <v>0.1047066749264446</v>
      </c>
      <c r="AB65" s="629">
        <f t="shared" si="245"/>
        <v>-0.1203463941898413</v>
      </c>
      <c r="AC65" s="636">
        <f t="shared" si="84"/>
        <v>1</v>
      </c>
      <c r="AD65" s="637">
        <f t="shared" si="115"/>
        <v>-0.98719464019581837</v>
      </c>
      <c r="AE65" s="629">
        <f t="shared" si="85"/>
        <v>0.1047066749264446</v>
      </c>
      <c r="AF65" s="633">
        <f t="shared" si="86"/>
        <v>-0.1203463941898413</v>
      </c>
      <c r="AG65" s="602">
        <f t="shared" si="87"/>
        <v>41.02470845161082</v>
      </c>
      <c r="AH65" s="603">
        <f t="shared" si="88"/>
        <v>170.82094321864366</v>
      </c>
      <c r="AI65" s="585">
        <f t="shared" si="89"/>
        <v>-83.087905613626134</v>
      </c>
      <c r="AJ65" s="586">
        <f t="shared" si="90"/>
        <v>-96.054433697338169</v>
      </c>
      <c r="AK65" s="635">
        <f t="shared" si="211"/>
        <v>0.93407523939968129</v>
      </c>
      <c r="AL65" s="629">
        <f t="shared" si="91"/>
        <v>-0.33618475953845883</v>
      </c>
      <c r="AM65" s="634">
        <f t="shared" si="92"/>
        <v>-0.1203463941898413</v>
      </c>
      <c r="AN65" s="581">
        <f t="shared" si="93"/>
        <v>-70.303803353068488</v>
      </c>
      <c r="AO65" s="582">
        <f t="shared" si="461"/>
        <v>20.920746617210739</v>
      </c>
      <c r="AP65" s="585">
        <f t="shared" si="95"/>
        <v>-19.794405724747126</v>
      </c>
      <c r="AQ65" s="586">
        <f t="shared" si="246"/>
        <v>0.40844253042515716</v>
      </c>
      <c r="AS65" s="52">
        <f t="shared" si="406"/>
        <v>-166.26002797259105</v>
      </c>
      <c r="AT65" s="72">
        <f t="shared" si="247"/>
        <v>-1.5854467771711283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4.1440000000000001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1.3542302215804318</v>
      </c>
      <c r="C66" s="708">
        <v>-5.6494738108632747</v>
      </c>
      <c r="D66" s="709">
        <v>-2.4201072990436141</v>
      </c>
      <c r="E66" s="710">
        <v>0.97567700075159947</v>
      </c>
      <c r="F66" s="708">
        <v>-0.20858853743257566</v>
      </c>
      <c r="G66" s="711">
        <v>6.7418189356452732E-2</v>
      </c>
      <c r="H66" s="710">
        <v>0.314</v>
      </c>
      <c r="I66" s="708">
        <v>0.52</v>
      </c>
      <c r="J66" s="570">
        <v>4.1509999999999998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4.1509999999999998</v>
      </c>
      <c r="N66" s="632">
        <f t="shared" si="240"/>
        <v>1.3542302215804318</v>
      </c>
      <c r="O66" s="629">
        <f t="shared" si="241"/>
        <v>-5.6494738108632747</v>
      </c>
      <c r="P66" s="633">
        <f t="shared" si="242"/>
        <v>-2.4201072990436141</v>
      </c>
      <c r="Q66" s="585">
        <f t="shared" si="113"/>
        <v>283.4799720649483</v>
      </c>
      <c r="R66" s="629">
        <f t="shared" si="79"/>
        <v>5.8095175215048442</v>
      </c>
      <c r="S66" s="634">
        <f t="shared" si="80"/>
        <v>-2.4201072990436141</v>
      </c>
      <c r="T66" s="635">
        <f t="shared" si="81"/>
        <v>-5.6494738108632747</v>
      </c>
      <c r="U66" s="629">
        <f t="shared" si="82"/>
        <v>-1.35423022158043</v>
      </c>
      <c r="V66" s="636">
        <f t="shared" si="114"/>
        <v>-2.4201072990436141</v>
      </c>
      <c r="W66" s="585">
        <f t="shared" si="224"/>
        <v>193.4799720649483</v>
      </c>
      <c r="X66" s="629">
        <f t="shared" si="83"/>
        <v>5.8095175215048442</v>
      </c>
      <c r="Y66" s="630">
        <f t="shared" si="223"/>
        <v>-2.4201072990436141</v>
      </c>
      <c r="Z66" s="632">
        <f t="shared" si="243"/>
        <v>-0.97567700075159947</v>
      </c>
      <c r="AA66" s="629">
        <f t="shared" si="244"/>
        <v>0.20858853743257566</v>
      </c>
      <c r="AB66" s="629">
        <f t="shared" si="245"/>
        <v>-6.7418189356452732E-2</v>
      </c>
      <c r="AC66" s="636">
        <f t="shared" si="84"/>
        <v>1</v>
      </c>
      <c r="AD66" s="637">
        <f t="shared" si="115"/>
        <v>-0.97567700075159947</v>
      </c>
      <c r="AE66" s="629">
        <f t="shared" si="85"/>
        <v>0.20858853743257566</v>
      </c>
      <c r="AF66" s="633">
        <f t="shared" si="86"/>
        <v>-6.7418189356452732E-2</v>
      </c>
      <c r="AG66" s="602">
        <f t="shared" si="87"/>
        <v>72.088576988644959</v>
      </c>
      <c r="AH66" s="603">
        <f t="shared" si="88"/>
        <v>167.3371802764143</v>
      </c>
      <c r="AI66" s="585">
        <f t="shared" si="89"/>
        <v>-86.134290095380592</v>
      </c>
      <c r="AJ66" s="586">
        <f t="shared" si="90"/>
        <v>-102.06751756899949</v>
      </c>
      <c r="AK66" s="635">
        <f t="shared" si="211"/>
        <v>0.90017540062203139</v>
      </c>
      <c r="AL66" s="629">
        <f t="shared" si="91"/>
        <v>-0.43027785889918047</v>
      </c>
      <c r="AM66" s="634">
        <f t="shared" si="92"/>
        <v>-6.7418189356452732E-2</v>
      </c>
      <c r="AN66" s="581">
        <f t="shared" si="93"/>
        <v>-81.094999395915693</v>
      </c>
      <c r="AO66" s="582">
        <f t="shared" si="461"/>
        <v>25.818867548490811</v>
      </c>
      <c r="AP66" s="585">
        <f t="shared" si="95"/>
        <v>-25.547489633947777</v>
      </c>
      <c r="AQ66" s="586">
        <f t="shared" si="246"/>
        <v>0.39240625047897532</v>
      </c>
      <c r="AS66" s="52">
        <f t="shared" si="406"/>
        <v>-166.5200279350517</v>
      </c>
      <c r="AT66" s="72">
        <f t="shared" si="247"/>
        <v>-2.3044683907553836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4.1509999999999998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1.3641915834965794</v>
      </c>
      <c r="C67" s="708">
        <v>-5.7342796742807076</v>
      </c>
      <c r="D67" s="709">
        <v>-3.2338097531702164</v>
      </c>
      <c r="E67" s="710">
        <v>0.929660643228304</v>
      </c>
      <c r="F67" s="708">
        <v>-0.3684170034516856</v>
      </c>
      <c r="G67" s="711">
        <v>1.3008419237398304E-7</v>
      </c>
      <c r="H67" s="710">
        <v>0.314</v>
      </c>
      <c r="I67" s="708">
        <v>0.52</v>
      </c>
      <c r="J67" s="570">
        <v>4.1580000000000004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4.1580000000000004</v>
      </c>
      <c r="N67" s="632">
        <f t="shared" si="240"/>
        <v>1.3641915834965794</v>
      </c>
      <c r="O67" s="629">
        <f t="shared" si="241"/>
        <v>-5.7342796742807076</v>
      </c>
      <c r="P67" s="633">
        <f t="shared" si="242"/>
        <v>-3.2338097531702164</v>
      </c>
      <c r="Q67" s="585">
        <f t="shared" si="113"/>
        <v>283.38197207909775</v>
      </c>
      <c r="R67" s="629">
        <f>IF(M67="","",SQRT(N67^2+O67^2))</f>
        <v>5.894317777262418</v>
      </c>
      <c r="S67" s="634">
        <f>IF(M67="","",P67)</f>
        <v>-3.2338097531702164</v>
      </c>
      <c r="T67" s="635">
        <f>IF(M67="","",X67*COS(RADIANS(W67)))</f>
        <v>-5.7342796742807085</v>
      </c>
      <c r="U67" s="629">
        <f>IF(M67="","",X67*SIN(RADIANS(W67)))</f>
        <v>-1.3641915834965785</v>
      </c>
      <c r="V67" s="636">
        <f>IF(M67="","",Y67)</f>
        <v>-3.2338097531702164</v>
      </c>
      <c r="W67" s="585">
        <f t="shared" si="224"/>
        <v>193.38197207909775</v>
      </c>
      <c r="X67" s="629">
        <f>IF(M67="","",R67)</f>
        <v>5.894317777262418</v>
      </c>
      <c r="Y67" s="630">
        <f t="shared" si="223"/>
        <v>-3.2338097531702164</v>
      </c>
      <c r="Z67" s="632">
        <f t="shared" si="243"/>
        <v>-0.929660643228304</v>
      </c>
      <c r="AA67" s="629">
        <f t="shared" si="244"/>
        <v>0.3684170034516856</v>
      </c>
      <c r="AB67" s="629">
        <f t="shared" si="245"/>
        <v>-1.3008419237398304E-7</v>
      </c>
      <c r="AC67" s="636">
        <f>IF(M67="","",SQRT(Z67^2+AA67^2+AB67^2))</f>
        <v>1</v>
      </c>
      <c r="AD67" s="637">
        <f>IF(M67="","",Z67*(1/SQRT(Z67^2+AA67^2+AB67^2)))</f>
        <v>-0.929660643228304</v>
      </c>
      <c r="AE67" s="629">
        <f>IF(M67="","",AA67*(1/SQRT(Z67^2+AA67^2+AB67^2)))</f>
        <v>0.3684170034516856</v>
      </c>
      <c r="AF67" s="633">
        <f>IF(M67="","",AB67*(1/SQRT(Z67^2+AA67^2+AB67^2)))</f>
        <v>-1.3008419237398304E-7</v>
      </c>
      <c r="AG67" s="602">
        <f>IF(M67="","",DEGREES(ATAN2(-AF67,AE67)))</f>
        <v>89.999979769459244</v>
      </c>
      <c r="AH67" s="603">
        <f>IF(M67="","",DEGREES(ACOS(AD67)))</f>
        <v>158.38197713247129</v>
      </c>
      <c r="AI67" s="585">
        <f>IF(M67="","",DEGREES(-ACOS(-AF67)))</f>
        <v>-89.999992546724798</v>
      </c>
      <c r="AJ67" s="586">
        <f>IF(M67="","",DEGREES(ATAN2(-AE67,AD67)))</f>
        <v>-111.61802286752751</v>
      </c>
      <c r="AK67" s="635">
        <f>IF(M67="","",(COS(RADIANS((90-$Q$8)-W67))*AD67)+(-SIN(RADIANS((90-$Q$8)-W67))*AE67))</f>
        <v>0.81915209487729213</v>
      </c>
      <c r="AL67" s="629">
        <f>IF(M67="","",(SIN(RADIANS((90-$Q$8)-W67))*AD67)+(COS(RADIANS((90-$Q$8)-W67))*AE67))</f>
        <v>-0.57357636410344448</v>
      </c>
      <c r="AM67" s="634">
        <f>IF(M67="","",AF67)</f>
        <v>-1.3008419237398304E-7</v>
      </c>
      <c r="AN67" s="581">
        <f>IF(M67="","",DEGREES(ATAN2(-AM67,AL67)))</f>
        <v>-89.999987005609597</v>
      </c>
      <c r="AO67" s="582">
        <f t="shared" si="461"/>
        <v>34.999994946625939</v>
      </c>
      <c r="AP67" s="585">
        <f>IF(M67="","",DEGREES(ATAN2(AK67,AL67)))</f>
        <v>-34.999994946625257</v>
      </c>
      <c r="AQ67" s="586">
        <f t="shared" si="246"/>
        <v>0.38676096065028615</v>
      </c>
      <c r="AS67" s="52">
        <f t="shared" si="406"/>
        <v>-166.61802792090225</v>
      </c>
      <c r="AT67" s="72">
        <f t="shared" si="247"/>
        <v>-3.1181027893362563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4.1580000000000004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0.12197744761725163</v>
      </c>
      <c r="C68" s="708">
        <v>-3.9211150626759834</v>
      </c>
      <c r="D68" s="709">
        <v>-0.23850071931816946</v>
      </c>
      <c r="E68" s="710">
        <v>7.0633064322269965E-3</v>
      </c>
      <c r="F68" s="708">
        <v>-0.22705137765746536</v>
      </c>
      <c r="G68" s="711">
        <v>0.97385716694292068</v>
      </c>
      <c r="H68" s="710">
        <v>0.25700000000000001</v>
      </c>
      <c r="I68" s="708">
        <v>0.41499999999999992</v>
      </c>
      <c r="J68" s="570">
        <v>4.2229999999999999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CPS-32193r1</v>
      </c>
      <c r="L68" s="320"/>
      <c r="M68" s="168">
        <f t="shared" si="239"/>
        <v>4.2229999999999999</v>
      </c>
      <c r="N68" s="632">
        <f t="shared" si="240"/>
        <v>0.12197744761725163</v>
      </c>
      <c r="O68" s="629">
        <f t="shared" si="241"/>
        <v>-3.9211150626759834</v>
      </c>
      <c r="P68" s="633">
        <f t="shared" si="242"/>
        <v>-0.23850071931816946</v>
      </c>
      <c r="Q68" s="585">
        <f t="shared" si="113"/>
        <v>271.78177375395916</v>
      </c>
      <c r="R68" s="629">
        <f>IF(M68="","",SQRT(N68^2+O68^2))</f>
        <v>3.9230118318036844</v>
      </c>
      <c r="S68" s="634">
        <f>IF(M68="","",P68)</f>
        <v>-0.23850071931816946</v>
      </c>
      <c r="T68" s="635">
        <f>IF(M68="","",X68*COS(RADIANS(W68)))</f>
        <v>-3.9211150626759834</v>
      </c>
      <c r="U68" s="629">
        <f>IF(M68="","",X68*SIN(RADIANS(W68)))</f>
        <v>-0.12197744761725147</v>
      </c>
      <c r="V68" s="636">
        <f>IF(M68="","",Y68)</f>
        <v>-0.23850071931816946</v>
      </c>
      <c r="W68" s="585">
        <f t="shared" si="224"/>
        <v>181.78177375395916</v>
      </c>
      <c r="X68" s="629">
        <f>IF(M68="","",R68)</f>
        <v>3.9230118318036844</v>
      </c>
      <c r="Y68" s="630">
        <f t="shared" si="223"/>
        <v>-0.23850071931816946</v>
      </c>
      <c r="Z68" s="632">
        <f t="shared" si="243"/>
        <v>-7.0633064322269965E-3</v>
      </c>
      <c r="AA68" s="629">
        <f t="shared" si="244"/>
        <v>0.22705137765746536</v>
      </c>
      <c r="AB68" s="629">
        <f t="shared" si="245"/>
        <v>-0.97385716694292068</v>
      </c>
      <c r="AC68" s="636">
        <f>IF(M68="","",SQRT(Z68^2+AA68^2+AB68^2))</f>
        <v>1</v>
      </c>
      <c r="AD68" s="637">
        <f>IF(M68="","",Z68*(1/SQRT(Z68^2+AA68^2+AB68^2)))</f>
        <v>-7.0633064322269965E-3</v>
      </c>
      <c r="AE68" s="629">
        <f>IF(M68="","",AA68*(1/SQRT(Z68^2+AA68^2+AB68^2)))</f>
        <v>0.22705137765746536</v>
      </c>
      <c r="AF68" s="633">
        <f>IF(M68="","",AB68*(1/SQRT(Z68^2+AA68^2+AB68^2)))</f>
        <v>-0.97385716694292068</v>
      </c>
      <c r="AG68" s="602">
        <f>IF(M68="","",DEGREES(ATAN2(-AF68,AE68)))</f>
        <v>13.123869160236962</v>
      </c>
      <c r="AH68" s="603">
        <f>IF(M68="","",DEGREES(ACOS(AD68)))</f>
        <v>90.40470101313079</v>
      </c>
      <c r="AI68" s="585">
        <f>IF(M68="","",DEGREES(-ACOS(-AF68)))</f>
        <v>-13.129998104269118</v>
      </c>
      <c r="AJ68" s="586">
        <f>IF(M68="","",DEGREES(ATAN2(-AE68,AD68)))</f>
        <v>-178.21816904265648</v>
      </c>
      <c r="AK68" s="635">
        <f>IF(M68="","",(COS(RADIANS((90-$Q$8)-W68))*AD68)+(-SIN(RADIANS((90-$Q$8)-W68))*AE68))</f>
        <v>2.2679489670735659E-7</v>
      </c>
      <c r="AL68" s="629">
        <f>IF(M68="","",(SIN(RADIANS((90-$Q$8)-W68))*AD68)+(COS(RADIANS((90-$Q$8)-W68))*AE68))</f>
        <v>-0.2271612167467349</v>
      </c>
      <c r="AM68" s="634">
        <f>IF(M68="","",AF68)</f>
        <v>-0.97385716694292068</v>
      </c>
      <c r="AN68" s="581">
        <f>IF(M68="","",DEGREES(ATAN2(-AM68,AL68)))</f>
        <v>-13.12999810426283</v>
      </c>
      <c r="AO68" s="582">
        <f t="shared" si="461"/>
        <v>0</v>
      </c>
      <c r="AP68" s="585">
        <f>IF(M68="","",DEGREES(ATAN2(AK68,AL68)))</f>
        <v>-89.999942796615628</v>
      </c>
      <c r="AQ68" s="586">
        <f t="shared" si="246"/>
        <v>0.58109650545911362</v>
      </c>
      <c r="AS68" s="52">
        <f t="shared" si="406"/>
        <v>-178.21822624604084</v>
      </c>
      <c r="AT68" s="72">
        <f t="shared" si="247"/>
        <v>-0.11473806220286331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4.2229999999999999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4.1230000000000002</v>
      </c>
      <c r="II68" s="734" cm="1">
        <f t="array" ref="II68">IFERROR(ROUND(VALUE(IF($IH68&lt;1,$IH68+LARGE((IF($M$9:$M$150="",0,$M$9:$M$150)-MOD(IF($M$9:$M$150="",0,$M$9:$M$150),1)),1),$IH68)),4),"")</f>
        <v>4.1230000000000002</v>
      </c>
      <c r="IJ68" s="533">
        <f t="shared" si="112"/>
        <v>1613</v>
      </c>
      <c r="IK68" s="533" t="str">
        <f t="shared" si="382"/>
        <v>CPS-32193r1</v>
      </c>
      <c r="IL68" s="727">
        <f t="shared" si="225"/>
        <v>13.608198035219289</v>
      </c>
      <c r="IM68" s="759">
        <v>2.4587908419712499E-2</v>
      </c>
      <c r="IN68" s="5">
        <f t="shared" si="226"/>
        <v>0.66</v>
      </c>
      <c r="IO68" s="771">
        <v>330</v>
      </c>
      <c r="IP68" s="9">
        <f t="shared" si="227"/>
        <v>-3.9124117998339885</v>
      </c>
      <c r="IQ68" s="5">
        <f t="shared" si="228"/>
        <v>-0.25700077511433778</v>
      </c>
      <c r="IR68" s="5">
        <f t="shared" si="383"/>
        <v>0.314</v>
      </c>
      <c r="IS68" s="5">
        <f t="shared" si="229"/>
        <v>0.30285774212085814</v>
      </c>
      <c r="IT68" s="727">
        <f t="shared" si="230"/>
        <v>24.937514238528244</v>
      </c>
      <c r="IU68" s="9">
        <f t="shared" si="231"/>
        <v>-3.9230118318036844</v>
      </c>
      <c r="IV68" s="5">
        <f t="shared" si="232"/>
        <v>-0.23850071931816946</v>
      </c>
      <c r="IW68" s="5">
        <f t="shared" si="384"/>
        <v>0.25700000000000001</v>
      </c>
      <c r="IX68" s="5">
        <f t="shared" si="233"/>
        <v>0.25700000000000001</v>
      </c>
      <c r="IY68" s="762">
        <f t="shared" si="234"/>
        <v>13.12999810426283</v>
      </c>
    </row>
    <row r="69" spans="1:259" ht="15" customHeight="1" x14ac:dyDescent="0.25">
      <c r="A69" s="79"/>
      <c r="B69" s="707">
        <v>0.12581954672804818</v>
      </c>
      <c r="C69" s="708">
        <v>-4.6158994592530851</v>
      </c>
      <c r="D69" s="709">
        <v>-0.53460161235846282</v>
      </c>
      <c r="E69" s="710">
        <v>0.95081284689858891</v>
      </c>
      <c r="F69" s="708">
        <v>-0.18383501731039428</v>
      </c>
      <c r="G69" s="711">
        <v>0.24931830374661143</v>
      </c>
      <c r="H69" s="710">
        <v>0.26600000000000001</v>
      </c>
      <c r="I69" s="708">
        <v>0.52</v>
      </c>
      <c r="J69" s="570">
        <v>4.2300000000000004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4.2300000000000004</v>
      </c>
      <c r="N69" s="632">
        <f t="shared" si="240"/>
        <v>0.12581954672804818</v>
      </c>
      <c r="O69" s="629">
        <f t="shared" si="241"/>
        <v>-4.6158994592530851</v>
      </c>
      <c r="P69" s="633">
        <f t="shared" si="242"/>
        <v>-0.53460161235846282</v>
      </c>
      <c r="Q69" s="585">
        <f t="shared" si="113"/>
        <v>271.56137378578097</v>
      </c>
      <c r="R69" s="629">
        <f t="shared" si="79"/>
        <v>4.6176139267236032</v>
      </c>
      <c r="S69" s="634">
        <f t="shared" si="80"/>
        <v>-0.53460161235846282</v>
      </c>
      <c r="T69" s="635">
        <f t="shared" si="81"/>
        <v>-4.6158994592530851</v>
      </c>
      <c r="U69" s="629">
        <f t="shared" si="82"/>
        <v>-0.12581954672804752</v>
      </c>
      <c r="V69" s="636">
        <f t="shared" si="114"/>
        <v>-0.53460161235846282</v>
      </c>
      <c r="W69" s="585">
        <f t="shared" si="224"/>
        <v>181.56137378578097</v>
      </c>
      <c r="X69" s="629">
        <f t="shared" si="83"/>
        <v>4.6176139267236032</v>
      </c>
      <c r="Y69" s="630">
        <f t="shared" si="223"/>
        <v>-0.53460161235846282</v>
      </c>
      <c r="Z69" s="632">
        <f t="shared" si="243"/>
        <v>-0.95081284689858891</v>
      </c>
      <c r="AA69" s="629">
        <f t="shared" si="244"/>
        <v>0.18383501731039428</v>
      </c>
      <c r="AB69" s="629">
        <f t="shared" si="245"/>
        <v>-0.24931830374661143</v>
      </c>
      <c r="AC69" s="636">
        <f t="shared" si="84"/>
        <v>1</v>
      </c>
      <c r="AD69" s="637">
        <f t="shared" si="115"/>
        <v>-0.95081284689858891</v>
      </c>
      <c r="AE69" s="629">
        <f t="shared" si="85"/>
        <v>0.18383501731039428</v>
      </c>
      <c r="AF69" s="633">
        <f t="shared" si="86"/>
        <v>-0.24931830374661143</v>
      </c>
      <c r="AG69" s="602">
        <f t="shared" si="87"/>
        <v>36.403232250009211</v>
      </c>
      <c r="AH69" s="603">
        <f t="shared" si="88"/>
        <v>161.95487520165045</v>
      </c>
      <c r="AI69" s="585">
        <f t="shared" si="89"/>
        <v>-75.562823409126807</v>
      </c>
      <c r="AJ69" s="586">
        <f t="shared" si="90"/>
        <v>-100.94283601364828</v>
      </c>
      <c r="AK69" s="635">
        <f t="shared" si="211"/>
        <v>0.94545073204009022</v>
      </c>
      <c r="AL69" s="629">
        <f t="shared" si="91"/>
        <v>-0.20967426332711869</v>
      </c>
      <c r="AM69" s="634">
        <f t="shared" si="92"/>
        <v>-0.24931830374661143</v>
      </c>
      <c r="AN69" s="581">
        <f t="shared" si="93"/>
        <v>-40.063508363102912</v>
      </c>
      <c r="AO69" s="582">
        <f t="shared" si="461"/>
        <v>19.011935977326331</v>
      </c>
      <c r="AP69" s="585">
        <f t="shared" si="95"/>
        <v>-12.504209799429265</v>
      </c>
      <c r="AQ69" s="586">
        <f t="shared" si="246"/>
        <v>0.49369008515887203</v>
      </c>
      <c r="AS69" s="52">
        <f t="shared" si="406"/>
        <v>-178.43862621421903</v>
      </c>
      <c r="AT69" s="72">
        <f t="shared" si="247"/>
        <v>-0.4106858997096996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4.2300000000000004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</v>
      </c>
      <c r="II69" s="734" cm="1">
        <f t="array" ref="II69">IFERROR(ROUND(VALUE(IF($IH69&lt;1,$IH69+LARGE((IF($M$9:$M$150="",0,$M$9:$M$150)-MOD(IF($M$9:$M$150="",0,$M$9:$M$150),1)),1),$IH69)),4),"")</f>
        <v>4.13</v>
      </c>
      <c r="IJ69" s="533">
        <f t="shared" si="112"/>
        <v>1613</v>
      </c>
      <c r="IK69" s="533">
        <f t="shared" si="382"/>
        <v>1313</v>
      </c>
      <c r="IL69" s="727">
        <f t="shared" si="225"/>
        <v>13.220598091181785</v>
      </c>
      <c r="IM69" s="759">
        <v>1.85063129239622E-3</v>
      </c>
      <c r="IN69" s="5">
        <f t="shared" si="226"/>
        <v>0.02</v>
      </c>
      <c r="IO69" s="771">
        <v>10</v>
      </c>
      <c r="IP69" s="9">
        <f t="shared" si="227"/>
        <v>-4.5957138606730039</v>
      </c>
      <c r="IQ69" s="5">
        <f t="shared" si="228"/>
        <v>-0.57700174023724848</v>
      </c>
      <c r="IR69" s="5">
        <f t="shared" si="383"/>
        <v>0.314</v>
      </c>
      <c r="IS69" s="5">
        <f t="shared" si="229"/>
        <v>0.30092176605617921</v>
      </c>
      <c r="IT69" s="727">
        <f t="shared" si="230"/>
        <v>42.053718012229943</v>
      </c>
      <c r="IU69" s="9">
        <f t="shared" si="231"/>
        <v>-4.6176139267236032</v>
      </c>
      <c r="IV69" s="5">
        <f t="shared" si="232"/>
        <v>-0.53460161235846282</v>
      </c>
      <c r="IW69" s="5">
        <f t="shared" si="384"/>
        <v>0.26600000000000001</v>
      </c>
      <c r="IX69" s="5">
        <f t="shared" si="233"/>
        <v>0.25148989472266403</v>
      </c>
      <c r="IY69" s="762">
        <f t="shared" si="234"/>
        <v>40.063508363102912</v>
      </c>
    </row>
    <row r="70" spans="1:259" ht="15" customHeight="1" x14ac:dyDescent="0.25">
      <c r="A70" s="79"/>
      <c r="B70" s="707">
        <v>0.21997988950244229</v>
      </c>
      <c r="C70" s="708">
        <v>-5.193158639618936</v>
      </c>
      <c r="D70" s="709">
        <v>-1.0343031194582084</v>
      </c>
      <c r="E70" s="710">
        <v>0.94399584085665866</v>
      </c>
      <c r="F70" s="708">
        <v>-0.25584545111267654</v>
      </c>
      <c r="G70" s="711">
        <v>0.2083625628328683</v>
      </c>
      <c r="H70" s="710">
        <v>0.26600000000000001</v>
      </c>
      <c r="I70" s="708">
        <v>0.52</v>
      </c>
      <c r="J70" s="570">
        <v>4.2370000000000001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4.2370000000000001</v>
      </c>
      <c r="N70" s="632">
        <f t="shared" si="240"/>
        <v>0.21997988950244229</v>
      </c>
      <c r="O70" s="629">
        <f t="shared" si="241"/>
        <v>-5.193158639618936</v>
      </c>
      <c r="P70" s="633">
        <f t="shared" si="242"/>
        <v>-1.0343031194582084</v>
      </c>
      <c r="Q70" s="585">
        <f t="shared" si="113"/>
        <v>272.42557366100596</v>
      </c>
      <c r="R70" s="629">
        <f t="shared" si="79"/>
        <v>5.1978156766120804</v>
      </c>
      <c r="S70" s="634">
        <f t="shared" si="80"/>
        <v>-1.0343031194582084</v>
      </c>
      <c r="T70" s="635">
        <f t="shared" si="81"/>
        <v>-5.193158639618936</v>
      </c>
      <c r="U70" s="629">
        <f t="shared" si="82"/>
        <v>-0.21997988950244118</v>
      </c>
      <c r="V70" s="636">
        <f t="shared" si="114"/>
        <v>-1.0343031194582084</v>
      </c>
      <c r="W70" s="585">
        <f t="shared" si="224"/>
        <v>182.42557366100596</v>
      </c>
      <c r="X70" s="629">
        <f t="shared" si="83"/>
        <v>5.1978156766120804</v>
      </c>
      <c r="Y70" s="630">
        <f t="shared" si="223"/>
        <v>-1.0343031194582084</v>
      </c>
      <c r="Z70" s="632">
        <f t="shared" si="243"/>
        <v>-0.94399584085665866</v>
      </c>
      <c r="AA70" s="629">
        <f t="shared" si="244"/>
        <v>0.25584545111267654</v>
      </c>
      <c r="AB70" s="629">
        <f t="shared" si="245"/>
        <v>-0.2083625628328683</v>
      </c>
      <c r="AC70" s="636">
        <f t="shared" si="84"/>
        <v>1</v>
      </c>
      <c r="AD70" s="637">
        <f t="shared" si="115"/>
        <v>-0.94399584085665866</v>
      </c>
      <c r="AE70" s="629">
        <f t="shared" si="85"/>
        <v>0.25584545111267654</v>
      </c>
      <c r="AF70" s="633">
        <f t="shared" si="86"/>
        <v>-0.2083625628328683</v>
      </c>
      <c r="AG70" s="602">
        <f t="shared" si="87"/>
        <v>50.840355743520121</v>
      </c>
      <c r="AH70" s="603">
        <f t="shared" si="88"/>
        <v>160.73381320290702</v>
      </c>
      <c r="AI70" s="585">
        <f t="shared" si="89"/>
        <v>-77.973588515570839</v>
      </c>
      <c r="AJ70" s="586">
        <f t="shared" si="90"/>
        <v>-105.16424101297312</v>
      </c>
      <c r="AK70" s="635">
        <f t="shared" si="211"/>
        <v>0.93232226845763466</v>
      </c>
      <c r="AL70" s="629">
        <f t="shared" si="91"/>
        <v>-0.29556764056257789</v>
      </c>
      <c r="AM70" s="634">
        <f t="shared" si="92"/>
        <v>-0.2083625628328683</v>
      </c>
      <c r="AN70" s="581">
        <f t="shared" si="93"/>
        <v>-54.817798064546331</v>
      </c>
      <c r="AO70" s="582">
        <f t="shared" si="461"/>
        <v>21.200242848757615</v>
      </c>
      <c r="AP70" s="585">
        <f t="shared" si="95"/>
        <v>-17.58981467397907</v>
      </c>
      <c r="AQ70" s="586">
        <f t="shared" si="246"/>
        <v>0.4385846375954186</v>
      </c>
      <c r="AS70" s="52">
        <f t="shared" si="406"/>
        <v>-177.57442633899404</v>
      </c>
      <c r="AT70" s="72">
        <f t="shared" si="247"/>
        <v>-0.91098754561168471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4.2370000000000001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4.1369999999999996</v>
      </c>
      <c r="II70" s="734" cm="1">
        <f t="array" ref="II70">IFERROR(ROUND(VALUE(IF($IH70&lt;1,$IH70+LARGE((IF($M$9:$M$150="",0,$M$9:$M$150)-MOD(IF($M$9:$M$150="",0,$M$9:$M$150),1)),1),$IH70)),4),"")</f>
        <v>4.1369999999999996</v>
      </c>
      <c r="IJ70" s="533">
        <f t="shared" si="112"/>
        <v>1613</v>
      </c>
      <c r="IK70" s="533">
        <f t="shared" si="382"/>
        <v>1313</v>
      </c>
      <c r="IL70" s="727">
        <f t="shared" si="225"/>
        <v>11.771398300420401</v>
      </c>
      <c r="IM70" s="759">
        <v>1.39081351090868E-3</v>
      </c>
      <c r="IN70" s="5">
        <f t="shared" si="226"/>
        <v>0</v>
      </c>
      <c r="IO70" s="771">
        <v>0</v>
      </c>
      <c r="IP70" s="9">
        <f t="shared" si="227"/>
        <v>-5.166415581909396</v>
      </c>
      <c r="IQ70" s="5">
        <f t="shared" si="228"/>
        <v>-1.0707032292409395</v>
      </c>
      <c r="IR70" s="5">
        <f t="shared" si="383"/>
        <v>0.314</v>
      </c>
      <c r="IS70" s="5">
        <f t="shared" si="229"/>
        <v>0.2972448940991872</v>
      </c>
      <c r="IT70" s="727">
        <f t="shared" si="230"/>
        <v>56.758342617277705</v>
      </c>
      <c r="IU70" s="9">
        <f t="shared" si="231"/>
        <v>-5.1978156766120804</v>
      </c>
      <c r="IV70" s="5">
        <f t="shared" si="232"/>
        <v>-1.0343031194582084</v>
      </c>
      <c r="IW70" s="5">
        <f t="shared" si="384"/>
        <v>0.26600000000000001</v>
      </c>
      <c r="IX70" s="5">
        <f t="shared" si="233"/>
        <v>0.24799772340973084</v>
      </c>
      <c r="IY70" s="762">
        <f t="shared" si="234"/>
        <v>54.817798064546331</v>
      </c>
    </row>
    <row r="71" spans="1:259" ht="15" customHeight="1" x14ac:dyDescent="0.25">
      <c r="A71" s="79"/>
      <c r="B71" s="707">
        <v>0.27191289902911764</v>
      </c>
      <c r="C71" s="708">
        <v>-5.613935711887498</v>
      </c>
      <c r="D71" s="709">
        <v>-1.6726050445768148</v>
      </c>
      <c r="E71" s="710">
        <v>0.9350968912048101</v>
      </c>
      <c r="F71" s="708">
        <v>-0.32339222439294163</v>
      </c>
      <c r="G71" s="711">
        <v>0.14495265868994928</v>
      </c>
      <c r="H71" s="710">
        <v>0.26600000000000001</v>
      </c>
      <c r="I71" s="708">
        <v>0.52</v>
      </c>
      <c r="J71" s="570">
        <v>4.2439999999999998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4.2439999999999998</v>
      </c>
      <c r="N71" s="632">
        <f t="shared" si="240"/>
        <v>0.27191289902911764</v>
      </c>
      <c r="O71" s="629">
        <f t="shared" si="241"/>
        <v>-5.613935711887498</v>
      </c>
      <c r="P71" s="633">
        <f t="shared" si="242"/>
        <v>-1.6726050445768148</v>
      </c>
      <c r="Q71" s="585">
        <f t="shared" si="113"/>
        <v>272.7729736108476</v>
      </c>
      <c r="R71" s="629">
        <f t="shared" si="79"/>
        <v>5.620516951479126</v>
      </c>
      <c r="S71" s="634">
        <f t="shared" si="80"/>
        <v>-1.6726050445768148</v>
      </c>
      <c r="T71" s="635">
        <f t="shared" si="81"/>
        <v>-5.613935711887498</v>
      </c>
      <c r="U71" s="629">
        <f t="shared" si="82"/>
        <v>-0.27191289902911531</v>
      </c>
      <c r="V71" s="636">
        <f t="shared" si="114"/>
        <v>-1.6726050445768148</v>
      </c>
      <c r="W71" s="585">
        <f t="shared" si="224"/>
        <v>182.7729736108476</v>
      </c>
      <c r="X71" s="629">
        <f t="shared" si="83"/>
        <v>5.620516951479126</v>
      </c>
      <c r="Y71" s="630">
        <f t="shared" si="223"/>
        <v>-1.6726050445768148</v>
      </c>
      <c r="Z71" s="632">
        <f t="shared" si="243"/>
        <v>-0.9350968912048101</v>
      </c>
      <c r="AA71" s="629">
        <f t="shared" si="244"/>
        <v>0.32339222439294163</v>
      </c>
      <c r="AB71" s="629">
        <f t="shared" si="245"/>
        <v>-0.14495265868994928</v>
      </c>
      <c r="AC71" s="636">
        <f t="shared" si="84"/>
        <v>1</v>
      </c>
      <c r="AD71" s="637">
        <f t="shared" si="115"/>
        <v>-0.9350968912048101</v>
      </c>
      <c r="AE71" s="629">
        <f t="shared" si="85"/>
        <v>0.32339222439294163</v>
      </c>
      <c r="AF71" s="633">
        <f t="shared" si="86"/>
        <v>-0.14495265868994928</v>
      </c>
      <c r="AG71" s="602">
        <f t="shared" si="87"/>
        <v>65.856858251972071</v>
      </c>
      <c r="AH71" s="603">
        <f t="shared" si="88"/>
        <v>159.24380403754475</v>
      </c>
      <c r="AI71" s="585">
        <f t="shared" si="89"/>
        <v>-81.665462231120685</v>
      </c>
      <c r="AJ71" s="586">
        <f t="shared" si="90"/>
        <v>-109.07734030160053</v>
      </c>
      <c r="AK71" s="635">
        <f t="shared" si="211"/>
        <v>0.91835668478735533</v>
      </c>
      <c r="AL71" s="629">
        <f t="shared" si="91"/>
        <v>-0.36825225898165681</v>
      </c>
      <c r="AM71" s="634">
        <f t="shared" si="92"/>
        <v>-0.14495265868994928</v>
      </c>
      <c r="AN71" s="581">
        <f t="shared" si="93"/>
        <v>-68.514246643467445</v>
      </c>
      <c r="AO71" s="582">
        <f t="shared" si="461"/>
        <v>23.312989357179585</v>
      </c>
      <c r="AP71" s="585">
        <f t="shared" si="95"/>
        <v>-21.850313912448119</v>
      </c>
      <c r="AQ71" s="586">
        <f t="shared" si="246"/>
        <v>0.40560122315126612</v>
      </c>
      <c r="AS71" s="52">
        <f t="shared" si="406"/>
        <v>-177.2270263891524</v>
      </c>
      <c r="AT71" s="72">
        <f t="shared" si="247"/>
        <v>-1.5495307206954589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4.2439999999999998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4.1440000000000001</v>
      </c>
      <c r="II71" s="734" cm="1">
        <f t="array" ref="II71">IFERROR(ROUND(VALUE(IF($IH71&lt;1,$IH71+LARGE((IF($M$9:$M$150="",0,$M$9:$M$150)-MOD(IF($M$9:$M$150="",0,$M$9:$M$150),1)),1),$IH71)),4),"")</f>
        <v>4.1440000000000001</v>
      </c>
      <c r="IJ71" s="533">
        <f t="shared" si="112"/>
        <v>1613</v>
      </c>
      <c r="IK71" s="533">
        <f t="shared" si="382"/>
        <v>1313</v>
      </c>
      <c r="IL71" s="727">
        <f t="shared" si="225"/>
        <v>10.966998416561353</v>
      </c>
      <c r="IM71" s="759">
        <v>1.0166908933248E-3</v>
      </c>
      <c r="IN71" s="5">
        <f t="shared" si="226"/>
        <v>0</v>
      </c>
      <c r="IO71" s="771">
        <v>0</v>
      </c>
      <c r="IP71" s="9">
        <f t="shared" si="227"/>
        <v>-5.5814168335531704</v>
      </c>
      <c r="IQ71" s="5">
        <f t="shared" si="228"/>
        <v>-1.7009051299298721</v>
      </c>
      <c r="IR71" s="5">
        <f t="shared" si="383"/>
        <v>0.314</v>
      </c>
      <c r="IS71" s="5">
        <f t="shared" si="229"/>
        <v>0.29329962517149993</v>
      </c>
      <c r="IT71" s="727">
        <f t="shared" si="230"/>
        <v>70.303803353068488</v>
      </c>
      <c r="IU71" s="9">
        <f t="shared" si="231"/>
        <v>-5.620516951479126</v>
      </c>
      <c r="IV71" s="5">
        <f t="shared" si="232"/>
        <v>-1.6726050445768148</v>
      </c>
      <c r="IW71" s="5">
        <f t="shared" si="384"/>
        <v>0.26600000000000001</v>
      </c>
      <c r="IX71" s="5">
        <f t="shared" si="233"/>
        <v>0.24428287815343652</v>
      </c>
      <c r="IY71" s="762">
        <f t="shared" si="234"/>
        <v>68.514246643467445</v>
      </c>
    </row>
    <row r="72" spans="1:259" ht="15" customHeight="1" x14ac:dyDescent="0.25">
      <c r="A72" s="79"/>
      <c r="B72" s="707">
        <v>0.2680853186123206</v>
      </c>
      <c r="C72" s="708">
        <v>-5.847675726412116</v>
      </c>
      <c r="D72" s="709">
        <v>-2.4017072435490467</v>
      </c>
      <c r="E72" s="710">
        <v>0.9014112656407931</v>
      </c>
      <c r="F72" s="708">
        <v>-0.42484462965018183</v>
      </c>
      <c r="G72" s="711">
        <v>8.3455202553606639E-2</v>
      </c>
      <c r="H72" s="710">
        <v>0.26600000000000001</v>
      </c>
      <c r="I72" s="708">
        <v>0.52</v>
      </c>
      <c r="J72" s="570">
        <v>4.2510000000000003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4.2510000000000003</v>
      </c>
      <c r="N72" s="632">
        <f t="shared" si="240"/>
        <v>0.2680853186123206</v>
      </c>
      <c r="O72" s="629">
        <f t="shared" si="241"/>
        <v>-5.847675726412116</v>
      </c>
      <c r="P72" s="633">
        <f t="shared" si="242"/>
        <v>-2.4017072435490467</v>
      </c>
      <c r="Q72" s="585">
        <f t="shared" si="113"/>
        <v>272.62487363223062</v>
      </c>
      <c r="R72" s="629">
        <f t="shared" si="79"/>
        <v>5.8538176551140486</v>
      </c>
      <c r="S72" s="634">
        <f t="shared" si="80"/>
        <v>-2.4017072435490467</v>
      </c>
      <c r="T72" s="635">
        <f t="shared" si="81"/>
        <v>-5.847675726412116</v>
      </c>
      <c r="U72" s="629">
        <f t="shared" si="82"/>
        <v>-0.26808531861232243</v>
      </c>
      <c r="V72" s="636">
        <f t="shared" si="114"/>
        <v>-2.4017072435490467</v>
      </c>
      <c r="W72" s="585">
        <f t="shared" si="224"/>
        <v>182.62487363223062</v>
      </c>
      <c r="X72" s="629">
        <f t="shared" si="83"/>
        <v>5.8538176551140486</v>
      </c>
      <c r="Y72" s="630">
        <f t="shared" si="223"/>
        <v>-2.4017072435490467</v>
      </c>
      <c r="Z72" s="632">
        <f t="shared" si="243"/>
        <v>-0.9014112656407931</v>
      </c>
      <c r="AA72" s="629">
        <f t="shared" si="244"/>
        <v>0.42484462965018183</v>
      </c>
      <c r="AB72" s="629">
        <f t="shared" si="245"/>
        <v>-8.3455202553606639E-2</v>
      </c>
      <c r="AC72" s="636">
        <f t="shared" si="84"/>
        <v>1</v>
      </c>
      <c r="AD72" s="637">
        <f t="shared" si="115"/>
        <v>-0.9014112656407931</v>
      </c>
      <c r="AE72" s="629">
        <f t="shared" si="85"/>
        <v>0.42484462965018183</v>
      </c>
      <c r="AF72" s="633">
        <f t="shared" si="86"/>
        <v>-8.3455202553606639E-2</v>
      </c>
      <c r="AG72" s="602">
        <f t="shared" si="87"/>
        <v>78.886494738760774</v>
      </c>
      <c r="AH72" s="603">
        <f t="shared" si="88"/>
        <v>154.34419635388502</v>
      </c>
      <c r="AI72" s="585">
        <f t="shared" si="89"/>
        <v>-85.212801152856557</v>
      </c>
      <c r="AJ72" s="586">
        <f t="shared" si="90"/>
        <v>-115.23499595765345</v>
      </c>
      <c r="AK72" s="635">
        <f t="shared" si="211"/>
        <v>0.8810090224105398</v>
      </c>
      <c r="AL72" s="629">
        <f t="shared" si="91"/>
        <v>-0.46568050377695819</v>
      </c>
      <c r="AM72" s="634">
        <f t="shared" si="92"/>
        <v>-8.3455202553606639E-2</v>
      </c>
      <c r="AN72" s="581">
        <f t="shared" si="93"/>
        <v>-79.8398039952977</v>
      </c>
      <c r="AO72" s="582">
        <f t="shared" si="461"/>
        <v>28.235678257163503</v>
      </c>
      <c r="AP72" s="585">
        <f t="shared" si="95"/>
        <v>-27.859869589884099</v>
      </c>
      <c r="AQ72" s="586">
        <f t="shared" si="246"/>
        <v>0.38943671625133491</v>
      </c>
      <c r="AS72" s="52">
        <f t="shared" si="406"/>
        <v>-177.37512636776938</v>
      </c>
      <c r="AT72" s="72">
        <f t="shared" si="247"/>
        <v>-2.2785300724603181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4.2510000000000003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4.1509999999999998</v>
      </c>
      <c r="II72" s="734" cm="1">
        <f t="array" ref="II72">IFERROR(ROUND(VALUE(IF($IH72&lt;1,$IH72+LARGE((IF($M$9:$M$150="",0,$M$9:$M$150)-MOD(IF($M$9:$M$150="",0,$M$9:$M$150),1)),1),$IH72)),4),"")</f>
        <v>4.1509999999999998</v>
      </c>
      <c r="IJ72" s="533">
        <f t="shared" si="112"/>
        <v>1613</v>
      </c>
      <c r="IK72" s="533">
        <f t="shared" si="382"/>
        <v>1313</v>
      </c>
      <c r="IL72" s="727">
        <f t="shared" si="225"/>
        <v>10.855098432717682</v>
      </c>
      <c r="IM72" s="759">
        <v>6.2131526268322499E-4</v>
      </c>
      <c r="IN72" s="5">
        <f t="shared" si="226"/>
        <v>0</v>
      </c>
      <c r="IO72" s="771">
        <v>0</v>
      </c>
      <c r="IP72" s="9">
        <f t="shared" si="227"/>
        <v>-5.8095175215048442</v>
      </c>
      <c r="IQ72" s="5">
        <f t="shared" si="228"/>
        <v>-2.4201072990436141</v>
      </c>
      <c r="IR72" s="5">
        <f t="shared" si="383"/>
        <v>0.314</v>
      </c>
      <c r="IS72" s="5">
        <f t="shared" si="229"/>
        <v>0.28265507579531784</v>
      </c>
      <c r="IT72" s="727">
        <f t="shared" si="230"/>
        <v>81.094999395915693</v>
      </c>
      <c r="IU72" s="9">
        <f t="shared" si="231"/>
        <v>-5.8538176551140486</v>
      </c>
      <c r="IV72" s="5">
        <f t="shared" si="232"/>
        <v>-2.4017072435490467</v>
      </c>
      <c r="IW72" s="5">
        <f t="shared" si="384"/>
        <v>0.26600000000000001</v>
      </c>
      <c r="IX72" s="5">
        <f t="shared" si="233"/>
        <v>0.2343483999612036</v>
      </c>
      <c r="IY72" s="762">
        <f t="shared" si="234"/>
        <v>79.8398039952977</v>
      </c>
    </row>
    <row r="73" spans="1:259" ht="15" customHeight="1" x14ac:dyDescent="0.25">
      <c r="A73" s="79"/>
      <c r="B73" s="707">
        <v>-0.24431311822514376</v>
      </c>
      <c r="C73" s="708">
        <v>-5.8902532059946324</v>
      </c>
      <c r="D73" s="709">
        <v>-3.2363097607102382</v>
      </c>
      <c r="E73" s="710">
        <v>-4.1441664631389132E-2</v>
      </c>
      <c r="F73" s="708">
        <v>-0.99914092521151798</v>
      </c>
      <c r="G73" s="711">
        <v>2.2679489761357135E-7</v>
      </c>
      <c r="H73" s="710">
        <v>0.25700000000000001</v>
      </c>
      <c r="I73" s="708">
        <v>0.41499999999999992</v>
      </c>
      <c r="J73" s="570">
        <v>4.258</v>
      </c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CPS-32193r1</v>
      </c>
      <c r="L73" s="320"/>
      <c r="M73" s="168">
        <f t="shared" ref="M73:M104" si="464">IF(J73="","",VALUE(J73))</f>
        <v>4.258</v>
      </c>
      <c r="N73" s="632">
        <f t="shared" ref="N73:N104" si="465">IF(M73="","",B73)</f>
        <v>-0.24431311822514376</v>
      </c>
      <c r="O73" s="629">
        <f t="shared" ref="O73:O104" si="466">IF(M73="","",C73)</f>
        <v>-5.8902532059946324</v>
      </c>
      <c r="P73" s="633">
        <f t="shared" ref="P73:P104" si="467">IF(M73="","",D73)</f>
        <v>-3.2363097607102382</v>
      </c>
      <c r="Q73" s="585">
        <f t="shared" si="113"/>
        <v>267.62487435414118</v>
      </c>
      <c r="R73" s="629">
        <f>IF(M73="","",SQRT(N73^2+O73^2))</f>
        <v>5.8953177802784245</v>
      </c>
      <c r="S73" s="634">
        <f>IF(M73="","",P73)</f>
        <v>-3.2363097607102382</v>
      </c>
      <c r="T73" s="635">
        <f>IF(M73="","",X73*COS(RADIANS(W73)))</f>
        <v>-5.8902532059946315</v>
      </c>
      <c r="U73" s="629">
        <f>IF(M73="","",X73*SIN(RADIANS(W73)))</f>
        <v>0.24431311822514412</v>
      </c>
      <c r="V73" s="636">
        <f>IF(M73="","",Y73)</f>
        <v>-3.2363097607102382</v>
      </c>
      <c r="W73" s="585">
        <f t="shared" si="224"/>
        <v>177.62487435414118</v>
      </c>
      <c r="X73" s="629">
        <f>IF(M73="","",R73)</f>
        <v>5.8953177802784245</v>
      </c>
      <c r="Y73" s="630">
        <f t="shared" si="223"/>
        <v>-3.2363097607102382</v>
      </c>
      <c r="Z73" s="632">
        <f t="shared" ref="Z73:Z104" si="468">IF(M73="","",-E73)</f>
        <v>4.1441664631389132E-2</v>
      </c>
      <c r="AA73" s="629">
        <f t="shared" ref="AA73:AA104" si="469">IF(M73="","",-F73)</f>
        <v>0.99914092521151798</v>
      </c>
      <c r="AB73" s="629">
        <f t="shared" ref="AB73:AB104" si="470">IF(M73="","",-G73)</f>
        <v>-2.2679489761357135E-7</v>
      </c>
      <c r="AC73" s="636">
        <f>IF(M73="","",SQRT(Z73^2+AA73^2+AB73^2))</f>
        <v>1</v>
      </c>
      <c r="AD73" s="637">
        <f>IF(M73="","",Z73*(1/SQRT(Z73^2+AA73^2+AB73^2)))</f>
        <v>4.1441664631389132E-2</v>
      </c>
      <c r="AE73" s="629">
        <f>IF(M73="","",AA73*(1/SQRT(Z73^2+AA73^2+AB73^2)))</f>
        <v>0.99914092521151798</v>
      </c>
      <c r="AF73" s="633">
        <f>IF(M73="","",AB73*(1/SQRT(Z73^2+AA73^2+AB73^2)))</f>
        <v>-2.2679489761357135E-7</v>
      </c>
      <c r="AG73" s="602">
        <f>IF(M73="","",DEGREES(ATAN2(-AF73,AE73)))</f>
        <v>89.999986994436796</v>
      </c>
      <c r="AH73" s="603">
        <f>IF(M73="","",DEGREES(ACOS(AD73)))</f>
        <v>87.624887348531644</v>
      </c>
      <c r="AI73" s="585">
        <f>IF(M73="","",DEGREES(-ACOS(-AF73)))</f>
        <v>-89.999987005609555</v>
      </c>
      <c r="AJ73" s="586">
        <f>IF(M73="","",DEGREES(ATAN2(-AE73,AD73)))</f>
        <v>177.62488734853159</v>
      </c>
      <c r="AK73" s="635">
        <f>IF(M73="","",(COS(RADIANS((90-$Q$8)-W73))*AD73)+(-SIN(RADIANS((90-$Q$8)-W73))*AE73))</f>
        <v>2.2679489675159203E-7</v>
      </c>
      <c r="AL73" s="629">
        <f>IF(M73="","",(SIN(RADIANS((90-$Q$8)-W73))*AD73)+(COS(RADIANS((90-$Q$8)-W73))*AE73))</f>
        <v>-0.9999999999999486</v>
      </c>
      <c r="AM73" s="634">
        <f>IF(M73="","",AF73)</f>
        <v>-2.2679489761357135E-7</v>
      </c>
      <c r="AN73" s="581">
        <f>IF(M73="","",DEGREES(ATAN2(-AM73,AL73)))</f>
        <v>-89.999987005609555</v>
      </c>
      <c r="AO73" s="582">
        <f t="shared" si="461"/>
        <v>0</v>
      </c>
      <c r="AP73" s="585">
        <f>IF(M73="","",DEGREES(ATAN2(AK73,AL73)))</f>
        <v>-89.999987005609611</v>
      </c>
      <c r="AQ73" s="586">
        <f t="shared" ref="AQ73:AQ104" si="471">IF(M73="","",DEGREES(ATAN(($AS$5*SIN(RADIANS(90)))/(($X73*2*PI())-($AS$5*COS(RADIANS(90)))))))</f>
        <v>0.38669535767588226</v>
      </c>
      <c r="AS73" s="52">
        <f t="shared" si="406"/>
        <v>-182.37512564585882</v>
      </c>
      <c r="AT73" s="72">
        <f t="shared" ref="AT73:AT104" si="472">IF(M73="","",Y73+(((AS73-$AS$9)*$AS$6)*-1))</f>
        <v>-3.1096603679006138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>Gage</v>
      </c>
      <c r="IG73" s="847">
        <f t="shared" si="210"/>
        <v>4.258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4.1580000000000004</v>
      </c>
      <c r="II73" s="734" cm="1">
        <f t="array" ref="II73">IFERROR(ROUND(VALUE(IF($IH73&lt;1,$IH73+LARGE((IF($M$9:$M$150="",0,$M$9:$M$150)-MOD(IF($M$9:$M$150="",0,$M$9:$M$150),1)),1),$IH73)),4),"")</f>
        <v>4.1580000000000004</v>
      </c>
      <c r="IJ73" s="533">
        <f t="shared" si="112"/>
        <v>1613</v>
      </c>
      <c r="IK73" s="533" t="str">
        <f t="shared" ref="IK73:IK104" si="517">IF(ISNUMBER($II73),INDEX($K$9:$K$150,MATCH($IG73,$M$9:$M$150,0)),"")</f>
        <v>CPS-32193r1</v>
      </c>
      <c r="IL73" s="727">
        <f t="shared" si="225"/>
        <v>15.757097724956566</v>
      </c>
      <c r="IM73" s="759">
        <v>2.0237134082251601E-4</v>
      </c>
      <c r="IN73" s="5">
        <f t="shared" si="226"/>
        <v>0</v>
      </c>
      <c r="IO73" s="771">
        <v>0</v>
      </c>
      <c r="IP73" s="9">
        <f t="shared" si="227"/>
        <v>-5.894317777262418</v>
      </c>
      <c r="IQ73" s="5">
        <f t="shared" si="228"/>
        <v>-3.2338097531702164</v>
      </c>
      <c r="IR73" s="5">
        <f t="shared" ref="IR73:IR104" si="518">IF(ISNUMBER($II73),INDEX($H$9:$H$150,MATCH($II73,$M$9:$M$150,0)),"")</f>
        <v>0.314</v>
      </c>
      <c r="IS73" s="5">
        <f t="shared" si="229"/>
        <v>0.25721375779146971</v>
      </c>
      <c r="IT73" s="727">
        <f t="shared" si="230"/>
        <v>89.999987005609597</v>
      </c>
      <c r="IU73" s="9">
        <f t="shared" si="231"/>
        <v>-5.8953177802784245</v>
      </c>
      <c r="IV73" s="5">
        <f t="shared" si="232"/>
        <v>-3.2363097607102382</v>
      </c>
      <c r="IW73" s="5">
        <f t="shared" ref="IW73:IW104" si="519">IF(ISNUMBER($II73),$H73,"")</f>
        <v>0.25700000000000001</v>
      </c>
      <c r="IX73" s="5">
        <f t="shared" si="233"/>
        <v>0.25700000000000001</v>
      </c>
      <c r="IY73" s="762">
        <f t="shared" si="234"/>
        <v>89.999987005609555</v>
      </c>
    </row>
    <row r="74" spans="1:259" ht="15" customHeight="1" x14ac:dyDescent="0.25">
      <c r="A74" s="79"/>
      <c r="B74" s="707">
        <v>-0.37567793734975485</v>
      </c>
      <c r="C74" s="708">
        <v>-0.48084547765165037</v>
      </c>
      <c r="D74" s="709">
        <v>-0.70370212236560103</v>
      </c>
      <c r="E74" s="710">
        <v>0.80240123924886186</v>
      </c>
      <c r="F74" s="708">
        <v>-0.54189691604529533</v>
      </c>
      <c r="G74" s="711">
        <v>0.24999996726497564</v>
      </c>
      <c r="H74" s="710">
        <v>0.314</v>
      </c>
      <c r="I74" s="708">
        <v>0.52</v>
      </c>
      <c r="J74" s="570">
        <v>5.1020000000000003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5.1020000000000003</v>
      </c>
      <c r="N74" s="632">
        <f t="shared" si="465"/>
        <v>-0.37567793734975485</v>
      </c>
      <c r="O74" s="629">
        <f t="shared" si="466"/>
        <v>-0.48084547765165037</v>
      </c>
      <c r="P74" s="633">
        <f t="shared" si="467"/>
        <v>-0.70370212236560103</v>
      </c>
      <c r="Q74" s="585">
        <f t="shared" ref="Q74:Q129" si="520">IF(M74="","",IF(DEGREES(ATAN2(N74,O74))&lt;0,DEGREES(ATAN2(N74,O74))+360,IF(DEGREES(ATAN2(N74,O74))&gt;360,DEGREES(ATAN2(N74,O74))-360,DEGREES(ATAN2(N74,O74)))))</f>
        <v>231.99997949773959</v>
      </c>
      <c r="R74" s="629">
        <f>IF(M74="","",SQRT(N74^2+O74^2))</f>
        <v>0.61020184036875058</v>
      </c>
      <c r="S74" s="634">
        <f>IF(M74="","",P74)</f>
        <v>-0.70370212236560103</v>
      </c>
      <c r="T74" s="635">
        <f>IF(M74="","",X74*COS(RADIANS(W74)))</f>
        <v>-0.48084547765165037</v>
      </c>
      <c r="U74" s="629">
        <f>IF(M74="","",X74*SIN(RADIANS(W74)))</f>
        <v>0.37567793734975491</v>
      </c>
      <c r="V74" s="636">
        <f>IF(M74="","",Y74)</f>
        <v>-0.70370212236560103</v>
      </c>
      <c r="W74" s="585">
        <f t="shared" si="224"/>
        <v>141.99997949773959</v>
      </c>
      <c r="X74" s="629">
        <f>IF(M74="","",R74)</f>
        <v>0.61020184036875058</v>
      </c>
      <c r="Y74" s="630">
        <f t="shared" si="223"/>
        <v>-0.70370212236560103</v>
      </c>
      <c r="Z74" s="632">
        <f t="shared" si="468"/>
        <v>-0.80240123924886186</v>
      </c>
      <c r="AA74" s="629">
        <f t="shared" si="469"/>
        <v>0.54189691604529533</v>
      </c>
      <c r="AB74" s="629">
        <f t="shared" si="470"/>
        <v>-0.24999996726497564</v>
      </c>
      <c r="AC74" s="636">
        <f>IF(M74="","",SQRT(Z74^2+AA74^2+AB74^2))</f>
        <v>1</v>
      </c>
      <c r="AD74" s="637">
        <f>IF(M74="","",Z74*(1/SQRT(Z74^2+AA74^2+AB74^2)))</f>
        <v>-0.80240123924886186</v>
      </c>
      <c r="AE74" s="629">
        <f>IF(M74="","",AA74*(1/SQRT(Z74^2+AA74^2+AB74^2)))</f>
        <v>0.54189691604529533</v>
      </c>
      <c r="AF74" s="633">
        <f>IF(M74="","",AB74*(1/SQRT(Z74^2+AA74^2+AB74^2)))</f>
        <v>-0.24999996726497564</v>
      </c>
      <c r="AG74" s="602">
        <f>IF(M74="","",DEGREES(ATAN2(-AF74,AE74)))</f>
        <v>65.234125837354625</v>
      </c>
      <c r="AH74" s="603">
        <f>IF(M74="","",DEGREES(ACOS(AD74)))</f>
        <v>143.36001950406506</v>
      </c>
      <c r="AI74" s="585">
        <f>IF(M74="","",DEGREES(-ACOS(-AF74)))</f>
        <v>-75.522489751159469</v>
      </c>
      <c r="AJ74" s="586">
        <f>IF(M74="","",DEGREES(ATAN2(-AE74,AD74)))</f>
        <v>-124.03289085717384</v>
      </c>
      <c r="AK74" s="635">
        <f>IF(M74="","",(COS(RADIANS((90-$Q$8)-W74))*AD74)+(-SIN(RADIANS((90-$Q$8)-W74))*AE74))</f>
        <v>0.96592583607220739</v>
      </c>
      <c r="AL74" s="629">
        <f>IF(M74="","",(SIN(RADIANS((90-$Q$8)-W74))*AD74)+(COS(RADIANS((90-$Q$8)-W74))*AE74))</f>
        <v>6.6987279208207073E-2</v>
      </c>
      <c r="AM74" s="634">
        <f>IF(M74="","",AF74)</f>
        <v>-0.24999996726497564</v>
      </c>
      <c r="AN74" s="581">
        <f>IF(M74="","",DEGREES(ATAN2(-AM74,AL74)))</f>
        <v>14.999997834268243</v>
      </c>
      <c r="AO74" s="582">
        <f t="shared" si="461"/>
        <v>14.999997834268255</v>
      </c>
      <c r="AP74" s="585">
        <f>IF(M74="","",DEGREES(ATAN2(AK74,AL74)))</f>
        <v>3.9671296450865641</v>
      </c>
      <c r="AQ74" s="586">
        <f t="shared" si="471"/>
        <v>3.7307391016610647</v>
      </c>
      <c r="AS74" s="52">
        <f t="shared" si="406"/>
        <v>-218.00002050226041</v>
      </c>
      <c r="AT74" s="72">
        <f t="shared" si="472"/>
        <v>-0.55231321923903132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5.1020000000000003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-0.85127807927483778</v>
      </c>
      <c r="C75" s="708">
        <v>-1.0895854505882283</v>
      </c>
      <c r="D75" s="709">
        <v>-0.49670149805171815</v>
      </c>
      <c r="E75" s="710">
        <v>0.80240123924886186</v>
      </c>
      <c r="F75" s="708">
        <v>-0.54189691604529544</v>
      </c>
      <c r="G75" s="711">
        <v>0.2499999672649757</v>
      </c>
      <c r="H75" s="710">
        <v>0.314</v>
      </c>
      <c r="I75" s="708">
        <v>0.52</v>
      </c>
      <c r="J75" s="570">
        <v>5.1050000000000004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5.1050000000000004</v>
      </c>
      <c r="N75" s="632">
        <f t="shared" si="465"/>
        <v>-0.85127807927483778</v>
      </c>
      <c r="O75" s="629">
        <f t="shared" si="466"/>
        <v>-1.0895854505882283</v>
      </c>
      <c r="P75" s="633">
        <f t="shared" si="467"/>
        <v>-0.49670149805171815</v>
      </c>
      <c r="Q75" s="585">
        <f t="shared" si="520"/>
        <v>231.99997949773959</v>
      </c>
      <c r="R75" s="629">
        <f>IF(M75="","",SQRT(N75^2+O75^2))</f>
        <v>1.3827041702357774</v>
      </c>
      <c r="S75" s="634">
        <f>IF(M75="","",P75)</f>
        <v>-0.49670149805171815</v>
      </c>
      <c r="T75" s="635">
        <f>IF(M75="","",X75*COS(RADIANS(W75)))</f>
        <v>-1.0895854505882283</v>
      </c>
      <c r="U75" s="629">
        <f>IF(M75="","",X75*SIN(RADIANS(W75)))</f>
        <v>0.8512780792748379</v>
      </c>
      <c r="V75" s="636">
        <f>IF(M75="","",Y75)</f>
        <v>-0.49670149805171815</v>
      </c>
      <c r="W75" s="585">
        <f t="shared" si="224"/>
        <v>141.99997949773959</v>
      </c>
      <c r="X75" s="629">
        <f>IF(M75="","",R75)</f>
        <v>1.3827041702357774</v>
      </c>
      <c r="Y75" s="630">
        <f t="shared" si="223"/>
        <v>-0.49670149805171815</v>
      </c>
      <c r="Z75" s="632">
        <f t="shared" si="468"/>
        <v>-0.80240123924886186</v>
      </c>
      <c r="AA75" s="629">
        <f t="shared" si="469"/>
        <v>0.54189691604529544</v>
      </c>
      <c r="AB75" s="629">
        <f t="shared" si="470"/>
        <v>-0.2499999672649757</v>
      </c>
      <c r="AC75" s="636">
        <f>IF(M75="","",SQRT(Z75^2+AA75^2+AB75^2))</f>
        <v>1</v>
      </c>
      <c r="AD75" s="637">
        <f>IF(M75="","",Z75*(1/SQRT(Z75^2+AA75^2+AB75^2)))</f>
        <v>-0.80240123924886186</v>
      </c>
      <c r="AE75" s="629">
        <f>IF(M75="","",AA75*(1/SQRT(Z75^2+AA75^2+AB75^2)))</f>
        <v>0.54189691604529544</v>
      </c>
      <c r="AF75" s="633">
        <f>IF(M75="","",AB75*(1/SQRT(Z75^2+AA75^2+AB75^2)))</f>
        <v>-0.2499999672649757</v>
      </c>
      <c r="AG75" s="602">
        <f>IF(M75="","",DEGREES(ATAN2(-AF75,AE75)))</f>
        <v>65.234125837354625</v>
      </c>
      <c r="AH75" s="603">
        <f>IF(M75="","",DEGREES(ACOS(AD75)))</f>
        <v>143.36001950406506</v>
      </c>
      <c r="AI75" s="585">
        <f>IF(M75="","",DEGREES(-ACOS(-AF75)))</f>
        <v>-75.522489751159455</v>
      </c>
      <c r="AJ75" s="586">
        <f>IF(M75="","",DEGREES(ATAN2(-AE75,AD75)))</f>
        <v>-124.03289085717384</v>
      </c>
      <c r="AK75" s="635">
        <f>IF(M75="","",(COS(RADIANS((90-$Q$8)-W75))*AD75)+(-SIN(RADIANS((90-$Q$8)-W75))*AE75))</f>
        <v>0.96592583607220739</v>
      </c>
      <c r="AL75" s="629">
        <f>IF(M75="","",(SIN(RADIANS((90-$Q$8)-W75))*AD75)+(COS(RADIANS((90-$Q$8)-W75))*AE75))</f>
        <v>6.6987279208207018E-2</v>
      </c>
      <c r="AM75" s="634">
        <f>IF(M75="","",AF75)</f>
        <v>-0.2499999672649757</v>
      </c>
      <c r="AN75" s="581">
        <f>IF(M75="","",DEGREES(ATAN2(-AM75,AL75)))</f>
        <v>14.999997834268227</v>
      </c>
      <c r="AO75" s="582">
        <f t="shared" si="461"/>
        <v>14.999997834268255</v>
      </c>
      <c r="AP75" s="585">
        <f>IF(M75="","",DEGREES(ATAN2(AK75,AL75)))</f>
        <v>3.967129645086561</v>
      </c>
      <c r="AQ75" s="586">
        <f t="shared" si="471"/>
        <v>1.6482901718384932</v>
      </c>
      <c r="AS75" s="52">
        <f t="shared" ref="AS75:AS106" si="543">IF(G75="","",IF(AND(W75&lt;(AS74+180),W75&gt;(AS74-180)),W75,IF(W75&gt;(AS74+180),W75-360,IF(W75&lt;(AS74-180),W75+360,"Error"))))</f>
        <v>-218.00002050226041</v>
      </c>
      <c r="AT75" s="72">
        <f t="shared" si="472"/>
        <v>-0.34531259492514843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5.1050000000000004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-1.2960950404927956</v>
      </c>
      <c r="C76" s="708">
        <v>-1.6589247780272931</v>
      </c>
      <c r="D76" s="709">
        <v>-0.30310091415235707</v>
      </c>
      <c r="E76" s="710">
        <v>0.80240123924886197</v>
      </c>
      <c r="F76" s="708">
        <v>-0.54189691604529522</v>
      </c>
      <c r="G76" s="711">
        <v>0.24999996726497559</v>
      </c>
      <c r="H76" s="710">
        <v>0.314</v>
      </c>
      <c r="I76" s="708">
        <v>0.52</v>
      </c>
      <c r="J76" s="570">
        <v>5.1079999999999997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5.1079999999999997</v>
      </c>
      <c r="N76" s="632">
        <f t="shared" si="465"/>
        <v>-1.2960950404927956</v>
      </c>
      <c r="O76" s="629">
        <f t="shared" si="466"/>
        <v>-1.6589247780272931</v>
      </c>
      <c r="P76" s="633">
        <f t="shared" si="467"/>
        <v>-0.30310091415235707</v>
      </c>
      <c r="Q76" s="585">
        <f t="shared" si="520"/>
        <v>231.99997949773959</v>
      </c>
      <c r="R76" s="629">
        <f t="shared" si="79"/>
        <v>2.1052063493023492</v>
      </c>
      <c r="S76" s="634">
        <f t="shared" si="80"/>
        <v>-0.30310091415235707</v>
      </c>
      <c r="T76" s="635">
        <f t="shared" si="81"/>
        <v>-1.6589247780272929</v>
      </c>
      <c r="U76" s="629">
        <f t="shared" si="82"/>
        <v>1.2960950404927956</v>
      </c>
      <c r="V76" s="636">
        <f t="shared" si="114"/>
        <v>-0.30310091415235707</v>
      </c>
      <c r="W76" s="585">
        <f t="shared" si="224"/>
        <v>141.99997949773959</v>
      </c>
      <c r="X76" s="629">
        <f t="shared" si="83"/>
        <v>2.1052063493023492</v>
      </c>
      <c r="Y76" s="630">
        <f t="shared" ref="Y76:Y129" si="644">IF(M76="","",S76)</f>
        <v>-0.30310091415235707</v>
      </c>
      <c r="Z76" s="632">
        <f t="shared" si="468"/>
        <v>-0.80240123924886197</v>
      </c>
      <c r="AA76" s="629">
        <f t="shared" si="469"/>
        <v>0.54189691604529522</v>
      </c>
      <c r="AB76" s="629">
        <f t="shared" si="470"/>
        <v>-0.24999996726497559</v>
      </c>
      <c r="AC76" s="636">
        <f t="shared" si="84"/>
        <v>1</v>
      </c>
      <c r="AD76" s="637">
        <f t="shared" si="115"/>
        <v>-0.80240123924886197</v>
      </c>
      <c r="AE76" s="629">
        <f t="shared" si="85"/>
        <v>0.54189691604529522</v>
      </c>
      <c r="AF76" s="633">
        <f t="shared" si="86"/>
        <v>-0.24999996726497559</v>
      </c>
      <c r="AG76" s="602">
        <f t="shared" si="87"/>
        <v>65.234125837354625</v>
      </c>
      <c r="AH76" s="603">
        <f t="shared" si="88"/>
        <v>143.36001950406509</v>
      </c>
      <c r="AI76" s="585">
        <f t="shared" si="89"/>
        <v>-75.522489751159469</v>
      </c>
      <c r="AJ76" s="586">
        <f t="shared" si="90"/>
        <v>-124.03289085717384</v>
      </c>
      <c r="AK76" s="635">
        <f t="shared" si="211"/>
        <v>0.96592583607220739</v>
      </c>
      <c r="AL76" s="629">
        <f t="shared" si="91"/>
        <v>6.698727920820724E-2</v>
      </c>
      <c r="AM76" s="634">
        <f t="shared" si="92"/>
        <v>-0.24999996726497559</v>
      </c>
      <c r="AN76" s="581">
        <f t="shared" si="93"/>
        <v>14.99999783426828</v>
      </c>
      <c r="AO76" s="582">
        <f t="shared" si="461"/>
        <v>14.999997834268255</v>
      </c>
      <c r="AP76" s="585">
        <f t="shared" si="95"/>
        <v>3.9671296450865734</v>
      </c>
      <c r="AQ76" s="586">
        <f t="shared" si="471"/>
        <v>1.0827704558471207</v>
      </c>
      <c r="AS76" s="52">
        <f t="shared" si="543"/>
        <v>-218.00002050226041</v>
      </c>
      <c r="AT76" s="72">
        <f t="shared" si="472"/>
        <v>-0.15171201102578732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5.1079999999999997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-1.7517011201791013</v>
      </c>
      <c r="C77" s="708">
        <v>-2.2401387578304717</v>
      </c>
      <c r="D77" s="709">
        <v>-0.14580043973412626</v>
      </c>
      <c r="E77" s="710">
        <v>0.77210549387701821</v>
      </c>
      <c r="F77" s="708">
        <v>-0.58059848267960679</v>
      </c>
      <c r="G77" s="711">
        <v>0.25837667896902827</v>
      </c>
      <c r="H77" s="710">
        <v>0.314</v>
      </c>
      <c r="I77" s="708">
        <v>0.52</v>
      </c>
      <c r="J77" s="570">
        <v>5.1130000000000004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5.1130000000000004</v>
      </c>
      <c r="N77" s="632">
        <f t="shared" si="465"/>
        <v>-1.7517011201791013</v>
      </c>
      <c r="O77" s="629">
        <f t="shared" si="466"/>
        <v>-2.2401387578304717</v>
      </c>
      <c r="P77" s="633">
        <f t="shared" si="467"/>
        <v>-0.14580043973412626</v>
      </c>
      <c r="Q77" s="585">
        <f t="shared" si="520"/>
        <v>231.97597950120476</v>
      </c>
      <c r="R77" s="629">
        <f t="shared" si="79"/>
        <v>2.8437085766250672</v>
      </c>
      <c r="S77" s="634">
        <f t="shared" si="80"/>
        <v>-0.14580043973412626</v>
      </c>
      <c r="T77" s="635">
        <f t="shared" si="81"/>
        <v>-2.2401387578304712</v>
      </c>
      <c r="U77" s="629">
        <f t="shared" si="82"/>
        <v>1.7517011201791015</v>
      </c>
      <c r="V77" s="636">
        <f t="shared" si="114"/>
        <v>-0.14580043973412626</v>
      </c>
      <c r="W77" s="585">
        <f t="shared" si="224"/>
        <v>141.97597950120476</v>
      </c>
      <c r="X77" s="629">
        <f t="shared" si="83"/>
        <v>2.8437085766250672</v>
      </c>
      <c r="Y77" s="630">
        <f t="shared" si="644"/>
        <v>-0.14580043973412626</v>
      </c>
      <c r="Z77" s="632">
        <f t="shared" si="468"/>
        <v>-0.77210549387701821</v>
      </c>
      <c r="AA77" s="629">
        <f t="shared" si="469"/>
        <v>0.58059848267960679</v>
      </c>
      <c r="AB77" s="629">
        <f t="shared" si="470"/>
        <v>-0.25837667896902827</v>
      </c>
      <c r="AC77" s="636">
        <f t="shared" si="84"/>
        <v>1</v>
      </c>
      <c r="AD77" s="637">
        <f t="shared" si="115"/>
        <v>-0.77210549387701821</v>
      </c>
      <c r="AE77" s="629">
        <f t="shared" si="85"/>
        <v>0.58059848267960679</v>
      </c>
      <c r="AF77" s="633">
        <f t="shared" si="86"/>
        <v>-0.25837667896902827</v>
      </c>
      <c r="AG77" s="602">
        <f t="shared" si="87"/>
        <v>66.010083099418807</v>
      </c>
      <c r="AH77" s="603">
        <f t="shared" si="88"/>
        <v>140.54333868164869</v>
      </c>
      <c r="AI77" s="585">
        <f t="shared" si="89"/>
        <v>-75.026238203505187</v>
      </c>
      <c r="AJ77" s="586">
        <f t="shared" si="90"/>
        <v>-126.94198798228784</v>
      </c>
      <c r="AK77" s="635">
        <f t="shared" si="211"/>
        <v>0.96587198738615232</v>
      </c>
      <c r="AL77" s="629">
        <f t="shared" si="91"/>
        <v>1.8242690252820604E-2</v>
      </c>
      <c r="AM77" s="634">
        <f t="shared" si="92"/>
        <v>-0.25837667896902827</v>
      </c>
      <c r="AN77" s="581">
        <f t="shared" si="93"/>
        <v>4.0386674710401058</v>
      </c>
      <c r="AO77" s="582">
        <f t="shared" si="461"/>
        <v>15.011913904822364</v>
      </c>
      <c r="AP77" s="585">
        <f t="shared" si="95"/>
        <v>1.0820325165074076</v>
      </c>
      <c r="AQ77" s="586">
        <f t="shared" si="471"/>
        <v>0.80162148099281205</v>
      </c>
      <c r="AS77" s="52">
        <f t="shared" si="543"/>
        <v>-218.02402049879524</v>
      </c>
      <c r="AT77" s="72">
        <f t="shared" si="472"/>
        <v>5.6051300567037665E-3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5.1130000000000004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-2.2335533912684249</v>
      </c>
      <c r="C78" s="708">
        <v>-2.8201637478856063</v>
      </c>
      <c r="D78" s="709">
        <v>-0.17950054137363278</v>
      </c>
      <c r="E78" s="710">
        <v>0.7095647101632907</v>
      </c>
      <c r="F78" s="708">
        <v>-0.65847352359025613</v>
      </c>
      <c r="G78" s="711">
        <v>0.25085960380562994</v>
      </c>
      <c r="H78" s="710">
        <v>0.314</v>
      </c>
      <c r="I78" s="708">
        <v>0.52</v>
      </c>
      <c r="J78" s="570">
        <v>5.12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5.12</v>
      </c>
      <c r="N78" s="632">
        <f t="shared" si="465"/>
        <v>-2.2335533912684249</v>
      </c>
      <c r="O78" s="629">
        <f t="shared" si="466"/>
        <v>-2.8201637478856063</v>
      </c>
      <c r="P78" s="633">
        <f t="shared" si="467"/>
        <v>-0.17950054137363278</v>
      </c>
      <c r="Q78" s="585">
        <f t="shared" si="520"/>
        <v>231.62097955246043</v>
      </c>
      <c r="R78" s="629">
        <f>IF(M78="","",SQRT(N78^2+O78^2))</f>
        <v>3.5975108500927235</v>
      </c>
      <c r="S78" s="634">
        <f>IF(M78="","",P78)</f>
        <v>-0.17950054137363278</v>
      </c>
      <c r="T78" s="635">
        <f>IF(M78="","",X78*COS(RADIANS(W78)))</f>
        <v>-2.8201637478856068</v>
      </c>
      <c r="U78" s="629">
        <f>IF(M78="","",X78*SIN(RADIANS(W78)))</f>
        <v>2.233553391268424</v>
      </c>
      <c r="V78" s="636">
        <f>IF(M78="","",Y78)</f>
        <v>-0.17950054137363278</v>
      </c>
      <c r="W78" s="585">
        <f t="shared" si="224"/>
        <v>141.62097955246043</v>
      </c>
      <c r="X78" s="629">
        <f>IF(M78="","",R78)</f>
        <v>3.5975108500927235</v>
      </c>
      <c r="Y78" s="630">
        <f t="shared" si="644"/>
        <v>-0.17950054137363278</v>
      </c>
      <c r="Z78" s="632">
        <f t="shared" si="468"/>
        <v>-0.7095647101632907</v>
      </c>
      <c r="AA78" s="629">
        <f t="shared" si="469"/>
        <v>0.65847352359025613</v>
      </c>
      <c r="AB78" s="629">
        <f t="shared" si="470"/>
        <v>-0.25085960380562994</v>
      </c>
      <c r="AC78" s="636">
        <f>IF(M78="","",SQRT(Z78^2+AA78^2+AB78^2))</f>
        <v>1</v>
      </c>
      <c r="AD78" s="637">
        <f>IF(M78="","",Z78*(1/SQRT(Z78^2+AA78^2+AB78^2)))</f>
        <v>-0.7095647101632907</v>
      </c>
      <c r="AE78" s="629">
        <f>IF(M78="","",AA78*(1/SQRT(Z78^2+AA78^2+AB78^2)))</f>
        <v>0.65847352359025613</v>
      </c>
      <c r="AF78" s="633">
        <f>IF(M78="","",AB78*(1/SQRT(Z78^2+AA78^2+AB78^2)))</f>
        <v>-0.25085960380562994</v>
      </c>
      <c r="AG78" s="602">
        <f>IF(M78="","",DEGREES(ATAN2(-AF78,AE78)))</f>
        <v>69.144588559455229</v>
      </c>
      <c r="AH78" s="603">
        <f>IF(M78="","",DEGREES(ACOS(AD78)))</f>
        <v>135.19950998083812</v>
      </c>
      <c r="AI78" s="585">
        <f>IF(M78="","",DEGREES(-ACOS(-AF78)))</f>
        <v>-75.471615069827735</v>
      </c>
      <c r="AJ78" s="586">
        <f>IF(M78="","",DEGREES(ATAN2(-AE78,AD78)))</f>
        <v>-132.86120776866679</v>
      </c>
      <c r="AK78" s="635">
        <f>IF(M78="","",(COS(RADIANS((90-$Q$8)-W78))*AD78)+(-SIN(RADIANS((90-$Q$8)-W78))*AE78))</f>
        <v>0.9650629528935184</v>
      </c>
      <c r="AL78" s="629">
        <f>IF(M78="","",(SIN(RADIANS((90-$Q$8)-W78))*AD78)+(COS(RADIANS((90-$Q$8)-W78))*AE78))</f>
        <v>-7.5650222279415591E-2</v>
      </c>
      <c r="AM78" s="634">
        <f>IF(M78="","",AF78)</f>
        <v>-0.25085960380562994</v>
      </c>
      <c r="AN78" s="581">
        <f>IF(M78="","",DEGREES(ATAN2(-AM78,AL78)))</f>
        <v>-16.781419675806671</v>
      </c>
      <c r="AO78" s="582">
        <f t="shared" si="461"/>
        <v>15.189844203081371</v>
      </c>
      <c r="AP78" s="585">
        <f>IF(M78="","",DEGREES(ATAN2(AK78,AL78)))</f>
        <v>-4.4821873211272205</v>
      </c>
      <c r="AQ78" s="586">
        <f t="shared" si="471"/>
        <v>0.63366971712800191</v>
      </c>
      <c r="AS78" s="52">
        <f t="shared" si="543"/>
        <v>-218.37902044753957</v>
      </c>
      <c r="AT78" s="72">
        <f t="shared" si="472"/>
        <v>-2.7848443840619186E-2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5.12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-2.7120207291483123</v>
      </c>
      <c r="C79" s="708">
        <v>-3.354687206563999</v>
      </c>
      <c r="D79" s="709">
        <v>-0.41680125707259136</v>
      </c>
      <c r="E79" s="710">
        <v>0.64474089951541991</v>
      </c>
      <c r="F79" s="708">
        <v>-0.72792122249045288</v>
      </c>
      <c r="G79" s="711">
        <v>0.23332352290339653</v>
      </c>
      <c r="H79" s="710">
        <v>0.314</v>
      </c>
      <c r="I79" s="708">
        <v>0.52</v>
      </c>
      <c r="J79" s="570">
        <v>5.1269999999999998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5.1269999999999998</v>
      </c>
      <c r="N79" s="632">
        <f t="shared" si="465"/>
        <v>-2.7120207291483123</v>
      </c>
      <c r="O79" s="629">
        <f t="shared" si="466"/>
        <v>-3.354687206563999</v>
      </c>
      <c r="P79" s="633">
        <f t="shared" si="467"/>
        <v>-0.41680125707259136</v>
      </c>
      <c r="Q79" s="585">
        <f t="shared" si="520"/>
        <v>231.04697963533576</v>
      </c>
      <c r="R79" s="629">
        <f>IF(M79="","",SQRT(N79^2+O79^2))</f>
        <v>4.3138130104600396</v>
      </c>
      <c r="S79" s="634">
        <f>IF(M79="","",P79)</f>
        <v>-0.41680125707259136</v>
      </c>
      <c r="T79" s="635">
        <f>IF(M79="","",X79*COS(RADIANS(W79)))</f>
        <v>-3.3546872065639994</v>
      </c>
      <c r="U79" s="629">
        <f>IF(M79="","",X79*SIN(RADIANS(W79)))</f>
        <v>2.7120207291483118</v>
      </c>
      <c r="V79" s="636">
        <f>IF(M79="","",Y79)</f>
        <v>-0.41680125707259136</v>
      </c>
      <c r="W79" s="585">
        <f t="shared" ref="W79:W129" si="645">IF(M79="","",IF(Q79-$Q$8&lt;0,360+Q79-$Q$8,Q79-$Q$8))</f>
        <v>141.04697963533576</v>
      </c>
      <c r="X79" s="629">
        <f>IF(M79="","",R79)</f>
        <v>4.3138130104600396</v>
      </c>
      <c r="Y79" s="630">
        <f t="shared" si="644"/>
        <v>-0.41680125707259136</v>
      </c>
      <c r="Z79" s="632">
        <f t="shared" si="468"/>
        <v>-0.64474089951541991</v>
      </c>
      <c r="AA79" s="629">
        <f t="shared" si="469"/>
        <v>0.72792122249045288</v>
      </c>
      <c r="AB79" s="629">
        <f t="shared" si="470"/>
        <v>-0.23332352290339653</v>
      </c>
      <c r="AC79" s="636">
        <f>IF(M79="","",SQRT(Z79^2+AA79^2+AB79^2))</f>
        <v>1</v>
      </c>
      <c r="AD79" s="637">
        <f>IF(M79="","",Z79*(1/SQRT(Z79^2+AA79^2+AB79^2)))</f>
        <v>-0.64474089951541991</v>
      </c>
      <c r="AE79" s="629">
        <f>IF(M79="","",AA79*(1/SQRT(Z79^2+AA79^2+AB79^2)))</f>
        <v>0.72792122249045288</v>
      </c>
      <c r="AF79" s="633">
        <f>IF(M79="","",AB79*(1/SQRT(Z79^2+AA79^2+AB79^2)))</f>
        <v>-0.23332352290339653</v>
      </c>
      <c r="AG79" s="602">
        <f>IF(M79="","",DEGREES(ATAN2(-AF79,AE79)))</f>
        <v>72.22757718180624</v>
      </c>
      <c r="AH79" s="603">
        <f>IF(M79="","",DEGREES(ACOS(AD79)))</f>
        <v>130.14625178509652</v>
      </c>
      <c r="AI79" s="585">
        <f>IF(M79="","",DEGREES(-ACOS(-AF79)))</f>
        <v>-76.507179230067351</v>
      </c>
      <c r="AJ79" s="586">
        <f>IF(M79="","",DEGREES(ATAN2(-AE79,AD79)))</f>
        <v>-138.4677584514105</v>
      </c>
      <c r="AK79" s="635">
        <f>IF(M79="","",(COS(RADIANS((90-$Q$8)-W79))*AD79)+(-SIN(RADIANS((90-$Q$8)-W79))*AE79))</f>
        <v>0.95902197932609157</v>
      </c>
      <c r="AL79" s="629">
        <f>IF(M79="","",(SIN(RADIANS((90-$Q$8)-W79))*AD79)+(COS(RADIANS((90-$Q$8)-W79))*AE79))</f>
        <v>-0.16073884667190413</v>
      </c>
      <c r="AM79" s="634">
        <f>IF(M79="","",AF79)</f>
        <v>-0.23332352290339653</v>
      </c>
      <c r="AN79" s="581">
        <f>IF(M79="","",DEGREES(ATAN2(-AM79,AL79)))</f>
        <v>-34.563334693547041</v>
      </c>
      <c r="AO79" s="582">
        <f t="shared" si="461"/>
        <v>16.459151091695208</v>
      </c>
      <c r="AP79" s="585">
        <f>IF(M79="","",DEGREES(ATAN2(AK79,AL79)))</f>
        <v>-9.5147380867462559</v>
      </c>
      <c r="AQ79" s="586">
        <f t="shared" si="471"/>
        <v>0.52845637516470534</v>
      </c>
      <c r="AS79" s="52">
        <f t="shared" si="543"/>
        <v>-218.95302036466424</v>
      </c>
      <c r="AT79" s="72">
        <f t="shared" si="472"/>
        <v>-0.26475054848601898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5.1269999999999998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-3.1455349663056</v>
      </c>
      <c r="C80" s="708">
        <v>-3.8072991549793938</v>
      </c>
      <c r="D80" s="709">
        <v>-0.83990253314604002</v>
      </c>
      <c r="E80" s="710">
        <v>0.58413356300800834</v>
      </c>
      <c r="F80" s="708">
        <v>-0.78845361918681367</v>
      </c>
      <c r="G80" s="711">
        <v>0.1926885335425656</v>
      </c>
      <c r="H80" s="710">
        <v>0.314</v>
      </c>
      <c r="I80" s="708">
        <v>0.52</v>
      </c>
      <c r="J80" s="570">
        <v>5.1340000000000003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5.1340000000000003</v>
      </c>
      <c r="N80" s="632">
        <f t="shared" si="465"/>
        <v>-3.1455349663056</v>
      </c>
      <c r="O80" s="629">
        <f t="shared" si="466"/>
        <v>-3.8072991549793938</v>
      </c>
      <c r="P80" s="633">
        <f t="shared" si="467"/>
        <v>-0.83990253314604002</v>
      </c>
      <c r="Q80" s="585">
        <f t="shared" si="520"/>
        <v>230.43697972340885</v>
      </c>
      <c r="R80" s="629">
        <f t="shared" si="79"/>
        <v>4.9386148948625239</v>
      </c>
      <c r="S80" s="634">
        <f t="shared" si="80"/>
        <v>-0.83990253314604002</v>
      </c>
      <c r="T80" s="635">
        <f t="shared" si="81"/>
        <v>-3.8072991549793938</v>
      </c>
      <c r="U80" s="629">
        <f t="shared" si="82"/>
        <v>3.1455349663055996</v>
      </c>
      <c r="V80" s="636">
        <f t="shared" si="114"/>
        <v>-0.83990253314604002</v>
      </c>
      <c r="W80" s="585">
        <f t="shared" si="645"/>
        <v>140.43697972340885</v>
      </c>
      <c r="X80" s="629">
        <f t="shared" si="83"/>
        <v>4.9386148948625239</v>
      </c>
      <c r="Y80" s="630">
        <f t="shared" si="644"/>
        <v>-0.83990253314604002</v>
      </c>
      <c r="Z80" s="632">
        <f t="shared" si="468"/>
        <v>-0.58413356300800834</v>
      </c>
      <c r="AA80" s="629">
        <f t="shared" si="469"/>
        <v>0.78845361918681367</v>
      </c>
      <c r="AB80" s="629">
        <f t="shared" si="470"/>
        <v>-0.1926885335425656</v>
      </c>
      <c r="AC80" s="636">
        <f t="shared" si="84"/>
        <v>1</v>
      </c>
      <c r="AD80" s="637">
        <f t="shared" si="115"/>
        <v>-0.58413356300800834</v>
      </c>
      <c r="AE80" s="629">
        <f t="shared" si="85"/>
        <v>0.78845361918681367</v>
      </c>
      <c r="AF80" s="633">
        <f t="shared" si="86"/>
        <v>-0.1926885335425656</v>
      </c>
      <c r="AG80" s="602">
        <f t="shared" si="87"/>
        <v>76.266788183976544</v>
      </c>
      <c r="AH80" s="603">
        <f t="shared" si="88"/>
        <v>125.74180376858278</v>
      </c>
      <c r="AI80" s="585">
        <f t="shared" si="89"/>
        <v>-78.890274312269028</v>
      </c>
      <c r="AJ80" s="586">
        <f t="shared" si="90"/>
        <v>-143.46674144827293</v>
      </c>
      <c r="AK80" s="635">
        <f t="shared" si="211"/>
        <v>0.95250991410391439</v>
      </c>
      <c r="AL80" s="629">
        <f t="shared" si="91"/>
        <v>-0.23578802466403898</v>
      </c>
      <c r="AM80" s="634">
        <f t="shared" si="92"/>
        <v>-0.1926885335425656</v>
      </c>
      <c r="AN80" s="581">
        <f t="shared" si="93"/>
        <v>-50.743933128456895</v>
      </c>
      <c r="AO80" s="582">
        <f t="shared" si="461"/>
        <v>17.728540929856504</v>
      </c>
      <c r="AP80" s="585">
        <f t="shared" si="95"/>
        <v>-13.903721171681756</v>
      </c>
      <c r="AQ80" s="586">
        <f t="shared" si="471"/>
        <v>0.4616025660853702</v>
      </c>
      <c r="AS80" s="52">
        <f t="shared" si="543"/>
        <v>-219.56302027659115</v>
      </c>
      <c r="AT80" s="72">
        <f t="shared" si="472"/>
        <v>-0.68742821350951844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5.1340000000000003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-3.4932317898037986</v>
      </c>
      <c r="C81" s="708">
        <v>-4.1505480592920012</v>
      </c>
      <c r="D81" s="709">
        <v>-1.4169042733832886</v>
      </c>
      <c r="E81" s="710">
        <v>0.52133968060090397</v>
      </c>
      <c r="F81" s="708">
        <v>-0.84091420052900367</v>
      </c>
      <c r="G81" s="711">
        <v>0.14514904333000028</v>
      </c>
      <c r="H81" s="710">
        <v>0.314</v>
      </c>
      <c r="I81" s="708">
        <v>0.52</v>
      </c>
      <c r="J81" s="570">
        <v>5.141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5.141</v>
      </c>
      <c r="N81" s="632">
        <f t="shared" si="465"/>
        <v>-3.4932317898037986</v>
      </c>
      <c r="O81" s="629">
        <f t="shared" si="466"/>
        <v>-4.1505480592920012</v>
      </c>
      <c r="P81" s="633">
        <f t="shared" si="467"/>
        <v>-1.4169042733832886</v>
      </c>
      <c r="Q81" s="585">
        <f t="shared" si="520"/>
        <v>229.9149797987763</v>
      </c>
      <c r="R81" s="629">
        <f t="shared" si="79"/>
        <v>5.4249163615477469</v>
      </c>
      <c r="S81" s="634">
        <f t="shared" si="80"/>
        <v>-1.4169042733832886</v>
      </c>
      <c r="T81" s="635">
        <f t="shared" si="81"/>
        <v>-4.1505480592920003</v>
      </c>
      <c r="U81" s="629">
        <f t="shared" si="82"/>
        <v>3.4932317898037986</v>
      </c>
      <c r="V81" s="636">
        <f t="shared" si="114"/>
        <v>-1.4169042733832886</v>
      </c>
      <c r="W81" s="585">
        <f t="shared" si="645"/>
        <v>139.9149797987763</v>
      </c>
      <c r="X81" s="629">
        <f t="shared" si="83"/>
        <v>5.4249163615477469</v>
      </c>
      <c r="Y81" s="630">
        <f t="shared" si="644"/>
        <v>-1.4169042733832886</v>
      </c>
      <c r="Z81" s="632">
        <f t="shared" si="468"/>
        <v>-0.52133968060090397</v>
      </c>
      <c r="AA81" s="629">
        <f t="shared" si="469"/>
        <v>0.84091420052900367</v>
      </c>
      <c r="AB81" s="629">
        <f t="shared" si="470"/>
        <v>-0.14514904333000028</v>
      </c>
      <c r="AC81" s="636">
        <f t="shared" si="84"/>
        <v>1</v>
      </c>
      <c r="AD81" s="637">
        <f t="shared" si="115"/>
        <v>-0.52133968060090397</v>
      </c>
      <c r="AE81" s="629">
        <f t="shared" si="85"/>
        <v>0.84091420052900367</v>
      </c>
      <c r="AF81" s="633">
        <f t="shared" si="86"/>
        <v>-0.14514904333000028</v>
      </c>
      <c r="AG81" s="602">
        <f t="shared" si="87"/>
        <v>80.206752572855024</v>
      </c>
      <c r="AH81" s="603">
        <f t="shared" si="88"/>
        <v>121.42215759596181</v>
      </c>
      <c r="AI81" s="585">
        <f t="shared" si="89"/>
        <v>-81.654089949102428</v>
      </c>
      <c r="AJ81" s="586">
        <f t="shared" si="90"/>
        <v>-148.20242212568999</v>
      </c>
      <c r="AK81" s="635">
        <f t="shared" si="211"/>
        <v>0.94035617829874196</v>
      </c>
      <c r="AL81" s="629">
        <f t="shared" si="91"/>
        <v>-0.30767192454913828</v>
      </c>
      <c r="AM81" s="634">
        <f t="shared" si="92"/>
        <v>-0.14514904333000028</v>
      </c>
      <c r="AN81" s="581">
        <f t="shared" si="93"/>
        <v>-64.743671716805792</v>
      </c>
      <c r="AO81" s="582">
        <f t="shared" si="461"/>
        <v>19.888541823556878</v>
      </c>
      <c r="AP81" s="585">
        <f t="shared" si="95"/>
        <v>-18.1174019244663</v>
      </c>
      <c r="AQ81" s="586">
        <f t="shared" si="471"/>
        <v>0.42022505099979673</v>
      </c>
      <c r="AS81" s="52">
        <f t="shared" si="543"/>
        <v>-220.0850202012237</v>
      </c>
      <c r="AT81" s="72">
        <f t="shared" si="472"/>
        <v>-1.2640674537991055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5.141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-3.7203723853563551</v>
      </c>
      <c r="C82" s="708">
        <v>-4.365858882076469</v>
      </c>
      <c r="D82" s="709">
        <v>-2.1043063465879412</v>
      </c>
      <c r="E82" s="710">
        <v>0.45513086458574958</v>
      </c>
      <c r="F82" s="708">
        <v>-0.88612015541189648</v>
      </c>
      <c r="G82" s="711">
        <v>8.7446934047024166E-2</v>
      </c>
      <c r="H82" s="710">
        <v>0.314</v>
      </c>
      <c r="I82" s="708">
        <v>0.52</v>
      </c>
      <c r="J82" s="570">
        <v>5.1479999999999997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5.1479999999999997</v>
      </c>
      <c r="N82" s="632">
        <f t="shared" si="465"/>
        <v>-3.7203723853563551</v>
      </c>
      <c r="O82" s="629">
        <f t="shared" si="466"/>
        <v>-4.365858882076469</v>
      </c>
      <c r="P82" s="633">
        <f t="shared" si="467"/>
        <v>-2.1043063465879412</v>
      </c>
      <c r="Q82" s="585">
        <f t="shared" si="520"/>
        <v>229.56397984945443</v>
      </c>
      <c r="R82" s="629">
        <f t="shared" si="79"/>
        <v>5.7360172998281769</v>
      </c>
      <c r="S82" s="634">
        <f t="shared" si="80"/>
        <v>-2.1043063465879412</v>
      </c>
      <c r="T82" s="635">
        <f t="shared" si="81"/>
        <v>-4.365858882076469</v>
      </c>
      <c r="U82" s="629">
        <f t="shared" si="82"/>
        <v>3.7203723853563551</v>
      </c>
      <c r="V82" s="636">
        <f t="shared" si="114"/>
        <v>-2.1043063465879412</v>
      </c>
      <c r="W82" s="585">
        <f t="shared" si="645"/>
        <v>139.56397984945443</v>
      </c>
      <c r="X82" s="629">
        <f t="shared" si="83"/>
        <v>5.7360172998281769</v>
      </c>
      <c r="Y82" s="630">
        <f t="shared" si="644"/>
        <v>-2.1043063465879412</v>
      </c>
      <c r="Z82" s="632">
        <f t="shared" si="468"/>
        <v>-0.45513086458574958</v>
      </c>
      <c r="AA82" s="629">
        <f t="shared" si="469"/>
        <v>0.88612015541189648</v>
      </c>
      <c r="AB82" s="629">
        <f t="shared" si="470"/>
        <v>-8.7446934047024166E-2</v>
      </c>
      <c r="AC82" s="636">
        <f t="shared" si="84"/>
        <v>1</v>
      </c>
      <c r="AD82" s="637">
        <f t="shared" si="115"/>
        <v>-0.45513086458574958</v>
      </c>
      <c r="AE82" s="629">
        <f t="shared" si="85"/>
        <v>0.88612015541189648</v>
      </c>
      <c r="AF82" s="633">
        <f t="shared" si="86"/>
        <v>-8.7446934047024166E-2</v>
      </c>
      <c r="AG82" s="602">
        <f t="shared" si="87"/>
        <v>84.364003841892512</v>
      </c>
      <c r="AH82" s="603">
        <f t="shared" si="88"/>
        <v>117.07335460177748</v>
      </c>
      <c r="AI82" s="585">
        <f t="shared" si="89"/>
        <v>-84.983252022830385</v>
      </c>
      <c r="AJ82" s="586">
        <f t="shared" si="90"/>
        <v>-152.81396739780376</v>
      </c>
      <c r="AK82" s="635">
        <f t="shared" si="211"/>
        <v>0.92115030478015014</v>
      </c>
      <c r="AL82" s="629">
        <f t="shared" si="91"/>
        <v>-0.37925604771606747</v>
      </c>
      <c r="AM82" s="634">
        <f t="shared" si="92"/>
        <v>-8.7446934047024166E-2</v>
      </c>
      <c r="AN82" s="581">
        <f t="shared" si="93"/>
        <v>-77.01595376100083</v>
      </c>
      <c r="AO82" s="582">
        <f t="shared" si="461"/>
        <v>22.905167793414744</v>
      </c>
      <c r="AP82" s="585">
        <f t="shared" si="95"/>
        <v>-22.377947247258181</v>
      </c>
      <c r="AQ82" s="586">
        <f t="shared" si="471"/>
        <v>0.39743430837819371</v>
      </c>
      <c r="AS82" s="52">
        <f t="shared" si="543"/>
        <v>-220.43602015054557</v>
      </c>
      <c r="AT82" s="72">
        <f t="shared" si="472"/>
        <v>-1.9512257770389512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5.1479999999999997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-3.8034177558842681</v>
      </c>
      <c r="C83" s="708">
        <v>-4.4430104283565894</v>
      </c>
      <c r="D83" s="709">
        <v>-2.850508597133929</v>
      </c>
      <c r="E83" s="710">
        <v>0.33806827983703192</v>
      </c>
      <c r="F83" s="708">
        <v>-0.94072096506437497</v>
      </c>
      <c r="G83" s="711">
        <v>2.7457313349658993E-2</v>
      </c>
      <c r="H83" s="710">
        <v>0.314</v>
      </c>
      <c r="I83" s="708">
        <v>0.52</v>
      </c>
      <c r="J83" s="570">
        <v>5.1550000000000002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5.1550000000000002</v>
      </c>
      <c r="N83" s="632">
        <f t="shared" si="465"/>
        <v>-3.8034177558842681</v>
      </c>
      <c r="O83" s="629">
        <f t="shared" si="466"/>
        <v>-4.4430104283565894</v>
      </c>
      <c r="P83" s="633">
        <f t="shared" si="467"/>
        <v>-2.850508597133929</v>
      </c>
      <c r="Q83" s="585">
        <f t="shared" si="520"/>
        <v>229.43497986807972</v>
      </c>
      <c r="R83" s="629">
        <f t="shared" si="79"/>
        <v>5.8486176394308016</v>
      </c>
      <c r="S83" s="634">
        <f t="shared" si="80"/>
        <v>-2.850508597133929</v>
      </c>
      <c r="T83" s="635">
        <f t="shared" si="81"/>
        <v>-4.4430104283565894</v>
      </c>
      <c r="U83" s="629">
        <f t="shared" si="82"/>
        <v>3.8034177558842672</v>
      </c>
      <c r="V83" s="636">
        <f t="shared" si="114"/>
        <v>-2.850508597133929</v>
      </c>
      <c r="W83" s="585">
        <f t="shared" si="645"/>
        <v>139.43497986807972</v>
      </c>
      <c r="X83" s="629">
        <f t="shared" si="83"/>
        <v>5.8486176394308016</v>
      </c>
      <c r="Y83" s="630">
        <f t="shared" si="644"/>
        <v>-2.850508597133929</v>
      </c>
      <c r="Z83" s="632">
        <f t="shared" si="468"/>
        <v>-0.33806827983703192</v>
      </c>
      <c r="AA83" s="629">
        <f t="shared" si="469"/>
        <v>0.94072096506437497</v>
      </c>
      <c r="AB83" s="629">
        <f t="shared" si="470"/>
        <v>-2.7457313349658993E-2</v>
      </c>
      <c r="AC83" s="636">
        <f t="shared" si="84"/>
        <v>1</v>
      </c>
      <c r="AD83" s="637">
        <f t="shared" si="115"/>
        <v>-0.33806827983703192</v>
      </c>
      <c r="AE83" s="629">
        <f t="shared" si="85"/>
        <v>0.94072096506437497</v>
      </c>
      <c r="AF83" s="633">
        <f t="shared" si="86"/>
        <v>-2.7457313349658993E-2</v>
      </c>
      <c r="AG83" s="602">
        <f t="shared" si="87"/>
        <v>88.328152853675775</v>
      </c>
      <c r="AH83" s="603">
        <f t="shared" si="88"/>
        <v>109.75922686549204</v>
      </c>
      <c r="AI83" s="585">
        <f t="shared" si="89"/>
        <v>-88.426614089047234</v>
      </c>
      <c r="AJ83" s="586">
        <f t="shared" si="90"/>
        <v>-160.23301024109125</v>
      </c>
      <c r="AK83" s="635">
        <f t="shared" si="211"/>
        <v>0.86858058225966173</v>
      </c>
      <c r="AL83" s="629">
        <f t="shared" si="91"/>
        <v>-0.4947866894582813</v>
      </c>
      <c r="AM83" s="634">
        <f t="shared" si="92"/>
        <v>-2.7457313349658993E-2</v>
      </c>
      <c r="AN83" s="581">
        <f t="shared" si="93"/>
        <v>-86.823729689329141</v>
      </c>
      <c r="AO83" s="582">
        <f t="shared" si="461"/>
        <v>29.705889363017814</v>
      </c>
      <c r="AP83" s="585">
        <f t="shared" si="95"/>
        <v>-29.667990109170965</v>
      </c>
      <c r="AQ83" s="586">
        <f t="shared" si="471"/>
        <v>0.38978295440604366</v>
      </c>
      <c r="AS83" s="52">
        <f t="shared" si="543"/>
        <v>-220.56502013192028</v>
      </c>
      <c r="AT83" s="72">
        <f t="shared" si="472"/>
        <v>-2.6973384442645401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5.1550000000000002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-3.8372774040784843</v>
      </c>
      <c r="C84" s="708">
        <v>-4.4741797218596888</v>
      </c>
      <c r="D84" s="709">
        <v>-3.6465109978771699</v>
      </c>
      <c r="E84" s="710">
        <v>0.24838533072969099</v>
      </c>
      <c r="F84" s="708">
        <v>-0.9686613068964226</v>
      </c>
      <c r="G84" s="711">
        <v>1.3008419261140561E-7</v>
      </c>
      <c r="H84" s="710">
        <v>0.314</v>
      </c>
      <c r="I84" s="708">
        <v>0.52</v>
      </c>
      <c r="J84" s="570">
        <v>5.1619999999999999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5.1619999999999999</v>
      </c>
      <c r="N84" s="632">
        <f t="shared" si="465"/>
        <v>-3.8372774040784843</v>
      </c>
      <c r="O84" s="629">
        <f t="shared" si="466"/>
        <v>-4.4741797218596888</v>
      </c>
      <c r="P84" s="633">
        <f t="shared" si="467"/>
        <v>-3.6465109978771699</v>
      </c>
      <c r="Q84" s="585">
        <f t="shared" si="520"/>
        <v>229.38197987573199</v>
      </c>
      <c r="R84" s="629">
        <f t="shared" si="79"/>
        <v>5.8943177772624162</v>
      </c>
      <c r="S84" s="634">
        <f t="shared" si="80"/>
        <v>-3.6465109978771699</v>
      </c>
      <c r="T84" s="635">
        <f t="shared" si="81"/>
        <v>-4.4741797218596897</v>
      </c>
      <c r="U84" s="629">
        <f t="shared" si="82"/>
        <v>3.8372774040784834</v>
      </c>
      <c r="V84" s="636">
        <f t="shared" si="114"/>
        <v>-3.6465109978771699</v>
      </c>
      <c r="W84" s="585">
        <f t="shared" si="645"/>
        <v>139.38197987573199</v>
      </c>
      <c r="X84" s="629">
        <f t="shared" si="83"/>
        <v>5.8943177772624162</v>
      </c>
      <c r="Y84" s="630">
        <f t="shared" si="644"/>
        <v>-3.6465109978771699</v>
      </c>
      <c r="Z84" s="632">
        <f t="shared" si="468"/>
        <v>-0.24838533072969099</v>
      </c>
      <c r="AA84" s="629">
        <f t="shared" si="469"/>
        <v>0.9686613068964226</v>
      </c>
      <c r="AB84" s="629">
        <f t="shared" si="470"/>
        <v>-1.3008419261140561E-7</v>
      </c>
      <c r="AC84" s="636">
        <f t="shared" si="84"/>
        <v>1</v>
      </c>
      <c r="AD84" s="637">
        <f t="shared" si="115"/>
        <v>-0.24838533072969099</v>
      </c>
      <c r="AE84" s="629">
        <f t="shared" si="85"/>
        <v>0.9686613068964226</v>
      </c>
      <c r="AF84" s="633">
        <f t="shared" si="86"/>
        <v>-1.3008419261140561E-7</v>
      </c>
      <c r="AG84" s="602">
        <f t="shared" si="87"/>
        <v>89.999992305592102</v>
      </c>
      <c r="AH84" s="603">
        <f t="shared" si="88"/>
        <v>104.38198492910659</v>
      </c>
      <c r="AI84" s="585">
        <f t="shared" si="89"/>
        <v>-89.999992546724783</v>
      </c>
      <c r="AJ84" s="586">
        <f t="shared" si="90"/>
        <v>-165.61801507089328</v>
      </c>
      <c r="AK84" s="635">
        <f t="shared" si="211"/>
        <v>0.81915209487729201</v>
      </c>
      <c r="AL84" s="629">
        <f t="shared" si="91"/>
        <v>-0.57357636410344481</v>
      </c>
      <c r="AM84" s="634">
        <f t="shared" si="92"/>
        <v>-1.3008419261140561E-7</v>
      </c>
      <c r="AN84" s="581">
        <f t="shared" si="93"/>
        <v>-89.999987005609569</v>
      </c>
      <c r="AO84" s="582">
        <f t="shared" si="461"/>
        <v>34.999994946625954</v>
      </c>
      <c r="AP84" s="585">
        <f t="shared" si="95"/>
        <v>-34.999994946625279</v>
      </c>
      <c r="AQ84" s="586">
        <f t="shared" si="471"/>
        <v>0.38676096065028631</v>
      </c>
      <c r="AS84" s="52">
        <f t="shared" si="543"/>
        <v>-220.61802012426801</v>
      </c>
      <c r="AT84" s="72">
        <f t="shared" si="472"/>
        <v>-3.4933040394575392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5.1619999999999999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-2.386591806828013</v>
      </c>
      <c r="C85" s="708">
        <v>-1.5366555886474362</v>
      </c>
      <c r="D85" s="709">
        <v>-0.12690038273155435</v>
      </c>
      <c r="E85" s="710">
        <v>1.2277773280661682E-7</v>
      </c>
      <c r="F85" s="708">
        <v>-1.9068705651072358E-7</v>
      </c>
      <c r="G85" s="711">
        <v>0.99999999999997435</v>
      </c>
      <c r="H85" s="710">
        <v>0.25700000000000001</v>
      </c>
      <c r="I85" s="708">
        <v>0.41499999999999992</v>
      </c>
      <c r="J85" s="570">
        <v>5.2130000000000001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5.2130000000000001</v>
      </c>
      <c r="N85" s="632">
        <f t="shared" si="465"/>
        <v>-2.386591806828013</v>
      </c>
      <c r="O85" s="629">
        <f t="shared" si="466"/>
        <v>-1.5366555886474362</v>
      </c>
      <c r="P85" s="633">
        <f t="shared" si="467"/>
        <v>-0.12690038273155435</v>
      </c>
      <c r="Q85" s="585">
        <f t="shared" si="520"/>
        <v>212.77628227329808</v>
      </c>
      <c r="R85" s="629">
        <f t="shared" si="79"/>
        <v>2.8385085609418192</v>
      </c>
      <c r="S85" s="634">
        <f t="shared" si="80"/>
        <v>-0.12690038273155435</v>
      </c>
      <c r="T85" s="635">
        <f t="shared" si="81"/>
        <v>-1.5366555886474369</v>
      </c>
      <c r="U85" s="629">
        <f t="shared" si="82"/>
        <v>2.3865918068280125</v>
      </c>
      <c r="V85" s="636">
        <f t="shared" si="114"/>
        <v>-0.12690038273155435</v>
      </c>
      <c r="W85" s="585">
        <f t="shared" si="645"/>
        <v>122.77628227329808</v>
      </c>
      <c r="X85" s="629">
        <f t="shared" si="83"/>
        <v>2.8385085609418192</v>
      </c>
      <c r="Y85" s="630">
        <f t="shared" si="644"/>
        <v>-0.12690038273155435</v>
      </c>
      <c r="Z85" s="632">
        <f t="shared" si="468"/>
        <v>-1.2277773280661682E-7</v>
      </c>
      <c r="AA85" s="629">
        <f t="shared" si="469"/>
        <v>1.9068705651072358E-7</v>
      </c>
      <c r="AB85" s="629">
        <f t="shared" si="470"/>
        <v>-0.99999999999997435</v>
      </c>
      <c r="AC85" s="636">
        <f t="shared" si="84"/>
        <v>1</v>
      </c>
      <c r="AD85" s="637">
        <f t="shared" si="115"/>
        <v>-1.2277773280661682E-7</v>
      </c>
      <c r="AE85" s="629">
        <f t="shared" si="85"/>
        <v>1.9068705651072358E-7</v>
      </c>
      <c r="AF85" s="633">
        <f t="shared" si="86"/>
        <v>-0.99999999999997435</v>
      </c>
      <c r="AG85" s="602">
        <f t="shared" si="87"/>
        <v>1.0925563545837236E-5</v>
      </c>
      <c r="AH85" s="603">
        <f t="shared" si="88"/>
        <v>90.000007034645918</v>
      </c>
      <c r="AI85" s="585">
        <f t="shared" si="89"/>
        <v>-1.2976235990044085E-5</v>
      </c>
      <c r="AJ85" s="586">
        <f t="shared" si="90"/>
        <v>-147.22371771715578</v>
      </c>
      <c r="AK85" s="635">
        <f t="shared" si="211"/>
        <v>2.2679489675443952E-7</v>
      </c>
      <c r="AL85" s="629">
        <f t="shared" si="91"/>
        <v>3.7786589763267567E-17</v>
      </c>
      <c r="AM85" s="634">
        <f t="shared" si="92"/>
        <v>-0.99999999999997435</v>
      </c>
      <c r="AN85" s="581">
        <f t="shared" si="93"/>
        <v>2.1650121156275275E-15</v>
      </c>
      <c r="AO85" s="582">
        <f t="shared" si="461"/>
        <v>0</v>
      </c>
      <c r="AP85" s="585">
        <f t="shared" si="95"/>
        <v>9.5461235971796264E-9</v>
      </c>
      <c r="AQ85" s="586">
        <f t="shared" si="471"/>
        <v>0.80308982210859869</v>
      </c>
      <c r="AS85" s="52">
        <f t="shared" si="543"/>
        <v>-237.22371772670192</v>
      </c>
      <c r="AT85" s="72">
        <f t="shared" si="472"/>
        <v>3.7838310134210879E-2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5.2130000000000001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5.1130000000000004</v>
      </c>
      <c r="II85" s="734" cm="1">
        <f t="array" ref="II85">IFERROR(ROUND(VALUE(IF($IH85&lt;1,$IH85+LARGE((IF($M$9:$M$150="",0,$M$9:$M$150)-MOD(IF($M$9:$M$150="",0,$M$9:$M$150),1)),1),$IH85)),4),"")</f>
        <v>5.1130000000000004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19.199697227906682</v>
      </c>
      <c r="IM85" s="759">
        <v>2.68892085672554E-2</v>
      </c>
      <c r="IN85" s="5">
        <f t="shared" si="648"/>
        <v>0.48</v>
      </c>
      <c r="IO85" s="771">
        <v>240</v>
      </c>
      <c r="IP85" s="9">
        <f t="shared" si="649"/>
        <v>-2.8437085766250672</v>
      </c>
      <c r="IQ85" s="5">
        <f t="shared" si="650"/>
        <v>-0.14580043973412626</v>
      </c>
      <c r="IR85" s="5">
        <f t="shared" si="518"/>
        <v>0.314</v>
      </c>
      <c r="IS85" s="5">
        <f t="shared" si="651"/>
        <v>0.30328380403925181</v>
      </c>
      <c r="IT85" s="727">
        <f t="shared" si="652"/>
        <v>-4.0386674710401058</v>
      </c>
      <c r="IU85" s="9">
        <f t="shared" si="653"/>
        <v>-2.8385085609418192</v>
      </c>
      <c r="IV85" s="5">
        <f t="shared" si="654"/>
        <v>-0.12690038273155435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-2.1650121156275275E-15</v>
      </c>
    </row>
    <row r="86" spans="1:259" ht="15" customHeight="1" x14ac:dyDescent="0.25">
      <c r="A86" s="79"/>
      <c r="B86" s="707">
        <v>-2.8869861082163517</v>
      </c>
      <c r="C86" s="708">
        <v>-2.1566924914015426</v>
      </c>
      <c r="D86" s="709">
        <v>-0.16040048376785904</v>
      </c>
      <c r="E86" s="710">
        <v>-0.10456921521958003</v>
      </c>
      <c r="F86" s="708">
        <v>-7.8117611281375079E-2</v>
      </c>
      <c r="G86" s="711">
        <v>0.99144486384067432</v>
      </c>
      <c r="H86" s="710">
        <v>0.25700000000000001</v>
      </c>
      <c r="I86" s="708">
        <v>0.41499999999999992</v>
      </c>
      <c r="J86" s="570">
        <v>5.22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CPS-32193r1</v>
      </c>
      <c r="L86" s="320"/>
      <c r="M86" s="168">
        <f t="shared" si="464"/>
        <v>5.22</v>
      </c>
      <c r="N86" s="632">
        <f t="shared" si="465"/>
        <v>-2.8869861082163517</v>
      </c>
      <c r="O86" s="629">
        <f t="shared" si="466"/>
        <v>-2.1566924914015426</v>
      </c>
      <c r="P86" s="633">
        <f t="shared" si="467"/>
        <v>-0.16040048376785904</v>
      </c>
      <c r="Q86" s="585">
        <f t="shared" si="520"/>
        <v>216.76118169794978</v>
      </c>
      <c r="R86" s="629">
        <f t="shared" si="79"/>
        <v>3.6036108684903798</v>
      </c>
      <c r="S86" s="634">
        <f t="shared" si="80"/>
        <v>-0.16040048376785904</v>
      </c>
      <c r="T86" s="635">
        <f t="shared" si="81"/>
        <v>-2.1566924914015431</v>
      </c>
      <c r="U86" s="629">
        <f t="shared" si="82"/>
        <v>2.8869861082163513</v>
      </c>
      <c r="V86" s="636">
        <f t="shared" si="114"/>
        <v>-0.16040048376785904</v>
      </c>
      <c r="W86" s="585">
        <f t="shared" si="645"/>
        <v>126.76118169794978</v>
      </c>
      <c r="X86" s="629">
        <f t="shared" si="83"/>
        <v>3.6036108684903798</v>
      </c>
      <c r="Y86" s="630">
        <f t="shared" si="644"/>
        <v>-0.16040048376785904</v>
      </c>
      <c r="Z86" s="632">
        <f t="shared" si="468"/>
        <v>0.10456921521958003</v>
      </c>
      <c r="AA86" s="629">
        <f t="shared" si="469"/>
        <v>7.8117611281375079E-2</v>
      </c>
      <c r="AB86" s="629">
        <f t="shared" si="470"/>
        <v>-0.99144486384067432</v>
      </c>
      <c r="AC86" s="636">
        <f t="shared" si="84"/>
        <v>1</v>
      </c>
      <c r="AD86" s="637">
        <f t="shared" si="115"/>
        <v>0.10456921521958003</v>
      </c>
      <c r="AE86" s="629">
        <f t="shared" si="85"/>
        <v>7.8117611281375079E-2</v>
      </c>
      <c r="AF86" s="633">
        <f t="shared" si="86"/>
        <v>-0.99144486384067432</v>
      </c>
      <c r="AG86" s="602">
        <f t="shared" si="87"/>
        <v>4.5051235908547458</v>
      </c>
      <c r="AH86" s="603">
        <f t="shared" si="88"/>
        <v>83.997652218727552</v>
      </c>
      <c r="AI86" s="585">
        <f t="shared" si="89"/>
        <v>-7.4999989171453043</v>
      </c>
      <c r="AJ86" s="586">
        <f t="shared" si="90"/>
        <v>126.76128125185569</v>
      </c>
      <c r="AK86" s="635">
        <f t="shared" si="211"/>
        <v>2.2679489666832531E-7</v>
      </c>
      <c r="AL86" s="629">
        <f t="shared" si="91"/>
        <v>-0.13052617348216192</v>
      </c>
      <c r="AM86" s="634">
        <f t="shared" si="92"/>
        <v>-0.99144486384067432</v>
      </c>
      <c r="AN86" s="581">
        <f t="shared" si="93"/>
        <v>-7.499998917134131</v>
      </c>
      <c r="AO86" s="582">
        <f t="shared" si="461"/>
        <v>0</v>
      </c>
      <c r="AP86" s="585">
        <f t="shared" si="95"/>
        <v>-89.999900446094088</v>
      </c>
      <c r="AQ86" s="586">
        <f t="shared" si="471"/>
        <v>0.6325971588848841</v>
      </c>
      <c r="AS86" s="52">
        <f t="shared" si="543"/>
        <v>-233.23881830205022</v>
      </c>
      <c r="AT86" s="72">
        <f t="shared" si="472"/>
        <v>1.5709178307869442E-3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5.22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</v>
      </c>
      <c r="II86" s="734" cm="1">
        <f t="array" ref="II86">IFERROR(ROUND(VALUE(IF($IH86&lt;1,$IH86+LARGE((IF($M$9:$M$150="",0,$M$9:$M$150)-MOD(IF($M$9:$M$150="",0,$M$9:$M$150),1)),1),$IH86)),4),"")</f>
        <v>5.12</v>
      </c>
      <c r="IJ86" s="533">
        <f t="shared" si="542"/>
        <v>1613</v>
      </c>
      <c r="IK86" s="533" t="str">
        <f t="shared" si="517"/>
        <v>CPS-32193r1</v>
      </c>
      <c r="IL86" s="727">
        <f t="shared" si="647"/>
        <v>14.859797854510646</v>
      </c>
      <c r="IM86" s="759">
        <v>2.59943442264568E-2</v>
      </c>
      <c r="IN86" s="5">
        <f t="shared" si="648"/>
        <v>0.62</v>
      </c>
      <c r="IO86" s="771">
        <v>310</v>
      </c>
      <c r="IP86" s="9">
        <f t="shared" si="649"/>
        <v>-3.5975108500927235</v>
      </c>
      <c r="IQ86" s="5">
        <f t="shared" si="650"/>
        <v>-0.17950054137363278</v>
      </c>
      <c r="IR86" s="5">
        <f t="shared" si="518"/>
        <v>0.314</v>
      </c>
      <c r="IS86" s="5">
        <f t="shared" si="651"/>
        <v>0.30302976720856478</v>
      </c>
      <c r="IT86" s="727">
        <f t="shared" si="652"/>
        <v>16.781419675806671</v>
      </c>
      <c r="IU86" s="9">
        <f t="shared" si="653"/>
        <v>-3.6036108684903798</v>
      </c>
      <c r="IV86" s="5">
        <f t="shared" si="654"/>
        <v>-0.16040048376785904</v>
      </c>
      <c r="IW86" s="5">
        <f t="shared" si="519"/>
        <v>0.25700000000000001</v>
      </c>
      <c r="IX86" s="5">
        <f t="shared" si="655"/>
        <v>0.25700000000000001</v>
      </c>
      <c r="IY86" s="762">
        <f t="shared" si="656"/>
        <v>7.499998917134131</v>
      </c>
    </row>
    <row r="87" spans="1:259" ht="15" customHeight="1" x14ac:dyDescent="0.25">
      <c r="A87" s="79"/>
      <c r="B87" s="707">
        <v>-3.4647654022129677</v>
      </c>
      <c r="C87" s="708">
        <v>-2.5991678590316569</v>
      </c>
      <c r="D87" s="709">
        <v>-0.37260112376498933</v>
      </c>
      <c r="E87" s="710">
        <v>0.42745472634683035</v>
      </c>
      <c r="F87" s="708">
        <v>-0.86207560249577175</v>
      </c>
      <c r="G87" s="711">
        <v>0.27222805238496012</v>
      </c>
      <c r="H87" s="710">
        <v>0.26600000000000001</v>
      </c>
      <c r="I87" s="708">
        <v>0.52</v>
      </c>
      <c r="J87" s="570">
        <v>5.2270000000000003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5.2270000000000003</v>
      </c>
      <c r="N87" s="632">
        <f t="shared" si="465"/>
        <v>-3.4647654022129677</v>
      </c>
      <c r="O87" s="629">
        <f t="shared" si="466"/>
        <v>-2.5991678590316569</v>
      </c>
      <c r="P87" s="633">
        <f t="shared" si="467"/>
        <v>-0.37260112376498933</v>
      </c>
      <c r="Q87" s="585">
        <f t="shared" si="520"/>
        <v>216.87618168134583</v>
      </c>
      <c r="R87" s="629">
        <f t="shared" si="79"/>
        <v>4.3313130632401995</v>
      </c>
      <c r="S87" s="634">
        <f t="shared" si="80"/>
        <v>-0.37260112376498933</v>
      </c>
      <c r="T87" s="635">
        <f t="shared" si="81"/>
        <v>-2.5991678590316569</v>
      </c>
      <c r="U87" s="629">
        <f t="shared" si="82"/>
        <v>3.4647654022129686</v>
      </c>
      <c r="V87" s="636">
        <f t="shared" si="114"/>
        <v>-0.37260112376498933</v>
      </c>
      <c r="W87" s="585">
        <f t="shared" si="645"/>
        <v>126.87618168134583</v>
      </c>
      <c r="X87" s="629">
        <f t="shared" si="83"/>
        <v>4.3313130632401995</v>
      </c>
      <c r="Y87" s="630">
        <f t="shared" si="644"/>
        <v>-0.37260112376498933</v>
      </c>
      <c r="Z87" s="632">
        <f t="shared" si="468"/>
        <v>-0.42745472634683035</v>
      </c>
      <c r="AA87" s="629">
        <f t="shared" si="469"/>
        <v>0.86207560249577175</v>
      </c>
      <c r="AB87" s="629">
        <f t="shared" si="470"/>
        <v>-0.27222805238496012</v>
      </c>
      <c r="AC87" s="636">
        <f t="shared" si="84"/>
        <v>1</v>
      </c>
      <c r="AD87" s="637">
        <f t="shared" si="115"/>
        <v>-0.42745472634683035</v>
      </c>
      <c r="AE87" s="629">
        <f t="shared" si="85"/>
        <v>0.86207560249577175</v>
      </c>
      <c r="AF87" s="633">
        <f t="shared" si="86"/>
        <v>-0.27222805238496012</v>
      </c>
      <c r="AG87" s="602">
        <f t="shared" si="87"/>
        <v>72.474815297646359</v>
      </c>
      <c r="AH87" s="603">
        <f t="shared" si="88"/>
        <v>115.30613879709652</v>
      </c>
      <c r="AI87" s="585">
        <f t="shared" si="89"/>
        <v>-74.203107934532625</v>
      </c>
      <c r="AJ87" s="586">
        <f t="shared" si="90"/>
        <v>-153.62577773579744</v>
      </c>
      <c r="AK87" s="635">
        <f t="shared" si="211"/>
        <v>0.94611408773705796</v>
      </c>
      <c r="AL87" s="629">
        <f t="shared" si="91"/>
        <v>-0.17538534853335386</v>
      </c>
      <c r="AM87" s="634">
        <f t="shared" si="92"/>
        <v>-0.27222805238496012</v>
      </c>
      <c r="AN87" s="581">
        <f t="shared" si="93"/>
        <v>-32.79201970273165</v>
      </c>
      <c r="AO87" s="582">
        <f t="shared" si="461"/>
        <v>18.894917659771679</v>
      </c>
      <c r="AP87" s="585">
        <f t="shared" si="95"/>
        <v>-10.501959417143262</v>
      </c>
      <c r="AQ87" s="586">
        <f t="shared" si="471"/>
        <v>0.52632134289532528</v>
      </c>
      <c r="AS87" s="52">
        <f t="shared" si="543"/>
        <v>-233.12381831865417</v>
      </c>
      <c r="AT87" s="72">
        <f t="shared" si="472"/>
        <v>-0.21070958326592393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Nose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5.2270000000000003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5.1269999999999998</v>
      </c>
      <c r="II87" s="734" cm="1">
        <f t="array" ref="II87">IFERROR(ROUND(VALUE(IF($IH87&lt;1,$IH87+LARGE((IF($M$9:$M$150="",0,$M$9:$M$150)-MOD(IF($M$9:$M$150="",0,$M$9:$M$150),1)),1),$IH87)),4),"")</f>
        <v>5.1269999999999998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14.170797953989933</v>
      </c>
      <c r="IM87" s="759">
        <v>2.04502249813616E-3</v>
      </c>
      <c r="IN87" s="5">
        <f t="shared" si="648"/>
        <v>0.02</v>
      </c>
      <c r="IO87" s="771">
        <v>10</v>
      </c>
      <c r="IP87" s="9">
        <f t="shared" si="649"/>
        <v>-4.3138130104600396</v>
      </c>
      <c r="IQ87" s="5">
        <f t="shared" si="650"/>
        <v>-0.41680125707259136</v>
      </c>
      <c r="IR87" s="5">
        <f t="shared" si="518"/>
        <v>0.314</v>
      </c>
      <c r="IS87" s="5">
        <f t="shared" si="651"/>
        <v>0.30113290150839278</v>
      </c>
      <c r="IT87" s="727">
        <f t="shared" si="652"/>
        <v>34.563334693547041</v>
      </c>
      <c r="IU87" s="9">
        <f t="shared" si="653"/>
        <v>-4.3313130632401995</v>
      </c>
      <c r="IV87" s="5">
        <f t="shared" si="654"/>
        <v>-0.37260112376498933</v>
      </c>
      <c r="IW87" s="5">
        <f t="shared" si="519"/>
        <v>0.26600000000000001</v>
      </c>
      <c r="IX87" s="5">
        <f t="shared" si="655"/>
        <v>0.25166634733805743</v>
      </c>
      <c r="IY87" s="762">
        <f t="shared" si="656"/>
        <v>32.79201970273165</v>
      </c>
    </row>
    <row r="88" spans="1:259" ht="15" customHeight="1" x14ac:dyDescent="0.25">
      <c r="A88" s="79"/>
      <c r="B88" s="707">
        <v>-3.9055119001793579</v>
      </c>
      <c r="C88" s="708">
        <v>-3.0674541186975337</v>
      </c>
      <c r="D88" s="709">
        <v>-0.80060241461688253</v>
      </c>
      <c r="E88" s="710">
        <v>0.37647412218248988</v>
      </c>
      <c r="F88" s="708">
        <v>-0.89818509779888622</v>
      </c>
      <c r="G88" s="711">
        <v>0.22700388855464326</v>
      </c>
      <c r="H88" s="710">
        <v>0.26600000000000001</v>
      </c>
      <c r="I88" s="708">
        <v>0.52</v>
      </c>
      <c r="J88" s="570">
        <v>5.234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5.234</v>
      </c>
      <c r="N88" s="632">
        <f t="shared" si="465"/>
        <v>-3.9055119001793579</v>
      </c>
      <c r="O88" s="629">
        <f t="shared" si="466"/>
        <v>-3.0674541186975337</v>
      </c>
      <c r="P88" s="633">
        <f t="shared" si="467"/>
        <v>-0.80060241461688253</v>
      </c>
      <c r="Q88" s="585">
        <f t="shared" si="520"/>
        <v>218.14668149790836</v>
      </c>
      <c r="R88" s="629">
        <f t="shared" si="79"/>
        <v>4.9661149778027731</v>
      </c>
      <c r="S88" s="634">
        <f t="shared" si="80"/>
        <v>-0.80060241461688253</v>
      </c>
      <c r="T88" s="635">
        <f t="shared" si="81"/>
        <v>-3.0674541186975333</v>
      </c>
      <c r="U88" s="629">
        <f t="shared" si="82"/>
        <v>3.9055119001793575</v>
      </c>
      <c r="V88" s="636">
        <f t="shared" si="114"/>
        <v>-0.80060241461688253</v>
      </c>
      <c r="W88" s="585">
        <f t="shared" si="645"/>
        <v>128.14668149790836</v>
      </c>
      <c r="X88" s="629">
        <f t="shared" si="83"/>
        <v>4.9661149778027731</v>
      </c>
      <c r="Y88" s="630">
        <f t="shared" si="644"/>
        <v>-0.80060241461688253</v>
      </c>
      <c r="Z88" s="632">
        <f t="shared" si="468"/>
        <v>-0.37647412218248988</v>
      </c>
      <c r="AA88" s="629">
        <f t="shared" si="469"/>
        <v>0.89818509779888622</v>
      </c>
      <c r="AB88" s="629">
        <f t="shared" si="470"/>
        <v>-0.22700388855464326</v>
      </c>
      <c r="AC88" s="636">
        <f t="shared" si="84"/>
        <v>1</v>
      </c>
      <c r="AD88" s="637">
        <f t="shared" si="115"/>
        <v>-0.37647412218248988</v>
      </c>
      <c r="AE88" s="629">
        <f t="shared" si="85"/>
        <v>0.89818509779888622</v>
      </c>
      <c r="AF88" s="633">
        <f t="shared" si="86"/>
        <v>-0.22700388855464326</v>
      </c>
      <c r="AG88" s="602">
        <f t="shared" si="87"/>
        <v>75.816301001345153</v>
      </c>
      <c r="AH88" s="603">
        <f t="shared" si="88"/>
        <v>112.11545192694381</v>
      </c>
      <c r="AI88" s="585">
        <f t="shared" si="89"/>
        <v>-76.879257946740864</v>
      </c>
      <c r="AJ88" s="586">
        <f t="shared" si="90"/>
        <v>-157.25901427987148</v>
      </c>
      <c r="AK88" s="635">
        <f t="shared" si="211"/>
        <v>0.9389008723177017</v>
      </c>
      <c r="AL88" s="629">
        <f t="shared" si="91"/>
        <v>-0.25871680761429083</v>
      </c>
      <c r="AM88" s="634">
        <f t="shared" si="92"/>
        <v>-0.22700388855464326</v>
      </c>
      <c r="AN88" s="581">
        <f t="shared" si="93"/>
        <v>-48.735564763011013</v>
      </c>
      <c r="AO88" s="582">
        <f t="shared" si="461"/>
        <v>20.132215998343163</v>
      </c>
      <c r="AP88" s="585">
        <f t="shared" si="95"/>
        <v>-15.405695777779819</v>
      </c>
      <c r="AQ88" s="586">
        <f t="shared" si="471"/>
        <v>0.45904653099960024</v>
      </c>
      <c r="AS88" s="52">
        <f t="shared" si="543"/>
        <v>-231.85331850209164</v>
      </c>
      <c r="AT88" s="72">
        <f t="shared" si="472"/>
        <v>-0.63959316565709667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5.234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5.1340000000000003</v>
      </c>
      <c r="II88" s="734" cm="1">
        <f t="array" ref="II88">IFERROR(ROUND(VALUE(IF($IH88&lt;1,$IH88+LARGE((IF($M$9:$M$150="",0,$M$9:$M$150)-MOD(IF($M$9:$M$150="",0,$M$9:$M$150),1)),1),$IH88)),4),"")</f>
        <v>5.1340000000000003</v>
      </c>
      <c r="IJ88" s="533">
        <f t="shared" si="542"/>
        <v>1613</v>
      </c>
      <c r="IK88" s="533">
        <f t="shared" si="517"/>
        <v>1313</v>
      </c>
      <c r="IL88" s="727">
        <f t="shared" si="647"/>
        <v>12.290298225500493</v>
      </c>
      <c r="IM88" s="759">
        <v>1.5581289045064201E-3</v>
      </c>
      <c r="IN88" s="5">
        <f t="shared" si="648"/>
        <v>0</v>
      </c>
      <c r="IO88" s="771">
        <v>0</v>
      </c>
      <c r="IP88" s="9">
        <f t="shared" si="649"/>
        <v>-4.9386148948625239</v>
      </c>
      <c r="IQ88" s="5">
        <f t="shared" si="650"/>
        <v>-0.83990253314604002</v>
      </c>
      <c r="IR88" s="5">
        <f t="shared" si="518"/>
        <v>0.314</v>
      </c>
      <c r="IS88" s="5">
        <f t="shared" si="651"/>
        <v>0.29908811302862914</v>
      </c>
      <c r="IT88" s="727">
        <f t="shared" si="652"/>
        <v>50.743933128456895</v>
      </c>
      <c r="IU88" s="9">
        <f t="shared" si="653"/>
        <v>-4.9661149778027731</v>
      </c>
      <c r="IV88" s="5">
        <f t="shared" si="654"/>
        <v>-0.80060241461688253</v>
      </c>
      <c r="IW88" s="5">
        <f t="shared" si="519"/>
        <v>0.26600000000000001</v>
      </c>
      <c r="IX88" s="5">
        <f t="shared" si="655"/>
        <v>0.24974763203650865</v>
      </c>
      <c r="IY88" s="762">
        <f t="shared" si="656"/>
        <v>48.735564763011013</v>
      </c>
    </row>
    <row r="89" spans="1:259" ht="15" customHeight="1" x14ac:dyDescent="0.25">
      <c r="A89" s="79"/>
      <c r="B89" s="707">
        <v>-4.2631890050759802</v>
      </c>
      <c r="C89" s="708">
        <v>-3.4127449656649786</v>
      </c>
      <c r="D89" s="709">
        <v>-1.3849041768709975</v>
      </c>
      <c r="E89" s="710">
        <v>0.31489175843758838</v>
      </c>
      <c r="F89" s="708">
        <v>-0.93323242440547927</v>
      </c>
      <c r="G89" s="711">
        <v>0.17297520777948205</v>
      </c>
      <c r="H89" s="710">
        <v>0.26600000000000001</v>
      </c>
      <c r="I89" s="708">
        <v>0.52</v>
      </c>
      <c r="J89" s="570">
        <v>5.2409999999999997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5.2409999999999997</v>
      </c>
      <c r="N89" s="632">
        <f t="shared" si="465"/>
        <v>-4.2631890050759802</v>
      </c>
      <c r="O89" s="629">
        <f t="shared" si="466"/>
        <v>-3.4127449656649786</v>
      </c>
      <c r="P89" s="633">
        <f t="shared" si="467"/>
        <v>-1.3849041768709975</v>
      </c>
      <c r="Q89" s="585">
        <f t="shared" si="520"/>
        <v>218.677781421227</v>
      </c>
      <c r="R89" s="629">
        <f t="shared" si="79"/>
        <v>5.460916470124074</v>
      </c>
      <c r="S89" s="634">
        <f t="shared" si="80"/>
        <v>-1.3849041768709975</v>
      </c>
      <c r="T89" s="635">
        <f t="shared" si="81"/>
        <v>-3.4127449656649773</v>
      </c>
      <c r="U89" s="629">
        <f t="shared" si="82"/>
        <v>4.2631890050759802</v>
      </c>
      <c r="V89" s="636">
        <f t="shared" si="114"/>
        <v>-1.3849041768709975</v>
      </c>
      <c r="W89" s="585">
        <f t="shared" si="645"/>
        <v>128.677781421227</v>
      </c>
      <c r="X89" s="629">
        <f t="shared" si="83"/>
        <v>5.460916470124074</v>
      </c>
      <c r="Y89" s="630">
        <f t="shared" si="644"/>
        <v>-1.3849041768709975</v>
      </c>
      <c r="Z89" s="632">
        <f t="shared" si="468"/>
        <v>-0.31489175843758838</v>
      </c>
      <c r="AA89" s="629">
        <f t="shared" si="469"/>
        <v>0.93323242440547927</v>
      </c>
      <c r="AB89" s="629">
        <f t="shared" si="470"/>
        <v>-0.17297520777948205</v>
      </c>
      <c r="AC89" s="636">
        <f t="shared" si="84"/>
        <v>1</v>
      </c>
      <c r="AD89" s="637">
        <f t="shared" si="115"/>
        <v>-0.31489175843758838</v>
      </c>
      <c r="AE89" s="629">
        <f t="shared" si="85"/>
        <v>0.93323242440547927</v>
      </c>
      <c r="AF89" s="633">
        <f t="shared" si="86"/>
        <v>-0.17297520777948205</v>
      </c>
      <c r="AG89" s="602">
        <f t="shared" si="87"/>
        <v>79.499358864422447</v>
      </c>
      <c r="AH89" s="603">
        <f t="shared" si="88"/>
        <v>108.35427947534893</v>
      </c>
      <c r="AI89" s="585">
        <f t="shared" si="89"/>
        <v>-80.039150803231919</v>
      </c>
      <c r="AJ89" s="586">
        <f t="shared" si="90"/>
        <v>-161.3545501748342</v>
      </c>
      <c r="AK89" s="635">
        <f t="shared" si="211"/>
        <v>0.92533762453398261</v>
      </c>
      <c r="AL89" s="629">
        <f t="shared" si="91"/>
        <v>-0.33738680785628117</v>
      </c>
      <c r="AM89" s="634">
        <f t="shared" si="92"/>
        <v>-0.17297520777948205</v>
      </c>
      <c r="AN89" s="581">
        <f t="shared" si="93"/>
        <v>-62.856190260329704</v>
      </c>
      <c r="AO89" s="582">
        <f t="shared" si="461"/>
        <v>22.28067893624933</v>
      </c>
      <c r="AP89" s="585">
        <f t="shared" si="95"/>
        <v>-20.032331596061184</v>
      </c>
      <c r="AQ89" s="586">
        <f t="shared" si="471"/>
        <v>0.41745489137787511</v>
      </c>
      <c r="AS89" s="52">
        <f t="shared" si="543"/>
        <v>-231.322218578773</v>
      </c>
      <c r="AT89" s="72">
        <f t="shared" si="472"/>
        <v>-1.2242637473024052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5.2409999999999997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5.141</v>
      </c>
      <c r="II89" s="734" cm="1">
        <f t="array" ref="II89">IFERROR(ROUND(VALUE(IF($IH89&lt;1,$IH89+LARGE((IF($M$9:$M$150="",0,$M$9:$M$150)-MOD(IF($M$9:$M$150="",0,$M$9:$M$150),1)),1),$IH89)),4),"")</f>
        <v>5.141</v>
      </c>
      <c r="IJ89" s="533">
        <f t="shared" si="542"/>
        <v>1613</v>
      </c>
      <c r="IK89" s="533">
        <f t="shared" si="517"/>
        <v>1313</v>
      </c>
      <c r="IL89" s="727">
        <f t="shared" si="647"/>
        <v>11.237198377549305</v>
      </c>
      <c r="IM89" s="759">
        <v>1.21957519203816E-3</v>
      </c>
      <c r="IN89" s="5">
        <f t="shared" si="648"/>
        <v>0</v>
      </c>
      <c r="IO89" s="771">
        <v>0</v>
      </c>
      <c r="IP89" s="9">
        <f t="shared" si="649"/>
        <v>-5.4249163615477469</v>
      </c>
      <c r="IQ89" s="5">
        <f t="shared" si="650"/>
        <v>-1.4169042733832886</v>
      </c>
      <c r="IR89" s="5">
        <f t="shared" si="518"/>
        <v>0.314</v>
      </c>
      <c r="IS89" s="5">
        <f t="shared" si="651"/>
        <v>0.29527183998580497</v>
      </c>
      <c r="IT89" s="727">
        <f t="shared" si="652"/>
        <v>64.743671716805792</v>
      </c>
      <c r="IU89" s="9">
        <f t="shared" si="653"/>
        <v>-5.460916470124074</v>
      </c>
      <c r="IV89" s="5">
        <f t="shared" si="654"/>
        <v>-1.3849041768709975</v>
      </c>
      <c r="IW89" s="5">
        <f t="shared" si="519"/>
        <v>0.26600000000000001</v>
      </c>
      <c r="IX89" s="5">
        <f t="shared" si="655"/>
        <v>0.24613980812603942</v>
      </c>
      <c r="IY89" s="762">
        <f t="shared" si="656"/>
        <v>62.856190260329704</v>
      </c>
    </row>
    <row r="90" spans="1:259" ht="15" customHeight="1" x14ac:dyDescent="0.25">
      <c r="A90" s="79"/>
      <c r="B90" s="707">
        <v>-4.5047270421026635</v>
      </c>
      <c r="C90" s="708">
        <v>-3.6192123372285976</v>
      </c>
      <c r="D90" s="709">
        <v>-2.0814062775213333</v>
      </c>
      <c r="E90" s="710">
        <v>0.2436781383102874</v>
      </c>
      <c r="F90" s="708">
        <v>-0.96389565386462395</v>
      </c>
      <c r="G90" s="711">
        <v>0.10735983127092467</v>
      </c>
      <c r="H90" s="710">
        <v>0.26600000000000001</v>
      </c>
      <c r="I90" s="708">
        <v>0.52</v>
      </c>
      <c r="J90" s="570">
        <v>5.2480000000000002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5.2480000000000002</v>
      </c>
      <c r="N90" s="632">
        <f t="shared" si="465"/>
        <v>-4.5047270421026635</v>
      </c>
      <c r="O90" s="629">
        <f t="shared" si="466"/>
        <v>-3.6192123372285976</v>
      </c>
      <c r="P90" s="633">
        <f t="shared" si="467"/>
        <v>-2.0814062775213333</v>
      </c>
      <c r="Q90" s="585">
        <f t="shared" si="520"/>
        <v>218.77928140657224</v>
      </c>
      <c r="R90" s="629">
        <f t="shared" si="79"/>
        <v>5.7785174280085636</v>
      </c>
      <c r="S90" s="634">
        <f t="shared" si="80"/>
        <v>-2.0814062775213333</v>
      </c>
      <c r="T90" s="635">
        <f t="shared" si="81"/>
        <v>-3.6192123372285989</v>
      </c>
      <c r="U90" s="629">
        <f t="shared" si="82"/>
        <v>4.5047270421026635</v>
      </c>
      <c r="V90" s="636">
        <f t="shared" si="114"/>
        <v>-2.0814062775213333</v>
      </c>
      <c r="W90" s="585">
        <f t="shared" si="645"/>
        <v>128.77928140657224</v>
      </c>
      <c r="X90" s="629">
        <f t="shared" si="83"/>
        <v>5.7785174280085636</v>
      </c>
      <c r="Y90" s="630">
        <f t="shared" si="644"/>
        <v>-2.0814062775213333</v>
      </c>
      <c r="Z90" s="632">
        <f t="shared" si="468"/>
        <v>-0.2436781383102874</v>
      </c>
      <c r="AA90" s="629">
        <f t="shared" si="469"/>
        <v>0.96389565386462395</v>
      </c>
      <c r="AB90" s="629">
        <f t="shared" si="470"/>
        <v>-0.10735983127092467</v>
      </c>
      <c r="AC90" s="636">
        <f t="shared" si="84"/>
        <v>1</v>
      </c>
      <c r="AD90" s="637">
        <f t="shared" si="115"/>
        <v>-0.2436781383102874</v>
      </c>
      <c r="AE90" s="629">
        <f t="shared" si="85"/>
        <v>0.96389565386462395</v>
      </c>
      <c r="AF90" s="633">
        <f t="shared" si="86"/>
        <v>-0.10735983127092467</v>
      </c>
      <c r="AG90" s="602">
        <f t="shared" si="87"/>
        <v>83.644523842962968</v>
      </c>
      <c r="AH90" s="603">
        <f t="shared" si="88"/>
        <v>104.10372926832373</v>
      </c>
      <c r="AI90" s="585">
        <f t="shared" si="89"/>
        <v>-83.83685634741235</v>
      </c>
      <c r="AJ90" s="586">
        <f t="shared" si="90"/>
        <v>-165.81256799334346</v>
      </c>
      <c r="AK90" s="635">
        <f t="shared" si="211"/>
        <v>0.90403980039825316</v>
      </c>
      <c r="AL90" s="629">
        <f t="shared" si="91"/>
        <v>-0.41374618539071167</v>
      </c>
      <c r="AM90" s="634">
        <f t="shared" si="92"/>
        <v>-0.10735983127092467</v>
      </c>
      <c r="AN90" s="581">
        <f t="shared" si="93"/>
        <v>-75.453568614748846</v>
      </c>
      <c r="AO90" s="582">
        <f t="shared" si="461"/>
        <v>25.305730778405596</v>
      </c>
      <c r="AP90" s="585">
        <f t="shared" si="95"/>
        <v>-24.591849399915713</v>
      </c>
      <c r="AQ90" s="586">
        <f t="shared" si="471"/>
        <v>0.39451133143574296</v>
      </c>
      <c r="AS90" s="52">
        <f t="shared" si="543"/>
        <v>-231.22071859342776</v>
      </c>
      <c r="AT90" s="72">
        <f t="shared" si="472"/>
        <v>-1.9208363340536752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5.2480000000000002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5.1479999999999997</v>
      </c>
      <c r="II90" s="734" cm="1">
        <f t="array" ref="II90">IFERROR(ROUND(VALUE(IF($IH90&lt;1,$IH90+LARGE((IF($M$9:$M$150="",0,$M$9:$M$150)-MOD(IF($M$9:$M$150="",0,$M$9:$M$150),1)),1),$IH90)),4),"")</f>
        <v>5.1479999999999997</v>
      </c>
      <c r="IJ90" s="533">
        <f t="shared" si="542"/>
        <v>1613</v>
      </c>
      <c r="IK90" s="533">
        <f t="shared" si="517"/>
        <v>1313</v>
      </c>
      <c r="IL90" s="727">
        <f t="shared" si="647"/>
        <v>10.784698442882188</v>
      </c>
      <c r="IM90" s="759">
        <v>7.7852840111427603E-4</v>
      </c>
      <c r="IN90" s="5">
        <f t="shared" si="648"/>
        <v>0</v>
      </c>
      <c r="IO90" s="771">
        <v>0</v>
      </c>
      <c r="IP90" s="9">
        <f t="shared" si="649"/>
        <v>-5.7360172998281769</v>
      </c>
      <c r="IQ90" s="5">
        <f t="shared" si="650"/>
        <v>-2.1043063465879412</v>
      </c>
      <c r="IR90" s="5">
        <f t="shared" si="518"/>
        <v>0.314</v>
      </c>
      <c r="IS90" s="5">
        <f t="shared" si="651"/>
        <v>0.28924119570096712</v>
      </c>
      <c r="IT90" s="727">
        <f t="shared" si="652"/>
        <v>77.01595376100083</v>
      </c>
      <c r="IU90" s="9">
        <f t="shared" si="653"/>
        <v>-5.7785174280085636</v>
      </c>
      <c r="IV90" s="5">
        <f t="shared" si="654"/>
        <v>-2.0814062775213333</v>
      </c>
      <c r="IW90" s="5">
        <f t="shared" si="519"/>
        <v>0.26600000000000001</v>
      </c>
      <c r="IX90" s="5">
        <f t="shared" si="655"/>
        <v>0.24047458690593534</v>
      </c>
      <c r="IY90" s="762">
        <f t="shared" si="656"/>
        <v>75.453568614748846</v>
      </c>
    </row>
    <row r="91" spans="1:259" ht="15" customHeight="1" x14ac:dyDescent="0.25">
      <c r="A91" s="79"/>
      <c r="B91" s="707">
        <v>-4.6247850705100015</v>
      </c>
      <c r="C91" s="708">
        <v>-3.654359740219832</v>
      </c>
      <c r="D91" s="709">
        <v>-2.838408560640219</v>
      </c>
      <c r="E91" s="710">
        <v>0.10864816789667628</v>
      </c>
      <c r="F91" s="708">
        <v>-0.99334144008347813</v>
      </c>
      <c r="G91" s="711">
        <v>3.8319173080554089E-2</v>
      </c>
      <c r="H91" s="710">
        <v>0.26600000000000001</v>
      </c>
      <c r="I91" s="708">
        <v>0.52</v>
      </c>
      <c r="J91" s="570">
        <v>5.2549999999999999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5.2549999999999999</v>
      </c>
      <c r="N91" s="632">
        <f t="shared" si="465"/>
        <v>-4.6247850705100015</v>
      </c>
      <c r="O91" s="629">
        <f t="shared" si="466"/>
        <v>-3.654359740219832</v>
      </c>
      <c r="P91" s="633">
        <f t="shared" si="467"/>
        <v>-2.838408560640219</v>
      </c>
      <c r="Q91" s="585">
        <f t="shared" si="520"/>
        <v>218.31468147365217</v>
      </c>
      <c r="R91" s="629">
        <f t="shared" si="79"/>
        <v>5.8943177772624171</v>
      </c>
      <c r="S91" s="634">
        <f t="shared" si="80"/>
        <v>-2.838408560640219</v>
      </c>
      <c r="T91" s="635">
        <f t="shared" si="81"/>
        <v>-3.654359740219832</v>
      </c>
      <c r="U91" s="629">
        <f t="shared" si="82"/>
        <v>4.6247850705100015</v>
      </c>
      <c r="V91" s="636">
        <f t="shared" si="114"/>
        <v>-2.838408560640219</v>
      </c>
      <c r="W91" s="585">
        <f t="shared" si="645"/>
        <v>128.31468147365217</v>
      </c>
      <c r="X91" s="629">
        <f t="shared" si="83"/>
        <v>5.8943177772624171</v>
      </c>
      <c r="Y91" s="630">
        <f t="shared" si="644"/>
        <v>-2.838408560640219</v>
      </c>
      <c r="Z91" s="632">
        <f t="shared" si="468"/>
        <v>-0.10864816789667628</v>
      </c>
      <c r="AA91" s="629">
        <f t="shared" si="469"/>
        <v>0.99334144008347813</v>
      </c>
      <c r="AB91" s="629">
        <f t="shared" si="470"/>
        <v>-3.8319173080554089E-2</v>
      </c>
      <c r="AC91" s="636">
        <f t="shared" si="84"/>
        <v>1</v>
      </c>
      <c r="AD91" s="637">
        <f t="shared" si="115"/>
        <v>-0.10864816789667628</v>
      </c>
      <c r="AE91" s="629">
        <f t="shared" si="85"/>
        <v>0.99334144008347813</v>
      </c>
      <c r="AF91" s="633">
        <f t="shared" si="86"/>
        <v>-3.8319173080554089E-2</v>
      </c>
      <c r="AG91" s="602">
        <f t="shared" si="87"/>
        <v>87.790851450847811</v>
      </c>
      <c r="AH91" s="603">
        <f t="shared" si="88"/>
        <v>96.237394241009525</v>
      </c>
      <c r="AI91" s="585">
        <f t="shared" si="89"/>
        <v>-87.803935449091455</v>
      </c>
      <c r="AJ91" s="586">
        <f t="shared" si="90"/>
        <v>-173.75800312592739</v>
      </c>
      <c r="AK91" s="635">
        <f t="shared" si="211"/>
        <v>0.84675281198450914</v>
      </c>
      <c r="AL91" s="629">
        <f t="shared" si="91"/>
        <v>-0.53060467051350857</v>
      </c>
      <c r="AM91" s="634">
        <f t="shared" si="92"/>
        <v>-3.8319173080554089E-2</v>
      </c>
      <c r="AN91" s="581">
        <f t="shared" si="93"/>
        <v>-85.869388188344757</v>
      </c>
      <c r="AO91" s="582">
        <f t="shared" si="461"/>
        <v>32.139775636291503</v>
      </c>
      <c r="AP91" s="585">
        <f t="shared" si="95"/>
        <v>-32.072684599579574</v>
      </c>
      <c r="AQ91" s="586">
        <f t="shared" si="471"/>
        <v>0.38676096065028626</v>
      </c>
      <c r="AS91" s="52">
        <f t="shared" si="543"/>
        <v>-231.68531852634783</v>
      </c>
      <c r="AT91" s="72">
        <f t="shared" si="472"/>
        <v>-2.6775159783302551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>Gage</v>
      </c>
      <c r="IG91" s="847">
        <f t="shared" si="643"/>
        <v>5.2549999999999999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5.1550000000000002</v>
      </c>
      <c r="II91" s="734" cm="1">
        <f t="array" ref="II91">IFERROR(ROUND(VALUE(IF($IH91&lt;1,$IH91+LARGE((IF($M$9:$M$150="",0,$M$9:$M$150)-MOD(IF($M$9:$M$150="",0,$M$9:$M$150),1)),1),$IH91)),4),"")</f>
        <v>5.1550000000000002</v>
      </c>
      <c r="IJ91" s="533">
        <f t="shared" si="542"/>
        <v>1613</v>
      </c>
      <c r="IK91" s="533">
        <f t="shared" si="517"/>
        <v>1313</v>
      </c>
      <c r="IL91" s="727">
        <f t="shared" si="647"/>
        <v>11.12029839442755</v>
      </c>
      <c r="IM91" s="759">
        <v>4.8771420625810699E-4</v>
      </c>
      <c r="IN91" s="5">
        <f t="shared" si="648"/>
        <v>0</v>
      </c>
      <c r="IO91" s="771">
        <v>0</v>
      </c>
      <c r="IP91" s="9">
        <f t="shared" si="649"/>
        <v>-5.8486176394308016</v>
      </c>
      <c r="IQ91" s="5">
        <f t="shared" si="650"/>
        <v>-2.850508597133929</v>
      </c>
      <c r="IR91" s="5">
        <f t="shared" si="518"/>
        <v>0.314</v>
      </c>
      <c r="IS91" s="5">
        <f t="shared" si="651"/>
        <v>0.27273430282953376</v>
      </c>
      <c r="IT91" s="727">
        <f t="shared" si="652"/>
        <v>86.823729689329141</v>
      </c>
      <c r="IU91" s="9">
        <f t="shared" si="653"/>
        <v>-5.8943177772624171</v>
      </c>
      <c r="IV91" s="5">
        <f t="shared" si="654"/>
        <v>-2.838408560640219</v>
      </c>
      <c r="IW91" s="5">
        <f t="shared" si="519"/>
        <v>0.26600000000000001</v>
      </c>
      <c r="IX91" s="5">
        <f t="shared" si="655"/>
        <v>0.22523624798787945</v>
      </c>
      <c r="IY91" s="762">
        <f t="shared" si="656"/>
        <v>85.869388188344757</v>
      </c>
    </row>
    <row r="92" spans="1:259" ht="15" customHeight="1" x14ac:dyDescent="0.25">
      <c r="A92" s="79"/>
      <c r="B92" s="707">
        <v>-4.9089181484254221</v>
      </c>
      <c r="C92" s="708">
        <v>-3.2645511701498053</v>
      </c>
      <c r="D92" s="709">
        <v>-3.6490110054171927</v>
      </c>
      <c r="E92" s="710">
        <v>-0.83268071221934781</v>
      </c>
      <c r="F92" s="708">
        <v>-0.55375340314785282</v>
      </c>
      <c r="G92" s="711">
        <v>2.2679489656717819E-7</v>
      </c>
      <c r="H92" s="710">
        <v>0.25700000000000001</v>
      </c>
      <c r="I92" s="708">
        <v>0.41499999999999992</v>
      </c>
      <c r="J92" s="570">
        <v>5.2619999999999996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CPS-32193r1</v>
      </c>
      <c r="L92" s="320"/>
      <c r="M92" s="168">
        <f t="shared" si="464"/>
        <v>5.2619999999999996</v>
      </c>
      <c r="N92" s="632">
        <f t="shared" si="465"/>
        <v>-4.9089181484254221</v>
      </c>
      <c r="O92" s="629">
        <f t="shared" si="466"/>
        <v>-3.2645511701498053</v>
      </c>
      <c r="P92" s="633">
        <f t="shared" si="467"/>
        <v>-3.6490110054171927</v>
      </c>
      <c r="Q92" s="585">
        <f t="shared" si="520"/>
        <v>213.62488215077539</v>
      </c>
      <c r="R92" s="629">
        <f t="shared" si="79"/>
        <v>5.8953177802784253</v>
      </c>
      <c r="S92" s="634">
        <f t="shared" si="80"/>
        <v>-3.6490110054171927</v>
      </c>
      <c r="T92" s="635">
        <f t="shared" si="81"/>
        <v>-3.2645511701498058</v>
      </c>
      <c r="U92" s="629">
        <f t="shared" si="82"/>
        <v>4.9089181484254221</v>
      </c>
      <c r="V92" s="636">
        <f t="shared" si="114"/>
        <v>-3.6490110054171927</v>
      </c>
      <c r="W92" s="585">
        <f t="shared" si="645"/>
        <v>123.62488215077539</v>
      </c>
      <c r="X92" s="629">
        <f t="shared" si="83"/>
        <v>5.8953177802784253</v>
      </c>
      <c r="Y92" s="630">
        <f t="shared" si="644"/>
        <v>-3.6490110054171927</v>
      </c>
      <c r="Z92" s="632">
        <f t="shared" si="468"/>
        <v>0.83268071221934781</v>
      </c>
      <c r="AA92" s="629">
        <f t="shared" si="469"/>
        <v>0.55375340314785282</v>
      </c>
      <c r="AB92" s="629">
        <f t="shared" si="470"/>
        <v>-2.2679489656717819E-7</v>
      </c>
      <c r="AC92" s="636">
        <f t="shared" si="84"/>
        <v>1</v>
      </c>
      <c r="AD92" s="637">
        <f t="shared" si="115"/>
        <v>0.83268071221934781</v>
      </c>
      <c r="AE92" s="629">
        <f t="shared" si="85"/>
        <v>0.55375340314785282</v>
      </c>
      <c r="AF92" s="633">
        <f t="shared" si="86"/>
        <v>-2.2679489656717819E-7</v>
      </c>
      <c r="AG92" s="602">
        <f t="shared" si="87"/>
        <v>89.999976533976479</v>
      </c>
      <c r="AH92" s="603">
        <f t="shared" si="88"/>
        <v>33.624895145168011</v>
      </c>
      <c r="AI92" s="585">
        <f t="shared" si="89"/>
        <v>-89.999987005609611</v>
      </c>
      <c r="AJ92" s="586">
        <f t="shared" si="90"/>
        <v>123.62489514516579</v>
      </c>
      <c r="AK92" s="635">
        <f t="shared" si="211"/>
        <v>2.2679489691812549E-7</v>
      </c>
      <c r="AL92" s="629">
        <f t="shared" si="91"/>
        <v>-0.9999999999999486</v>
      </c>
      <c r="AM92" s="634">
        <f t="shared" si="92"/>
        <v>-2.2679489656717819E-7</v>
      </c>
      <c r="AN92" s="581">
        <f t="shared" si="93"/>
        <v>-89.999987005609626</v>
      </c>
      <c r="AO92" s="582">
        <f t="shared" si="461"/>
        <v>0</v>
      </c>
      <c r="AP92" s="585">
        <f t="shared" si="95"/>
        <v>-89.999987005609597</v>
      </c>
      <c r="AQ92" s="586">
        <f t="shared" si="471"/>
        <v>0.38669535767588215</v>
      </c>
      <c r="AS92" s="52">
        <f t="shared" si="543"/>
        <v>-236.37511784922461</v>
      </c>
      <c r="AT92" s="73">
        <f t="shared" si="472"/>
        <v>-3.4848616180218976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>Gage</v>
      </c>
      <c r="IG92" s="847">
        <f t="shared" si="643"/>
        <v>5.2619999999999996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5.1619999999999999</v>
      </c>
      <c r="II92" s="734" cm="1">
        <f t="array" ref="II92">IFERROR(ROUND(VALUE(IF($IH92&lt;1,$IH92+LARGE((IF($M$9:$M$150="",0,$M$9:$M$150)-MOD(IF($M$9:$M$150="",0,$M$9:$M$150),1)),1),$IH92)),4),"")</f>
        <v>5.1619999999999999</v>
      </c>
      <c r="IJ92" s="533">
        <f t="shared" si="542"/>
        <v>1613</v>
      </c>
      <c r="IK92" s="533" t="str">
        <f t="shared" si="517"/>
        <v>CPS-32193r1</v>
      </c>
      <c r="IL92" s="727">
        <f t="shared" si="647"/>
        <v>15.757097724956594</v>
      </c>
      <c r="IM92" s="759">
        <v>2.02371340832286E-4</v>
      </c>
      <c r="IN92" s="5">
        <f t="shared" si="648"/>
        <v>0</v>
      </c>
      <c r="IO92" s="771">
        <v>0</v>
      </c>
      <c r="IP92" s="9">
        <f t="shared" si="649"/>
        <v>-5.8943177772624162</v>
      </c>
      <c r="IQ92" s="5">
        <f t="shared" si="650"/>
        <v>-3.6465109978771699</v>
      </c>
      <c r="IR92" s="5">
        <f t="shared" si="518"/>
        <v>0.314</v>
      </c>
      <c r="IS92" s="5">
        <f t="shared" si="651"/>
        <v>0.25721375779146971</v>
      </c>
      <c r="IT92" s="727">
        <f t="shared" si="652"/>
        <v>89.999987005609569</v>
      </c>
      <c r="IU92" s="9">
        <f t="shared" si="653"/>
        <v>-5.8953177802784253</v>
      </c>
      <c r="IV92" s="5">
        <f t="shared" si="654"/>
        <v>-3.6490110054171927</v>
      </c>
      <c r="IW92" s="5">
        <f t="shared" si="519"/>
        <v>0.25700000000000001</v>
      </c>
      <c r="IX92" s="5">
        <f t="shared" si="655"/>
        <v>0.25700000000000001</v>
      </c>
      <c r="IY92" s="762">
        <f t="shared" si="656"/>
        <v>89.999987005609626</v>
      </c>
    </row>
    <row r="93" spans="1:259" ht="15" customHeight="1" x14ac:dyDescent="0.25">
      <c r="A93" s="79"/>
      <c r="B93" s="707">
        <v>-2.9357185549822153</v>
      </c>
      <c r="C93" s="708">
        <v>-0.30586218564639694</v>
      </c>
      <c r="D93" s="709">
        <v>-0.13780041560605349</v>
      </c>
      <c r="E93" s="710">
        <v>0.10378565522659544</v>
      </c>
      <c r="F93" s="708">
        <v>-0.96022446563017327</v>
      </c>
      <c r="G93" s="711">
        <v>0.25922483170875926</v>
      </c>
      <c r="H93" s="710">
        <v>0.314</v>
      </c>
      <c r="I93" s="708">
        <v>0.52</v>
      </c>
      <c r="J93" s="570">
        <v>6.1139999999999999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6.1139999999999999</v>
      </c>
      <c r="N93" s="632">
        <f t="shared" si="465"/>
        <v>-2.9357185549822153</v>
      </c>
      <c r="O93" s="629">
        <f t="shared" si="466"/>
        <v>-0.30586218564639694</v>
      </c>
      <c r="P93" s="633">
        <f t="shared" si="467"/>
        <v>-0.13780041560605349</v>
      </c>
      <c r="Q93" s="585">
        <f t="shared" si="520"/>
        <v>185.9479861468248</v>
      </c>
      <c r="R93" s="629">
        <f t="shared" si="79"/>
        <v>2.9516089020524481</v>
      </c>
      <c r="S93" s="634">
        <f t="shared" si="80"/>
        <v>-0.13780041560605349</v>
      </c>
      <c r="T93" s="635">
        <f t="shared" si="81"/>
        <v>-0.30586218564639778</v>
      </c>
      <c r="U93" s="629">
        <f t="shared" si="82"/>
        <v>2.9357185549822153</v>
      </c>
      <c r="V93" s="636">
        <f t="shared" si="114"/>
        <v>-0.13780041560605349</v>
      </c>
      <c r="W93" s="585">
        <f t="shared" si="645"/>
        <v>95.947986146824803</v>
      </c>
      <c r="X93" s="629">
        <f t="shared" si="83"/>
        <v>2.9516089020524481</v>
      </c>
      <c r="Y93" s="630">
        <f t="shared" si="644"/>
        <v>-0.13780041560605349</v>
      </c>
      <c r="Z93" s="632">
        <f t="shared" si="468"/>
        <v>-0.10378565522659544</v>
      </c>
      <c r="AA93" s="629">
        <f t="shared" si="469"/>
        <v>0.96022446563017327</v>
      </c>
      <c r="AB93" s="629">
        <f t="shared" si="470"/>
        <v>-0.25922483170875926</v>
      </c>
      <c r="AC93" s="636">
        <f t="shared" si="84"/>
        <v>1</v>
      </c>
      <c r="AD93" s="637">
        <f t="shared" si="115"/>
        <v>-0.10378565522659544</v>
      </c>
      <c r="AE93" s="629">
        <f t="shared" si="85"/>
        <v>0.96022446563017327</v>
      </c>
      <c r="AF93" s="633">
        <f t="shared" si="86"/>
        <v>-0.25922483170875926</v>
      </c>
      <c r="AG93" s="602">
        <f t="shared" si="87"/>
        <v>74.892414461900998</v>
      </c>
      <c r="AH93" s="603">
        <f t="shared" si="88"/>
        <v>95.957207478782891</v>
      </c>
      <c r="AI93" s="585">
        <f t="shared" si="89"/>
        <v>-74.975928618235216</v>
      </c>
      <c r="AJ93" s="586">
        <f t="shared" si="90"/>
        <v>-173.83114576822049</v>
      </c>
      <c r="AK93" s="635">
        <f t="shared" si="211"/>
        <v>0.96580982868782428</v>
      </c>
      <c r="AL93" s="629">
        <f t="shared" si="91"/>
        <v>3.723094890136891E-3</v>
      </c>
      <c r="AM93" s="634">
        <f t="shared" si="92"/>
        <v>-0.25922483170875926</v>
      </c>
      <c r="AN93" s="581">
        <f t="shared" si="93"/>
        <v>0.82284924901764589</v>
      </c>
      <c r="AO93" s="582">
        <f t="shared" si="461"/>
        <v>15.025657401609362</v>
      </c>
      <c r="AP93" s="585">
        <f t="shared" si="95"/>
        <v>0.22086808495469798</v>
      </c>
      <c r="AQ93" s="586">
        <f t="shared" si="471"/>
        <v>0.7723206671463253</v>
      </c>
      <c r="AS93" s="52">
        <f t="shared" si="543"/>
        <v>-264.0520138531752</v>
      </c>
      <c r="AT93" s="73">
        <f t="shared" si="472"/>
        <v>4.5569038458651512E-2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6.1139999999999999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-3.6861623561484684</v>
      </c>
      <c r="C94" s="708">
        <v>-0.35805316486656541</v>
      </c>
      <c r="D94" s="709">
        <v>-0.20120060682103019</v>
      </c>
      <c r="E94" s="710">
        <v>5.8906914478427039E-3</v>
      </c>
      <c r="F94" s="708">
        <v>-0.96885957813550894</v>
      </c>
      <c r="G94" s="711">
        <v>0.24754073929224255</v>
      </c>
      <c r="H94" s="710">
        <v>0.314</v>
      </c>
      <c r="I94" s="708">
        <v>0.52</v>
      </c>
      <c r="J94" s="570">
        <v>6.1210000000000004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6.1210000000000004</v>
      </c>
      <c r="N94" s="632">
        <f t="shared" si="465"/>
        <v>-3.6861623561484684</v>
      </c>
      <c r="O94" s="629">
        <f t="shared" si="466"/>
        <v>-0.35805316486656541</v>
      </c>
      <c r="P94" s="633">
        <f t="shared" si="467"/>
        <v>-0.20120060682103019</v>
      </c>
      <c r="Q94" s="585">
        <f t="shared" si="520"/>
        <v>185.54798620457765</v>
      </c>
      <c r="R94" s="629">
        <f t="shared" si="79"/>
        <v>3.7035111697896892</v>
      </c>
      <c r="S94" s="634">
        <f t="shared" si="80"/>
        <v>-0.20120060682103019</v>
      </c>
      <c r="T94" s="635">
        <f t="shared" si="81"/>
        <v>-0.35805316486656624</v>
      </c>
      <c r="U94" s="629">
        <f t="shared" si="82"/>
        <v>3.6861623561484684</v>
      </c>
      <c r="V94" s="636">
        <f t="shared" si="114"/>
        <v>-0.20120060682103019</v>
      </c>
      <c r="W94" s="585">
        <f t="shared" si="645"/>
        <v>95.547986204577654</v>
      </c>
      <c r="X94" s="629">
        <f t="shared" si="83"/>
        <v>3.7035111697896892</v>
      </c>
      <c r="Y94" s="630">
        <f t="shared" si="644"/>
        <v>-0.20120060682103019</v>
      </c>
      <c r="Z94" s="632">
        <f t="shared" si="468"/>
        <v>-5.8906914478427039E-3</v>
      </c>
      <c r="AA94" s="629">
        <f t="shared" si="469"/>
        <v>0.96885957813550894</v>
      </c>
      <c r="AB94" s="629">
        <f t="shared" si="470"/>
        <v>-0.24754073929224255</v>
      </c>
      <c r="AC94" s="636">
        <f t="shared" si="84"/>
        <v>1</v>
      </c>
      <c r="AD94" s="637">
        <f t="shared" si="115"/>
        <v>-5.8906914478427039E-3</v>
      </c>
      <c r="AE94" s="629">
        <f t="shared" si="85"/>
        <v>0.96885957813550894</v>
      </c>
      <c r="AF94" s="633">
        <f t="shared" si="86"/>
        <v>-0.24754073929224255</v>
      </c>
      <c r="AG94" s="602">
        <f t="shared" si="87"/>
        <v>75.667712620512674</v>
      </c>
      <c r="AH94" s="603">
        <f t="shared" si="88"/>
        <v>90.337513710362501</v>
      </c>
      <c r="AI94" s="585">
        <f t="shared" si="89"/>
        <v>-75.667966609306276</v>
      </c>
      <c r="AJ94" s="586">
        <f t="shared" si="90"/>
        <v>-179.65164446202158</v>
      </c>
      <c r="AK94" s="635">
        <f t="shared" si="211"/>
        <v>0.96489053824997062</v>
      </c>
      <c r="AL94" s="629">
        <f t="shared" si="91"/>
        <v>-8.7805646665417833E-2</v>
      </c>
      <c r="AM94" s="634">
        <f t="shared" si="92"/>
        <v>-0.24754073929224255</v>
      </c>
      <c r="AN94" s="581">
        <f t="shared" si="93"/>
        <v>-19.530201683874232</v>
      </c>
      <c r="AO94" s="582">
        <f t="shared" si="461"/>
        <v>15.227500720177126</v>
      </c>
      <c r="AP94" s="585">
        <f t="shared" si="95"/>
        <v>-5.1996306665992202</v>
      </c>
      <c r="AQ94" s="586">
        <f t="shared" si="471"/>
        <v>0.6155345083167012</v>
      </c>
      <c r="AS94" s="52">
        <f t="shared" si="543"/>
        <v>-264.45201379542232</v>
      </c>
      <c r="AT94" s="73">
        <f t="shared" si="472"/>
        <v>-1.7553375018653589E-2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6.1210000000000004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-4.3934062497886659</v>
      </c>
      <c r="C95" s="708">
        <v>-0.38120446018851994</v>
      </c>
      <c r="D95" s="709">
        <v>-0.46650140696824344</v>
      </c>
      <c r="E95" s="710">
        <v>-8.7760476631344481E-2</v>
      </c>
      <c r="F95" s="708">
        <v>-0.97001761608048997</v>
      </c>
      <c r="G95" s="711">
        <v>0.22663610311458043</v>
      </c>
      <c r="H95" s="710">
        <v>0.314</v>
      </c>
      <c r="I95" s="708">
        <v>0.52</v>
      </c>
      <c r="J95" s="570">
        <v>6.1280000000000001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6.1280000000000001</v>
      </c>
      <c r="N95" s="632">
        <f t="shared" si="465"/>
        <v>-4.3934062497886659</v>
      </c>
      <c r="O95" s="629">
        <f t="shared" si="466"/>
        <v>-0.38120446018851994</v>
      </c>
      <c r="P95" s="633">
        <f t="shared" si="467"/>
        <v>-0.46650140696824344</v>
      </c>
      <c r="Q95" s="585">
        <f t="shared" si="520"/>
        <v>184.95898628961871</v>
      </c>
      <c r="R95" s="629">
        <f t="shared" si="79"/>
        <v>4.4099133002985145</v>
      </c>
      <c r="S95" s="634">
        <f t="shared" si="80"/>
        <v>-0.46650140696824344</v>
      </c>
      <c r="T95" s="635">
        <f t="shared" si="81"/>
        <v>-0.38120446018852022</v>
      </c>
      <c r="U95" s="629">
        <f t="shared" si="82"/>
        <v>4.3934062497886668</v>
      </c>
      <c r="V95" s="636">
        <f t="shared" si="114"/>
        <v>-0.46650140696824344</v>
      </c>
      <c r="W95" s="585">
        <f t="shared" si="645"/>
        <v>94.958986289618707</v>
      </c>
      <c r="X95" s="629">
        <f t="shared" si="83"/>
        <v>4.4099133002985145</v>
      </c>
      <c r="Y95" s="630">
        <f t="shared" si="644"/>
        <v>-0.46650140696824344</v>
      </c>
      <c r="Z95" s="632">
        <f t="shared" si="468"/>
        <v>8.7760476631344481E-2</v>
      </c>
      <c r="AA95" s="629">
        <f t="shared" si="469"/>
        <v>0.97001761608048997</v>
      </c>
      <c r="AB95" s="629">
        <f t="shared" si="470"/>
        <v>-0.22663610311458043</v>
      </c>
      <c r="AC95" s="636">
        <f t="shared" si="84"/>
        <v>1</v>
      </c>
      <c r="AD95" s="637">
        <f t="shared" si="115"/>
        <v>8.7760476631344481E-2</v>
      </c>
      <c r="AE95" s="629">
        <f t="shared" si="85"/>
        <v>0.97001761608048997</v>
      </c>
      <c r="AF95" s="633">
        <f t="shared" si="86"/>
        <v>-0.22663610311458043</v>
      </c>
      <c r="AG95" s="602">
        <f t="shared" si="87"/>
        <v>76.849248853075594</v>
      </c>
      <c r="AH95" s="603">
        <f t="shared" si="88"/>
        <v>84.965218022547106</v>
      </c>
      <c r="AI95" s="585">
        <f t="shared" si="89"/>
        <v>-76.900894418285148</v>
      </c>
      <c r="AJ95" s="586">
        <f t="shared" si="90"/>
        <v>174.83034916089204</v>
      </c>
      <c r="AK95" s="635">
        <f t="shared" si="211"/>
        <v>0.95880043072202192</v>
      </c>
      <c r="AL95" s="629">
        <f t="shared" si="91"/>
        <v>-0.1712828386392016</v>
      </c>
      <c r="AM95" s="634">
        <f t="shared" si="92"/>
        <v>-0.22663610311458043</v>
      </c>
      <c r="AN95" s="581">
        <f t="shared" si="93"/>
        <v>-37.080583782138973</v>
      </c>
      <c r="AO95" s="582">
        <f t="shared" si="461"/>
        <v>16.503893871431632</v>
      </c>
      <c r="AP95" s="585">
        <f t="shared" si="95"/>
        <v>-10.128637128726657</v>
      </c>
      <c r="AQ95" s="586">
        <f t="shared" si="471"/>
        <v>0.51694095054922606</v>
      </c>
      <c r="AS95" s="52">
        <f t="shared" si="543"/>
        <v>-265.04101371038132</v>
      </c>
      <c r="AT95" s="73">
        <f t="shared" si="472"/>
        <v>-0.28244514744714533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6.1280000000000001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-5.0030281504113958</v>
      </c>
      <c r="C96" s="708">
        <v>-0.38100844390305699</v>
      </c>
      <c r="D96" s="709">
        <v>-0.91380275602911221</v>
      </c>
      <c r="E96" s="710">
        <v>-0.17098871910255584</v>
      </c>
      <c r="F96" s="708">
        <v>-0.96806918117747998</v>
      </c>
      <c r="G96" s="711">
        <v>0.18331644332691688</v>
      </c>
      <c r="H96" s="710">
        <v>0.314</v>
      </c>
      <c r="I96" s="708">
        <v>0.52</v>
      </c>
      <c r="J96" s="570">
        <v>6.1349999999999998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6.1349999999999998</v>
      </c>
      <c r="N96" s="632">
        <f t="shared" si="465"/>
        <v>-5.0030281504113958</v>
      </c>
      <c r="O96" s="629">
        <f t="shared" si="466"/>
        <v>-0.38100844390305699</v>
      </c>
      <c r="P96" s="633">
        <f t="shared" si="467"/>
        <v>-0.91380275602911221</v>
      </c>
      <c r="Q96" s="585">
        <f t="shared" si="520"/>
        <v>184.35498637682551</v>
      </c>
      <c r="R96" s="629">
        <f t="shared" si="79"/>
        <v>5.0175151328256398</v>
      </c>
      <c r="S96" s="634">
        <f t="shared" si="80"/>
        <v>-0.91380275602911221</v>
      </c>
      <c r="T96" s="635">
        <f t="shared" si="81"/>
        <v>-0.38100844390305721</v>
      </c>
      <c r="U96" s="629">
        <f t="shared" si="82"/>
        <v>5.0030281504113958</v>
      </c>
      <c r="V96" s="636">
        <f t="shared" si="114"/>
        <v>-0.91380275602911221</v>
      </c>
      <c r="W96" s="585">
        <f t="shared" si="645"/>
        <v>94.354986376825508</v>
      </c>
      <c r="X96" s="629">
        <f t="shared" si="83"/>
        <v>5.0175151328256398</v>
      </c>
      <c r="Y96" s="630">
        <f t="shared" si="644"/>
        <v>-0.91380275602911221</v>
      </c>
      <c r="Z96" s="632">
        <f t="shared" si="468"/>
        <v>0.17098871910255584</v>
      </c>
      <c r="AA96" s="629">
        <f t="shared" si="469"/>
        <v>0.96806918117747998</v>
      </c>
      <c r="AB96" s="629">
        <f t="shared" si="470"/>
        <v>-0.18331644332691688</v>
      </c>
      <c r="AC96" s="636">
        <f t="shared" si="84"/>
        <v>1</v>
      </c>
      <c r="AD96" s="637">
        <f t="shared" si="115"/>
        <v>0.17098871910255584</v>
      </c>
      <c r="AE96" s="629">
        <f t="shared" si="85"/>
        <v>0.96806918117747998</v>
      </c>
      <c r="AF96" s="633">
        <f t="shared" si="86"/>
        <v>-0.18331644332691688</v>
      </c>
      <c r="AG96" s="602">
        <f t="shared" si="87"/>
        <v>79.277265128268041</v>
      </c>
      <c r="AH96" s="603">
        <f t="shared" si="88"/>
        <v>80.154689760591339</v>
      </c>
      <c r="AI96" s="585">
        <f t="shared" si="89"/>
        <v>-79.437006820421061</v>
      </c>
      <c r="AJ96" s="586">
        <f t="shared" si="90"/>
        <v>169.98323959707639</v>
      </c>
      <c r="AK96" s="635">
        <f t="shared" si="211"/>
        <v>0.95228994685573998</v>
      </c>
      <c r="AL96" s="629">
        <f t="shared" si="91"/>
        <v>-0.24400602189999551</v>
      </c>
      <c r="AM96" s="634">
        <f t="shared" si="92"/>
        <v>-0.18331644332691688</v>
      </c>
      <c r="AN96" s="581">
        <f t="shared" si="93"/>
        <v>-53.083254641586564</v>
      </c>
      <c r="AO96" s="582">
        <f t="shared" si="461"/>
        <v>17.769883050898667</v>
      </c>
      <c r="AP96" s="585">
        <f t="shared" si="95"/>
        <v>-14.371746779749106</v>
      </c>
      <c r="AQ96" s="586">
        <f t="shared" si="471"/>
        <v>0.45434418970260926</v>
      </c>
      <c r="AS96" s="52">
        <f t="shared" si="543"/>
        <v>-265.64501362317446</v>
      </c>
      <c r="AT96" s="73">
        <f t="shared" si="472"/>
        <v>-0.72932705212412996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6.1349999999999998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-5.4684285272781645</v>
      </c>
      <c r="C97" s="708">
        <v>-0.36829238267353015</v>
      </c>
      <c r="D97" s="709">
        <v>-1.5095045526657311</v>
      </c>
      <c r="E97" s="710">
        <v>-0.24945865813808479</v>
      </c>
      <c r="F97" s="708">
        <v>-0.95911314907017986</v>
      </c>
      <c r="G97" s="711">
        <v>0.13368749066621471</v>
      </c>
      <c r="H97" s="710">
        <v>0.314</v>
      </c>
      <c r="I97" s="708">
        <v>0.52</v>
      </c>
      <c r="J97" s="570">
        <v>6.1420000000000003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6.1420000000000003</v>
      </c>
      <c r="N97" s="632">
        <f t="shared" si="465"/>
        <v>-5.4684285272781645</v>
      </c>
      <c r="O97" s="629">
        <f t="shared" si="466"/>
        <v>-0.36829238267353015</v>
      </c>
      <c r="P97" s="633">
        <f t="shared" si="467"/>
        <v>-1.5095045526657311</v>
      </c>
      <c r="Q97" s="585">
        <f t="shared" si="520"/>
        <v>183.85298644930532</v>
      </c>
      <c r="R97" s="629">
        <f t="shared" si="79"/>
        <v>5.4808165301426559</v>
      </c>
      <c r="S97" s="634">
        <f t="shared" si="80"/>
        <v>-1.5095045526657311</v>
      </c>
      <c r="T97" s="635">
        <f t="shared" si="81"/>
        <v>-0.36829238267352993</v>
      </c>
      <c r="U97" s="629">
        <f t="shared" si="82"/>
        <v>5.4684285272781645</v>
      </c>
      <c r="V97" s="636">
        <f t="shared" si="114"/>
        <v>-1.5095045526657311</v>
      </c>
      <c r="W97" s="585">
        <f t="shared" si="645"/>
        <v>93.85298644930532</v>
      </c>
      <c r="X97" s="629">
        <f t="shared" si="83"/>
        <v>5.4808165301426559</v>
      </c>
      <c r="Y97" s="630">
        <f t="shared" si="644"/>
        <v>-1.5095045526657311</v>
      </c>
      <c r="Z97" s="632">
        <f t="shared" si="468"/>
        <v>0.24945865813808479</v>
      </c>
      <c r="AA97" s="629">
        <f t="shared" si="469"/>
        <v>0.95911314907017986</v>
      </c>
      <c r="AB97" s="629">
        <f t="shared" si="470"/>
        <v>-0.13368749066621471</v>
      </c>
      <c r="AC97" s="636">
        <f t="shared" si="84"/>
        <v>1</v>
      </c>
      <c r="AD97" s="637">
        <f t="shared" si="115"/>
        <v>0.24945865813808479</v>
      </c>
      <c r="AE97" s="629">
        <f t="shared" si="85"/>
        <v>0.95911314907017986</v>
      </c>
      <c r="AF97" s="633">
        <f t="shared" si="86"/>
        <v>-0.13368749066621471</v>
      </c>
      <c r="AG97" s="602">
        <f t="shared" si="87"/>
        <v>82.064863901043083</v>
      </c>
      <c r="AH97" s="603">
        <f t="shared" si="88"/>
        <v>75.554519314732786</v>
      </c>
      <c r="AI97" s="585">
        <f t="shared" si="89"/>
        <v>-82.317269314168257</v>
      </c>
      <c r="AJ97" s="586">
        <f t="shared" si="90"/>
        <v>165.42079046442873</v>
      </c>
      <c r="AK97" s="635">
        <f t="shared" si="211"/>
        <v>0.94018253545601294</v>
      </c>
      <c r="AL97" s="629">
        <f t="shared" si="91"/>
        <v>-0.31334398807520436</v>
      </c>
      <c r="AM97" s="634">
        <f t="shared" si="92"/>
        <v>-0.13368749066621471</v>
      </c>
      <c r="AN97" s="581">
        <f t="shared" si="93"/>
        <v>-66.894592674471411</v>
      </c>
      <c r="AO97" s="582">
        <f t="shared" si="461"/>
        <v>19.917766521029911</v>
      </c>
      <c r="AP97" s="585">
        <f t="shared" si="95"/>
        <v>-18.432195984876603</v>
      </c>
      <c r="AQ97" s="586">
        <f t="shared" si="471"/>
        <v>0.41593922579216669</v>
      </c>
      <c r="AS97" s="52">
        <f t="shared" si="543"/>
        <v>-266.14701355069468</v>
      </c>
      <c r="AT97" s="73">
        <f t="shared" si="472"/>
        <v>-1.3246802376999709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6.1420000000000003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-5.7536740463023666</v>
      </c>
      <c r="C98" s="708">
        <v>-0.35503320530897348</v>
      </c>
      <c r="D98" s="709">
        <v>-2.2086066611576904</v>
      </c>
      <c r="E98" s="710">
        <v>-0.33935328237842233</v>
      </c>
      <c r="F98" s="708">
        <v>-0.93710209319660098</v>
      </c>
      <c r="G98" s="711">
        <v>8.17252510888761E-2</v>
      </c>
      <c r="H98" s="710">
        <v>0.314</v>
      </c>
      <c r="I98" s="708">
        <v>0.52</v>
      </c>
      <c r="J98" s="570">
        <v>6.149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6.149</v>
      </c>
      <c r="N98" s="632">
        <f t="shared" si="465"/>
        <v>-5.7536740463023666</v>
      </c>
      <c r="O98" s="629">
        <f t="shared" si="466"/>
        <v>-0.35503320530897348</v>
      </c>
      <c r="P98" s="633">
        <f t="shared" si="467"/>
        <v>-2.2086066611576904</v>
      </c>
      <c r="Q98" s="585">
        <f t="shared" si="520"/>
        <v>183.53098649579636</v>
      </c>
      <c r="R98" s="629">
        <f t="shared" si="79"/>
        <v>5.7646173860860372</v>
      </c>
      <c r="S98" s="634">
        <f t="shared" si="80"/>
        <v>-2.2086066611576904</v>
      </c>
      <c r="T98" s="635">
        <f t="shared" si="81"/>
        <v>-0.35503320530897231</v>
      </c>
      <c r="U98" s="629">
        <f t="shared" si="82"/>
        <v>5.7536740463023675</v>
      </c>
      <c r="V98" s="636">
        <f t="shared" si="114"/>
        <v>-2.2086066611576904</v>
      </c>
      <c r="W98" s="585">
        <f t="shared" si="645"/>
        <v>93.530986495796355</v>
      </c>
      <c r="X98" s="629">
        <f t="shared" si="83"/>
        <v>5.7646173860860372</v>
      </c>
      <c r="Y98" s="630">
        <f t="shared" si="644"/>
        <v>-2.2086066611576904</v>
      </c>
      <c r="Z98" s="632">
        <f t="shared" si="468"/>
        <v>0.33935328237842233</v>
      </c>
      <c r="AA98" s="629">
        <f t="shared" si="469"/>
        <v>0.93710209319660098</v>
      </c>
      <c r="AB98" s="629">
        <f t="shared" si="470"/>
        <v>-8.17252510888761E-2</v>
      </c>
      <c r="AC98" s="636">
        <f t="shared" si="84"/>
        <v>1</v>
      </c>
      <c r="AD98" s="637">
        <f t="shared" si="115"/>
        <v>0.33935328237842233</v>
      </c>
      <c r="AE98" s="629">
        <f t="shared" si="85"/>
        <v>0.93710209319660098</v>
      </c>
      <c r="AF98" s="633">
        <f t="shared" si="86"/>
        <v>-8.17252510888761E-2</v>
      </c>
      <c r="AG98" s="602">
        <f t="shared" si="87"/>
        <v>85.015810300183688</v>
      </c>
      <c r="AH98" s="603">
        <f t="shared" si="88"/>
        <v>70.162522554696437</v>
      </c>
      <c r="AI98" s="585">
        <f t="shared" si="89"/>
        <v>-85.312259874893229</v>
      </c>
      <c r="AJ98" s="586">
        <f t="shared" si="90"/>
        <v>160.09313170918941</v>
      </c>
      <c r="AK98" s="635">
        <f t="shared" si="211"/>
        <v>0.91442292796556102</v>
      </c>
      <c r="AL98" s="629">
        <f t="shared" si="91"/>
        <v>-0.39642362712803925</v>
      </c>
      <c r="AM98" s="634">
        <f t="shared" si="92"/>
        <v>-8.17252510888761E-2</v>
      </c>
      <c r="AN98" s="581">
        <f t="shared" si="93"/>
        <v>-78.351305893694175</v>
      </c>
      <c r="AO98" s="582">
        <f t="shared" si="461"/>
        <v>23.876092345989971</v>
      </c>
      <c r="AP98" s="585">
        <f t="shared" si="95"/>
        <v>-23.437854786606938</v>
      </c>
      <c r="AQ98" s="586">
        <f t="shared" si="471"/>
        <v>0.39546257411659219</v>
      </c>
      <c r="AS98" s="52">
        <f t="shared" si="543"/>
        <v>-266.46901350420364</v>
      </c>
      <c r="AT98" s="73">
        <f t="shared" si="472"/>
        <v>-2.0235587351131046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6.149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-5.8430380809927422</v>
      </c>
      <c r="C99" s="708">
        <v>-0.35010700108389409</v>
      </c>
      <c r="D99" s="709">
        <v>-2.9586089231645127</v>
      </c>
      <c r="E99" s="710">
        <v>-0.45766584548231865</v>
      </c>
      <c r="F99" s="708">
        <v>-0.88899663241593019</v>
      </c>
      <c r="G99" s="711">
        <v>1.5065239197905408E-2</v>
      </c>
      <c r="H99" s="710">
        <v>0.314</v>
      </c>
      <c r="I99" s="708">
        <v>0.52</v>
      </c>
      <c r="J99" s="570">
        <v>6.1559999999999997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6.1559999999999997</v>
      </c>
      <c r="N99" s="632">
        <f t="shared" si="465"/>
        <v>-5.8430380809927422</v>
      </c>
      <c r="O99" s="629">
        <f t="shared" si="466"/>
        <v>-0.35010700108389409</v>
      </c>
      <c r="P99" s="633">
        <f t="shared" si="467"/>
        <v>-2.9586089231645127</v>
      </c>
      <c r="Q99" s="585">
        <f t="shared" si="520"/>
        <v>183.42898651052332</v>
      </c>
      <c r="R99" s="629">
        <f t="shared" si="79"/>
        <v>5.853517654209246</v>
      </c>
      <c r="S99" s="634">
        <f t="shared" si="80"/>
        <v>-2.9586089231645127</v>
      </c>
      <c r="T99" s="635">
        <f t="shared" si="81"/>
        <v>-0.35010700108389126</v>
      </c>
      <c r="U99" s="629">
        <f t="shared" si="82"/>
        <v>5.8430380809927431</v>
      </c>
      <c r="V99" s="636">
        <f t="shared" si="114"/>
        <v>-2.9586089231645127</v>
      </c>
      <c r="W99" s="585">
        <f t="shared" si="645"/>
        <v>93.428986510523316</v>
      </c>
      <c r="X99" s="629">
        <f t="shared" si="83"/>
        <v>5.853517654209246</v>
      </c>
      <c r="Y99" s="630">
        <f t="shared" si="644"/>
        <v>-2.9586089231645127</v>
      </c>
      <c r="Z99" s="632">
        <f t="shared" si="468"/>
        <v>0.45766584548231865</v>
      </c>
      <c r="AA99" s="629">
        <f t="shared" si="469"/>
        <v>0.88899663241593019</v>
      </c>
      <c r="AB99" s="629">
        <f t="shared" si="470"/>
        <v>-1.5065239197905408E-2</v>
      </c>
      <c r="AC99" s="636">
        <f t="shared" si="84"/>
        <v>1</v>
      </c>
      <c r="AD99" s="637">
        <f t="shared" si="115"/>
        <v>0.45766584548231865</v>
      </c>
      <c r="AE99" s="629">
        <f t="shared" si="85"/>
        <v>0.88899663241593019</v>
      </c>
      <c r="AF99" s="633">
        <f t="shared" si="86"/>
        <v>-1.5065239197905408E-2</v>
      </c>
      <c r="AG99" s="602">
        <f t="shared" si="87"/>
        <v>89.029139169061253</v>
      </c>
      <c r="AH99" s="603">
        <f t="shared" si="88"/>
        <v>62.763408958088647</v>
      </c>
      <c r="AI99" s="585">
        <f t="shared" si="89"/>
        <v>-89.136792722044987</v>
      </c>
      <c r="AJ99" s="586">
        <f t="shared" si="90"/>
        <v>152.76006153042758</v>
      </c>
      <c r="AK99" s="635">
        <f t="shared" si="211"/>
        <v>0.86003143029732998</v>
      </c>
      <c r="AL99" s="629">
        <f t="shared" si="91"/>
        <v>-0.5100186050220511</v>
      </c>
      <c r="AM99" s="634">
        <f t="shared" si="92"/>
        <v>-1.5065239197905408E-2</v>
      </c>
      <c r="AN99" s="581">
        <f t="shared" si="93"/>
        <v>-88.308054455547264</v>
      </c>
      <c r="AO99" s="582">
        <f t="shared" si="461"/>
        <v>30.679887934136975</v>
      </c>
      <c r="AP99" s="585">
        <f t="shared" si="95"/>
        <v>-30.668924980095731</v>
      </c>
      <c r="AQ99" s="586">
        <f t="shared" si="471"/>
        <v>0.38945667480883872</v>
      </c>
      <c r="AS99" s="52">
        <f t="shared" si="543"/>
        <v>-266.57101348947668</v>
      </c>
      <c r="AT99" s="73">
        <f t="shared" si="472"/>
        <v>-2.7734901637968208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6.1559999999999997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-5.8840523760112431</v>
      </c>
      <c r="C100" s="708">
        <v>-0.34772071509791397</v>
      </c>
      <c r="D100" s="709">
        <v>-3.7496113088277077</v>
      </c>
      <c r="E100" s="710">
        <v>-0.52425358329717764</v>
      </c>
      <c r="F100" s="708">
        <v>-0.85156219995961091</v>
      </c>
      <c r="G100" s="711">
        <v>1.3008419222938888E-7</v>
      </c>
      <c r="H100" s="710">
        <v>0.314</v>
      </c>
      <c r="I100" s="708">
        <v>0.52</v>
      </c>
      <c r="J100" s="570">
        <v>6.1630000000000003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6.1630000000000003</v>
      </c>
      <c r="N100" s="632">
        <f t="shared" si="465"/>
        <v>-5.8840523760112431</v>
      </c>
      <c r="O100" s="629">
        <f t="shared" si="466"/>
        <v>-0.34772071509791397</v>
      </c>
      <c r="P100" s="633">
        <f t="shared" si="467"/>
        <v>-3.7496113088277077</v>
      </c>
      <c r="Q100" s="585">
        <f t="shared" si="520"/>
        <v>183.38198651730929</v>
      </c>
      <c r="R100" s="629">
        <f t="shared" si="79"/>
        <v>5.8943177772624171</v>
      </c>
      <c r="S100" s="634">
        <f t="shared" si="80"/>
        <v>-3.7496113088277077</v>
      </c>
      <c r="T100" s="635">
        <f t="shared" si="81"/>
        <v>-0.3477207150979128</v>
      </c>
      <c r="U100" s="629">
        <f t="shared" si="82"/>
        <v>5.8840523760112431</v>
      </c>
      <c r="V100" s="636">
        <f t="shared" si="114"/>
        <v>-3.7496113088277077</v>
      </c>
      <c r="W100" s="585">
        <f t="shared" si="645"/>
        <v>93.381986517309286</v>
      </c>
      <c r="X100" s="629">
        <f t="shared" si="83"/>
        <v>5.8943177772624171</v>
      </c>
      <c r="Y100" s="630">
        <f t="shared" si="644"/>
        <v>-3.7496113088277077</v>
      </c>
      <c r="Z100" s="632">
        <f t="shared" si="468"/>
        <v>0.52425358329717764</v>
      </c>
      <c r="AA100" s="629">
        <f t="shared" si="469"/>
        <v>0.85156219995961091</v>
      </c>
      <c r="AB100" s="629">
        <f t="shared" si="470"/>
        <v>-1.3008419222938888E-7</v>
      </c>
      <c r="AC100" s="636">
        <f t="shared" si="84"/>
        <v>1</v>
      </c>
      <c r="AD100" s="637">
        <f t="shared" si="115"/>
        <v>0.52425358329717764</v>
      </c>
      <c r="AE100" s="629">
        <f t="shared" si="85"/>
        <v>0.85156219995961091</v>
      </c>
      <c r="AF100" s="633">
        <f t="shared" si="86"/>
        <v>-1.3008419222938888E-7</v>
      </c>
      <c r="AG100" s="602">
        <f t="shared" si="87"/>
        <v>89.999991247526964</v>
      </c>
      <c r="AH100" s="603">
        <f t="shared" si="88"/>
        <v>58.38199157068432</v>
      </c>
      <c r="AI100" s="585">
        <f t="shared" si="89"/>
        <v>-89.999992546724798</v>
      </c>
      <c r="AJ100" s="586">
        <f t="shared" si="90"/>
        <v>148.38199157068402</v>
      </c>
      <c r="AK100" s="635">
        <f t="shared" si="211"/>
        <v>0.81915209487729201</v>
      </c>
      <c r="AL100" s="629">
        <f t="shared" si="91"/>
        <v>-0.57357636410344459</v>
      </c>
      <c r="AM100" s="634">
        <f t="shared" si="92"/>
        <v>-1.3008419222938888E-7</v>
      </c>
      <c r="AN100" s="581">
        <f t="shared" si="93"/>
        <v>-89.999987005609611</v>
      </c>
      <c r="AO100" s="582">
        <f t="shared" si="461"/>
        <v>34.999994946625954</v>
      </c>
      <c r="AP100" s="585">
        <f t="shared" si="95"/>
        <v>-34.999994946625264</v>
      </c>
      <c r="AQ100" s="586">
        <f t="shared" si="471"/>
        <v>0.38676096065028626</v>
      </c>
      <c r="AS100" s="52">
        <f t="shared" si="543"/>
        <v>-266.61801348269069</v>
      </c>
      <c r="AT100" s="73">
        <f t="shared" si="472"/>
        <v>-3.564459910575839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6.1630000000000003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-3.666778841495705</v>
      </c>
      <c r="C101" s="708">
        <v>0.5719083949610575</v>
      </c>
      <c r="D101" s="709">
        <v>-0.18220054951685735</v>
      </c>
      <c r="E101" s="710">
        <v>-0.16103463328490381</v>
      </c>
      <c r="F101" s="708">
        <v>2.5116381700420611E-2</v>
      </c>
      <c r="G101" s="711">
        <v>0.98662911686868204</v>
      </c>
      <c r="H101" s="710">
        <v>0.25700000000000001</v>
      </c>
      <c r="I101" s="708">
        <v>0.41499999999999992</v>
      </c>
      <c r="J101" s="570">
        <v>6.2210000000000001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CPS-32193r1</v>
      </c>
      <c r="L101" s="320"/>
      <c r="M101" s="168">
        <f t="shared" si="464"/>
        <v>6.2210000000000001</v>
      </c>
      <c r="N101" s="632">
        <f t="shared" si="465"/>
        <v>-3.666778841495705</v>
      </c>
      <c r="O101" s="629">
        <f t="shared" si="466"/>
        <v>0.5719083949610575</v>
      </c>
      <c r="P101" s="633">
        <f t="shared" si="467"/>
        <v>-0.18220054951685735</v>
      </c>
      <c r="Q101" s="585">
        <f t="shared" si="520"/>
        <v>171.13498828555706</v>
      </c>
      <c r="R101" s="629">
        <f t="shared" si="79"/>
        <v>3.7111111927113578</v>
      </c>
      <c r="S101" s="634">
        <f t="shared" si="80"/>
        <v>-0.18220054951685735</v>
      </c>
      <c r="T101" s="635">
        <f t="shared" si="81"/>
        <v>0.57190839496105772</v>
      </c>
      <c r="U101" s="629">
        <f t="shared" si="82"/>
        <v>3.666778841495705</v>
      </c>
      <c r="V101" s="636">
        <f t="shared" si="114"/>
        <v>-0.18220054951685735</v>
      </c>
      <c r="W101" s="585">
        <f t="shared" si="645"/>
        <v>81.134988285557057</v>
      </c>
      <c r="X101" s="629">
        <f t="shared" si="83"/>
        <v>3.7111111927113578</v>
      </c>
      <c r="Y101" s="630">
        <f t="shared" si="644"/>
        <v>-0.18220054951685735</v>
      </c>
      <c r="Z101" s="632">
        <f t="shared" si="468"/>
        <v>0.16103463328490381</v>
      </c>
      <c r="AA101" s="629">
        <f t="shared" si="469"/>
        <v>-2.5116381700420611E-2</v>
      </c>
      <c r="AB101" s="629">
        <f t="shared" si="470"/>
        <v>-0.98662911686868204</v>
      </c>
      <c r="AC101" s="636">
        <f t="shared" si="84"/>
        <v>1</v>
      </c>
      <c r="AD101" s="637">
        <f t="shared" si="115"/>
        <v>0.16103463328490381</v>
      </c>
      <c r="AE101" s="629">
        <f t="shared" si="85"/>
        <v>-2.5116381700420611E-2</v>
      </c>
      <c r="AF101" s="633">
        <f t="shared" si="86"/>
        <v>-0.98662911686868204</v>
      </c>
      <c r="AG101" s="602">
        <f t="shared" si="87"/>
        <v>-1.4582500195461252</v>
      </c>
      <c r="AH101" s="603">
        <f t="shared" si="88"/>
        <v>80.733044872783012</v>
      </c>
      <c r="AI101" s="585">
        <f t="shared" si="89"/>
        <v>-9.3799986457046529</v>
      </c>
      <c r="AJ101" s="586">
        <f t="shared" si="90"/>
        <v>81.135068014767953</v>
      </c>
      <c r="AK101" s="635">
        <f t="shared" si="211"/>
        <v>2.2679489671342812E-7</v>
      </c>
      <c r="AL101" s="629">
        <f t="shared" si="91"/>
        <v>-0.16298155032663433</v>
      </c>
      <c r="AM101" s="634">
        <f t="shared" si="92"/>
        <v>-0.98662911686868204</v>
      </c>
      <c r="AN101" s="581">
        <f t="shared" si="93"/>
        <v>-9.3799986456957569</v>
      </c>
      <c r="AO101" s="582">
        <f t="shared" si="461"/>
        <v>0</v>
      </c>
      <c r="AP101" s="585">
        <f t="shared" si="95"/>
        <v>-89.999920270789119</v>
      </c>
      <c r="AQ101" s="586">
        <f t="shared" si="471"/>
        <v>0.61427404553400256</v>
      </c>
      <c r="AS101" s="52">
        <f t="shared" si="543"/>
        <v>-278.86501171444297</v>
      </c>
      <c r="AT101" s="73">
        <f t="shared" si="472"/>
        <v>1.1455708618172494E-2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Nose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6.2210000000000001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6.1210000000000004</v>
      </c>
      <c r="II101" s="734" cm="1">
        <f t="array" ref="II101">IFERROR(ROUND(VALUE(IF($IH101&lt;1,$IH101+LARGE((IF($M$9:$M$150="",0,$M$9:$M$150)-MOD(IF($M$9:$M$150="",0,$M$9:$M$150),1)),1),$IH101)),4),"")</f>
        <v>6.1210000000000004</v>
      </c>
      <c r="IJ101" s="533">
        <f t="shared" si="542"/>
        <v>1613</v>
      </c>
      <c r="IK101" s="533" t="str">
        <f t="shared" si="517"/>
        <v>CPS-32193r1</v>
      </c>
      <c r="IL101" s="727">
        <f t="shared" si="647"/>
        <v>14.412997919020597</v>
      </c>
      <c r="IM101" s="759">
        <v>2.55238108468385E-2</v>
      </c>
      <c r="IN101" s="5">
        <f t="shared" si="648"/>
        <v>0.64</v>
      </c>
      <c r="IO101" s="771">
        <v>320</v>
      </c>
      <c r="IP101" s="9">
        <f t="shared" si="649"/>
        <v>-3.7035111697896892</v>
      </c>
      <c r="IQ101" s="5">
        <f t="shared" si="650"/>
        <v>-0.20120060682103019</v>
      </c>
      <c r="IR101" s="5">
        <f t="shared" si="518"/>
        <v>0.314</v>
      </c>
      <c r="IS101" s="5">
        <f t="shared" si="651"/>
        <v>0.3029756290104908</v>
      </c>
      <c r="IT101" s="727">
        <f t="shared" si="652"/>
        <v>19.530201683874232</v>
      </c>
      <c r="IU101" s="9">
        <f t="shared" si="653"/>
        <v>-3.7111111927113578</v>
      </c>
      <c r="IV101" s="5">
        <f t="shared" si="654"/>
        <v>-0.18220054951685735</v>
      </c>
      <c r="IW101" s="5">
        <f t="shared" si="519"/>
        <v>0.25700000000000001</v>
      </c>
      <c r="IX101" s="5">
        <f t="shared" si="655"/>
        <v>0.25700000000000001</v>
      </c>
      <c r="IY101" s="762">
        <f t="shared" si="656"/>
        <v>9.3799986456957569</v>
      </c>
    </row>
    <row r="102" spans="1:259" ht="15" customHeight="1" x14ac:dyDescent="0.25">
      <c r="A102" s="79"/>
      <c r="B102" s="707">
        <v>-4.3759287961526754</v>
      </c>
      <c r="C102" s="708">
        <v>0.68302320616015533</v>
      </c>
      <c r="D102" s="709">
        <v>-0.42290127547024703</v>
      </c>
      <c r="E102" s="710">
        <v>-0.33082320060021575</v>
      </c>
      <c r="F102" s="708">
        <v>-0.9057115802295147</v>
      </c>
      <c r="G102" s="711">
        <v>0.26503309865521474</v>
      </c>
      <c r="H102" s="710">
        <v>0.26600000000000001</v>
      </c>
      <c r="I102" s="708">
        <v>0.52</v>
      </c>
      <c r="J102" s="570">
        <v>6.2279999999999998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6.2279999999999998</v>
      </c>
      <c r="N102" s="632">
        <f t="shared" si="465"/>
        <v>-4.3759287961526754</v>
      </c>
      <c r="O102" s="629">
        <f t="shared" si="466"/>
        <v>0.68302320616015533</v>
      </c>
      <c r="P102" s="633">
        <f t="shared" si="467"/>
        <v>-0.42290127547024703</v>
      </c>
      <c r="Q102" s="585">
        <f t="shared" si="520"/>
        <v>171.12848828649555</v>
      </c>
      <c r="R102" s="629">
        <f t="shared" si="79"/>
        <v>4.4289133576026867</v>
      </c>
      <c r="S102" s="634">
        <f t="shared" si="80"/>
        <v>-0.42290127547024703</v>
      </c>
      <c r="T102" s="635">
        <f t="shared" si="81"/>
        <v>0.68302320616015499</v>
      </c>
      <c r="U102" s="629">
        <f t="shared" si="82"/>
        <v>4.3759287961526754</v>
      </c>
      <c r="V102" s="636">
        <f t="shared" si="114"/>
        <v>-0.42290127547024703</v>
      </c>
      <c r="W102" s="585">
        <f t="shared" si="645"/>
        <v>81.128488286495553</v>
      </c>
      <c r="X102" s="629">
        <f t="shared" si="83"/>
        <v>4.4289133576026867</v>
      </c>
      <c r="Y102" s="630">
        <f t="shared" si="644"/>
        <v>-0.42290127547024703</v>
      </c>
      <c r="Z102" s="632">
        <f t="shared" si="468"/>
        <v>0.33082320060021575</v>
      </c>
      <c r="AA102" s="629">
        <f t="shared" si="469"/>
        <v>0.9057115802295147</v>
      </c>
      <c r="AB102" s="629">
        <f t="shared" si="470"/>
        <v>-0.26503309865521474</v>
      </c>
      <c r="AC102" s="636">
        <f t="shared" si="84"/>
        <v>1</v>
      </c>
      <c r="AD102" s="637">
        <f t="shared" si="115"/>
        <v>0.33082320060021575</v>
      </c>
      <c r="AE102" s="629">
        <f t="shared" si="85"/>
        <v>0.9057115802295147</v>
      </c>
      <c r="AF102" s="633">
        <f t="shared" si="86"/>
        <v>-0.26503309865521474</v>
      </c>
      <c r="AG102" s="602">
        <f t="shared" si="87"/>
        <v>73.689248553859571</v>
      </c>
      <c r="AH102" s="603">
        <f t="shared" si="88"/>
        <v>70.681251976189657</v>
      </c>
      <c r="AI102" s="585">
        <f t="shared" si="89"/>
        <v>-74.631080466085336</v>
      </c>
      <c r="AJ102" s="586">
        <f t="shared" si="90"/>
        <v>159.93460655517262</v>
      </c>
      <c r="AK102" s="635">
        <f t="shared" si="211"/>
        <v>0.94589552105146835</v>
      </c>
      <c r="AL102" s="629">
        <f t="shared" si="91"/>
        <v>-0.1871873923959263</v>
      </c>
      <c r="AM102" s="634">
        <f t="shared" si="92"/>
        <v>-0.26503309865521474</v>
      </c>
      <c r="AN102" s="581">
        <f t="shared" si="93"/>
        <v>-35.232770043055645</v>
      </c>
      <c r="AO102" s="582">
        <f t="shared" si="461"/>
        <v>18.933550559237307</v>
      </c>
      <c r="AP102" s="585">
        <f t="shared" si="95"/>
        <v>-11.193881731322936</v>
      </c>
      <c r="AQ102" s="586">
        <f t="shared" si="471"/>
        <v>0.51472339122787569</v>
      </c>
      <c r="AS102" s="52">
        <f t="shared" si="543"/>
        <v>-278.87151171350445</v>
      </c>
      <c r="AT102" s="73">
        <f t="shared" si="472"/>
        <v>-0.22924050344698005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Nose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6.2279999999999998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6.1280000000000001</v>
      </c>
      <c r="II102" s="734" cm="1">
        <f t="array" ref="II102">IFERROR(ROUND(VALUE(IF($IH102&lt;1,$IH102+LARGE((IF($M$9:$M$150="",0,$M$9:$M$150)-MOD(IF($M$9:$M$150="",0,$M$9:$M$150),1)),1),$IH102)),4),"")</f>
        <v>6.1280000000000001</v>
      </c>
      <c r="IJ102" s="533">
        <f t="shared" si="542"/>
        <v>1613</v>
      </c>
      <c r="IK102" s="533">
        <f t="shared" si="517"/>
        <v>1313</v>
      </c>
      <c r="IL102" s="727">
        <f t="shared" si="647"/>
        <v>13.830498003123154</v>
      </c>
      <c r="IM102" s="759">
        <v>2.0250660388090899E-3</v>
      </c>
      <c r="IN102" s="5">
        <f t="shared" si="648"/>
        <v>0.02</v>
      </c>
      <c r="IO102" s="771">
        <v>10</v>
      </c>
      <c r="IP102" s="9">
        <f t="shared" si="649"/>
        <v>-4.4099133002985145</v>
      </c>
      <c r="IQ102" s="5">
        <f t="shared" si="650"/>
        <v>-0.46650140696824344</v>
      </c>
      <c r="IR102" s="5">
        <f t="shared" si="518"/>
        <v>0.314</v>
      </c>
      <c r="IS102" s="5">
        <f t="shared" si="651"/>
        <v>0.30106333524671486</v>
      </c>
      <c r="IT102" s="727">
        <f t="shared" si="652"/>
        <v>37.080583782138973</v>
      </c>
      <c r="IU102" s="9">
        <f t="shared" si="653"/>
        <v>-4.4289133576026867</v>
      </c>
      <c r="IV102" s="5">
        <f t="shared" si="654"/>
        <v>-0.42290127547024703</v>
      </c>
      <c r="IW102" s="5">
        <f t="shared" si="519"/>
        <v>0.26600000000000001</v>
      </c>
      <c r="IX102" s="5">
        <f t="shared" si="655"/>
        <v>0.25160820859969057</v>
      </c>
      <c r="IY102" s="762">
        <f t="shared" si="656"/>
        <v>35.232770043055645</v>
      </c>
    </row>
    <row r="103" spans="1:259" ht="15" customHeight="1" x14ac:dyDescent="0.25">
      <c r="A103" s="79"/>
      <c r="B103" s="707">
        <v>-5.0004848113813427</v>
      </c>
      <c r="C103" s="708">
        <v>0.67856388614937968</v>
      </c>
      <c r="D103" s="709">
        <v>-0.87540264021436298</v>
      </c>
      <c r="E103" s="710">
        <v>-0.39183053615558172</v>
      </c>
      <c r="F103" s="708">
        <v>-0.89411601365418103</v>
      </c>
      <c r="G103" s="711">
        <v>0.21685337226611395</v>
      </c>
      <c r="H103" s="710">
        <v>0.26600000000000001</v>
      </c>
      <c r="I103" s="708">
        <v>0.52</v>
      </c>
      <c r="J103" s="570">
        <v>6.2350000000000003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1313</v>
      </c>
      <c r="L103" s="320"/>
      <c r="M103" s="168">
        <f t="shared" si="464"/>
        <v>6.2350000000000003</v>
      </c>
      <c r="N103" s="632">
        <f t="shared" si="465"/>
        <v>-5.0004848113813427</v>
      </c>
      <c r="O103" s="629">
        <f t="shared" si="466"/>
        <v>0.67856388614937968</v>
      </c>
      <c r="P103" s="633">
        <f t="shared" si="467"/>
        <v>-0.87540264021436298</v>
      </c>
      <c r="Q103" s="585">
        <f t="shared" si="520"/>
        <v>172.2721881213657</v>
      </c>
      <c r="R103" s="629">
        <f t="shared" si="79"/>
        <v>5.0463152196867025</v>
      </c>
      <c r="S103" s="634">
        <f t="shared" si="80"/>
        <v>-0.87540264021436298</v>
      </c>
      <c r="T103" s="635">
        <f t="shared" si="81"/>
        <v>0.67856388614938179</v>
      </c>
      <c r="U103" s="629">
        <f t="shared" si="82"/>
        <v>5.0004848113813427</v>
      </c>
      <c r="V103" s="636">
        <f t="shared" si="114"/>
        <v>-0.87540264021436298</v>
      </c>
      <c r="W103" s="585">
        <f t="shared" si="645"/>
        <v>82.272188121365701</v>
      </c>
      <c r="X103" s="629">
        <f t="shared" si="83"/>
        <v>5.0463152196867025</v>
      </c>
      <c r="Y103" s="630">
        <f t="shared" si="644"/>
        <v>-0.87540264021436298</v>
      </c>
      <c r="Z103" s="632">
        <f t="shared" si="468"/>
        <v>0.39183053615558172</v>
      </c>
      <c r="AA103" s="629">
        <f t="shared" si="469"/>
        <v>0.89411601365418103</v>
      </c>
      <c r="AB103" s="629">
        <f t="shared" si="470"/>
        <v>-0.21685337226611395</v>
      </c>
      <c r="AC103" s="636">
        <f t="shared" si="84"/>
        <v>1</v>
      </c>
      <c r="AD103" s="637">
        <f t="shared" si="115"/>
        <v>0.39183053615558172</v>
      </c>
      <c r="AE103" s="629">
        <f t="shared" si="85"/>
        <v>0.89411601365418103</v>
      </c>
      <c r="AF103" s="633">
        <f t="shared" si="86"/>
        <v>-0.21685337226611395</v>
      </c>
      <c r="AG103" s="602">
        <f t="shared" si="87"/>
        <v>76.367075452970354</v>
      </c>
      <c r="AH103" s="603">
        <f t="shared" si="88"/>
        <v>66.9315512465068</v>
      </c>
      <c r="AI103" s="585">
        <f t="shared" si="89"/>
        <v>-77.475716667636107</v>
      </c>
      <c r="AJ103" s="586">
        <f t="shared" si="90"/>
        <v>156.33541376449605</v>
      </c>
      <c r="AK103" s="635">
        <f t="shared" si="211"/>
        <v>0.93868404786460813</v>
      </c>
      <c r="AL103" s="629">
        <f t="shared" si="91"/>
        <v>-0.26804267052342334</v>
      </c>
      <c r="AM103" s="634">
        <f t="shared" si="92"/>
        <v>-0.21685337226611395</v>
      </c>
      <c r="AN103" s="581">
        <f t="shared" si="93"/>
        <v>-51.026255953059263</v>
      </c>
      <c r="AO103" s="582">
        <f t="shared" si="461"/>
        <v>20.168279088339876</v>
      </c>
      <c r="AP103" s="585">
        <f t="shared" si="95"/>
        <v>-15.936774356869643</v>
      </c>
      <c r="AQ103" s="586">
        <f t="shared" si="471"/>
        <v>0.4517512862260506</v>
      </c>
      <c r="AS103" s="52">
        <f t="shared" si="543"/>
        <v>-277.72781187863427</v>
      </c>
      <c r="AT103" s="73">
        <f t="shared" si="472"/>
        <v>-0.68253610418753363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>Taper</v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6.2350000000000003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6.1349999999999998</v>
      </c>
      <c r="II103" s="734" cm="1">
        <f t="array" ref="II103">IFERROR(ROUND(VALUE(IF($IH103&lt;1,$IH103+LARGE((IF($M$9:$M$150="",0,$M$9:$M$150)-MOD(IF($M$9:$M$150="",0,$M$9:$M$150),1)),1),$IH103)),4),"")</f>
        <v>6.1349999999999998</v>
      </c>
      <c r="IJ103" s="533">
        <f t="shared" si="542"/>
        <v>1613</v>
      </c>
      <c r="IK103" s="533">
        <f t="shared" si="517"/>
        <v>1313</v>
      </c>
      <c r="IL103" s="727">
        <f t="shared" si="647"/>
        <v>12.082798255459807</v>
      </c>
      <c r="IM103" s="759">
        <v>1.5240299840776101E-3</v>
      </c>
      <c r="IN103" s="5">
        <f t="shared" si="648"/>
        <v>0</v>
      </c>
      <c r="IO103" s="771">
        <v>0</v>
      </c>
      <c r="IP103" s="9">
        <f t="shared" si="649"/>
        <v>-5.0175151328256398</v>
      </c>
      <c r="IQ103" s="5">
        <f t="shared" si="650"/>
        <v>-0.91380275602911221</v>
      </c>
      <c r="IR103" s="5">
        <f t="shared" si="518"/>
        <v>0.314</v>
      </c>
      <c r="IS103" s="5">
        <f t="shared" si="651"/>
        <v>0.2990190433127024</v>
      </c>
      <c r="IT103" s="727">
        <f t="shared" si="652"/>
        <v>53.083254641586564</v>
      </c>
      <c r="IU103" s="9">
        <f t="shared" si="653"/>
        <v>-5.0463152196867025</v>
      </c>
      <c r="IV103" s="5">
        <f t="shared" si="654"/>
        <v>-0.87540264021436298</v>
      </c>
      <c r="IW103" s="5">
        <f t="shared" si="519"/>
        <v>0.26600000000000001</v>
      </c>
      <c r="IX103" s="5">
        <f t="shared" si="655"/>
        <v>0.24968995673198577</v>
      </c>
      <c r="IY103" s="762">
        <f t="shared" si="656"/>
        <v>51.026255953059263</v>
      </c>
    </row>
    <row r="104" spans="1:259" ht="15" customHeight="1" x14ac:dyDescent="0.25">
      <c r="A104" s="79"/>
      <c r="B104" s="707">
        <v>-5.4736374661657567</v>
      </c>
      <c r="C104" s="708">
        <v>0.69763669445557319</v>
      </c>
      <c r="D104" s="709">
        <v>-1.47870445977265</v>
      </c>
      <c r="E104" s="710">
        <v>-0.45815530488281886</v>
      </c>
      <c r="F104" s="708">
        <v>-0.87425722127381722</v>
      </c>
      <c r="G104" s="711">
        <v>0.16052422763656338</v>
      </c>
      <c r="H104" s="710">
        <v>0.26600000000000001</v>
      </c>
      <c r="I104" s="708">
        <v>0.52</v>
      </c>
      <c r="J104" s="570">
        <v>6.242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1313</v>
      </c>
      <c r="L104" s="320"/>
      <c r="M104" s="168">
        <f t="shared" si="464"/>
        <v>6.242</v>
      </c>
      <c r="N104" s="632">
        <f t="shared" si="465"/>
        <v>-5.4736374661657567</v>
      </c>
      <c r="O104" s="629">
        <f t="shared" si="466"/>
        <v>0.69763669445557319</v>
      </c>
      <c r="P104" s="633">
        <f t="shared" si="467"/>
        <v>-1.47870445977265</v>
      </c>
      <c r="Q104" s="585">
        <f t="shared" si="520"/>
        <v>172.73658805431467</v>
      </c>
      <c r="R104" s="629">
        <f t="shared" si="79"/>
        <v>5.5179166420365924</v>
      </c>
      <c r="S104" s="634">
        <f t="shared" si="80"/>
        <v>-1.47870445977265</v>
      </c>
      <c r="T104" s="635">
        <f t="shared" si="81"/>
        <v>0.6976366944555743</v>
      </c>
      <c r="U104" s="629">
        <f t="shared" si="82"/>
        <v>5.4736374661657559</v>
      </c>
      <c r="V104" s="636">
        <f t="shared" si="114"/>
        <v>-1.47870445977265</v>
      </c>
      <c r="W104" s="585">
        <f t="shared" si="645"/>
        <v>82.736588054314666</v>
      </c>
      <c r="X104" s="629">
        <f t="shared" si="83"/>
        <v>5.5179166420365924</v>
      </c>
      <c r="Y104" s="630">
        <f t="shared" si="644"/>
        <v>-1.47870445977265</v>
      </c>
      <c r="Z104" s="632">
        <f t="shared" si="468"/>
        <v>0.45815530488281886</v>
      </c>
      <c r="AA104" s="629">
        <f t="shared" si="469"/>
        <v>0.87425722127381722</v>
      </c>
      <c r="AB104" s="629">
        <f t="shared" si="470"/>
        <v>-0.16052422763656338</v>
      </c>
      <c r="AC104" s="636">
        <f t="shared" si="84"/>
        <v>1</v>
      </c>
      <c r="AD104" s="637">
        <f t="shared" si="115"/>
        <v>0.45815530488281886</v>
      </c>
      <c r="AE104" s="629">
        <f t="shared" si="85"/>
        <v>0.87425722127381722</v>
      </c>
      <c r="AF104" s="633">
        <f t="shared" si="86"/>
        <v>-0.16052422763656338</v>
      </c>
      <c r="AG104" s="602">
        <f t="shared" si="87"/>
        <v>79.595688703099768</v>
      </c>
      <c r="AH104" s="603">
        <f t="shared" si="88"/>
        <v>62.731863386167994</v>
      </c>
      <c r="AI104" s="585">
        <f t="shared" si="89"/>
        <v>-80.762674432469083</v>
      </c>
      <c r="AJ104" s="586">
        <f t="shared" si="90"/>
        <v>152.34317238211568</v>
      </c>
      <c r="AK104" s="635">
        <f t="shared" si="211"/>
        <v>0.92516675496422141</v>
      </c>
      <c r="AL104" s="629">
        <f t="shared" si="91"/>
        <v>-0.34394541405673251</v>
      </c>
      <c r="AM104" s="634">
        <f t="shared" si="92"/>
        <v>-0.16052422763656338</v>
      </c>
      <c r="AN104" s="581">
        <f t="shared" si="93"/>
        <v>-64.980867563868969</v>
      </c>
      <c r="AO104" s="582">
        <f t="shared" si="461"/>
        <v>22.306486343622684</v>
      </c>
      <c r="AP104" s="585">
        <f t="shared" si="95"/>
        <v>-20.393415672198994</v>
      </c>
      <c r="AQ104" s="586">
        <f t="shared" si="471"/>
        <v>0.41314272556952808</v>
      </c>
      <c r="AS104" s="52">
        <f t="shared" si="543"/>
        <v>-277.26341194568533</v>
      </c>
      <c r="AT104" s="73">
        <f t="shared" si="472"/>
        <v>-1.2861604236992574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Taper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6.242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6.1420000000000003</v>
      </c>
      <c r="II104" s="734" cm="1">
        <f t="array" ref="II104">IFERROR(ROUND(VALUE(IF($IH104&lt;1,$IH104+LARGE((IF($M$9:$M$150="",0,$M$9:$M$150)-MOD(IF($M$9:$M$150="",0,$M$9:$M$150),1)),1),$IH104)),4),"")</f>
        <v>6.1420000000000003</v>
      </c>
      <c r="IJ104" s="533">
        <f t="shared" si="542"/>
        <v>1613</v>
      </c>
      <c r="IK104" s="533">
        <f t="shared" si="517"/>
        <v>1313</v>
      </c>
      <c r="IL104" s="727">
        <f t="shared" si="647"/>
        <v>11.116398394990654</v>
      </c>
      <c r="IM104" s="759">
        <v>1.17107608408495E-3</v>
      </c>
      <c r="IN104" s="5">
        <f t="shared" si="648"/>
        <v>0</v>
      </c>
      <c r="IO104" s="771">
        <v>0</v>
      </c>
      <c r="IP104" s="9">
        <f t="shared" si="649"/>
        <v>-5.4808165301426559</v>
      </c>
      <c r="IQ104" s="5">
        <f t="shared" si="650"/>
        <v>-1.5095045526657311</v>
      </c>
      <c r="IR104" s="5">
        <f t="shared" si="518"/>
        <v>0.314</v>
      </c>
      <c r="IS104" s="5">
        <f t="shared" si="651"/>
        <v>0.29521731613318808</v>
      </c>
      <c r="IT104" s="727">
        <f t="shared" si="652"/>
        <v>66.894592674471411</v>
      </c>
      <c r="IU104" s="9">
        <f t="shared" si="653"/>
        <v>-5.5179166420365924</v>
      </c>
      <c r="IV104" s="5">
        <f t="shared" si="654"/>
        <v>-1.47870445977265</v>
      </c>
      <c r="IW104" s="5">
        <f t="shared" si="519"/>
        <v>0.26600000000000001</v>
      </c>
      <c r="IX104" s="5">
        <f t="shared" si="655"/>
        <v>0.24609435682048292</v>
      </c>
      <c r="IY104" s="762">
        <f t="shared" si="656"/>
        <v>64.980867563868969</v>
      </c>
    </row>
    <row r="105" spans="1:259" ht="15" customHeight="1" x14ac:dyDescent="0.25">
      <c r="A105" s="79"/>
      <c r="B105" s="707">
        <v>-5.7610884460581557</v>
      </c>
      <c r="C105" s="708">
        <v>0.73446760529756505</v>
      </c>
      <c r="D105" s="709">
        <v>-2.1872065966150953</v>
      </c>
      <c r="E105" s="710">
        <v>-0.54120405012761663</v>
      </c>
      <c r="F105" s="708">
        <v>-0.83488200426784931</v>
      </c>
      <c r="G105" s="711">
        <v>0.10035046126034106</v>
      </c>
      <c r="H105" s="710">
        <v>0.26600000000000001</v>
      </c>
      <c r="I105" s="708">
        <v>0.52</v>
      </c>
      <c r="J105" s="570">
        <v>6.2489999999999997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1313</v>
      </c>
      <c r="L105" s="320"/>
      <c r="M105" s="168">
        <f t="shared" ref="M105:M136" si="660">IF(J105="","",VALUE(J105))</f>
        <v>6.2489999999999997</v>
      </c>
      <c r="N105" s="632">
        <f t="shared" ref="N105:N136" si="661">IF(M105="","",B105)</f>
        <v>-5.7610884460581557</v>
      </c>
      <c r="O105" s="629">
        <f t="shared" ref="O105:O136" si="662">IF(M105="","",C105)</f>
        <v>0.73446760529756505</v>
      </c>
      <c r="P105" s="633">
        <f t="shared" ref="P105:P136" si="663">IF(M105="","",D105)</f>
        <v>-2.1872065966150953</v>
      </c>
      <c r="Q105" s="585">
        <f t="shared" si="520"/>
        <v>172.73468805458899</v>
      </c>
      <c r="R105" s="629">
        <f t="shared" si="79"/>
        <v>5.8077175160760284</v>
      </c>
      <c r="S105" s="634">
        <f t="shared" si="80"/>
        <v>-2.1872065966150953</v>
      </c>
      <c r="T105" s="635">
        <f t="shared" si="81"/>
        <v>0.73446760529756649</v>
      </c>
      <c r="U105" s="629">
        <f t="shared" si="82"/>
        <v>5.7610884460581548</v>
      </c>
      <c r="V105" s="636">
        <f t="shared" si="114"/>
        <v>-2.1872065966150953</v>
      </c>
      <c r="W105" s="585">
        <f t="shared" si="645"/>
        <v>82.734688054588986</v>
      </c>
      <c r="X105" s="629">
        <f t="shared" si="83"/>
        <v>5.8077175160760284</v>
      </c>
      <c r="Y105" s="630">
        <f t="shared" si="644"/>
        <v>-2.1872065966150953</v>
      </c>
      <c r="Z105" s="632">
        <f t="shared" ref="Z105:Z136" si="664">IF(M105="","",-E105)</f>
        <v>0.54120405012761663</v>
      </c>
      <c r="AA105" s="629">
        <f t="shared" ref="AA105:AA136" si="665">IF(M105="","",-F105)</f>
        <v>0.83488200426784931</v>
      </c>
      <c r="AB105" s="629">
        <f t="shared" ref="AB105:AB136" si="666">IF(M105="","",-G105)</f>
        <v>-0.10035046126034106</v>
      </c>
      <c r="AC105" s="636">
        <f t="shared" si="84"/>
        <v>1</v>
      </c>
      <c r="AD105" s="637">
        <f t="shared" si="115"/>
        <v>0.54120405012761663</v>
      </c>
      <c r="AE105" s="629">
        <f t="shared" si="85"/>
        <v>0.83488200426784931</v>
      </c>
      <c r="AF105" s="633">
        <f t="shared" si="86"/>
        <v>-0.10035046126034106</v>
      </c>
      <c r="AG105" s="602">
        <f t="shared" si="87"/>
        <v>83.146089728206562</v>
      </c>
      <c r="AH105" s="603">
        <f t="shared" si="88"/>
        <v>57.234358574407281</v>
      </c>
      <c r="AI105" s="585">
        <f t="shared" si="89"/>
        <v>-84.240648054911873</v>
      </c>
      <c r="AJ105" s="586">
        <f t="shared" si="90"/>
        <v>147.04707239644546</v>
      </c>
      <c r="AK105" s="635">
        <f t="shared" si="211"/>
        <v>0.8966217617970984</v>
      </c>
      <c r="AL105" s="629">
        <f t="shared" si="91"/>
        <v>-0.43127624696556632</v>
      </c>
      <c r="AM105" s="634">
        <f t="shared" si="92"/>
        <v>-0.10035046126034106</v>
      </c>
      <c r="AN105" s="581">
        <f t="shared" si="93"/>
        <v>-76.901344112983921</v>
      </c>
      <c r="AO105" s="582">
        <f t="shared" si="461"/>
        <v>26.282494198223574</v>
      </c>
      <c r="AP105" s="585">
        <f t="shared" si="95"/>
        <v>-25.68761565814351</v>
      </c>
      <c r="AQ105" s="586">
        <f t="shared" ref="AQ105:AQ136" si="667">IF(M105="","",DEGREES(ATAN(($AS$5*SIN(RADIANS(90)))/(($X105*2*PI())-($AS$5*COS(RADIANS(90)))))))</f>
        <v>0.39252786646352067</v>
      </c>
      <c r="AS105" s="52">
        <f t="shared" si="543"/>
        <v>-277.26531194541099</v>
      </c>
      <c r="AT105" s="73">
        <f t="shared" ref="AT105:AT136" si="668">IF(M105="","",Y105+(((AS105-$AS$9)*$AS$6)*-1))</f>
        <v>-1.9946612410974487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6.2489999999999997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6.149</v>
      </c>
      <c r="II105" s="734" cm="1">
        <f t="array" ref="II105">IFERROR(ROUND(VALUE(IF($IH105&lt;1,$IH105+LARGE((IF($M$9:$M$150="",0,$M$9:$M$150)-MOD(IF($M$9:$M$150="",0,$M$9:$M$150),1)),1),$IH105)),4),"")</f>
        <v>6.149</v>
      </c>
      <c r="IJ105" s="533">
        <f t="shared" si="542"/>
        <v>1613</v>
      </c>
      <c r="IK105" s="533">
        <f t="shared" ref="IK105:IK136" si="713">IF(ISNUMBER($II105),INDEX($K$9:$K$150,MATCH($IG105,$M$9:$M$150,0)),"")</f>
        <v>1313</v>
      </c>
      <c r="IL105" s="727">
        <f t="shared" si="647"/>
        <v>10.796298441207369</v>
      </c>
      <c r="IM105" s="759">
        <v>7.9374854533197504E-4</v>
      </c>
      <c r="IN105" s="5">
        <f t="shared" si="648"/>
        <v>0</v>
      </c>
      <c r="IO105" s="771">
        <v>0</v>
      </c>
      <c r="IP105" s="9">
        <f t="shared" si="649"/>
        <v>-5.7646173860860372</v>
      </c>
      <c r="IQ105" s="5">
        <f t="shared" si="650"/>
        <v>-2.2086066611576904</v>
      </c>
      <c r="IR105" s="5">
        <f t="shared" ref="IR105:IR136" si="714">IF(ISNUMBER($II105),INDEX($H$9:$H$150,MATCH($II105,$M$9:$M$150,0)),"")</f>
        <v>0.314</v>
      </c>
      <c r="IS105" s="5">
        <f t="shared" si="651"/>
        <v>0.28712879938118618</v>
      </c>
      <c r="IT105" s="727">
        <f t="shared" si="652"/>
        <v>78.351305893694175</v>
      </c>
      <c r="IU105" s="9">
        <f t="shared" si="653"/>
        <v>-5.8077175160760284</v>
      </c>
      <c r="IV105" s="5">
        <f t="shared" si="654"/>
        <v>-2.1872065966150953</v>
      </c>
      <c r="IW105" s="5">
        <f t="shared" ref="IW105:IW136" si="715">IF(ISNUMBER($II105),$H105,"")</f>
        <v>0.26600000000000001</v>
      </c>
      <c r="IX105" s="5">
        <f t="shared" si="655"/>
        <v>0.23850138863802819</v>
      </c>
      <c r="IY105" s="762">
        <f t="shared" si="656"/>
        <v>76.901344112983921</v>
      </c>
    </row>
    <row r="106" spans="1:259" ht="15" customHeight="1" x14ac:dyDescent="0.25">
      <c r="A106" s="79"/>
      <c r="B106" s="707">
        <v>-5.8451756770441996</v>
      </c>
      <c r="C106" s="708">
        <v>0.79815512067282268</v>
      </c>
      <c r="D106" s="709">
        <v>-2.9477088902900141</v>
      </c>
      <c r="E106" s="710">
        <v>-0.65409550716542408</v>
      </c>
      <c r="F106" s="708">
        <v>-0.75601014063675054</v>
      </c>
      <c r="G106" s="711">
        <v>2.4652276982209138E-2</v>
      </c>
      <c r="H106" s="710">
        <v>0.26600000000000001</v>
      </c>
      <c r="I106" s="708">
        <v>0.52</v>
      </c>
      <c r="J106" s="570">
        <v>6.2560000000000002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1313</v>
      </c>
      <c r="L106" s="320"/>
      <c r="M106" s="168">
        <f t="shared" si="660"/>
        <v>6.2560000000000002</v>
      </c>
      <c r="N106" s="632">
        <f t="shared" si="661"/>
        <v>-5.8451756770441996</v>
      </c>
      <c r="O106" s="629">
        <f t="shared" si="662"/>
        <v>0.79815512067282268</v>
      </c>
      <c r="P106" s="633">
        <f t="shared" si="663"/>
        <v>-2.9477088902900141</v>
      </c>
      <c r="Q106" s="585">
        <f t="shared" si="520"/>
        <v>172.22438613931692</v>
      </c>
      <c r="R106" s="629">
        <f t="shared" ref="R106:R129" si="716">IF(M106="","",SQRT(N106^2+O106^2))</f>
        <v>5.8994177926440639</v>
      </c>
      <c r="S106" s="634">
        <f t="shared" ref="S106:S129" si="717">IF(M106="","",P106)</f>
        <v>-2.9477088902900141</v>
      </c>
      <c r="T106" s="635">
        <f t="shared" ref="T106:T129" si="718">IF(M106="","",X106*COS(RADIANS(W106)))</f>
        <v>0.79815512067282202</v>
      </c>
      <c r="U106" s="629">
        <f t="shared" ref="U106:U129" si="719">IF(M106="","",X106*SIN(RADIANS(W106)))</f>
        <v>5.8451756770441987</v>
      </c>
      <c r="V106" s="636">
        <f t="shared" ref="V106:V129" si="720">IF(M106="","",Y106)</f>
        <v>-2.9477088902900141</v>
      </c>
      <c r="W106" s="585">
        <f t="shared" si="645"/>
        <v>82.22438613931692</v>
      </c>
      <c r="X106" s="629">
        <f t="shared" ref="X106:X129" si="721">IF(M106="","",R106)</f>
        <v>5.8994177926440639</v>
      </c>
      <c r="Y106" s="630">
        <f t="shared" si="644"/>
        <v>-2.9477088902900141</v>
      </c>
      <c r="Z106" s="632">
        <f t="shared" si="664"/>
        <v>0.65409550716542408</v>
      </c>
      <c r="AA106" s="629">
        <f t="shared" si="665"/>
        <v>0.75601014063675054</v>
      </c>
      <c r="AB106" s="629">
        <f t="shared" si="666"/>
        <v>-2.4652276982209138E-2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0.65409550716542408</v>
      </c>
      <c r="AE106" s="629">
        <f t="shared" ref="AE106:AE129" si="724">IF(M106="","",AA106*(1/SQRT(Z106^2+AA106^2+AB106^2)))</f>
        <v>0.75601014063675054</v>
      </c>
      <c r="AF106" s="633">
        <f t="shared" ref="AF106:AF129" si="725">IF(M106="","",AB106*(1/SQRT(Z106^2+AA106^2+AB106^2)))</f>
        <v>-2.4652276982209138E-2</v>
      </c>
      <c r="AG106" s="602">
        <f t="shared" ref="AG106:AG129" si="726">IF(M106="","",DEGREES(ATAN2(-AF106,AE106)))</f>
        <v>88.132338391662515</v>
      </c>
      <c r="AH106" s="603">
        <f t="shared" ref="AH106:AH129" si="727">IF(M106="","",DEGREES(ACOS(AD106)))</f>
        <v>49.148897949697165</v>
      </c>
      <c r="AI106" s="585">
        <f t="shared" ref="AI106:AI129" si="728">IF(M106="","",DEGREES(-ACOS(-AF106)))</f>
        <v>-88.587385466394096</v>
      </c>
      <c r="AJ106" s="586">
        <f t="shared" ref="AJ106:AJ129" si="729">IF(M106="","",DEGREES(ATAN2(-AE106,AD106)))</f>
        <v>139.13383406887493</v>
      </c>
      <c r="AK106" s="635">
        <f t="shared" ref="AK106:AK129" si="730">IF(M106="","",(COS(RADIANS((90-$Q$8)-W106))*AD106)+(-SIN(RADIANS((90-$Q$8)-W106))*AE106))</f>
        <v>0.83755413462373574</v>
      </c>
      <c r="AL106" s="629">
        <f t="shared" ref="AL106:AL129" si="731">IF(M106="","",(SIN(RADIANS((90-$Q$8)-W106))*AD106)+(COS(RADIANS((90-$Q$8)-W106))*AE106))</f>
        <v>-0.545797890078624</v>
      </c>
      <c r="AM106" s="634">
        <f t="shared" ref="AM106:AM129" si="732">IF(M106="","",AF106)</f>
        <v>-2.4652276982209138E-2</v>
      </c>
      <c r="AN106" s="581">
        <f t="shared" ref="AN106:AN129" si="733">IF(M106="","",DEGREES(ATAN2(-AM106,AL106)))</f>
        <v>-87.41385574972486</v>
      </c>
      <c r="AO106" s="582">
        <f t="shared" si="461"/>
        <v>33.117263580541568</v>
      </c>
      <c r="AP106" s="585">
        <f t="shared" ref="AP106:AP129" si="734">IF(M106="","",DEGREES(ATAN2(AK106,AL106)))</f>
        <v>-33.09055207044198</v>
      </c>
      <c r="AQ106" s="586">
        <f t="shared" si="667"/>
        <v>0.38642661799527867</v>
      </c>
      <c r="AS106" s="52">
        <f t="shared" si="543"/>
        <v>-277.77561386068305</v>
      </c>
      <c r="AT106" s="73">
        <f t="shared" si="668"/>
        <v>-2.7548091584423178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>Taper</v>
      </c>
      <c r="IF106" s="533" t="str">
        <f>IFERROR(IF((((($IW106*COS(RADIANS(180-$IY106)))*COS(RADIANS($IY106)))-(($IX106*SIN(RADIANS(180-$IY106)))*SIN(RADIANS($IY106))))+$IU106)&lt;(((Settings!$C$19+$IF$8)/2)*-1),"Gage",""),"")</f>
        <v>Gage</v>
      </c>
      <c r="IG106" s="847">
        <f t="shared" si="643"/>
        <v>6.2560000000000002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6.1559999999999997</v>
      </c>
      <c r="II106" s="734" cm="1">
        <f t="array" ref="II106">IFERROR(ROUND(VALUE(IF($IH106&lt;1,$IH106+LARGE((IF($M$9:$M$150="",0,$M$9:$M$150)-MOD(IF($M$9:$M$150="",0,$M$9:$M$150),1)),1),$IH106)),4),"")</f>
        <v>6.1559999999999997</v>
      </c>
      <c r="IJ106" s="533">
        <f t="shared" si="542"/>
        <v>1613</v>
      </c>
      <c r="IK106" s="533">
        <f t="shared" si="713"/>
        <v>1313</v>
      </c>
      <c r="IL106" s="727">
        <f t="shared" si="647"/>
        <v>11.204600371206396</v>
      </c>
      <c r="IM106" s="759">
        <v>3.6843747727617002E-4</v>
      </c>
      <c r="IN106" s="5">
        <f t="shared" si="648"/>
        <v>0</v>
      </c>
      <c r="IO106" s="771">
        <v>0</v>
      </c>
      <c r="IP106" s="9">
        <f t="shared" si="649"/>
        <v>-5.853517654209246</v>
      </c>
      <c r="IQ106" s="5">
        <f t="shared" si="650"/>
        <v>-2.9586089231645127</v>
      </c>
      <c r="IR106" s="5">
        <f t="shared" si="714"/>
        <v>0.314</v>
      </c>
      <c r="IS106" s="5">
        <f t="shared" si="651"/>
        <v>0.2700498691133616</v>
      </c>
      <c r="IT106" s="727">
        <f t="shared" si="652"/>
        <v>88.308054455547264</v>
      </c>
      <c r="IU106" s="9">
        <f t="shared" si="653"/>
        <v>-5.8994177926440639</v>
      </c>
      <c r="IV106" s="5">
        <f t="shared" si="654"/>
        <v>-2.9477088902900141</v>
      </c>
      <c r="IW106" s="5">
        <f t="shared" si="715"/>
        <v>0.26600000000000001</v>
      </c>
      <c r="IX106" s="5">
        <f t="shared" si="655"/>
        <v>0.22278939980991372</v>
      </c>
      <c r="IY106" s="762">
        <f t="shared" si="656"/>
        <v>87.41385574972486</v>
      </c>
    </row>
    <row r="107" spans="1:259" ht="15" customHeight="1" x14ac:dyDescent="0.25">
      <c r="A107" s="79"/>
      <c r="B107" s="707">
        <v>-5.7583428150864231</v>
      </c>
      <c r="C107" s="708">
        <v>1.2634317371387747</v>
      </c>
      <c r="D107" s="709">
        <v>-3.7521113163677304</v>
      </c>
      <c r="E107" s="710">
        <v>-0.9767655139625131</v>
      </c>
      <c r="F107" s="708">
        <v>0.21431082738279059</v>
      </c>
      <c r="G107" s="711">
        <v>2.2679489841879947E-7</v>
      </c>
      <c r="H107" s="710">
        <v>0.25700000000000001</v>
      </c>
      <c r="I107" s="708">
        <v>0.41499999999999992</v>
      </c>
      <c r="J107" s="570">
        <v>6.2629999999999999</v>
      </c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CPS-32193r1</v>
      </c>
      <c r="L107" s="320"/>
      <c r="M107" s="168">
        <f t="shared" si="660"/>
        <v>6.2629999999999999</v>
      </c>
      <c r="N107" s="632">
        <f t="shared" si="661"/>
        <v>-5.7583428150864231</v>
      </c>
      <c r="O107" s="629">
        <f t="shared" si="662"/>
        <v>1.2634317371387747</v>
      </c>
      <c r="P107" s="633">
        <f t="shared" si="663"/>
        <v>-3.7521113163677304</v>
      </c>
      <c r="Q107" s="585">
        <f t="shared" si="520"/>
        <v>167.62488879235272</v>
      </c>
      <c r="R107" s="629">
        <f t="shared" si="716"/>
        <v>5.8953177802784245</v>
      </c>
      <c r="S107" s="634">
        <f t="shared" si="717"/>
        <v>-3.7521113163677304</v>
      </c>
      <c r="T107" s="635">
        <f t="shared" si="718"/>
        <v>1.2634317371387758</v>
      </c>
      <c r="U107" s="629">
        <f t="shared" si="719"/>
        <v>5.7583428150864231</v>
      </c>
      <c r="V107" s="636">
        <f t="shared" si="720"/>
        <v>-3.7521113163677304</v>
      </c>
      <c r="W107" s="585">
        <f t="shared" si="645"/>
        <v>77.624888792352721</v>
      </c>
      <c r="X107" s="629">
        <f t="shared" si="721"/>
        <v>5.8953177802784245</v>
      </c>
      <c r="Y107" s="630">
        <f t="shared" si="644"/>
        <v>-3.7521113163677304</v>
      </c>
      <c r="Z107" s="632">
        <f t="shared" si="664"/>
        <v>0.9767655139625131</v>
      </c>
      <c r="AA107" s="629">
        <f t="shared" si="665"/>
        <v>-0.21431082738279059</v>
      </c>
      <c r="AB107" s="629">
        <f t="shared" si="666"/>
        <v>-2.2679489841879947E-7</v>
      </c>
      <c r="AC107" s="636">
        <f t="shared" si="722"/>
        <v>1</v>
      </c>
      <c r="AD107" s="637">
        <f t="shared" si="723"/>
        <v>0.9767655139625131</v>
      </c>
      <c r="AE107" s="629">
        <f t="shared" si="724"/>
        <v>-0.21431082738279059</v>
      </c>
      <c r="AF107" s="633">
        <f t="shared" si="725"/>
        <v>-2.2679489841879947E-7</v>
      </c>
      <c r="AG107" s="602">
        <f t="shared" si="726"/>
        <v>-89.999939366616928</v>
      </c>
      <c r="AH107" s="603">
        <f t="shared" si="727"/>
        <v>12.375098213263582</v>
      </c>
      <c r="AI107" s="585">
        <f t="shared" si="728"/>
        <v>-89.999987005609512</v>
      </c>
      <c r="AJ107" s="586">
        <f t="shared" si="729"/>
        <v>77.624901786743123</v>
      </c>
      <c r="AK107" s="635">
        <f t="shared" si="730"/>
        <v>2.2679489691812549E-7</v>
      </c>
      <c r="AL107" s="629">
        <f t="shared" si="731"/>
        <v>-0.9999999999999486</v>
      </c>
      <c r="AM107" s="634">
        <f t="shared" si="732"/>
        <v>-2.2679489841879947E-7</v>
      </c>
      <c r="AN107" s="581">
        <f t="shared" si="733"/>
        <v>-89.999987005609512</v>
      </c>
      <c r="AO107" s="582">
        <f t="shared" si="461"/>
        <v>0</v>
      </c>
      <c r="AP107" s="585">
        <f t="shared" si="734"/>
        <v>-89.999987005609597</v>
      </c>
      <c r="AQ107" s="586">
        <f t="shared" si="667"/>
        <v>0.38669535767588226</v>
      </c>
      <c r="AS107" s="52">
        <f t="shared" ref="AS107:AS138" si="737">IF(G107="","",IF(AND(W107&lt;(AS106+180),W107&gt;(AS106-180)),W107,IF(W107&gt;(AS106+180),W107-360,IF(W107&lt;(AS106-180),W107+360,"Error"))))</f>
        <v>-282.37511120764725</v>
      </c>
      <c r="AT107" s="73">
        <f t="shared" si="668"/>
        <v>-3.5560174891401974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Taper</v>
      </c>
      <c r="IF107" s="533" t="str">
        <f>IFERROR(IF((((($IW107*COS(RADIANS(180-$IY107)))*COS(RADIANS($IY107)))-(($IX107*SIN(RADIANS(180-$IY107)))*SIN(RADIANS($IY107))))+$IU107)&lt;(((Settings!$C$19+$IF$8)/2)*-1),"Gage",""),"")</f>
        <v>Gage</v>
      </c>
      <c r="IG107" s="847">
        <f t="shared" si="643"/>
        <v>6.2629999999999999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6.1630000000000003</v>
      </c>
      <c r="II107" s="734" cm="1">
        <f t="array" ref="II107">IFERROR(ROUND(VALUE(IF($IH107&lt;1,$IH107+LARGE((IF($M$9:$M$150="",0,$M$9:$M$150)-MOD(IF($M$9:$M$150="",0,$M$9:$M$150),1)),1),$IH107)),4),"")</f>
        <v>6.1630000000000003</v>
      </c>
      <c r="IJ107" s="533">
        <f t="shared" si="542"/>
        <v>1613</v>
      </c>
      <c r="IK107" s="533" t="str">
        <f t="shared" si="713"/>
        <v>CPS-32193r1</v>
      </c>
      <c r="IL107" s="727">
        <f t="shared" si="647"/>
        <v>15.757097724956566</v>
      </c>
      <c r="IM107" s="759">
        <v>2.02371340822515E-4</v>
      </c>
      <c r="IN107" s="5">
        <f t="shared" si="648"/>
        <v>0</v>
      </c>
      <c r="IO107" s="771">
        <v>0</v>
      </c>
      <c r="IP107" s="9">
        <f t="shared" si="649"/>
        <v>-5.8943177772624171</v>
      </c>
      <c r="IQ107" s="5">
        <f t="shared" si="650"/>
        <v>-3.7496113088277077</v>
      </c>
      <c r="IR107" s="5">
        <f t="shared" si="714"/>
        <v>0.314</v>
      </c>
      <c r="IS107" s="5">
        <f t="shared" si="651"/>
        <v>0.25721375779146971</v>
      </c>
      <c r="IT107" s="727">
        <f t="shared" si="652"/>
        <v>89.999987005609611</v>
      </c>
      <c r="IU107" s="9">
        <f t="shared" si="653"/>
        <v>-5.8953177802784245</v>
      </c>
      <c r="IV107" s="5">
        <f t="shared" si="654"/>
        <v>-3.7521113163677304</v>
      </c>
      <c r="IW107" s="5">
        <f t="shared" si="715"/>
        <v>0.25700000000000001</v>
      </c>
      <c r="IX107" s="5">
        <f t="shared" si="655"/>
        <v>0.25700000000000001</v>
      </c>
      <c r="IY107" s="762">
        <f t="shared" si="656"/>
        <v>89.999987005609512</v>
      </c>
    </row>
    <row r="108" spans="1:259" ht="15" customHeight="1" x14ac:dyDescent="0.25">
      <c r="A108" s="79"/>
      <c r="B108" s="707">
        <v>-1.9042887517527007</v>
      </c>
      <c r="C108" s="708">
        <v>1.6553733696905188</v>
      </c>
      <c r="D108" s="709">
        <v>-0.19480058751857196</v>
      </c>
      <c r="E108" s="710">
        <v>-0.59059493387648654</v>
      </c>
      <c r="F108" s="708">
        <v>-0.76646794931215134</v>
      </c>
      <c r="G108" s="711">
        <v>0.25243713426644238</v>
      </c>
      <c r="H108" s="710">
        <v>0.314</v>
      </c>
      <c r="I108" s="708">
        <v>0.52</v>
      </c>
      <c r="J108" s="570">
        <v>7.11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7.11</v>
      </c>
      <c r="N108" s="632">
        <f t="shared" si="661"/>
        <v>-1.9042887517527007</v>
      </c>
      <c r="O108" s="629">
        <f t="shared" si="662"/>
        <v>1.6553733696905188</v>
      </c>
      <c r="P108" s="633">
        <f t="shared" si="663"/>
        <v>-0.19480058751857196</v>
      </c>
      <c r="Q108" s="585">
        <f t="shared" si="520"/>
        <v>138.99999292527633</v>
      </c>
      <c r="R108" s="629">
        <f t="shared" si="716"/>
        <v>2.5232076099941523</v>
      </c>
      <c r="S108" s="634">
        <f t="shared" si="717"/>
        <v>-0.19480058751857196</v>
      </c>
      <c r="T108" s="635">
        <f t="shared" si="718"/>
        <v>1.6553733696905191</v>
      </c>
      <c r="U108" s="629">
        <f t="shared" si="719"/>
        <v>1.9042887517527005</v>
      </c>
      <c r="V108" s="636">
        <f t="shared" si="720"/>
        <v>-0.19480058751857196</v>
      </c>
      <c r="W108" s="585">
        <f t="shared" si="645"/>
        <v>48.999992925276331</v>
      </c>
      <c r="X108" s="629">
        <f t="shared" si="721"/>
        <v>2.5232076099941523</v>
      </c>
      <c r="Y108" s="630">
        <f t="shared" si="644"/>
        <v>-0.19480058751857196</v>
      </c>
      <c r="Z108" s="632">
        <f t="shared" si="664"/>
        <v>0.59059493387648654</v>
      </c>
      <c r="AA108" s="629">
        <f t="shared" si="665"/>
        <v>0.76646794931215134</v>
      </c>
      <c r="AB108" s="629">
        <f t="shared" si="666"/>
        <v>-0.25243713426644238</v>
      </c>
      <c r="AC108" s="636">
        <f t="shared" si="722"/>
        <v>1</v>
      </c>
      <c r="AD108" s="637">
        <f t="shared" si="723"/>
        <v>0.59059493387648654</v>
      </c>
      <c r="AE108" s="629">
        <f t="shared" si="724"/>
        <v>0.76646794931215134</v>
      </c>
      <c r="AF108" s="633">
        <f t="shared" si="725"/>
        <v>-0.25243713426644238</v>
      </c>
      <c r="AG108" s="602">
        <f t="shared" si="726"/>
        <v>71.770639700103715</v>
      </c>
      <c r="AH108" s="603">
        <f t="shared" si="727"/>
        <v>53.800762113321625</v>
      </c>
      <c r="AI108" s="585">
        <f t="shared" si="728"/>
        <v>-75.378223769899591</v>
      </c>
      <c r="AJ108" s="586">
        <f t="shared" si="729"/>
        <v>142.38427662379948</v>
      </c>
      <c r="AK108" s="635">
        <f t="shared" si="730"/>
        <v>0.96592583607220739</v>
      </c>
      <c r="AL108" s="629">
        <f t="shared" si="731"/>
        <v>5.7120683220295454E-2</v>
      </c>
      <c r="AM108" s="634">
        <f t="shared" si="732"/>
        <v>-0.25243713426644238</v>
      </c>
      <c r="AN108" s="581">
        <f t="shared" si="733"/>
        <v>12.74999815912806</v>
      </c>
      <c r="AO108" s="582">
        <f t="shared" si="461"/>
        <v>14.999997834268255</v>
      </c>
      <c r="AP108" s="585">
        <f t="shared" si="734"/>
        <v>3.3842836985231495</v>
      </c>
      <c r="AQ108" s="586">
        <f t="shared" si="667"/>
        <v>0.90342851239199706</v>
      </c>
      <c r="AS108" s="52">
        <f t="shared" si="737"/>
        <v>-311.00000707472367</v>
      </c>
      <c r="AT108" s="73">
        <f t="shared" si="668"/>
        <v>2.1171639616652804E-2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7.11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-2.4652950890660139</v>
      </c>
      <c r="C109" s="708">
        <v>2.1571394235657015</v>
      </c>
      <c r="D109" s="709">
        <v>-0.13960042103486986</v>
      </c>
      <c r="E109" s="710">
        <v>-0.66432271777007101</v>
      </c>
      <c r="F109" s="708">
        <v>-0.701652800746561</v>
      </c>
      <c r="G109" s="711">
        <v>0.25760177378871724</v>
      </c>
      <c r="H109" s="710">
        <v>0.314</v>
      </c>
      <c r="I109" s="708">
        <v>0.52</v>
      </c>
      <c r="J109" s="570">
        <v>7.117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0"/>
        <v>7.117</v>
      </c>
      <c r="N109" s="632">
        <f t="shared" si="661"/>
        <v>-2.4652950890660139</v>
      </c>
      <c r="O109" s="629">
        <f t="shared" si="662"/>
        <v>2.1571394235657015</v>
      </c>
      <c r="P109" s="633">
        <f t="shared" si="663"/>
        <v>-0.13960042103486986</v>
      </c>
      <c r="Q109" s="585">
        <f t="shared" si="520"/>
        <v>138.8139929521314</v>
      </c>
      <c r="R109" s="629">
        <f t="shared" si="716"/>
        <v>3.2758098798425972</v>
      </c>
      <c r="S109" s="634">
        <f t="shared" si="717"/>
        <v>-0.13960042103486986</v>
      </c>
      <c r="T109" s="635">
        <f t="shared" si="718"/>
        <v>2.157139423565702</v>
      </c>
      <c r="U109" s="629">
        <f t="shared" si="719"/>
        <v>2.4652950890660135</v>
      </c>
      <c r="V109" s="636">
        <f t="shared" si="720"/>
        <v>-0.13960042103486986</v>
      </c>
      <c r="W109" s="585">
        <f t="shared" si="645"/>
        <v>48.8139929521314</v>
      </c>
      <c r="X109" s="629">
        <f t="shared" si="721"/>
        <v>3.2758098798425972</v>
      </c>
      <c r="Y109" s="630">
        <f t="shared" si="644"/>
        <v>-0.13960042103486986</v>
      </c>
      <c r="Z109" s="632">
        <f t="shared" si="664"/>
        <v>0.66432271777007101</v>
      </c>
      <c r="AA109" s="629">
        <f t="shared" si="665"/>
        <v>0.701652800746561</v>
      </c>
      <c r="AB109" s="629">
        <f t="shared" si="666"/>
        <v>-0.25760177378871724</v>
      </c>
      <c r="AC109" s="636">
        <f t="shared" si="722"/>
        <v>1</v>
      </c>
      <c r="AD109" s="637">
        <f t="shared" si="723"/>
        <v>0.66432271777007101</v>
      </c>
      <c r="AE109" s="629">
        <f t="shared" si="724"/>
        <v>0.701652800746561</v>
      </c>
      <c r="AF109" s="633">
        <f t="shared" si="725"/>
        <v>-0.25760177378871724</v>
      </c>
      <c r="AG109" s="602">
        <f t="shared" si="726"/>
        <v>69.840012683078172</v>
      </c>
      <c r="AH109" s="603">
        <f t="shared" si="727"/>
        <v>48.369612892753025</v>
      </c>
      <c r="AI109" s="585">
        <f t="shared" si="728"/>
        <v>-75.072192661087684</v>
      </c>
      <c r="AJ109" s="586">
        <f t="shared" si="729"/>
        <v>136.56541895975835</v>
      </c>
      <c r="AK109" s="635">
        <f t="shared" si="730"/>
        <v>0.96550717056083113</v>
      </c>
      <c r="AL109" s="629">
        <f t="shared" si="731"/>
        <v>-3.7910812923555193E-2</v>
      </c>
      <c r="AM109" s="634">
        <f t="shared" si="732"/>
        <v>-0.25760177378871724</v>
      </c>
      <c r="AN109" s="581">
        <f t="shared" si="733"/>
        <v>-8.3720253073443001</v>
      </c>
      <c r="AO109" s="582">
        <f t="shared" si="461"/>
        <v>15.0924014196007</v>
      </c>
      <c r="AP109" s="585">
        <f t="shared" si="734"/>
        <v>-2.2485739923730343</v>
      </c>
      <c r="AQ109" s="586">
        <f t="shared" si="667"/>
        <v>0.695893417345401</v>
      </c>
      <c r="AS109" s="52">
        <f t="shared" si="737"/>
        <v>-311.1860070478686</v>
      </c>
      <c r="AT109" s="73">
        <f t="shared" si="668"/>
        <v>7.6500972748372226E-2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7.117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1613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-2.9980873086248061</v>
      </c>
      <c r="C110" s="708">
        <v>2.6705420287836623</v>
      </c>
      <c r="D110" s="709">
        <v>-0.29100087765864696</v>
      </c>
      <c r="E110" s="710">
        <v>-0.73298579986000256</v>
      </c>
      <c r="F110" s="708">
        <v>-0.63849533131508307</v>
      </c>
      <c r="G110" s="711">
        <v>0.23463914654727724</v>
      </c>
      <c r="H110" s="710">
        <v>0.314</v>
      </c>
      <c r="I110" s="708">
        <v>0.52</v>
      </c>
      <c r="J110" s="570">
        <v>7.1239999999999997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1613</v>
      </c>
      <c r="L110" s="320"/>
      <c r="M110" s="168">
        <f t="shared" si="660"/>
        <v>7.1239999999999997</v>
      </c>
      <c r="N110" s="632">
        <f t="shared" si="661"/>
        <v>-2.9980873086248061</v>
      </c>
      <c r="O110" s="629">
        <f t="shared" si="662"/>
        <v>2.6705420287836623</v>
      </c>
      <c r="P110" s="633">
        <f t="shared" si="663"/>
        <v>-0.29100087765864696</v>
      </c>
      <c r="Q110" s="585">
        <f t="shared" si="520"/>
        <v>138.30699302533313</v>
      </c>
      <c r="R110" s="629">
        <f t="shared" si="716"/>
        <v>4.0150121092765207</v>
      </c>
      <c r="S110" s="634">
        <f t="shared" si="717"/>
        <v>-0.29100087765864696</v>
      </c>
      <c r="T110" s="635">
        <f t="shared" si="718"/>
        <v>2.6705420287836641</v>
      </c>
      <c r="U110" s="629">
        <f t="shared" si="719"/>
        <v>2.9980873086248057</v>
      </c>
      <c r="V110" s="636">
        <f t="shared" si="720"/>
        <v>-0.29100087765864696</v>
      </c>
      <c r="W110" s="585">
        <f t="shared" si="645"/>
        <v>48.306993025333128</v>
      </c>
      <c r="X110" s="629">
        <f t="shared" si="721"/>
        <v>4.0150121092765207</v>
      </c>
      <c r="Y110" s="630">
        <f t="shared" si="644"/>
        <v>-0.29100087765864696</v>
      </c>
      <c r="Z110" s="632">
        <f t="shared" si="664"/>
        <v>0.73298579986000256</v>
      </c>
      <c r="AA110" s="629">
        <f t="shared" si="665"/>
        <v>0.63849533131508307</v>
      </c>
      <c r="AB110" s="629">
        <f t="shared" si="666"/>
        <v>-0.23463914654727724</v>
      </c>
      <c r="AC110" s="636">
        <f t="shared" si="722"/>
        <v>1</v>
      </c>
      <c r="AD110" s="637">
        <f t="shared" si="723"/>
        <v>0.73298579986000256</v>
      </c>
      <c r="AE110" s="629">
        <f t="shared" si="724"/>
        <v>0.63849533131508307</v>
      </c>
      <c r="AF110" s="633">
        <f t="shared" si="725"/>
        <v>-0.23463914654727724</v>
      </c>
      <c r="AG110" s="602">
        <f t="shared" si="726"/>
        <v>69.82224351708183</v>
      </c>
      <c r="AH110" s="603">
        <f t="shared" si="727"/>
        <v>42.862708277025362</v>
      </c>
      <c r="AI110" s="585">
        <f t="shared" si="728"/>
        <v>-76.429647340260473</v>
      </c>
      <c r="AJ110" s="586">
        <f t="shared" si="729"/>
        <v>131.05874037005552</v>
      </c>
      <c r="AK110" s="635">
        <f t="shared" si="730"/>
        <v>0.96431443519540228</v>
      </c>
      <c r="AL110" s="629">
        <f t="shared" si="731"/>
        <v>-0.12264640631236545</v>
      </c>
      <c r="AM110" s="634">
        <f t="shared" si="732"/>
        <v>-0.23463914654727724</v>
      </c>
      <c r="AN110" s="581">
        <f t="shared" si="733"/>
        <v>-27.596169161876634</v>
      </c>
      <c r="AO110" s="582">
        <f t="shared" si="461"/>
        <v>15.352671408927987</v>
      </c>
      <c r="AP110" s="585">
        <f t="shared" si="734"/>
        <v>-7.2482526552775939</v>
      </c>
      <c r="AQ110" s="586">
        <f t="shared" si="667"/>
        <v>0.56778210008486418</v>
      </c>
      <c r="AS110" s="52">
        <f t="shared" si="737"/>
        <v>-311.6930069746669</v>
      </c>
      <c r="AT110" s="73">
        <f t="shared" si="668"/>
        <v>-7.4547400592906043E-2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7.1239999999999997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1613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-3.4650734127475067</v>
      </c>
      <c r="C111" s="708">
        <v>3.1536383352488428</v>
      </c>
      <c r="D111" s="709">
        <v>-0.63760192300739982</v>
      </c>
      <c r="E111" s="710">
        <v>-0.79335753250989671</v>
      </c>
      <c r="F111" s="708">
        <v>-0.57347902457536803</v>
      </c>
      <c r="G111" s="711">
        <v>0.20421957296472051</v>
      </c>
      <c r="H111" s="710">
        <v>0.314</v>
      </c>
      <c r="I111" s="708">
        <v>0.52</v>
      </c>
      <c r="J111" s="570">
        <v>7.1310000000000002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1613</v>
      </c>
      <c r="L111" s="320"/>
      <c r="M111" s="168">
        <f t="shared" si="660"/>
        <v>7.1310000000000002</v>
      </c>
      <c r="N111" s="632">
        <f t="shared" si="661"/>
        <v>-3.4650734127475067</v>
      </c>
      <c r="O111" s="629">
        <f t="shared" si="662"/>
        <v>3.1536383352488428</v>
      </c>
      <c r="P111" s="633">
        <f t="shared" si="663"/>
        <v>-0.63760192300739982</v>
      </c>
      <c r="Q111" s="585">
        <f t="shared" si="520"/>
        <v>137.69399311383941</v>
      </c>
      <c r="R111" s="629">
        <f t="shared" si="716"/>
        <v>4.6853141309074191</v>
      </c>
      <c r="S111" s="634">
        <f t="shared" si="717"/>
        <v>-0.63760192300739982</v>
      </c>
      <c r="T111" s="635">
        <f t="shared" si="718"/>
        <v>3.1536383352488415</v>
      </c>
      <c r="U111" s="629">
        <f t="shared" si="719"/>
        <v>3.4650734127475076</v>
      </c>
      <c r="V111" s="636">
        <f t="shared" si="720"/>
        <v>-0.63760192300739982</v>
      </c>
      <c r="W111" s="585">
        <f t="shared" si="645"/>
        <v>47.693993113839412</v>
      </c>
      <c r="X111" s="629">
        <f t="shared" si="721"/>
        <v>4.6853141309074191</v>
      </c>
      <c r="Y111" s="630">
        <f t="shared" si="644"/>
        <v>-0.63760192300739982</v>
      </c>
      <c r="Z111" s="632">
        <f t="shared" si="664"/>
        <v>0.79335753250989671</v>
      </c>
      <c r="AA111" s="629">
        <f t="shared" si="665"/>
        <v>0.57347902457536803</v>
      </c>
      <c r="AB111" s="629">
        <f t="shared" si="666"/>
        <v>-0.20421957296472051</v>
      </c>
      <c r="AC111" s="636">
        <f t="shared" si="722"/>
        <v>1</v>
      </c>
      <c r="AD111" s="637">
        <f t="shared" si="723"/>
        <v>0.79335753250989671</v>
      </c>
      <c r="AE111" s="629">
        <f t="shared" si="724"/>
        <v>0.57347902457536803</v>
      </c>
      <c r="AF111" s="633">
        <f t="shared" si="725"/>
        <v>-0.20421957296472051</v>
      </c>
      <c r="AG111" s="602">
        <f t="shared" si="726"/>
        <v>70.398858170653739</v>
      </c>
      <c r="AH111" s="603">
        <f t="shared" si="727"/>
        <v>37.499605432436248</v>
      </c>
      <c r="AI111" s="585">
        <f t="shared" si="728"/>
        <v>-78.216182585954201</v>
      </c>
      <c r="AJ111" s="586">
        <f t="shared" si="729"/>
        <v>125.86131002315189</v>
      </c>
      <c r="AK111" s="635">
        <f t="shared" si="730"/>
        <v>0.95812351605050272</v>
      </c>
      <c r="AL111" s="629">
        <f t="shared" si="731"/>
        <v>-0.20073289219539858</v>
      </c>
      <c r="AM111" s="634">
        <f t="shared" si="732"/>
        <v>-0.20421957296472051</v>
      </c>
      <c r="AN111" s="581">
        <f t="shared" si="733"/>
        <v>-44.506689862696561</v>
      </c>
      <c r="AO111" s="582">
        <f t="shared" si="461"/>
        <v>16.639875304154128</v>
      </c>
      <c r="AP111" s="585">
        <f t="shared" si="734"/>
        <v>-11.832683090687523</v>
      </c>
      <c r="AQ111" s="586">
        <f t="shared" si="667"/>
        <v>0.48655688127309293</v>
      </c>
      <c r="AS111" s="52">
        <f t="shared" si="737"/>
        <v>-312.30600688616062</v>
      </c>
      <c r="AT111" s="73">
        <f t="shared" si="668"/>
        <v>-0.42072275155867717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7.1310000000000002</v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>
        <f t="shared" si="542"/>
        <v>1613</v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>
        <v>-3.8370473406235854</v>
      </c>
      <c r="C112" s="708">
        <v>3.5628606897206478</v>
      </c>
      <c r="D112" s="709">
        <v>-1.1533034783632909</v>
      </c>
      <c r="E112" s="710">
        <v>-0.84682554185221104</v>
      </c>
      <c r="F112" s="708">
        <v>-0.50521122361364335</v>
      </c>
      <c r="G112" s="711">
        <v>0.16627724198312432</v>
      </c>
      <c r="H112" s="710">
        <v>0.314</v>
      </c>
      <c r="I112" s="708">
        <v>0.52</v>
      </c>
      <c r="J112" s="570">
        <v>7.1379999999999999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1613</v>
      </c>
      <c r="L112" s="320"/>
      <c r="M112" s="168">
        <f t="shared" si="660"/>
        <v>7.1379999999999999</v>
      </c>
      <c r="N112" s="632">
        <f t="shared" si="661"/>
        <v>-3.8370473406235854</v>
      </c>
      <c r="O112" s="629">
        <f t="shared" si="662"/>
        <v>3.5628606897206478</v>
      </c>
      <c r="P112" s="633">
        <f t="shared" si="663"/>
        <v>-1.1533034783632909</v>
      </c>
      <c r="Q112" s="585">
        <f t="shared" si="520"/>
        <v>137.12199319642596</v>
      </c>
      <c r="R112" s="629">
        <f t="shared" si="716"/>
        <v>5.2361157921252302</v>
      </c>
      <c r="S112" s="634">
        <f t="shared" si="717"/>
        <v>-1.1533034783632909</v>
      </c>
      <c r="T112" s="635">
        <f t="shared" si="718"/>
        <v>3.5628606897206474</v>
      </c>
      <c r="U112" s="629">
        <f t="shared" si="719"/>
        <v>3.8370473406235863</v>
      </c>
      <c r="V112" s="636">
        <f t="shared" si="720"/>
        <v>-1.1533034783632909</v>
      </c>
      <c r="W112" s="585">
        <f t="shared" si="645"/>
        <v>47.121993196425962</v>
      </c>
      <c r="X112" s="629">
        <f t="shared" si="721"/>
        <v>5.2361157921252302</v>
      </c>
      <c r="Y112" s="630">
        <f t="shared" si="644"/>
        <v>-1.1533034783632909</v>
      </c>
      <c r="Z112" s="632">
        <f t="shared" si="664"/>
        <v>0.84682554185221104</v>
      </c>
      <c r="AA112" s="629">
        <f t="shared" si="665"/>
        <v>0.50521122361364335</v>
      </c>
      <c r="AB112" s="629">
        <f t="shared" si="666"/>
        <v>-0.16627724198312432</v>
      </c>
      <c r="AC112" s="636">
        <f t="shared" si="722"/>
        <v>1</v>
      </c>
      <c r="AD112" s="637">
        <f t="shared" si="723"/>
        <v>0.84682554185221104</v>
      </c>
      <c r="AE112" s="629">
        <f t="shared" si="724"/>
        <v>0.50521122361364335</v>
      </c>
      <c r="AF112" s="633">
        <f t="shared" si="725"/>
        <v>-0.16627724198312432</v>
      </c>
      <c r="AG112" s="602">
        <f t="shared" si="726"/>
        <v>71.782373352654417</v>
      </c>
      <c r="AH112" s="603">
        <f t="shared" si="727"/>
        <v>32.131941663665238</v>
      </c>
      <c r="AI112" s="585">
        <f t="shared" si="728"/>
        <v>-80.428559912869048</v>
      </c>
      <c r="AJ112" s="586">
        <f t="shared" si="729"/>
        <v>120.82005796259756</v>
      </c>
      <c r="AK112" s="635">
        <f t="shared" si="730"/>
        <v>0.94643453523115406</v>
      </c>
      <c r="AL112" s="629">
        <f t="shared" si="731"/>
        <v>-0.27679152682167674</v>
      </c>
      <c r="AM112" s="634">
        <f t="shared" si="732"/>
        <v>-0.16627724198312432</v>
      </c>
      <c r="AN112" s="581">
        <f t="shared" si="733"/>
        <v>-59.005458243831917</v>
      </c>
      <c r="AO112" s="582">
        <f t="shared" si="461"/>
        <v>18.838138760848796</v>
      </c>
      <c r="AP112" s="585">
        <f t="shared" si="734"/>
        <v>-16.301935233828395</v>
      </c>
      <c r="AQ112" s="586">
        <f t="shared" si="667"/>
        <v>0.4353766884290724</v>
      </c>
      <c r="AS112" s="52">
        <f t="shared" si="737"/>
        <v>-312.87800680357407</v>
      </c>
      <c r="AT112" s="73">
        <f t="shared" si="668"/>
        <v>-0.93602708474969787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7.1379999999999999</v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>
        <f t="shared" si="542"/>
        <v>1613</v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>
        <v>-4.0937879447436423</v>
      </c>
      <c r="C113" s="708">
        <v>3.8591407318794966</v>
      </c>
      <c r="D113" s="709">
        <v>-1.7994054270067679</v>
      </c>
      <c r="E113" s="710">
        <v>-0.88840650910450025</v>
      </c>
      <c r="F113" s="708">
        <v>-0.4460017423113552</v>
      </c>
      <c r="G113" s="711">
        <v>0.10870289985088315</v>
      </c>
      <c r="H113" s="710">
        <v>0.314</v>
      </c>
      <c r="I113" s="708">
        <v>0.52</v>
      </c>
      <c r="J113" s="570">
        <v>7.1449999999999996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1613</v>
      </c>
      <c r="L113" s="320"/>
      <c r="M113" s="168">
        <f t="shared" si="660"/>
        <v>7.1449999999999996</v>
      </c>
      <c r="N113" s="632">
        <f t="shared" si="661"/>
        <v>-4.0937879447436423</v>
      </c>
      <c r="O113" s="629">
        <f t="shared" si="662"/>
        <v>3.8591407318794966</v>
      </c>
      <c r="P113" s="633">
        <f t="shared" si="663"/>
        <v>-1.7994054270067679</v>
      </c>
      <c r="Q113" s="585">
        <f t="shared" si="520"/>
        <v>136.68999325879903</v>
      </c>
      <c r="R113" s="629">
        <f t="shared" si="716"/>
        <v>5.6260169680671774</v>
      </c>
      <c r="S113" s="634">
        <f t="shared" si="717"/>
        <v>-1.7994054270067679</v>
      </c>
      <c r="T113" s="635">
        <f t="shared" si="718"/>
        <v>3.8591407318794966</v>
      </c>
      <c r="U113" s="629">
        <f t="shared" si="719"/>
        <v>4.0937879447436432</v>
      </c>
      <c r="V113" s="636">
        <f t="shared" si="720"/>
        <v>-1.7994054270067679</v>
      </c>
      <c r="W113" s="585">
        <f t="shared" si="645"/>
        <v>46.689993258799035</v>
      </c>
      <c r="X113" s="629">
        <f t="shared" si="721"/>
        <v>5.6260169680671774</v>
      </c>
      <c r="Y113" s="630">
        <f t="shared" si="644"/>
        <v>-1.7994054270067679</v>
      </c>
      <c r="Z113" s="632">
        <f t="shared" si="664"/>
        <v>0.88840650910450025</v>
      </c>
      <c r="AA113" s="629">
        <f t="shared" si="665"/>
        <v>0.4460017423113552</v>
      </c>
      <c r="AB113" s="629">
        <f t="shared" si="666"/>
        <v>-0.10870289985088315</v>
      </c>
      <c r="AC113" s="636">
        <f t="shared" si="722"/>
        <v>1</v>
      </c>
      <c r="AD113" s="637">
        <f t="shared" si="723"/>
        <v>0.88840650910450025</v>
      </c>
      <c r="AE113" s="629">
        <f t="shared" si="724"/>
        <v>0.4460017423113552</v>
      </c>
      <c r="AF113" s="633">
        <f t="shared" si="725"/>
        <v>-0.10870289985088315</v>
      </c>
      <c r="AG113" s="602">
        <f t="shared" si="726"/>
        <v>76.302498618779325</v>
      </c>
      <c r="AH113" s="603">
        <f t="shared" si="727"/>
        <v>27.326312467747183</v>
      </c>
      <c r="AI113" s="585">
        <f t="shared" si="728"/>
        <v>-83.75945116521757</v>
      </c>
      <c r="AJ113" s="586">
        <f t="shared" si="729"/>
        <v>116.65776755631745</v>
      </c>
      <c r="AK113" s="635">
        <f t="shared" si="730"/>
        <v>0.93393289277015157</v>
      </c>
      <c r="AL113" s="629">
        <f t="shared" si="731"/>
        <v>-0.34051876800843972</v>
      </c>
      <c r="AM113" s="634">
        <f t="shared" si="732"/>
        <v>-0.10870289985088315</v>
      </c>
      <c r="AN113" s="581">
        <f t="shared" si="733"/>
        <v>-72.295495460971608</v>
      </c>
      <c r="AO113" s="582">
        <f t="shared" si="461"/>
        <v>20.943575391894345</v>
      </c>
      <c r="AP113" s="585">
        <f t="shared" si="734"/>
        <v>-20.032225702481572</v>
      </c>
      <c r="AQ113" s="586">
        <f t="shared" si="667"/>
        <v>0.40520471900825844</v>
      </c>
      <c r="AS113" s="52">
        <f t="shared" si="737"/>
        <v>-313.31000674120094</v>
      </c>
      <c r="AT113" s="73">
        <f t="shared" si="668"/>
        <v>-1.5818290334364895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7.1449999999999996</v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>
        <f t="shared" si="542"/>
        <v>1613</v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>
        <v>-4.2230226500482484</v>
      </c>
      <c r="C114" s="708">
        <v>4.0129664551054303</v>
      </c>
      <c r="D114" s="709">
        <v>-2.5271076217565871</v>
      </c>
      <c r="E114" s="710">
        <v>-0.93884438656346836</v>
      </c>
      <c r="F114" s="708">
        <v>-0.33927187843570294</v>
      </c>
      <c r="G114" s="711">
        <v>5.887113317216329E-2</v>
      </c>
      <c r="H114" s="710">
        <v>0.314</v>
      </c>
      <c r="I114" s="708">
        <v>0.52</v>
      </c>
      <c r="J114" s="570">
        <v>7.1520000000000001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1613</v>
      </c>
      <c r="L114" s="320"/>
      <c r="M114" s="168">
        <f t="shared" si="660"/>
        <v>7.1520000000000001</v>
      </c>
      <c r="N114" s="632">
        <f t="shared" si="661"/>
        <v>-4.2230226500482484</v>
      </c>
      <c r="O114" s="629">
        <f t="shared" si="662"/>
        <v>4.0129664551054303</v>
      </c>
      <c r="P114" s="633">
        <f t="shared" si="663"/>
        <v>-2.5271076217565871</v>
      </c>
      <c r="Q114" s="585">
        <f t="shared" si="520"/>
        <v>136.46099329186254</v>
      </c>
      <c r="R114" s="629">
        <f t="shared" si="716"/>
        <v>5.8256175700625912</v>
      </c>
      <c r="S114" s="634">
        <f t="shared" si="717"/>
        <v>-2.5271076217565871</v>
      </c>
      <c r="T114" s="635">
        <f t="shared" si="718"/>
        <v>4.0129664551054294</v>
      </c>
      <c r="U114" s="629">
        <f t="shared" si="719"/>
        <v>4.2230226500482484</v>
      </c>
      <c r="V114" s="636">
        <f t="shared" si="720"/>
        <v>-2.5271076217565871</v>
      </c>
      <c r="W114" s="585">
        <f t="shared" si="645"/>
        <v>46.460993291862536</v>
      </c>
      <c r="X114" s="629">
        <f t="shared" si="721"/>
        <v>5.8256175700625912</v>
      </c>
      <c r="Y114" s="630">
        <f t="shared" si="644"/>
        <v>-2.5271076217565871</v>
      </c>
      <c r="Z114" s="632">
        <f t="shared" si="664"/>
        <v>0.93884438656346836</v>
      </c>
      <c r="AA114" s="629">
        <f t="shared" si="665"/>
        <v>0.33927187843570294</v>
      </c>
      <c r="AB114" s="629">
        <f t="shared" si="666"/>
        <v>-5.887113317216329E-2</v>
      </c>
      <c r="AC114" s="636">
        <f t="shared" si="722"/>
        <v>1</v>
      </c>
      <c r="AD114" s="637">
        <f t="shared" si="723"/>
        <v>0.93884438656346836</v>
      </c>
      <c r="AE114" s="629">
        <f t="shared" si="724"/>
        <v>0.33927187843570294</v>
      </c>
      <c r="AF114" s="633">
        <f t="shared" si="725"/>
        <v>-5.887113317216329E-2</v>
      </c>
      <c r="AG114" s="602">
        <f t="shared" si="726"/>
        <v>80.15594214845089</v>
      </c>
      <c r="AH114" s="603">
        <f t="shared" si="727"/>
        <v>20.141616890671703</v>
      </c>
      <c r="AI114" s="585">
        <f t="shared" si="728"/>
        <v>-86.624981087036275</v>
      </c>
      <c r="AJ114" s="586">
        <f t="shared" si="729"/>
        <v>109.86842620386382</v>
      </c>
      <c r="AK114" s="635">
        <f t="shared" si="730"/>
        <v>0.89266138644692217</v>
      </c>
      <c r="AL114" s="629">
        <f t="shared" si="731"/>
        <v>-0.44686669021721015</v>
      </c>
      <c r="AM114" s="634">
        <f t="shared" si="732"/>
        <v>-5.887113317216329E-2</v>
      </c>
      <c r="AN114" s="581">
        <f t="shared" si="733"/>
        <v>-82.494956584960434</v>
      </c>
      <c r="AO114" s="582">
        <f t="shared" si="461"/>
        <v>26.790395516901313</v>
      </c>
      <c r="AP114" s="585">
        <f t="shared" si="734"/>
        <v>-26.592567087998713</v>
      </c>
      <c r="AQ114" s="586">
        <f t="shared" si="667"/>
        <v>0.3913218052898747</v>
      </c>
      <c r="AS114" s="52">
        <f t="shared" si="737"/>
        <v>-313.53900670813744</v>
      </c>
      <c r="AT114" s="73">
        <f t="shared" si="668"/>
        <v>-2.3093722004314916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7.1520000000000001</v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>
        <f t="shared" si="542"/>
        <v>1613</v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>
        <v>-4.2672213846653575</v>
      </c>
      <c r="C115" s="708">
        <v>4.0661780228620614</v>
      </c>
      <c r="D115" s="709">
        <v>-3.3370100644223548</v>
      </c>
      <c r="E115" s="710">
        <v>-0.98033322779146614</v>
      </c>
      <c r="F115" s="708">
        <v>-0.19734934124021941</v>
      </c>
      <c r="G115" s="711">
        <v>1.3008419219686192E-7</v>
      </c>
      <c r="H115" s="710">
        <v>0.314</v>
      </c>
      <c r="I115" s="708">
        <v>0.52</v>
      </c>
      <c r="J115" s="570">
        <v>7.1589999999999998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1613</v>
      </c>
      <c r="L115" s="320"/>
      <c r="M115" s="168">
        <f t="shared" si="660"/>
        <v>7.1589999999999998</v>
      </c>
      <c r="N115" s="632">
        <f t="shared" si="661"/>
        <v>-4.2672213846653575</v>
      </c>
      <c r="O115" s="629">
        <f t="shared" si="662"/>
        <v>4.0661780228620614</v>
      </c>
      <c r="P115" s="633">
        <f t="shared" si="663"/>
        <v>-3.3370100644223548</v>
      </c>
      <c r="Q115" s="585">
        <f t="shared" si="520"/>
        <v>136.38199330326873</v>
      </c>
      <c r="R115" s="629">
        <f t="shared" si="716"/>
        <v>5.8943177772624171</v>
      </c>
      <c r="S115" s="634">
        <f t="shared" si="717"/>
        <v>-3.3370100644223548</v>
      </c>
      <c r="T115" s="635">
        <f t="shared" si="718"/>
        <v>4.0661780228620614</v>
      </c>
      <c r="U115" s="629">
        <f t="shared" si="719"/>
        <v>4.2672213846653584</v>
      </c>
      <c r="V115" s="636">
        <f t="shared" si="720"/>
        <v>-3.3370100644223548</v>
      </c>
      <c r="W115" s="585">
        <f t="shared" si="645"/>
        <v>46.381993303268729</v>
      </c>
      <c r="X115" s="629">
        <f t="shared" si="721"/>
        <v>5.8943177772624171</v>
      </c>
      <c r="Y115" s="630">
        <f t="shared" si="644"/>
        <v>-3.3370100644223548</v>
      </c>
      <c r="Z115" s="632">
        <f t="shared" si="664"/>
        <v>0.98033322779146614</v>
      </c>
      <c r="AA115" s="629">
        <f t="shared" si="665"/>
        <v>0.19734934124021941</v>
      </c>
      <c r="AB115" s="629">
        <f t="shared" si="666"/>
        <v>-1.3008419219686192E-7</v>
      </c>
      <c r="AC115" s="636">
        <f t="shared" si="722"/>
        <v>1</v>
      </c>
      <c r="AD115" s="637">
        <f t="shared" si="723"/>
        <v>0.98033322779146614</v>
      </c>
      <c r="AE115" s="629">
        <f t="shared" si="724"/>
        <v>0.19734934124021941</v>
      </c>
      <c r="AF115" s="633">
        <f t="shared" si="725"/>
        <v>-1.3008419219686192E-7</v>
      </c>
      <c r="AG115" s="602">
        <f t="shared" si="726"/>
        <v>89.999962233088041</v>
      </c>
      <c r="AH115" s="603">
        <f t="shared" si="727"/>
        <v>11.381998356645841</v>
      </c>
      <c r="AI115" s="585">
        <f t="shared" si="728"/>
        <v>-89.999992546724798</v>
      </c>
      <c r="AJ115" s="586">
        <f t="shared" si="729"/>
        <v>101.38199835664345</v>
      </c>
      <c r="AK115" s="635">
        <f t="shared" si="730"/>
        <v>0.81915209487729201</v>
      </c>
      <c r="AL115" s="629">
        <f t="shared" si="731"/>
        <v>-0.5735763641034447</v>
      </c>
      <c r="AM115" s="634">
        <f t="shared" si="732"/>
        <v>-1.3008419219686192E-7</v>
      </c>
      <c r="AN115" s="581">
        <f t="shared" si="733"/>
        <v>-89.999987005609611</v>
      </c>
      <c r="AO115" s="582">
        <f t="shared" si="461"/>
        <v>34.999994946625954</v>
      </c>
      <c r="AP115" s="585">
        <f t="shared" si="734"/>
        <v>-34.999994946625279</v>
      </c>
      <c r="AQ115" s="586">
        <f t="shared" si="667"/>
        <v>0.38676096065028626</v>
      </c>
      <c r="AS115" s="52">
        <f t="shared" si="737"/>
        <v>-313.6180066967313</v>
      </c>
      <c r="AT115" s="73">
        <f t="shared" si="668"/>
        <v>-3.1192197819940692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7.1589999999999998</v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>
        <f t="shared" si="542"/>
        <v>1613</v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>
        <v>-1.7559446556560681</v>
      </c>
      <c r="C116" s="708">
        <v>2.7672040843493959</v>
      </c>
      <c r="D116" s="709">
        <v>-0.12030036282589426</v>
      </c>
      <c r="E116" s="710">
        <v>-1.7577425614467009E-2</v>
      </c>
      <c r="F116" s="708">
        <v>2.7699950860564513E-2</v>
      </c>
      <c r="G116" s="711">
        <v>0.99946172854746684</v>
      </c>
      <c r="H116" s="710">
        <v>0.25700000000000001</v>
      </c>
      <c r="I116" s="708">
        <v>0.41499999999999992</v>
      </c>
      <c r="J116" s="570">
        <v>7.2169999999999996</v>
      </c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CPS-32193r1</v>
      </c>
      <c r="L116" s="320"/>
      <c r="M116" s="168">
        <f t="shared" si="660"/>
        <v>7.2169999999999996</v>
      </c>
      <c r="N116" s="632">
        <f t="shared" si="661"/>
        <v>-1.7559446556560681</v>
      </c>
      <c r="O116" s="629">
        <f t="shared" si="662"/>
        <v>2.7672040843493959</v>
      </c>
      <c r="P116" s="633">
        <f t="shared" si="663"/>
        <v>-0.12030036282589426</v>
      </c>
      <c r="Q116" s="585">
        <f t="shared" si="520"/>
        <v>122.39739532239484</v>
      </c>
      <c r="R116" s="629">
        <f t="shared" si="716"/>
        <v>3.2773098843666109</v>
      </c>
      <c r="S116" s="634">
        <f t="shared" si="717"/>
        <v>-0.12030036282589426</v>
      </c>
      <c r="T116" s="635">
        <f t="shared" si="718"/>
        <v>2.7672040843493964</v>
      </c>
      <c r="U116" s="629">
        <f t="shared" si="719"/>
        <v>1.7559446556560681</v>
      </c>
      <c r="V116" s="636">
        <f t="shared" si="720"/>
        <v>-0.12030036282589426</v>
      </c>
      <c r="W116" s="585">
        <f t="shared" si="645"/>
        <v>32.397395322394843</v>
      </c>
      <c r="X116" s="629">
        <f t="shared" si="721"/>
        <v>3.2773098843666109</v>
      </c>
      <c r="Y116" s="630">
        <f t="shared" si="644"/>
        <v>-0.12030036282589426</v>
      </c>
      <c r="Z116" s="632">
        <f t="shared" si="664"/>
        <v>1.7577425614467009E-2</v>
      </c>
      <c r="AA116" s="629">
        <f t="shared" si="665"/>
        <v>-2.7699950860564513E-2</v>
      </c>
      <c r="AB116" s="629">
        <f t="shared" si="666"/>
        <v>-0.99946172854746684</v>
      </c>
      <c r="AC116" s="636">
        <f t="shared" si="722"/>
        <v>1</v>
      </c>
      <c r="AD116" s="637">
        <f t="shared" si="723"/>
        <v>1.7577425614467009E-2</v>
      </c>
      <c r="AE116" s="629">
        <f t="shared" si="724"/>
        <v>-2.7699950860564513E-2</v>
      </c>
      <c r="AF116" s="633">
        <f t="shared" si="725"/>
        <v>-0.99946172854746684</v>
      </c>
      <c r="AG116" s="602">
        <f t="shared" si="726"/>
        <v>-1.5875386355304335</v>
      </c>
      <c r="AH116" s="603">
        <f t="shared" si="727"/>
        <v>88.992835829815803</v>
      </c>
      <c r="AI116" s="585">
        <f t="shared" si="728"/>
        <v>-1.879999728606409</v>
      </c>
      <c r="AJ116" s="586">
        <f t="shared" si="729"/>
        <v>32.397791416782489</v>
      </c>
      <c r="AK116" s="635">
        <f t="shared" si="730"/>
        <v>2.2679489675159203E-7</v>
      </c>
      <c r="AL116" s="629">
        <f t="shared" si="731"/>
        <v>-3.2806297701178863E-2</v>
      </c>
      <c r="AM116" s="634">
        <f t="shared" si="732"/>
        <v>-0.99946172854746684</v>
      </c>
      <c r="AN116" s="581">
        <f t="shared" si="733"/>
        <v>-1.8799997285616168</v>
      </c>
      <c r="AO116" s="582">
        <f t="shared" si="461"/>
        <v>0</v>
      </c>
      <c r="AP116" s="585">
        <f t="shared" si="734"/>
        <v>-89.999603905612361</v>
      </c>
      <c r="AQ116" s="586">
        <f t="shared" si="667"/>
        <v>0.69557494252044194</v>
      </c>
      <c r="AS116" s="52">
        <f t="shared" si="737"/>
        <v>-327.60260467760514</v>
      </c>
      <c r="AT116" s="73">
        <f t="shared" si="668"/>
        <v>0.10720144597799822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Nose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7.2169999999999996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0.11700000000000001</v>
      </c>
      <c r="II116" s="734" cm="1">
        <f t="array" ref="II116">IFERROR(ROUND(VALUE(IF($IH116&lt;1,$IH116+LARGE((IF($M$9:$M$150="",0,$M$9:$M$150)-MOD(IF($M$9:$M$150="",0,$M$9:$M$150),1)),1),$IH116)),4),"")</f>
        <v>7.117</v>
      </c>
      <c r="IJ116" s="533">
        <f t="shared" si="542"/>
        <v>1613</v>
      </c>
      <c r="IK116" s="533" t="str">
        <f t="shared" si="713"/>
        <v>CPS-32193r1</v>
      </c>
      <c r="IL116" s="727">
        <f t="shared" si="647"/>
        <v>16.416597629736557</v>
      </c>
      <c r="IM116" s="759">
        <v>2.6836195726794399E-2</v>
      </c>
      <c r="IN116" s="5">
        <f t="shared" si="648"/>
        <v>0.56000000000000005</v>
      </c>
      <c r="IO116" s="771">
        <v>280</v>
      </c>
      <c r="IP116" s="9">
        <f t="shared" si="649"/>
        <v>-3.2758098798425972</v>
      </c>
      <c r="IQ116" s="5">
        <f t="shared" si="650"/>
        <v>-0.13960042103486986</v>
      </c>
      <c r="IR116" s="5">
        <f t="shared" si="714"/>
        <v>0.314</v>
      </c>
      <c r="IS116" s="5">
        <f t="shared" si="651"/>
        <v>0.30316925155610097</v>
      </c>
      <c r="IT116" s="727">
        <f t="shared" si="652"/>
        <v>8.3720253073443001</v>
      </c>
      <c r="IU116" s="9">
        <f t="shared" si="653"/>
        <v>-3.2773098843666109</v>
      </c>
      <c r="IV116" s="5">
        <f t="shared" si="654"/>
        <v>-0.12030036282589426</v>
      </c>
      <c r="IW116" s="5">
        <f t="shared" si="715"/>
        <v>0.25700000000000001</v>
      </c>
      <c r="IX116" s="5">
        <f t="shared" si="655"/>
        <v>0.25700000000000001</v>
      </c>
      <c r="IY116" s="762">
        <f t="shared" si="656"/>
        <v>1.8799997285616168</v>
      </c>
    </row>
    <row r="117" spans="1:259" ht="15" customHeight="1" x14ac:dyDescent="0.25">
      <c r="A117" s="79"/>
      <c r="B117" s="707">
        <v>-2.2954583595727143</v>
      </c>
      <c r="C117" s="708">
        <v>3.3097041586959142</v>
      </c>
      <c r="D117" s="709">
        <v>-0.24520073952543045</v>
      </c>
      <c r="E117" s="710">
        <v>-0.85843840084312362</v>
      </c>
      <c r="F117" s="708">
        <v>-0.43294501068458296</v>
      </c>
      <c r="G117" s="711">
        <v>0.27503114311151566</v>
      </c>
      <c r="H117" s="710">
        <v>0.26600000000000001</v>
      </c>
      <c r="I117" s="708">
        <v>0.52</v>
      </c>
      <c r="J117" s="570">
        <v>7.2240000000000002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1313</v>
      </c>
      <c r="L117" s="320"/>
      <c r="M117" s="168">
        <f t="shared" si="660"/>
        <v>7.2240000000000002</v>
      </c>
      <c r="N117" s="632">
        <f t="shared" si="661"/>
        <v>-2.2954583595727143</v>
      </c>
      <c r="O117" s="629">
        <f t="shared" si="662"/>
        <v>3.3097041586959142</v>
      </c>
      <c r="P117" s="633">
        <f t="shared" si="663"/>
        <v>-0.24520073952543045</v>
      </c>
      <c r="Q117" s="585">
        <f t="shared" si="520"/>
        <v>124.74339498367441</v>
      </c>
      <c r="R117" s="629">
        <f t="shared" si="716"/>
        <v>4.0278121478814386</v>
      </c>
      <c r="S117" s="634">
        <f t="shared" si="717"/>
        <v>-0.24520073952543045</v>
      </c>
      <c r="T117" s="635">
        <f t="shared" si="718"/>
        <v>3.3097041586959142</v>
      </c>
      <c r="U117" s="629">
        <f t="shared" si="719"/>
        <v>2.2954583595727143</v>
      </c>
      <c r="V117" s="636">
        <f t="shared" si="720"/>
        <v>-0.24520073952543045</v>
      </c>
      <c r="W117" s="585">
        <f t="shared" si="645"/>
        <v>34.743394983674406</v>
      </c>
      <c r="X117" s="629">
        <f t="shared" si="721"/>
        <v>4.0278121478814386</v>
      </c>
      <c r="Y117" s="630">
        <f t="shared" si="644"/>
        <v>-0.24520073952543045</v>
      </c>
      <c r="Z117" s="632">
        <f t="shared" si="664"/>
        <v>0.85843840084312362</v>
      </c>
      <c r="AA117" s="629">
        <f t="shared" si="665"/>
        <v>0.43294501068458296</v>
      </c>
      <c r="AB117" s="629">
        <f t="shared" si="666"/>
        <v>-0.27503114311151566</v>
      </c>
      <c r="AC117" s="636">
        <f t="shared" si="722"/>
        <v>1</v>
      </c>
      <c r="AD117" s="637">
        <f t="shared" si="723"/>
        <v>0.85843840084312362</v>
      </c>
      <c r="AE117" s="629">
        <f t="shared" si="724"/>
        <v>0.43294501068458296</v>
      </c>
      <c r="AF117" s="633">
        <f t="shared" si="725"/>
        <v>-0.27503114311151566</v>
      </c>
      <c r="AG117" s="602">
        <f t="shared" si="726"/>
        <v>57.573979575690167</v>
      </c>
      <c r="AH117" s="603">
        <f t="shared" si="727"/>
        <v>30.858303808508499</v>
      </c>
      <c r="AI117" s="585">
        <f t="shared" si="728"/>
        <v>-74.03612990306037</v>
      </c>
      <c r="AJ117" s="586">
        <f t="shared" si="729"/>
        <v>116.76364656503885</v>
      </c>
      <c r="AK117" s="635">
        <f t="shared" si="730"/>
        <v>0.95212593052114358</v>
      </c>
      <c r="AL117" s="629">
        <f t="shared" si="731"/>
        <v>-0.13346940753603237</v>
      </c>
      <c r="AM117" s="634">
        <f t="shared" si="732"/>
        <v>-0.27503114311151566</v>
      </c>
      <c r="AN117" s="581">
        <f t="shared" si="733"/>
        <v>-25.886758441197859</v>
      </c>
      <c r="AO117" s="582">
        <f t="shared" si="461"/>
        <v>17.800648904804415</v>
      </c>
      <c r="AP117" s="585">
        <f t="shared" si="734"/>
        <v>-7.9797484186355598</v>
      </c>
      <c r="AQ117" s="586">
        <f t="shared" si="667"/>
        <v>0.56597785524591504</v>
      </c>
      <c r="AS117" s="52">
        <f t="shared" si="737"/>
        <v>-325.25660501632558</v>
      </c>
      <c r="AT117" s="73">
        <f t="shared" si="668"/>
        <v>-1.9328097152982116E-2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Nose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7.2240000000000002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0.124</v>
      </c>
      <c r="II117" s="734" cm="1">
        <f t="array" ref="II117">IFERROR(ROUND(VALUE(IF($IH117&lt;1,$IH117+LARGE((IF($M$9:$M$150="",0,$M$9:$M$150)-MOD(IF($M$9:$M$150="",0,$M$9:$M$150),1)),1),$IH117)),4),"")</f>
        <v>7.1239999999999997</v>
      </c>
      <c r="IJ117" s="533">
        <f t="shared" si="542"/>
        <v>1613</v>
      </c>
      <c r="IK117" s="533">
        <f t="shared" si="713"/>
        <v>1313</v>
      </c>
      <c r="IL117" s="727">
        <f t="shared" si="647"/>
        <v>13.563598041658722</v>
      </c>
      <c r="IM117" s="759">
        <v>2.0563994179055999E-3</v>
      </c>
      <c r="IN117" s="5">
        <f t="shared" si="648"/>
        <v>0.02</v>
      </c>
      <c r="IO117" s="771">
        <v>10</v>
      </c>
      <c r="IP117" s="9">
        <f t="shared" si="649"/>
        <v>-4.0150121092765207</v>
      </c>
      <c r="IQ117" s="5">
        <f t="shared" si="650"/>
        <v>-0.29100087765864696</v>
      </c>
      <c r="IR117" s="5">
        <f t="shared" si="714"/>
        <v>0.314</v>
      </c>
      <c r="IS117" s="5">
        <f t="shared" si="651"/>
        <v>0.30279473265135631</v>
      </c>
      <c r="IT117" s="727">
        <f t="shared" si="652"/>
        <v>27.596169161876634</v>
      </c>
      <c r="IU117" s="9">
        <f t="shared" si="653"/>
        <v>-4.0278121478814386</v>
      </c>
      <c r="IV117" s="5">
        <f t="shared" si="654"/>
        <v>-0.24520073952543045</v>
      </c>
      <c r="IW117" s="5">
        <f t="shared" si="715"/>
        <v>0.26600000000000001</v>
      </c>
      <c r="IX117" s="5">
        <f t="shared" si="655"/>
        <v>0.25326549751862421</v>
      </c>
      <c r="IY117" s="762">
        <f t="shared" si="656"/>
        <v>25.886758441197859</v>
      </c>
    </row>
    <row r="118" spans="1:259" ht="15" customHeight="1" x14ac:dyDescent="0.25">
      <c r="A118" s="79"/>
      <c r="B118" s="707">
        <v>-2.6838434709201398</v>
      </c>
      <c r="C118" s="708">
        <v>3.8689757888668561</v>
      </c>
      <c r="D118" s="709">
        <v>-0.59590179723982051</v>
      </c>
      <c r="E118" s="710">
        <v>-0.90223162743791963</v>
      </c>
      <c r="F118" s="708">
        <v>-0.35773131474557951</v>
      </c>
      <c r="G118" s="711">
        <v>0.24084517205275716</v>
      </c>
      <c r="H118" s="710">
        <v>0.26600000000000001</v>
      </c>
      <c r="I118" s="708">
        <v>0.52</v>
      </c>
      <c r="J118" s="570">
        <v>7.2309999999999999</v>
      </c>
      <c r="K118" s="865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1313</v>
      </c>
      <c r="L118" s="320"/>
      <c r="M118" s="168">
        <f t="shared" si="660"/>
        <v>7.2309999999999999</v>
      </c>
      <c r="N118" s="632">
        <f t="shared" si="661"/>
        <v>-2.6838434709201398</v>
      </c>
      <c r="O118" s="629">
        <f t="shared" si="662"/>
        <v>3.8689757888668561</v>
      </c>
      <c r="P118" s="633">
        <f t="shared" si="663"/>
        <v>-0.59590179723982051</v>
      </c>
      <c r="Q118" s="585">
        <f t="shared" si="520"/>
        <v>124.74839498295249</v>
      </c>
      <c r="R118" s="629">
        <f t="shared" si="716"/>
        <v>4.7087142014820325</v>
      </c>
      <c r="S118" s="634">
        <f t="shared" si="717"/>
        <v>-0.59590179723982051</v>
      </c>
      <c r="T118" s="635">
        <f t="shared" si="718"/>
        <v>3.8689757888668566</v>
      </c>
      <c r="U118" s="629">
        <f t="shared" si="719"/>
        <v>2.6838434709201398</v>
      </c>
      <c r="V118" s="636">
        <f t="shared" si="720"/>
        <v>-0.59590179723982051</v>
      </c>
      <c r="W118" s="585">
        <f t="shared" si="645"/>
        <v>34.74839498295249</v>
      </c>
      <c r="X118" s="629">
        <f t="shared" si="721"/>
        <v>4.7087142014820325</v>
      </c>
      <c r="Y118" s="630">
        <f t="shared" si="644"/>
        <v>-0.59590179723982051</v>
      </c>
      <c r="Z118" s="632">
        <f t="shared" si="664"/>
        <v>0.90223162743791963</v>
      </c>
      <c r="AA118" s="629">
        <f t="shared" si="665"/>
        <v>0.35773131474557951</v>
      </c>
      <c r="AB118" s="629">
        <f t="shared" si="666"/>
        <v>-0.24084517205275716</v>
      </c>
      <c r="AC118" s="636">
        <f t="shared" si="722"/>
        <v>1</v>
      </c>
      <c r="AD118" s="637">
        <f t="shared" si="723"/>
        <v>0.90223162743791963</v>
      </c>
      <c r="AE118" s="629">
        <f t="shared" si="724"/>
        <v>0.35773131474557951</v>
      </c>
      <c r="AF118" s="633">
        <f t="shared" si="725"/>
        <v>-0.24084517205275716</v>
      </c>
      <c r="AG118" s="602">
        <f t="shared" si="726"/>
        <v>56.049306160547282</v>
      </c>
      <c r="AH118" s="603">
        <f t="shared" si="727"/>
        <v>25.547026967758043</v>
      </c>
      <c r="AI118" s="585">
        <f t="shared" si="728"/>
        <v>-76.063571542141091</v>
      </c>
      <c r="AJ118" s="586">
        <f t="shared" si="729"/>
        <v>111.62813244995787</v>
      </c>
      <c r="AK118" s="635">
        <f t="shared" si="730"/>
        <v>0.94522771726727339</v>
      </c>
      <c r="AL118" s="629">
        <f t="shared" si="731"/>
        <v>-0.22031378896605025</v>
      </c>
      <c r="AM118" s="634">
        <f t="shared" si="732"/>
        <v>-0.24084517205275716</v>
      </c>
      <c r="AN118" s="581">
        <f t="shared" si="733"/>
        <v>-42.450802474494907</v>
      </c>
      <c r="AO118" s="582">
        <f t="shared" si="461"/>
        <v>19.051121073844136</v>
      </c>
      <c r="AP118" s="585">
        <f t="shared" si="734"/>
        <v>-13.120262532994607</v>
      </c>
      <c r="AQ118" s="586">
        <f t="shared" si="667"/>
        <v>0.48413904031191707</v>
      </c>
      <c r="AS118" s="52">
        <f t="shared" si="737"/>
        <v>-325.2516050170475</v>
      </c>
      <c r="AT118" s="73">
        <f t="shared" si="668"/>
        <v>-0.37003262708909307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7.2309999999999999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0.13100000000000001</v>
      </c>
      <c r="II118" s="734" cm="1">
        <f t="array" ref="II118">IFERROR(ROUND(VALUE(IF($IH118&lt;1,$IH118+LARGE((IF($M$9:$M$150="",0,$M$9:$M$150)-MOD(IF($M$9:$M$150="",0,$M$9:$M$150),1)),1),$IH118)),4),"")</f>
        <v>7.1310000000000002</v>
      </c>
      <c r="IJ118" s="533">
        <f t="shared" si="542"/>
        <v>1613</v>
      </c>
      <c r="IK118" s="533">
        <f t="shared" si="713"/>
        <v>1313</v>
      </c>
      <c r="IL118" s="727">
        <f t="shared" si="647"/>
        <v>12.945598130886921</v>
      </c>
      <c r="IM118" s="759">
        <v>1.7539673080393899E-3</v>
      </c>
      <c r="IN118" s="5">
        <f t="shared" si="648"/>
        <v>0.02</v>
      </c>
      <c r="IO118" s="771">
        <v>10</v>
      </c>
      <c r="IP118" s="9">
        <f t="shared" si="649"/>
        <v>-4.6853141309074191</v>
      </c>
      <c r="IQ118" s="5">
        <f t="shared" si="650"/>
        <v>-0.63760192300739982</v>
      </c>
      <c r="IR118" s="5">
        <f t="shared" si="714"/>
        <v>0.314</v>
      </c>
      <c r="IS118" s="5">
        <f t="shared" si="651"/>
        <v>0.30085078403985788</v>
      </c>
      <c r="IT118" s="727">
        <f t="shared" si="652"/>
        <v>44.506689862696561</v>
      </c>
      <c r="IU118" s="9">
        <f t="shared" si="653"/>
        <v>-4.7087142014820325</v>
      </c>
      <c r="IV118" s="5">
        <f t="shared" si="654"/>
        <v>-0.59590179723982051</v>
      </c>
      <c r="IW118" s="5">
        <f t="shared" si="715"/>
        <v>0.26600000000000001</v>
      </c>
      <c r="IX118" s="5">
        <f t="shared" si="655"/>
        <v>0.25143057279309472</v>
      </c>
      <c r="IY118" s="762">
        <f t="shared" si="656"/>
        <v>42.450802474494907</v>
      </c>
    </row>
    <row r="119" spans="1:259" ht="15" customHeight="1" x14ac:dyDescent="0.25">
      <c r="A119" s="79"/>
      <c r="B119" s="707">
        <v>-3.0608460151138992</v>
      </c>
      <c r="C119" s="708">
        <v>4.2884249796412917</v>
      </c>
      <c r="D119" s="709">
        <v>-1.1179033715965687</v>
      </c>
      <c r="E119" s="710">
        <v>-0.93519334802304666</v>
      </c>
      <c r="F119" s="708">
        <v>-0.29422243339884308</v>
      </c>
      <c r="G119" s="711">
        <v>0.19709531069588701</v>
      </c>
      <c r="H119" s="710">
        <v>0.26600000000000001</v>
      </c>
      <c r="I119" s="708">
        <v>0.52</v>
      </c>
      <c r="J119" s="570">
        <v>7.2380000000000004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1313</v>
      </c>
      <c r="L119" s="320"/>
      <c r="M119" s="168">
        <f t="shared" si="660"/>
        <v>7.2380000000000004</v>
      </c>
      <c r="N119" s="632">
        <f t="shared" si="661"/>
        <v>-3.0608460151138992</v>
      </c>
      <c r="O119" s="629">
        <f t="shared" si="662"/>
        <v>4.2884249796412917</v>
      </c>
      <c r="P119" s="633">
        <f t="shared" si="663"/>
        <v>-1.1179033715965687</v>
      </c>
      <c r="Q119" s="585">
        <f t="shared" si="520"/>
        <v>125.51719487195153</v>
      </c>
      <c r="R119" s="629">
        <f t="shared" si="716"/>
        <v>5.2687158904471261</v>
      </c>
      <c r="S119" s="634">
        <f t="shared" si="717"/>
        <v>-1.1179033715965687</v>
      </c>
      <c r="T119" s="635">
        <f t="shared" si="718"/>
        <v>4.2884249796412917</v>
      </c>
      <c r="U119" s="629">
        <f t="shared" si="719"/>
        <v>3.0608460151138996</v>
      </c>
      <c r="V119" s="636">
        <f t="shared" si="720"/>
        <v>-1.1179033715965687</v>
      </c>
      <c r="W119" s="585">
        <f t="shared" si="645"/>
        <v>35.517194871951531</v>
      </c>
      <c r="X119" s="629">
        <f t="shared" si="721"/>
        <v>5.2687158904471261</v>
      </c>
      <c r="Y119" s="630">
        <f t="shared" si="644"/>
        <v>-1.1179033715965687</v>
      </c>
      <c r="Z119" s="632">
        <f t="shared" si="664"/>
        <v>0.93519334802304666</v>
      </c>
      <c r="AA119" s="629">
        <f t="shared" si="665"/>
        <v>0.29422243339884308</v>
      </c>
      <c r="AB119" s="629">
        <f t="shared" si="666"/>
        <v>-0.19709531069588701</v>
      </c>
      <c r="AC119" s="636">
        <f t="shared" si="722"/>
        <v>1</v>
      </c>
      <c r="AD119" s="637">
        <f t="shared" si="723"/>
        <v>0.93519334802304666</v>
      </c>
      <c r="AE119" s="629">
        <f t="shared" si="724"/>
        <v>0.29422243339884308</v>
      </c>
      <c r="AF119" s="633">
        <f t="shared" si="725"/>
        <v>-0.19709531069588701</v>
      </c>
      <c r="AG119" s="602">
        <f t="shared" si="726"/>
        <v>56.182447043533429</v>
      </c>
      <c r="AH119" s="603">
        <f t="shared" si="727"/>
        <v>20.740595858479995</v>
      </c>
      <c r="AI119" s="585">
        <f t="shared" si="728"/>
        <v>-78.632848124333236</v>
      </c>
      <c r="AJ119" s="586">
        <f t="shared" si="729"/>
        <v>107.46416668976136</v>
      </c>
      <c r="AK119" s="635">
        <f t="shared" si="730"/>
        <v>0.93212011795640659</v>
      </c>
      <c r="AL119" s="629">
        <f t="shared" si="731"/>
        <v>-0.30381824205045127</v>
      </c>
      <c r="AM119" s="634">
        <f t="shared" si="732"/>
        <v>-0.19709531069588701</v>
      </c>
      <c r="AN119" s="581">
        <f t="shared" si="733"/>
        <v>-57.027408056037402</v>
      </c>
      <c r="AO119" s="582">
        <f t="shared" si="461"/>
        <v>21.232248170158403</v>
      </c>
      <c r="AP119" s="585">
        <f t="shared" si="734"/>
        <v>-18.053028182190186</v>
      </c>
      <c r="AQ119" s="586">
        <f t="shared" si="667"/>
        <v>0.43268290462052128</v>
      </c>
      <c r="AS119" s="52">
        <f t="shared" si="737"/>
        <v>-324.48280512804848</v>
      </c>
      <c r="AT119" s="73">
        <f t="shared" si="668"/>
        <v>-0.89256809025764616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>Taper</v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7.2380000000000004</v>
      </c>
      <c r="IH119" s="731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0.13800000000000001</v>
      </c>
      <c r="II119" s="734" cm="1">
        <f t="array" ref="II119">IFERROR(ROUND(VALUE(IF($IH119&lt;1,$IH119+LARGE((IF($M$9:$M$150="",0,$M$9:$M$150)-MOD(IF($M$9:$M$150="",0,$M$9:$M$150),1)),1),$IH119)),4),"")</f>
        <v>7.1379999999999999</v>
      </c>
      <c r="IJ119" s="533">
        <f t="shared" si="542"/>
        <v>1613</v>
      </c>
      <c r="IK119" s="533">
        <f t="shared" si="713"/>
        <v>1313</v>
      </c>
      <c r="IL119" s="727">
        <f t="shared" si="647"/>
        <v>11.60479832447443</v>
      </c>
      <c r="IM119" s="759">
        <v>1.3328590073523399E-3</v>
      </c>
      <c r="IN119" s="5">
        <f t="shared" si="648"/>
        <v>0</v>
      </c>
      <c r="IO119" s="771">
        <v>0</v>
      </c>
      <c r="IP119" s="9">
        <f t="shared" si="649"/>
        <v>-5.2361157921252302</v>
      </c>
      <c r="IQ119" s="5">
        <f t="shared" si="650"/>
        <v>-1.1533034783632909</v>
      </c>
      <c r="IR119" s="5">
        <f t="shared" si="714"/>
        <v>0.314</v>
      </c>
      <c r="IS119" s="5">
        <f t="shared" si="651"/>
        <v>0.29718044406258237</v>
      </c>
      <c r="IT119" s="727">
        <f t="shared" si="652"/>
        <v>59.005458243831917</v>
      </c>
      <c r="IU119" s="9">
        <f t="shared" si="653"/>
        <v>-5.2687158904471261</v>
      </c>
      <c r="IV119" s="5">
        <f t="shared" si="654"/>
        <v>-1.1179033715965687</v>
      </c>
      <c r="IW119" s="5">
        <f t="shared" si="715"/>
        <v>0.26600000000000001</v>
      </c>
      <c r="IX119" s="5">
        <f t="shared" si="655"/>
        <v>0.24794395137640415</v>
      </c>
      <c r="IY119" s="762">
        <f t="shared" si="656"/>
        <v>57.027408056037402</v>
      </c>
    </row>
    <row r="120" spans="1:259" ht="15" customHeight="1" x14ac:dyDescent="0.25">
      <c r="A120" s="79"/>
      <c r="B120" s="707">
        <v>-3.3155105811079433</v>
      </c>
      <c r="C120" s="708">
        <v>4.5946859779627092</v>
      </c>
      <c r="D120" s="709">
        <v>-1.7723053452729214</v>
      </c>
      <c r="E120" s="710">
        <v>-0.96305701021189261</v>
      </c>
      <c r="F120" s="708">
        <v>-0.23456030184446547</v>
      </c>
      <c r="G120" s="711">
        <v>0.13229761857404737</v>
      </c>
      <c r="H120" s="710">
        <v>0.26600000000000001</v>
      </c>
      <c r="I120" s="708">
        <v>0.52</v>
      </c>
      <c r="J120" s="570">
        <v>7.2450000000000001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1313</v>
      </c>
      <c r="L120" s="320"/>
      <c r="M120" s="168">
        <f t="shared" si="660"/>
        <v>7.2450000000000001</v>
      </c>
      <c r="N120" s="632">
        <f t="shared" si="661"/>
        <v>-3.3155105811079433</v>
      </c>
      <c r="O120" s="629">
        <f t="shared" si="662"/>
        <v>4.5946859779627092</v>
      </c>
      <c r="P120" s="633">
        <f t="shared" si="663"/>
        <v>-1.7723053452729214</v>
      </c>
      <c r="Q120" s="585">
        <f t="shared" si="520"/>
        <v>125.81409482908447</v>
      </c>
      <c r="R120" s="629">
        <f t="shared" si="716"/>
        <v>5.6660170887075401</v>
      </c>
      <c r="S120" s="634">
        <f t="shared" si="717"/>
        <v>-1.7723053452729214</v>
      </c>
      <c r="T120" s="635">
        <f t="shared" si="718"/>
        <v>4.5946859779627101</v>
      </c>
      <c r="U120" s="629">
        <f t="shared" si="719"/>
        <v>3.3155105811079419</v>
      </c>
      <c r="V120" s="636">
        <f t="shared" si="720"/>
        <v>-1.7723053452729214</v>
      </c>
      <c r="W120" s="585">
        <f t="shared" si="645"/>
        <v>35.814094829084468</v>
      </c>
      <c r="X120" s="629">
        <f t="shared" si="721"/>
        <v>5.6660170887075401</v>
      </c>
      <c r="Y120" s="630">
        <f t="shared" si="644"/>
        <v>-1.7723053452729214</v>
      </c>
      <c r="Z120" s="632">
        <f t="shared" si="664"/>
        <v>0.96305701021189261</v>
      </c>
      <c r="AA120" s="629">
        <f t="shared" si="665"/>
        <v>0.23456030184446547</v>
      </c>
      <c r="AB120" s="629">
        <f t="shared" si="666"/>
        <v>-0.13229761857404737</v>
      </c>
      <c r="AC120" s="636">
        <f t="shared" si="722"/>
        <v>1</v>
      </c>
      <c r="AD120" s="637">
        <f t="shared" si="723"/>
        <v>0.96305701021189261</v>
      </c>
      <c r="AE120" s="629">
        <f t="shared" si="724"/>
        <v>0.23456030184446547</v>
      </c>
      <c r="AF120" s="633">
        <f t="shared" si="725"/>
        <v>-0.13229761857404737</v>
      </c>
      <c r="AG120" s="602">
        <f t="shared" si="726"/>
        <v>60.575962395578728</v>
      </c>
      <c r="AH120" s="603">
        <f t="shared" si="727"/>
        <v>15.62247399137461</v>
      </c>
      <c r="AI120" s="585">
        <f t="shared" si="728"/>
        <v>-82.397616850204741</v>
      </c>
      <c r="AJ120" s="586">
        <f t="shared" si="729"/>
        <v>103.68833621812945</v>
      </c>
      <c r="AK120" s="635">
        <f t="shared" si="730"/>
        <v>0.91821673355722777</v>
      </c>
      <c r="AL120" s="629">
        <f t="shared" si="731"/>
        <v>-0.37333010906586539</v>
      </c>
      <c r="AM120" s="634">
        <f t="shared" si="732"/>
        <v>-0.13229761857404737</v>
      </c>
      <c r="AN120" s="581">
        <f t="shared" si="733"/>
        <v>-70.487114864284834</v>
      </c>
      <c r="AO120" s="582">
        <f t="shared" ref="AO120:AO150" si="742">IF(ROUND(IF(M120="",0,DEGREES(ACOS(AK120))),4)=90,0,IF(M120="","",DEGREES(ACOS(AK120))))</f>
        <v>23.333242679850123</v>
      </c>
      <c r="AP120" s="585">
        <f t="shared" si="734"/>
        <v>-22.12575861095501</v>
      </c>
      <c r="AQ120" s="586">
        <f t="shared" si="667"/>
        <v>0.40234420823599887</v>
      </c>
      <c r="AS120" s="52">
        <f t="shared" si="737"/>
        <v>-324.18590517091553</v>
      </c>
      <c r="AT120" s="73">
        <f t="shared" si="668"/>
        <v>-1.5471762444597856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>Taper</v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7.2450000000000001</v>
      </c>
      <c r="IH120" s="731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0.14499999999999999</v>
      </c>
      <c r="II120" s="734" cm="1">
        <f t="array" ref="II120">IFERROR(ROUND(VALUE(IF($IH120&lt;1,$IH120+LARGE((IF($M$9:$M$150="",0,$M$9:$M$150)-MOD(IF($M$9:$M$150="",0,$M$9:$M$150),1)),1),$IH120)),4),"")</f>
        <v>7.1449999999999996</v>
      </c>
      <c r="IJ120" s="533">
        <f t="shared" si="542"/>
        <v>1613</v>
      </c>
      <c r="IK120" s="533">
        <f t="shared" si="713"/>
        <v>1313</v>
      </c>
      <c r="IL120" s="727">
        <f t="shared" si="647"/>
        <v>10.875898429714567</v>
      </c>
      <c r="IM120" s="759">
        <v>9.8346670851673606E-4</v>
      </c>
      <c r="IN120" s="5">
        <f t="shared" si="648"/>
        <v>0</v>
      </c>
      <c r="IO120" s="771">
        <v>0</v>
      </c>
      <c r="IP120" s="9">
        <f t="shared" si="649"/>
        <v>-5.6260169680671774</v>
      </c>
      <c r="IQ120" s="5">
        <f t="shared" si="650"/>
        <v>-1.7994054270067679</v>
      </c>
      <c r="IR120" s="5">
        <f t="shared" si="714"/>
        <v>0.314</v>
      </c>
      <c r="IS120" s="5">
        <f t="shared" si="651"/>
        <v>0.29325492832982758</v>
      </c>
      <c r="IT120" s="727">
        <f t="shared" si="652"/>
        <v>72.295495460971608</v>
      </c>
      <c r="IU120" s="9">
        <f t="shared" si="653"/>
        <v>-5.6660170887075401</v>
      </c>
      <c r="IV120" s="5">
        <f t="shared" si="654"/>
        <v>-1.7723053452729214</v>
      </c>
      <c r="IW120" s="5">
        <f t="shared" si="715"/>
        <v>0.26600000000000001</v>
      </c>
      <c r="IX120" s="5">
        <f t="shared" si="655"/>
        <v>0.2442456511262226</v>
      </c>
      <c r="IY120" s="762">
        <f t="shared" si="656"/>
        <v>70.487114864284834</v>
      </c>
    </row>
    <row r="121" spans="1:259" ht="15" customHeight="1" x14ac:dyDescent="0.25">
      <c r="A121" s="79"/>
      <c r="B121" s="707">
        <v>-3.4132463985439156</v>
      </c>
      <c r="C121" s="708">
        <v>4.776021249851536</v>
      </c>
      <c r="D121" s="709">
        <v>-2.5103075710876341</v>
      </c>
      <c r="E121" s="710">
        <v>-0.99063735622408577</v>
      </c>
      <c r="F121" s="708">
        <v>-0.11497269295344574</v>
      </c>
      <c r="G121" s="711">
        <v>7.3613234736604874E-2</v>
      </c>
      <c r="H121" s="710">
        <v>0.26600000000000001</v>
      </c>
      <c r="I121" s="708">
        <v>0.52</v>
      </c>
      <c r="J121" s="570">
        <v>7.2519999999999998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1313</v>
      </c>
      <c r="L121" s="320"/>
      <c r="M121" s="168">
        <f t="shared" si="660"/>
        <v>7.2519999999999998</v>
      </c>
      <c r="N121" s="632">
        <f t="shared" si="661"/>
        <v>-3.4132463985439156</v>
      </c>
      <c r="O121" s="629">
        <f t="shared" si="662"/>
        <v>4.776021249851536</v>
      </c>
      <c r="P121" s="633">
        <f t="shared" si="663"/>
        <v>-2.5103075710876341</v>
      </c>
      <c r="Q121" s="585">
        <f t="shared" si="520"/>
        <v>125.55199486692702</v>
      </c>
      <c r="R121" s="629">
        <f t="shared" si="716"/>
        <v>5.8703177048781985</v>
      </c>
      <c r="S121" s="634">
        <f t="shared" si="717"/>
        <v>-2.5103075710876341</v>
      </c>
      <c r="T121" s="635">
        <f t="shared" si="718"/>
        <v>4.7760212498515369</v>
      </c>
      <c r="U121" s="629">
        <f t="shared" si="719"/>
        <v>3.4132463985439139</v>
      </c>
      <c r="V121" s="636">
        <f t="shared" si="720"/>
        <v>-2.5103075710876341</v>
      </c>
      <c r="W121" s="585">
        <f t="shared" si="645"/>
        <v>35.551994866927018</v>
      </c>
      <c r="X121" s="629">
        <f t="shared" si="721"/>
        <v>5.8703177048781985</v>
      </c>
      <c r="Y121" s="630">
        <f t="shared" si="644"/>
        <v>-2.5103075710876341</v>
      </c>
      <c r="Z121" s="632">
        <f t="shared" si="664"/>
        <v>0.99063735622408577</v>
      </c>
      <c r="AA121" s="629">
        <f t="shared" si="665"/>
        <v>0.11497269295344574</v>
      </c>
      <c r="AB121" s="629">
        <f t="shared" si="666"/>
        <v>-7.3613234736604874E-2</v>
      </c>
      <c r="AC121" s="636">
        <f t="shared" si="722"/>
        <v>1</v>
      </c>
      <c r="AD121" s="637">
        <f t="shared" si="723"/>
        <v>0.99063735622408577</v>
      </c>
      <c r="AE121" s="629">
        <f t="shared" si="724"/>
        <v>0.11497269295344574</v>
      </c>
      <c r="AF121" s="633">
        <f t="shared" si="725"/>
        <v>-7.3613234736604874E-2</v>
      </c>
      <c r="AG121" s="602">
        <f t="shared" si="726"/>
        <v>57.369900754517992</v>
      </c>
      <c r="AH121" s="603">
        <f t="shared" si="727"/>
        <v>7.8465059554927512</v>
      </c>
      <c r="AI121" s="585">
        <f t="shared" si="728"/>
        <v>-85.778453767736295</v>
      </c>
      <c r="AJ121" s="586">
        <f t="shared" si="729"/>
        <v>96.620091249941481</v>
      </c>
      <c r="AK121" s="635">
        <f t="shared" si="730"/>
        <v>0.87282076575164436</v>
      </c>
      <c r="AL121" s="629">
        <f t="shared" si="731"/>
        <v>-0.48245725462918132</v>
      </c>
      <c r="AM121" s="634">
        <f t="shared" si="732"/>
        <v>-7.3613234736604874E-2</v>
      </c>
      <c r="AN121" s="581">
        <f t="shared" si="733"/>
        <v>-81.324729927038277</v>
      </c>
      <c r="AO121" s="582">
        <f t="shared" si="742"/>
        <v>29.211896135088327</v>
      </c>
      <c r="AP121" s="585">
        <f t="shared" si="734"/>
        <v>-28.931903616985537</v>
      </c>
      <c r="AQ121" s="586">
        <f t="shared" si="667"/>
        <v>0.38834213697123965</v>
      </c>
      <c r="AS121" s="52">
        <f t="shared" si="737"/>
        <v>-324.44800513307297</v>
      </c>
      <c r="AT121" s="73">
        <f t="shared" si="668"/>
        <v>-2.2849964564118892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>Taper</v>
      </c>
      <c r="IF121" s="533" t="str">
        <f>IFERROR(IF((((($IW121*COS(RADIANS(180-$IY121)))*COS(RADIANS($IY121)))-(($IX121*SIN(RADIANS(180-$IY121)))*SIN(RADIANS($IY121))))+$IU121)&lt;(((Settings!$C$19+$IF$8)/2)*-1),"Gage",""),"")</f>
        <v>Gage</v>
      </c>
      <c r="IG121" s="847">
        <f t="shared" si="643"/>
        <v>7.2519999999999998</v>
      </c>
      <c r="IH121" s="731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0.152</v>
      </c>
      <c r="II121" s="734" cm="1">
        <f t="array" ref="II121">IFERROR(ROUND(VALUE(IF($IH121&lt;1,$IH121+LARGE((IF($M$9:$M$150="",0,$M$9:$M$150)-MOD(IF($M$9:$M$150="",0,$M$9:$M$150),1)),1),$IH121)),4),"")</f>
        <v>7.1520000000000001</v>
      </c>
      <c r="IJ121" s="533">
        <f t="shared" si="542"/>
        <v>1613</v>
      </c>
      <c r="IK121" s="533">
        <f t="shared" si="713"/>
        <v>1313</v>
      </c>
      <c r="IL121" s="727">
        <f t="shared" si="647"/>
        <v>10.908998424935518</v>
      </c>
      <c r="IM121" s="759">
        <v>6.6430127004723995E-4</v>
      </c>
      <c r="IN121" s="5">
        <f t="shared" si="648"/>
        <v>0</v>
      </c>
      <c r="IO121" s="771">
        <v>0</v>
      </c>
      <c r="IP121" s="9">
        <f t="shared" si="649"/>
        <v>-5.8256175700625912</v>
      </c>
      <c r="IQ121" s="5">
        <f t="shared" si="650"/>
        <v>-2.5271076217565871</v>
      </c>
      <c r="IR121" s="5">
        <f t="shared" si="714"/>
        <v>0.314</v>
      </c>
      <c r="IS121" s="5">
        <f t="shared" si="651"/>
        <v>0.28029567534433358</v>
      </c>
      <c r="IT121" s="727">
        <f t="shared" si="652"/>
        <v>82.494956584960434</v>
      </c>
      <c r="IU121" s="9">
        <f t="shared" si="653"/>
        <v>-5.8703177048781985</v>
      </c>
      <c r="IV121" s="5">
        <f t="shared" si="654"/>
        <v>-2.5103075710876341</v>
      </c>
      <c r="IW121" s="5">
        <f t="shared" si="715"/>
        <v>0.26600000000000001</v>
      </c>
      <c r="IX121" s="5">
        <f t="shared" si="655"/>
        <v>0.23217032368993742</v>
      </c>
      <c r="IY121" s="762">
        <f t="shared" si="656"/>
        <v>81.324729927038277</v>
      </c>
    </row>
    <row r="122" spans="1:259" ht="15" customHeight="1" x14ac:dyDescent="0.25">
      <c r="A122" s="79"/>
      <c r="B122" s="707">
        <v>-3.0031654797047849</v>
      </c>
      <c r="C122" s="708">
        <v>5.0730433500982892</v>
      </c>
      <c r="D122" s="709">
        <v>-3.3395100719623776</v>
      </c>
      <c r="E122" s="710">
        <v>-0.50941556370234198</v>
      </c>
      <c r="F122" s="708">
        <v>0.86052064673532025</v>
      </c>
      <c r="G122" s="711">
        <v>2.267948955411562E-7</v>
      </c>
      <c r="H122" s="710">
        <v>0.25700000000000001</v>
      </c>
      <c r="I122" s="708">
        <v>0.41499999999999992</v>
      </c>
      <c r="J122" s="570">
        <v>7.2590000000000003</v>
      </c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CPS-32193r1</v>
      </c>
      <c r="L122" s="320"/>
      <c r="M122" s="168">
        <f t="shared" si="660"/>
        <v>7.2590000000000003</v>
      </c>
      <c r="N122" s="632">
        <f t="shared" si="661"/>
        <v>-3.0031654797047849</v>
      </c>
      <c r="O122" s="629">
        <f t="shared" si="662"/>
        <v>5.0730433500982892</v>
      </c>
      <c r="P122" s="633">
        <f t="shared" si="663"/>
        <v>-3.3395100719623776</v>
      </c>
      <c r="Q122" s="585">
        <f t="shared" si="520"/>
        <v>120.62489557831213</v>
      </c>
      <c r="R122" s="629">
        <f t="shared" si="716"/>
        <v>5.8953177802784253</v>
      </c>
      <c r="S122" s="634">
        <f t="shared" si="717"/>
        <v>-3.3395100719623776</v>
      </c>
      <c r="T122" s="635">
        <f t="shared" si="718"/>
        <v>5.0730433500982892</v>
      </c>
      <c r="U122" s="629">
        <f t="shared" si="719"/>
        <v>3.0031654797047844</v>
      </c>
      <c r="V122" s="636">
        <f t="shared" si="720"/>
        <v>-3.3395100719623776</v>
      </c>
      <c r="W122" s="585">
        <f t="shared" si="645"/>
        <v>30.624895578312135</v>
      </c>
      <c r="X122" s="629">
        <f t="shared" si="721"/>
        <v>5.8953177802784253</v>
      </c>
      <c r="Y122" s="630">
        <f t="shared" si="644"/>
        <v>-3.3395100719623776</v>
      </c>
      <c r="Z122" s="632">
        <f t="shared" si="664"/>
        <v>0.50941556370234198</v>
      </c>
      <c r="AA122" s="629">
        <f t="shared" si="665"/>
        <v>-0.86052064673532025</v>
      </c>
      <c r="AB122" s="629">
        <f t="shared" si="666"/>
        <v>-2.267948955411562E-7</v>
      </c>
      <c r="AC122" s="636">
        <f t="shared" si="722"/>
        <v>1</v>
      </c>
      <c r="AD122" s="637">
        <f t="shared" si="723"/>
        <v>0.50941556370234198</v>
      </c>
      <c r="AE122" s="629">
        <f t="shared" si="724"/>
        <v>-0.86052064673532025</v>
      </c>
      <c r="AF122" s="633">
        <f t="shared" si="725"/>
        <v>-2.267948955411562E-7</v>
      </c>
      <c r="AG122" s="602">
        <f t="shared" si="726"/>
        <v>-89.999984899385765</v>
      </c>
      <c r="AH122" s="603">
        <f t="shared" si="727"/>
        <v>59.375091427298322</v>
      </c>
      <c r="AI122" s="585">
        <f t="shared" si="728"/>
        <v>-89.999987005609668</v>
      </c>
      <c r="AJ122" s="586">
        <f t="shared" si="729"/>
        <v>30.624908572702541</v>
      </c>
      <c r="AK122" s="635">
        <f t="shared" si="730"/>
        <v>2.2679489686261434E-7</v>
      </c>
      <c r="AL122" s="629">
        <f t="shared" si="731"/>
        <v>-0.99999999999994849</v>
      </c>
      <c r="AM122" s="634">
        <f t="shared" si="732"/>
        <v>-2.267948955411562E-7</v>
      </c>
      <c r="AN122" s="581">
        <f t="shared" si="733"/>
        <v>-89.999987005609668</v>
      </c>
      <c r="AO122" s="582">
        <f t="shared" si="742"/>
        <v>0</v>
      </c>
      <c r="AP122" s="585">
        <f t="shared" si="734"/>
        <v>-89.999987005609597</v>
      </c>
      <c r="AQ122" s="586">
        <f t="shared" si="667"/>
        <v>0.38669535767588215</v>
      </c>
      <c r="AS122" s="52">
        <f t="shared" si="737"/>
        <v>-329.37510442168787</v>
      </c>
      <c r="AT122" s="73">
        <f t="shared" si="668"/>
        <v>-3.1107773605584277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>Taper</v>
      </c>
      <c r="IF122" s="533" t="str">
        <f>IFERROR(IF((((($IW122*COS(RADIANS(180-$IY122)))*COS(RADIANS($IY122)))-(($IX122*SIN(RADIANS(180-$IY122)))*SIN(RADIANS($IY122))))+$IU122)&lt;(((Settings!$C$19+$IF$8)/2)*-1),"Gage",""),"")</f>
        <v>Gage</v>
      </c>
      <c r="IG122" s="847">
        <f t="shared" si="643"/>
        <v>7.2590000000000003</v>
      </c>
      <c r="IH122" s="731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0.159</v>
      </c>
      <c r="II122" s="734" cm="1">
        <f t="array" ref="II122">IFERROR(ROUND(VALUE(IF($IH122&lt;1,$IH122+LARGE((IF($M$9:$M$150="",0,$M$9:$M$150)-MOD(IF($M$9:$M$150="",0,$M$9:$M$150),1)),1),$IH122)),4),"")</f>
        <v>7.1589999999999998</v>
      </c>
      <c r="IJ122" s="533">
        <f t="shared" si="542"/>
        <v>1613</v>
      </c>
      <c r="IK122" s="533" t="str">
        <f t="shared" si="713"/>
        <v>CPS-32193r1</v>
      </c>
      <c r="IL122" s="727">
        <f t="shared" si="647"/>
        <v>15.757097724956594</v>
      </c>
      <c r="IM122" s="759">
        <v>2.0237134083231299E-4</v>
      </c>
      <c r="IN122" s="5">
        <f t="shared" si="648"/>
        <v>0</v>
      </c>
      <c r="IO122" s="771">
        <v>0</v>
      </c>
      <c r="IP122" s="9">
        <f t="shared" si="649"/>
        <v>-5.8943177772624171</v>
      </c>
      <c r="IQ122" s="5">
        <f t="shared" si="650"/>
        <v>-3.3370100644223548</v>
      </c>
      <c r="IR122" s="5">
        <f t="shared" si="714"/>
        <v>0.314</v>
      </c>
      <c r="IS122" s="5">
        <f t="shared" si="651"/>
        <v>0.25721375779146971</v>
      </c>
      <c r="IT122" s="727">
        <f t="shared" si="652"/>
        <v>89.999987005609611</v>
      </c>
      <c r="IU122" s="9">
        <f t="shared" si="653"/>
        <v>-5.8953177802784253</v>
      </c>
      <c r="IV122" s="5">
        <f t="shared" si="654"/>
        <v>-3.3395100719623776</v>
      </c>
      <c r="IW122" s="5">
        <f t="shared" si="715"/>
        <v>0.25700000000000001</v>
      </c>
      <c r="IX122" s="5">
        <f t="shared" si="655"/>
        <v>0.25700000000000001</v>
      </c>
      <c r="IY122" s="762">
        <f t="shared" si="656"/>
        <v>89.999987005609668</v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6.6987279208207184E-2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4.7721098814973981E-2</v>
      </c>
      <c r="G157" s="170">
        <f t="shared" si="929"/>
        <v>-0.25438155580957267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0.96514722343531389</v>
      </c>
      <c r="F158" s="170">
        <f t="shared" si="929"/>
        <v>-5.4808416534225982E-2</v>
      </c>
      <c r="G158" s="170">
        <f t="shared" si="929"/>
        <v>-0.25590403391137717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0.95748108559575174</v>
      </c>
      <c r="F159" s="170">
        <f t="shared" si="929"/>
        <v>-0.15160209116232487</v>
      </c>
      <c r="G159" s="170">
        <f t="shared" si="929"/>
        <v>-0.24545218817845355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0.94737327467980514</v>
      </c>
      <c r="F160" s="170">
        <f t="shared" si="929"/>
        <v>-0.24118281256584098</v>
      </c>
      <c r="G160" s="170">
        <f t="shared" si="929"/>
        <v>-0.21051063950616153</v>
      </c>
      <c r="H160" s="139"/>
      <c r="I160" s="86"/>
      <c r="J160" s="79">
        <f t="shared" si="930"/>
        <v>1.1319999999999999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0.93603907484108473</v>
      </c>
      <c r="F161" s="170">
        <f t="shared" si="929"/>
        <v>-0.31560805331068692</v>
      </c>
      <c r="G161" s="170">
        <f t="shared" si="929"/>
        <v>-0.15563549420387612</v>
      </c>
      <c r="H161" s="139"/>
      <c r="I161" s="86"/>
      <c r="J161" s="79">
        <f t="shared" si="930"/>
        <v>1.139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0.91221094259728752</v>
      </c>
      <c r="F162" s="170">
        <f t="shared" si="929"/>
        <v>-0.39606637137015138</v>
      </c>
      <c r="G162" s="170">
        <f t="shared" si="929"/>
        <v>-0.10489340148669764</v>
      </c>
      <c r="H162" s="139"/>
      <c r="I162" s="86"/>
      <c r="J162" s="79">
        <f t="shared" si="930"/>
        <v>1.1459999999999999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0.86337860872282424</v>
      </c>
      <c r="F163" s="170">
        <f t="shared" si="929"/>
        <v>-0.50214279143332929</v>
      </c>
      <c r="G163" s="170">
        <f t="shared" si="929"/>
        <v>-4.9294979575858322E-2</v>
      </c>
      <c r="H163" s="139"/>
      <c r="I163" s="86"/>
      <c r="J163" s="79">
        <f t="shared" si="930"/>
        <v>1.153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0.79209797936640236</v>
      </c>
      <c r="F164" s="170">
        <f t="shared" si="929"/>
        <v>-0.6103939638329049</v>
      </c>
      <c r="G164" s="170">
        <f t="shared" si="929"/>
        <v>-1.3008419229090221E-7</v>
      </c>
      <c r="H164" s="139"/>
      <c r="I164" s="86"/>
      <c r="J164" s="79">
        <f t="shared" si="930"/>
        <v>1.1599999999999999</v>
      </c>
    </row>
    <row r="165" spans="5:16" x14ac:dyDescent="0.25">
      <c r="E165" s="170">
        <f t="shared" si="929"/>
        <v>2.1172276831651943E-7</v>
      </c>
      <c r="F165" s="170">
        <f t="shared" si="929"/>
        <v>-8.1298182854647141E-8</v>
      </c>
      <c r="G165" s="170">
        <f t="shared" si="929"/>
        <v>-0.99999999999997435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-1.8141193127802921E-2</v>
      </c>
      <c r="F166" s="170">
        <f t="shared" si="929"/>
        <v>-6.2836813983532705E-2</v>
      </c>
      <c r="G166" s="170">
        <f t="shared" si="929"/>
        <v>-0.99785892385662356</v>
      </c>
      <c r="H166" s="139"/>
      <c r="I166" s="86"/>
      <c r="J166" s="79">
        <f t="shared" si="930"/>
        <v>1.218</v>
      </c>
    </row>
    <row r="167" spans="5:16" x14ac:dyDescent="0.25">
      <c r="E167" s="170">
        <f t="shared" si="929"/>
        <v>0.880629320044644</v>
      </c>
      <c r="F167" s="170">
        <f t="shared" si="929"/>
        <v>-0.3783185433325626</v>
      </c>
      <c r="G167" s="170">
        <f t="shared" si="929"/>
        <v>-0.28524915503544612</v>
      </c>
      <c r="H167" s="139"/>
      <c r="I167" s="86"/>
      <c r="J167" s="79">
        <f t="shared" si="930"/>
        <v>1.2250000000000001</v>
      </c>
    </row>
    <row r="168" spans="5:16" x14ac:dyDescent="0.25">
      <c r="E168" s="170">
        <f t="shared" si="929"/>
        <v>0.85252316205344847</v>
      </c>
      <c r="F168" s="170">
        <f t="shared" si="929"/>
        <v>-0.46103784087380251</v>
      </c>
      <c r="G168" s="170">
        <f t="shared" si="929"/>
        <v>-0.24626889256422968</v>
      </c>
      <c r="H168" s="139"/>
      <c r="I168" s="86"/>
      <c r="J168" s="79">
        <f t="shared" si="930"/>
        <v>1.232</v>
      </c>
    </row>
    <row r="169" spans="5:16" x14ac:dyDescent="0.25">
      <c r="E169" s="170">
        <f t="shared" si="929"/>
        <v>0.83433702040519819</v>
      </c>
      <c r="F169" s="170">
        <f t="shared" si="929"/>
        <v>-0.51909068295692806</v>
      </c>
      <c r="G169" s="170">
        <f t="shared" si="929"/>
        <v>-0.18554406282251645</v>
      </c>
      <c r="H169" s="139"/>
      <c r="I169" s="86"/>
      <c r="J169" s="79">
        <f t="shared" si="930"/>
        <v>1.2390000000000001</v>
      </c>
    </row>
    <row r="170" spans="5:16" x14ac:dyDescent="0.25">
      <c r="E170" s="170">
        <f t="shared" si="929"/>
        <v>0.79767741507141132</v>
      </c>
      <c r="F170" s="170">
        <f t="shared" si="929"/>
        <v>-0.58952025445745138</v>
      </c>
      <c r="G170" s="170">
        <f t="shared" si="929"/>
        <v>-0.12718730702948763</v>
      </c>
      <c r="H170" s="139"/>
      <c r="I170" s="86"/>
      <c r="J170" s="79">
        <f t="shared" si="930"/>
        <v>1.246</v>
      </c>
    </row>
    <row r="171" spans="5:16" x14ac:dyDescent="0.25">
      <c r="E171" s="170">
        <f t="shared" si="929"/>
        <v>0.72378762486604342</v>
      </c>
      <c r="F171" s="170">
        <f t="shared" si="929"/>
        <v>-0.68716486214551054</v>
      </c>
      <c r="G171" s="170">
        <f t="shared" si="929"/>
        <v>-6.2736961380936485E-2</v>
      </c>
      <c r="H171" s="139"/>
      <c r="I171" s="86"/>
      <c r="J171" s="79">
        <f t="shared" si="930"/>
        <v>1.2529999999999999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-0.31523637881392252</v>
      </c>
      <c r="F172" s="170">
        <f t="shared" si="929"/>
        <v>-0.94901318508871824</v>
      </c>
      <c r="G172" s="170">
        <f t="shared" si="929"/>
        <v>-2.2679489679767139E-7</v>
      </c>
      <c r="H172" s="139"/>
      <c r="I172" s="86"/>
      <c r="J172" s="79">
        <f t="shared" si="930"/>
        <v>1.26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0.56725617903884062</v>
      </c>
      <c r="F173" s="170">
        <f t="shared" si="929"/>
        <v>-0.78248532022250239</v>
      </c>
      <c r="G173" s="170">
        <f t="shared" si="929"/>
        <v>-0.25678230269732905</v>
      </c>
      <c r="H173" s="139"/>
      <c r="I173" s="86"/>
      <c r="J173" s="79">
        <f t="shared" si="930"/>
        <v>2.1120000000000001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0.4827562139081234</v>
      </c>
      <c r="F174" s="170">
        <f t="shared" si="933"/>
        <v>-0.83821880112679104</v>
      </c>
      <c r="G174" s="170">
        <f t="shared" si="933"/>
        <v>-0.2536447897565795</v>
      </c>
      <c r="H174" s="139"/>
      <c r="I174" s="86"/>
      <c r="J174" s="79">
        <f t="shared" si="930"/>
        <v>2.1190000000000002</v>
      </c>
    </row>
    <row r="175" spans="5:16" x14ac:dyDescent="0.25">
      <c r="E175" s="170">
        <f t="shared" si="933"/>
        <v>0.39887624891550005</v>
      </c>
      <c r="F175" s="170">
        <f t="shared" si="933"/>
        <v>-0.88514515133589922</v>
      </c>
      <c r="G175" s="170">
        <f t="shared" si="933"/>
        <v>-0.23961594086714688</v>
      </c>
      <c r="H175" s="139"/>
      <c r="I175" s="86"/>
      <c r="J175" s="79">
        <f t="shared" si="930"/>
        <v>2.1259999999999999</v>
      </c>
    </row>
    <row r="176" spans="5:16" x14ac:dyDescent="0.25">
      <c r="E176" s="170">
        <f t="shared" si="933"/>
        <v>0.32065092322771366</v>
      </c>
      <c r="F176" s="170">
        <f t="shared" si="933"/>
        <v>-0.92546558556007141</v>
      </c>
      <c r="G176" s="170">
        <f t="shared" si="933"/>
        <v>-0.2017335752351827</v>
      </c>
      <c r="H176" s="139"/>
      <c r="I176" s="86"/>
      <c r="J176" s="79">
        <f t="shared" si="930"/>
        <v>2.133</v>
      </c>
    </row>
    <row r="177" spans="5:10" x14ac:dyDescent="0.25">
      <c r="E177" s="170">
        <f t="shared" si="933"/>
        <v>0.25520717869474829</v>
      </c>
      <c r="F177" s="170">
        <f t="shared" si="933"/>
        <v>-0.95597205949508368</v>
      </c>
      <c r="G177" s="170">
        <f t="shared" si="933"/>
        <v>-0.1448679309143166</v>
      </c>
      <c r="H177" s="139"/>
      <c r="I177" s="86"/>
      <c r="J177" s="79">
        <f t="shared" si="930"/>
        <v>2.14</v>
      </c>
    </row>
    <row r="178" spans="5:10" x14ac:dyDescent="0.25">
      <c r="E178" s="170">
        <f t="shared" si="933"/>
        <v>0.17775288774530382</v>
      </c>
      <c r="F178" s="170">
        <f t="shared" si="933"/>
        <v>-0.97975406580454938</v>
      </c>
      <c r="G178" s="170">
        <f t="shared" si="933"/>
        <v>-9.2118844096419461E-2</v>
      </c>
      <c r="H178" s="139"/>
      <c r="I178" s="86"/>
      <c r="J178" s="79">
        <f t="shared" si="930"/>
        <v>2.1469999999999998</v>
      </c>
    </row>
    <row r="179" spans="5:10" x14ac:dyDescent="0.25">
      <c r="E179" s="170">
        <f t="shared" si="933"/>
        <v>4.8520550182317809E-2</v>
      </c>
      <c r="F179" s="170">
        <f t="shared" si="933"/>
        <v>-0.99806522711657386</v>
      </c>
      <c r="G179" s="170">
        <f t="shared" si="933"/>
        <v>-3.8878768380020592E-2</v>
      </c>
      <c r="H179" s="139"/>
      <c r="I179" s="86"/>
      <c r="J179" s="79">
        <f t="shared" si="930"/>
        <v>2.1539999999999999</v>
      </c>
    </row>
    <row r="180" spans="5:10" x14ac:dyDescent="0.25">
      <c r="E180" s="170">
        <f t="shared" si="933"/>
        <v>-6.3104725699020689E-2</v>
      </c>
      <c r="F180" s="170">
        <f t="shared" si="933"/>
        <v>-0.99800691059452817</v>
      </c>
      <c r="G180" s="170">
        <f t="shared" si="933"/>
        <v>-1.3008419243733727E-7</v>
      </c>
      <c r="H180" s="139"/>
      <c r="I180" s="86"/>
      <c r="J180" s="79">
        <f t="shared" si="930"/>
        <v>2.161</v>
      </c>
    </row>
    <row r="181" spans="5:10" x14ac:dyDescent="0.25">
      <c r="E181" s="170">
        <f t="shared" si="933"/>
        <v>-9.3115983694318491E-2</v>
      </c>
      <c r="F181" s="170">
        <f t="shared" si="933"/>
        <v>-3.0883699910405876E-2</v>
      </c>
      <c r="G181" s="170">
        <f t="shared" si="933"/>
        <v>-0.99517617066551767</v>
      </c>
      <c r="H181" s="139"/>
      <c r="I181" s="86"/>
      <c r="J181" s="79">
        <f t="shared" si="930"/>
        <v>2.2189999999999999</v>
      </c>
    </row>
    <row r="182" spans="5:10" x14ac:dyDescent="0.25">
      <c r="E182" s="170">
        <f t="shared" si="933"/>
        <v>0.16661203689986809</v>
      </c>
      <c r="F182" s="170">
        <f t="shared" si="933"/>
        <v>-0.94573020159934584</v>
      </c>
      <c r="G182" s="170">
        <f t="shared" si="933"/>
        <v>-0.27898891544815485</v>
      </c>
      <c r="H182" s="139"/>
      <c r="I182" s="86"/>
      <c r="J182" s="79">
        <f t="shared" si="930"/>
        <v>2.226</v>
      </c>
    </row>
    <row r="183" spans="5:10" x14ac:dyDescent="0.25">
      <c r="E183" s="170">
        <f t="shared" si="933"/>
        <v>8.7385366605120779E-2</v>
      </c>
      <c r="F183" s="170">
        <f t="shared" si="933"/>
        <v>-0.9676237345168166</v>
      </c>
      <c r="G183" s="170">
        <f t="shared" si="933"/>
        <v>-0.23678704800520212</v>
      </c>
      <c r="H183" s="139"/>
      <c r="I183" s="86"/>
      <c r="J183" s="79">
        <f t="shared" si="930"/>
        <v>2.2330000000000001</v>
      </c>
    </row>
    <row r="184" spans="5:10" x14ac:dyDescent="0.25">
      <c r="E184" s="170">
        <f t="shared" si="933"/>
        <v>3.0629139253576118E-2</v>
      </c>
      <c r="F184" s="170">
        <f t="shared" si="933"/>
        <v>-0.98429738533670608</v>
      </c>
      <c r="G184" s="170">
        <f t="shared" si="933"/>
        <v>-0.1738404816143499</v>
      </c>
      <c r="H184" s="139"/>
      <c r="I184" s="86"/>
      <c r="J184" s="79">
        <f t="shared" si="930"/>
        <v>2.2400000000000002</v>
      </c>
    </row>
    <row r="185" spans="5:10" x14ac:dyDescent="0.25">
      <c r="E185" s="170">
        <f t="shared" si="933"/>
        <v>-4.6381716268683842E-2</v>
      </c>
      <c r="F185" s="170">
        <f t="shared" si="933"/>
        <v>-0.99247723223957007</v>
      </c>
      <c r="G185" s="170">
        <f t="shared" si="933"/>
        <v>-0.11330348574538121</v>
      </c>
      <c r="H185" s="139"/>
      <c r="I185" s="86"/>
      <c r="J185" s="79">
        <f t="shared" si="930"/>
        <v>2.2469999999999999</v>
      </c>
    </row>
    <row r="186" spans="5:10" x14ac:dyDescent="0.25">
      <c r="E186" s="170">
        <f t="shared" si="933"/>
        <v>-0.18440104057166021</v>
      </c>
      <c r="F186" s="170">
        <f t="shared" si="933"/>
        <v>-0.98152541152480188</v>
      </c>
      <c r="G186" s="170">
        <f t="shared" si="933"/>
        <v>-5.1030606180579252E-2</v>
      </c>
      <c r="H186" s="139"/>
      <c r="I186" s="86"/>
      <c r="J186" s="79">
        <f t="shared" si="930"/>
        <v>2.254</v>
      </c>
    </row>
    <row r="187" spans="5:10" x14ac:dyDescent="0.25">
      <c r="E187" s="170">
        <f t="shared" si="933"/>
        <v>-0.9630490300780985</v>
      </c>
      <c r="F187" s="170">
        <f t="shared" si="933"/>
        <v>-0.26932613253374127</v>
      </c>
      <c r="G187" s="170">
        <f t="shared" si="933"/>
        <v>-2.2679489533562379E-7</v>
      </c>
      <c r="H187" s="139"/>
      <c r="I187" s="86"/>
      <c r="J187" s="79">
        <f t="shared" si="930"/>
        <v>2.2610000000000001</v>
      </c>
    </row>
    <row r="188" spans="5:10" x14ac:dyDescent="0.25">
      <c r="E188" s="170">
        <f t="shared" si="933"/>
        <v>-0.20185354387626067</v>
      </c>
      <c r="F188" s="170">
        <f t="shared" si="933"/>
        <v>-0.94697157464841875</v>
      </c>
      <c r="G188" s="170">
        <f t="shared" si="933"/>
        <v>-0.24999996726497567</v>
      </c>
      <c r="H188" s="139"/>
      <c r="I188" s="86"/>
      <c r="J188" s="79">
        <f t="shared" si="930"/>
        <v>3.1030000000000002</v>
      </c>
    </row>
    <row r="189" spans="5:10" x14ac:dyDescent="0.25">
      <c r="E189" s="170">
        <f t="shared" si="933"/>
        <v>-0.20185354387626059</v>
      </c>
      <c r="F189" s="170">
        <f t="shared" si="933"/>
        <v>-0.94697157464841886</v>
      </c>
      <c r="G189" s="170">
        <f t="shared" si="933"/>
        <v>-0.2499999672649757</v>
      </c>
      <c r="H189" s="139"/>
      <c r="I189" s="86"/>
      <c r="J189" s="79">
        <f t="shared" si="930"/>
        <v>3.1059999999999999</v>
      </c>
    </row>
    <row r="190" spans="5:10" x14ac:dyDescent="0.25">
      <c r="E190" s="170">
        <f t="shared" si="933"/>
        <v>-0.20185354387626067</v>
      </c>
      <c r="F190" s="170">
        <f t="shared" si="933"/>
        <v>-0.94697157464841875</v>
      </c>
      <c r="G190" s="170">
        <f t="shared" si="933"/>
        <v>-0.24999996726497567</v>
      </c>
      <c r="H190" s="139"/>
      <c r="I190" s="86"/>
      <c r="J190" s="79">
        <f t="shared" si="930"/>
        <v>3.109</v>
      </c>
    </row>
    <row r="191" spans="5:10" x14ac:dyDescent="0.25">
      <c r="E191" s="170">
        <f t="shared" si="933"/>
        <v>-0.27788523920092167</v>
      </c>
      <c r="F191" s="170">
        <f t="shared" si="933"/>
        <v>-0.92494468469293245</v>
      </c>
      <c r="G191" s="170">
        <f t="shared" si="933"/>
        <v>-0.25933978501675881</v>
      </c>
      <c r="H191" s="139"/>
      <c r="I191" s="86"/>
      <c r="J191" s="79">
        <f t="shared" si="930"/>
        <v>3.1150000000000002</v>
      </c>
    </row>
    <row r="192" spans="5:10" x14ac:dyDescent="0.25">
      <c r="E192" s="170">
        <f t="shared" si="933"/>
        <v>-0.37003123135445271</v>
      </c>
      <c r="F192" s="170">
        <f t="shared" si="933"/>
        <v>-0.89647778331279016</v>
      </c>
      <c r="G192" s="170">
        <f t="shared" si="933"/>
        <v>-0.2437303260755494</v>
      </c>
      <c r="H192" s="139"/>
      <c r="I192" s="86"/>
      <c r="J192" s="79">
        <f t="shared" si="930"/>
        <v>3.1219999999999999</v>
      </c>
    </row>
    <row r="193" spans="5:10" x14ac:dyDescent="0.25">
      <c r="E193" s="170">
        <f t="shared" si="933"/>
        <v>-0.45578918543990093</v>
      </c>
      <c r="F193" s="170">
        <f t="shared" si="933"/>
        <v>-0.86259292555677358</v>
      </c>
      <c r="G193" s="170">
        <f t="shared" si="933"/>
        <v>-0.21952144135696225</v>
      </c>
      <c r="H193" s="139"/>
      <c r="I193" s="86"/>
      <c r="J193" s="79">
        <f t="shared" si="930"/>
        <v>3.129</v>
      </c>
    </row>
    <row r="194" spans="5:10" x14ac:dyDescent="0.25">
      <c r="E194" s="170">
        <f t="shared" ref="E194:G213" si="934">E49*-1</f>
        <v>-0.52964268459485497</v>
      </c>
      <c r="F194" s="170">
        <f t="shared" si="934"/>
        <v>-0.83023804187649708</v>
      </c>
      <c r="G194" s="170">
        <f t="shared" si="934"/>
        <v>-0.1737337632017299</v>
      </c>
      <c r="H194" s="139"/>
      <c r="I194" s="86"/>
      <c r="J194" s="79">
        <f t="shared" si="930"/>
        <v>3.1360000000000001</v>
      </c>
    </row>
    <row r="195" spans="5:10" x14ac:dyDescent="0.25">
      <c r="E195" s="170">
        <f t="shared" si="934"/>
        <v>-0.59627993374338761</v>
      </c>
      <c r="F195" s="170">
        <f t="shared" si="934"/>
        <v>-0.79344191766370054</v>
      </c>
      <c r="G195" s="170">
        <f t="shared" si="934"/>
        <v>-0.12206622755345065</v>
      </c>
      <c r="H195" s="139"/>
      <c r="I195" s="86"/>
      <c r="J195" s="79">
        <f t="shared" si="930"/>
        <v>3.1429999999999998</v>
      </c>
    </row>
    <row r="196" spans="5:10" x14ac:dyDescent="0.25">
      <c r="E196" s="170">
        <f t="shared" si="934"/>
        <v>-0.67996689600887206</v>
      </c>
      <c r="F196" s="170">
        <f t="shared" si="934"/>
        <v>-0.72938737297577982</v>
      </c>
      <c r="G196" s="170">
        <f t="shared" si="934"/>
        <v>-7.5093811166770774E-2</v>
      </c>
      <c r="H196" s="139"/>
      <c r="I196" s="86"/>
      <c r="J196" s="79">
        <f t="shared" si="930"/>
        <v>3.15</v>
      </c>
    </row>
    <row r="197" spans="5:10" x14ac:dyDescent="0.25">
      <c r="E197" s="170">
        <f t="shared" si="934"/>
        <v>-0.80508050911010354</v>
      </c>
      <c r="F197" s="170">
        <f t="shared" si="934"/>
        <v>-0.59316555349328892</v>
      </c>
      <c r="G197" s="170">
        <f t="shared" si="934"/>
        <v>-1.3008419193260696E-7</v>
      </c>
      <c r="H197" s="139"/>
      <c r="I197" s="86"/>
      <c r="J197" s="79">
        <f t="shared" si="930"/>
        <v>3.157</v>
      </c>
    </row>
    <row r="198" spans="5:10" x14ac:dyDescent="0.25">
      <c r="E198" s="170">
        <f t="shared" si="934"/>
        <v>-1.457152400769462E-7</v>
      </c>
      <c r="F198" s="170">
        <f t="shared" si="934"/>
        <v>-1.7379008600508028E-7</v>
      </c>
      <c r="G198" s="170">
        <f t="shared" si="934"/>
        <v>-0.99999999999997435</v>
      </c>
      <c r="H198" s="139"/>
      <c r="I198" s="86"/>
      <c r="J198" s="79">
        <f t="shared" si="930"/>
        <v>3.2090000000000001</v>
      </c>
    </row>
    <row r="199" spans="5:10" x14ac:dyDescent="0.25">
      <c r="E199" s="170">
        <f t="shared" si="934"/>
        <v>-1.2607728088958696E-7</v>
      </c>
      <c r="F199" s="170">
        <f t="shared" si="934"/>
        <v>-1.8852173455886571E-7</v>
      </c>
      <c r="G199" s="170">
        <f t="shared" si="934"/>
        <v>-0.99999999999997435</v>
      </c>
      <c r="H199" s="139"/>
      <c r="I199" s="86"/>
      <c r="J199" s="79">
        <f t="shared" si="930"/>
        <v>3.2149999999999999</v>
      </c>
    </row>
    <row r="200" spans="5:10" x14ac:dyDescent="0.25">
      <c r="E200" s="170">
        <f t="shared" si="934"/>
        <v>-0.58000854950954261</v>
      </c>
      <c r="F200" s="170">
        <f t="shared" si="934"/>
        <v>-0.76321791612729728</v>
      </c>
      <c r="G200" s="170">
        <f t="shared" si="934"/>
        <v>-0.28476041683868658</v>
      </c>
      <c r="H200" s="139"/>
      <c r="I200" s="86"/>
      <c r="J200" s="79">
        <f t="shared" si="930"/>
        <v>3.222</v>
      </c>
    </row>
    <row r="201" spans="5:10" x14ac:dyDescent="0.25">
      <c r="E201" s="170">
        <f t="shared" si="934"/>
        <v>-0.65293191513019977</v>
      </c>
      <c r="F201" s="170">
        <f t="shared" si="934"/>
        <v>-0.71234968288906486</v>
      </c>
      <c r="G201" s="170">
        <f t="shared" si="934"/>
        <v>-0.25736713755306539</v>
      </c>
      <c r="H201" s="139"/>
      <c r="I201" s="86"/>
      <c r="J201" s="79">
        <f t="shared" si="930"/>
        <v>3.2290000000000001</v>
      </c>
    </row>
    <row r="202" spans="5:10" x14ac:dyDescent="0.25">
      <c r="E202" s="170">
        <f t="shared" si="934"/>
        <v>-0.70445290267810368</v>
      </c>
      <c r="F202" s="170">
        <f t="shared" si="934"/>
        <v>-0.67905812156962497</v>
      </c>
      <c r="G202" s="170">
        <f t="shared" si="934"/>
        <v>-0.20646107487545101</v>
      </c>
      <c r="H202" s="139"/>
      <c r="I202" s="86"/>
      <c r="J202" s="79">
        <f t="shared" si="930"/>
        <v>3.2360000000000002</v>
      </c>
    </row>
    <row r="203" spans="5:10" x14ac:dyDescent="0.25">
      <c r="E203" s="170">
        <f t="shared" si="934"/>
        <v>-0.75692739494872441</v>
      </c>
      <c r="F203" s="170">
        <f t="shared" si="934"/>
        <v>-0.63654723471844066</v>
      </c>
      <c r="G203" s="170">
        <f t="shared" si="934"/>
        <v>-0.14788014318509574</v>
      </c>
      <c r="H203" s="139"/>
      <c r="I203" s="86"/>
      <c r="J203" s="79">
        <f t="shared" si="930"/>
        <v>3.2429999999999999</v>
      </c>
    </row>
    <row r="204" spans="5:10" x14ac:dyDescent="0.25">
      <c r="E204" s="170">
        <f t="shared" si="934"/>
        <v>-0.82640047880146084</v>
      </c>
      <c r="F204" s="170">
        <f t="shared" si="934"/>
        <v>-0.55544477963230854</v>
      </c>
      <c r="G204" s="170">
        <f t="shared" si="934"/>
        <v>-9.2430219170640066E-2</v>
      </c>
      <c r="H204" s="139"/>
      <c r="I204" s="86"/>
      <c r="J204" s="79">
        <f t="shared" si="930"/>
        <v>3.25</v>
      </c>
    </row>
    <row r="205" spans="5:10" x14ac:dyDescent="0.25">
      <c r="E205" s="170">
        <f t="shared" si="934"/>
        <v>-0.82535874046619506</v>
      </c>
      <c r="F205" s="170">
        <f t="shared" si="934"/>
        <v>0.56460866937729959</v>
      </c>
      <c r="G205" s="170">
        <f t="shared" si="934"/>
        <v>-2.2679489638950702E-7</v>
      </c>
      <c r="H205" s="139"/>
      <c r="I205" s="86"/>
      <c r="J205" s="79">
        <f t="shared" si="930"/>
        <v>3.2570000000000001</v>
      </c>
    </row>
    <row r="206" spans="5:10" x14ac:dyDescent="0.25">
      <c r="E206" s="170">
        <f t="shared" si="934"/>
        <v>-0.93565660859228394</v>
      </c>
      <c r="F206" s="170">
        <f t="shared" si="934"/>
        <v>-0.24000227455120046</v>
      </c>
      <c r="G206" s="170">
        <f t="shared" si="934"/>
        <v>-0.25873851473608594</v>
      </c>
      <c r="H206" s="139"/>
      <c r="I206" s="86"/>
      <c r="J206" s="79">
        <f t="shared" si="930"/>
        <v>4.1159999999999997</v>
      </c>
    </row>
    <row r="207" spans="5:10" x14ac:dyDescent="0.25">
      <c r="E207" s="170">
        <f t="shared" si="934"/>
        <v>-0.95947281636681703</v>
      </c>
      <c r="F207" s="170">
        <f t="shared" si="934"/>
        <v>-0.14864003511802698</v>
      </c>
      <c r="G207" s="170">
        <f t="shared" si="934"/>
        <v>-0.23941189321593845</v>
      </c>
      <c r="H207" s="139"/>
      <c r="I207" s="86"/>
      <c r="J207" s="79">
        <f t="shared" si="930"/>
        <v>4.1230000000000002</v>
      </c>
    </row>
    <row r="208" spans="5:10" x14ac:dyDescent="0.25">
      <c r="E208" s="170">
        <f t="shared" si="934"/>
        <v>-0.97544062648967789</v>
      </c>
      <c r="F208" s="170">
        <f t="shared" si="934"/>
        <v>-5.9545013810767114E-2</v>
      </c>
      <c r="G208" s="170">
        <f t="shared" si="934"/>
        <v>-0.21206125417836319</v>
      </c>
      <c r="H208" s="139"/>
      <c r="I208" s="86"/>
      <c r="J208" s="79">
        <f t="shared" si="930"/>
        <v>4.13</v>
      </c>
    </row>
    <row r="209" spans="5:10" x14ac:dyDescent="0.25">
      <c r="E209" s="170">
        <f t="shared" si="934"/>
        <v>-0.9838379164152794</v>
      </c>
      <c r="F209" s="170">
        <f t="shared" si="934"/>
        <v>2.9153423513911508E-2</v>
      </c>
      <c r="G209" s="170">
        <f t="shared" si="934"/>
        <v>-0.17667210340362283</v>
      </c>
      <c r="H209" s="139"/>
      <c r="I209" s="86"/>
      <c r="J209" s="79">
        <f t="shared" si="930"/>
        <v>4.1369999999999996</v>
      </c>
    </row>
    <row r="210" spans="5:10" x14ac:dyDescent="0.25">
      <c r="E210" s="170">
        <f t="shared" si="934"/>
        <v>-0.98719464019581837</v>
      </c>
      <c r="F210" s="170">
        <f t="shared" si="934"/>
        <v>0.1047066749264446</v>
      </c>
      <c r="G210" s="170">
        <f t="shared" si="934"/>
        <v>-0.1203463941898413</v>
      </c>
      <c r="H210" s="139"/>
      <c r="I210" s="86"/>
      <c r="J210" s="79">
        <f t="shared" si="930"/>
        <v>4.1440000000000001</v>
      </c>
    </row>
    <row r="211" spans="5:10" x14ac:dyDescent="0.25">
      <c r="E211" s="170">
        <f t="shared" si="934"/>
        <v>-0.97567700075159947</v>
      </c>
      <c r="F211" s="170">
        <f t="shared" si="934"/>
        <v>0.20858853743257566</v>
      </c>
      <c r="G211" s="170">
        <f t="shared" si="934"/>
        <v>-6.7418189356452732E-2</v>
      </c>
      <c r="H211" s="139"/>
      <c r="I211" s="86"/>
      <c r="J211" s="79">
        <f t="shared" si="930"/>
        <v>4.1509999999999998</v>
      </c>
    </row>
    <row r="212" spans="5:10" x14ac:dyDescent="0.25">
      <c r="E212" s="170">
        <f t="shared" si="934"/>
        <v>-0.929660643228304</v>
      </c>
      <c r="F212" s="170">
        <f t="shared" si="934"/>
        <v>0.3684170034516856</v>
      </c>
      <c r="G212" s="170">
        <f t="shared" si="934"/>
        <v>-1.3008419237398304E-7</v>
      </c>
      <c r="H212" s="139"/>
      <c r="I212" s="86"/>
      <c r="J212" s="79">
        <f t="shared" si="930"/>
        <v>4.1580000000000004</v>
      </c>
    </row>
    <row r="213" spans="5:10" x14ac:dyDescent="0.25">
      <c r="E213" s="170">
        <f t="shared" si="934"/>
        <v>-7.0633064322269965E-3</v>
      </c>
      <c r="F213" s="170">
        <f t="shared" si="934"/>
        <v>0.22705137765746536</v>
      </c>
      <c r="G213" s="170">
        <f t="shared" si="934"/>
        <v>-0.97385716694292068</v>
      </c>
      <c r="H213" s="139"/>
      <c r="I213" s="86"/>
      <c r="J213" s="79">
        <f t="shared" si="930"/>
        <v>4.2229999999999999</v>
      </c>
    </row>
    <row r="214" spans="5:10" x14ac:dyDescent="0.25">
      <c r="E214" s="170">
        <f t="shared" ref="E214:G233" si="935">E69*-1</f>
        <v>-0.95081284689858891</v>
      </c>
      <c r="F214" s="170">
        <f t="shared" si="935"/>
        <v>0.18383501731039428</v>
      </c>
      <c r="G214" s="170">
        <f t="shared" si="935"/>
        <v>-0.24931830374661143</v>
      </c>
      <c r="H214" s="139"/>
      <c r="I214" s="86"/>
      <c r="J214" s="79">
        <f t="shared" si="930"/>
        <v>4.2300000000000004</v>
      </c>
    </row>
    <row r="215" spans="5:10" x14ac:dyDescent="0.25">
      <c r="E215" s="170">
        <f t="shared" si="935"/>
        <v>-0.94399584085665866</v>
      </c>
      <c r="F215" s="170">
        <f t="shared" si="935"/>
        <v>0.25584545111267654</v>
      </c>
      <c r="G215" s="170">
        <f t="shared" si="935"/>
        <v>-0.2083625628328683</v>
      </c>
      <c r="H215" s="139"/>
      <c r="I215" s="86"/>
      <c r="J215" s="79">
        <f t="shared" si="930"/>
        <v>4.2370000000000001</v>
      </c>
    </row>
    <row r="216" spans="5:10" x14ac:dyDescent="0.25">
      <c r="E216" s="170">
        <f t="shared" si="935"/>
        <v>-0.9350968912048101</v>
      </c>
      <c r="F216" s="170">
        <f t="shared" si="935"/>
        <v>0.32339222439294163</v>
      </c>
      <c r="G216" s="170">
        <f t="shared" si="935"/>
        <v>-0.14495265868994928</v>
      </c>
      <c r="H216" s="139"/>
      <c r="I216" s="86"/>
      <c r="J216" s="79">
        <f t="shared" si="930"/>
        <v>4.2439999999999998</v>
      </c>
    </row>
    <row r="217" spans="5:10" x14ac:dyDescent="0.25">
      <c r="E217" s="170">
        <f t="shared" si="935"/>
        <v>-0.9014112656407931</v>
      </c>
      <c r="F217" s="170">
        <f t="shared" si="935"/>
        <v>0.42484462965018183</v>
      </c>
      <c r="G217" s="170">
        <f t="shared" si="935"/>
        <v>-8.3455202553606639E-2</v>
      </c>
      <c r="H217" s="139"/>
      <c r="I217" s="86"/>
      <c r="J217" s="79">
        <f t="shared" si="930"/>
        <v>4.2510000000000003</v>
      </c>
    </row>
    <row r="218" spans="5:10" x14ac:dyDescent="0.25">
      <c r="E218" s="170">
        <f t="shared" si="935"/>
        <v>4.1441664631389132E-2</v>
      </c>
      <c r="F218" s="170">
        <f t="shared" si="935"/>
        <v>0.99914092521151798</v>
      </c>
      <c r="G218" s="170">
        <f t="shared" si="935"/>
        <v>-2.2679489761357135E-7</v>
      </c>
      <c r="H218" s="139"/>
      <c r="I218" s="86"/>
      <c r="J218" s="79">
        <f t="shared" si="930"/>
        <v>4.258</v>
      </c>
    </row>
    <row r="219" spans="5:10" x14ac:dyDescent="0.25">
      <c r="E219" s="170">
        <f t="shared" si="935"/>
        <v>-0.80240123924886186</v>
      </c>
      <c r="F219" s="170">
        <f t="shared" si="935"/>
        <v>0.54189691604529533</v>
      </c>
      <c r="G219" s="170">
        <f t="shared" si="935"/>
        <v>-0.24999996726497564</v>
      </c>
      <c r="H219" s="139"/>
      <c r="I219" s="86"/>
      <c r="J219" s="79">
        <f t="shared" ref="J219:J282" si="936">J74</f>
        <v>5.1020000000000003</v>
      </c>
    </row>
    <row r="220" spans="5:10" x14ac:dyDescent="0.25">
      <c r="E220" s="170">
        <f t="shared" si="935"/>
        <v>-0.80240123924886186</v>
      </c>
      <c r="F220" s="170">
        <f t="shared" si="935"/>
        <v>0.54189691604529544</v>
      </c>
      <c r="G220" s="170">
        <f t="shared" si="935"/>
        <v>-0.2499999672649757</v>
      </c>
      <c r="H220" s="139"/>
      <c r="I220" s="86"/>
      <c r="J220" s="79">
        <f t="shared" si="936"/>
        <v>5.1050000000000004</v>
      </c>
    </row>
    <row r="221" spans="5:10" x14ac:dyDescent="0.25">
      <c r="E221" s="170">
        <f t="shared" si="935"/>
        <v>-0.80240123924886197</v>
      </c>
      <c r="F221" s="170">
        <f t="shared" si="935"/>
        <v>0.54189691604529522</v>
      </c>
      <c r="G221" s="170">
        <f t="shared" si="935"/>
        <v>-0.24999996726497559</v>
      </c>
      <c r="H221" s="139"/>
      <c r="I221" s="86"/>
      <c r="J221" s="79">
        <f t="shared" si="936"/>
        <v>5.1079999999999997</v>
      </c>
    </row>
    <row r="222" spans="5:10" x14ac:dyDescent="0.25">
      <c r="E222" s="170">
        <f t="shared" si="935"/>
        <v>-0.77210549387701821</v>
      </c>
      <c r="F222" s="170">
        <f t="shared" si="935"/>
        <v>0.58059848267960679</v>
      </c>
      <c r="G222" s="170">
        <f t="shared" si="935"/>
        <v>-0.25837667896902827</v>
      </c>
      <c r="H222" s="139"/>
      <c r="I222" s="86"/>
      <c r="J222" s="79">
        <f t="shared" si="936"/>
        <v>5.1130000000000004</v>
      </c>
    </row>
    <row r="223" spans="5:10" x14ac:dyDescent="0.25">
      <c r="E223" s="170">
        <f t="shared" si="935"/>
        <v>-0.7095647101632907</v>
      </c>
      <c r="F223" s="170">
        <f t="shared" si="935"/>
        <v>0.65847352359025613</v>
      </c>
      <c r="G223" s="170">
        <f t="shared" si="935"/>
        <v>-0.25085960380562994</v>
      </c>
      <c r="H223" s="139"/>
      <c r="I223" s="86"/>
      <c r="J223" s="79">
        <f t="shared" si="936"/>
        <v>5.12</v>
      </c>
    </row>
    <row r="224" spans="5:10" x14ac:dyDescent="0.25">
      <c r="E224" s="170">
        <f t="shared" si="935"/>
        <v>-0.64474089951541991</v>
      </c>
      <c r="F224" s="170">
        <f t="shared" si="935"/>
        <v>0.72792122249045288</v>
      </c>
      <c r="G224" s="170">
        <f t="shared" si="935"/>
        <v>-0.23332352290339653</v>
      </c>
      <c r="H224" s="139"/>
      <c r="I224" s="86"/>
      <c r="J224" s="79">
        <f t="shared" si="936"/>
        <v>5.1269999999999998</v>
      </c>
    </row>
    <row r="225" spans="5:10" x14ac:dyDescent="0.25">
      <c r="E225" s="170">
        <f t="shared" si="935"/>
        <v>-0.58413356300800834</v>
      </c>
      <c r="F225" s="170">
        <f t="shared" si="935"/>
        <v>0.78845361918681367</v>
      </c>
      <c r="G225" s="170">
        <f t="shared" si="935"/>
        <v>-0.1926885335425656</v>
      </c>
      <c r="H225" s="139"/>
      <c r="I225" s="86"/>
      <c r="J225" s="79">
        <f t="shared" si="936"/>
        <v>5.1340000000000003</v>
      </c>
    </row>
    <row r="226" spans="5:10" x14ac:dyDescent="0.25">
      <c r="E226" s="170">
        <f t="shared" si="935"/>
        <v>-0.52133968060090397</v>
      </c>
      <c r="F226" s="170">
        <f t="shared" si="935"/>
        <v>0.84091420052900367</v>
      </c>
      <c r="G226" s="170">
        <f t="shared" si="935"/>
        <v>-0.14514904333000028</v>
      </c>
      <c r="H226" s="139"/>
      <c r="I226" s="86"/>
      <c r="J226" s="79">
        <f t="shared" si="936"/>
        <v>5.141</v>
      </c>
    </row>
    <row r="227" spans="5:10" x14ac:dyDescent="0.25">
      <c r="E227" s="170">
        <f t="shared" si="935"/>
        <v>-0.45513086458574958</v>
      </c>
      <c r="F227" s="170">
        <f t="shared" si="935"/>
        <v>0.88612015541189648</v>
      </c>
      <c r="G227" s="170">
        <f t="shared" si="935"/>
        <v>-8.7446934047024166E-2</v>
      </c>
      <c r="H227" s="139"/>
      <c r="I227" s="86"/>
      <c r="J227" s="79">
        <f t="shared" si="936"/>
        <v>5.1479999999999997</v>
      </c>
    </row>
    <row r="228" spans="5:10" x14ac:dyDescent="0.25">
      <c r="E228" s="170">
        <f t="shared" si="935"/>
        <v>-0.33806827983703192</v>
      </c>
      <c r="F228" s="170">
        <f t="shared" si="935"/>
        <v>0.94072096506437497</v>
      </c>
      <c r="G228" s="170">
        <f t="shared" si="935"/>
        <v>-2.7457313349658993E-2</v>
      </c>
      <c r="H228" s="139"/>
      <c r="I228" s="86"/>
      <c r="J228" s="79">
        <f t="shared" si="936"/>
        <v>5.1550000000000002</v>
      </c>
    </row>
    <row r="229" spans="5:10" x14ac:dyDescent="0.25">
      <c r="E229" s="170">
        <f t="shared" si="935"/>
        <v>-0.24838533072969099</v>
      </c>
      <c r="F229" s="170">
        <f t="shared" si="935"/>
        <v>0.9686613068964226</v>
      </c>
      <c r="G229" s="170">
        <f t="shared" si="935"/>
        <v>-1.3008419261140561E-7</v>
      </c>
      <c r="H229" s="139"/>
      <c r="I229" s="86"/>
      <c r="J229" s="79">
        <f t="shared" si="936"/>
        <v>5.1619999999999999</v>
      </c>
    </row>
    <row r="230" spans="5:10" x14ac:dyDescent="0.25">
      <c r="E230" s="170">
        <f t="shared" si="935"/>
        <v>-1.2277773280661682E-7</v>
      </c>
      <c r="F230" s="170">
        <f t="shared" si="935"/>
        <v>1.9068705651072358E-7</v>
      </c>
      <c r="G230" s="170">
        <f t="shared" si="935"/>
        <v>-0.99999999999997435</v>
      </c>
      <c r="H230" s="139"/>
      <c r="I230" s="86"/>
      <c r="J230" s="79">
        <f t="shared" si="936"/>
        <v>5.2130000000000001</v>
      </c>
    </row>
    <row r="231" spans="5:10" x14ac:dyDescent="0.25">
      <c r="E231" s="170">
        <f t="shared" si="935"/>
        <v>0.10456921521958003</v>
      </c>
      <c r="F231" s="170">
        <f t="shared" si="935"/>
        <v>7.8117611281375079E-2</v>
      </c>
      <c r="G231" s="170">
        <f t="shared" si="935"/>
        <v>-0.99144486384067432</v>
      </c>
      <c r="H231" s="139"/>
      <c r="I231" s="86"/>
      <c r="J231" s="79">
        <f t="shared" si="936"/>
        <v>5.22</v>
      </c>
    </row>
    <row r="232" spans="5:10" x14ac:dyDescent="0.25">
      <c r="E232" s="170">
        <f t="shared" si="935"/>
        <v>-0.42745472634683035</v>
      </c>
      <c r="F232" s="170">
        <f t="shared" si="935"/>
        <v>0.86207560249577175</v>
      </c>
      <c r="G232" s="170">
        <f t="shared" si="935"/>
        <v>-0.27222805238496012</v>
      </c>
      <c r="H232" s="139"/>
      <c r="I232" s="86"/>
      <c r="J232" s="79">
        <f t="shared" si="936"/>
        <v>5.2270000000000003</v>
      </c>
    </row>
    <row r="233" spans="5:10" x14ac:dyDescent="0.25">
      <c r="E233" s="170">
        <f t="shared" si="935"/>
        <v>-0.37647412218248988</v>
      </c>
      <c r="F233" s="170">
        <f t="shared" si="935"/>
        <v>0.89818509779888622</v>
      </c>
      <c r="G233" s="170">
        <f t="shared" si="935"/>
        <v>-0.22700388855464326</v>
      </c>
      <c r="H233" s="139"/>
      <c r="I233" s="86"/>
      <c r="J233" s="79">
        <f t="shared" si="936"/>
        <v>5.234</v>
      </c>
    </row>
    <row r="234" spans="5:10" x14ac:dyDescent="0.25">
      <c r="E234" s="170">
        <f t="shared" ref="E234:G253" si="937">E89*-1</f>
        <v>-0.31489175843758838</v>
      </c>
      <c r="F234" s="170">
        <f t="shared" si="937"/>
        <v>0.93323242440547927</v>
      </c>
      <c r="G234" s="170">
        <f t="shared" si="937"/>
        <v>-0.17297520777948205</v>
      </c>
      <c r="H234" s="139"/>
      <c r="I234" s="86"/>
      <c r="J234" s="79">
        <f t="shared" si="936"/>
        <v>5.2409999999999997</v>
      </c>
    </row>
    <row r="235" spans="5:10" x14ac:dyDescent="0.25">
      <c r="E235" s="170">
        <f t="shared" si="937"/>
        <v>-0.2436781383102874</v>
      </c>
      <c r="F235" s="170">
        <f t="shared" si="937"/>
        <v>0.96389565386462395</v>
      </c>
      <c r="G235" s="170">
        <f t="shared" si="937"/>
        <v>-0.10735983127092467</v>
      </c>
      <c r="H235" s="139"/>
      <c r="I235" s="86"/>
      <c r="J235" s="79">
        <f t="shared" si="936"/>
        <v>5.2480000000000002</v>
      </c>
    </row>
    <row r="236" spans="5:10" x14ac:dyDescent="0.25">
      <c r="E236" s="170">
        <f t="shared" si="937"/>
        <v>-0.10864816789667628</v>
      </c>
      <c r="F236" s="170">
        <f t="shared" si="937"/>
        <v>0.99334144008347813</v>
      </c>
      <c r="G236" s="170">
        <f t="shared" si="937"/>
        <v>-3.8319173080554089E-2</v>
      </c>
      <c r="H236" s="139"/>
      <c r="I236" s="86"/>
      <c r="J236" s="79">
        <f t="shared" si="936"/>
        <v>5.2549999999999999</v>
      </c>
    </row>
    <row r="237" spans="5:10" x14ac:dyDescent="0.25">
      <c r="E237" s="170">
        <f t="shared" si="937"/>
        <v>0.83268071221934781</v>
      </c>
      <c r="F237" s="170">
        <f t="shared" si="937"/>
        <v>0.55375340314785282</v>
      </c>
      <c r="G237" s="170">
        <f t="shared" si="937"/>
        <v>-2.2679489656717819E-7</v>
      </c>
      <c r="H237" s="139"/>
      <c r="I237" s="86"/>
      <c r="J237" s="79">
        <f t="shared" si="936"/>
        <v>5.2619999999999996</v>
      </c>
    </row>
    <row r="238" spans="5:10" x14ac:dyDescent="0.25">
      <c r="E238" s="170">
        <f t="shared" si="937"/>
        <v>-0.10378565522659544</v>
      </c>
      <c r="F238" s="170">
        <f t="shared" si="937"/>
        <v>0.96022446563017327</v>
      </c>
      <c r="G238" s="170">
        <f t="shared" si="937"/>
        <v>-0.25922483170875926</v>
      </c>
      <c r="H238" s="139"/>
      <c r="I238" s="86"/>
      <c r="J238" s="79">
        <f t="shared" si="936"/>
        <v>6.1139999999999999</v>
      </c>
    </row>
    <row r="239" spans="5:10" x14ac:dyDescent="0.25">
      <c r="E239" s="170">
        <f t="shared" si="937"/>
        <v>-5.8906914478427039E-3</v>
      </c>
      <c r="F239" s="170">
        <f t="shared" si="937"/>
        <v>0.96885957813550894</v>
      </c>
      <c r="G239" s="170">
        <f t="shared" si="937"/>
        <v>-0.24754073929224255</v>
      </c>
      <c r="H239" s="139"/>
      <c r="I239" s="86"/>
      <c r="J239" s="79">
        <f t="shared" si="936"/>
        <v>6.1210000000000004</v>
      </c>
    </row>
    <row r="240" spans="5:10" x14ac:dyDescent="0.25">
      <c r="E240" s="170">
        <f t="shared" si="937"/>
        <v>8.7760476631344481E-2</v>
      </c>
      <c r="F240" s="170">
        <f t="shared" si="937"/>
        <v>0.97001761608048997</v>
      </c>
      <c r="G240" s="170">
        <f t="shared" si="937"/>
        <v>-0.22663610311458043</v>
      </c>
      <c r="H240" s="139"/>
      <c r="I240" s="86"/>
      <c r="J240" s="79">
        <f t="shared" si="936"/>
        <v>6.1280000000000001</v>
      </c>
    </row>
    <row r="241" spans="5:10" x14ac:dyDescent="0.25">
      <c r="E241" s="170">
        <f t="shared" si="937"/>
        <v>0.17098871910255584</v>
      </c>
      <c r="F241" s="170">
        <f t="shared" si="937"/>
        <v>0.96806918117747998</v>
      </c>
      <c r="G241" s="170">
        <f t="shared" si="937"/>
        <v>-0.18331644332691688</v>
      </c>
      <c r="H241" s="139"/>
      <c r="I241" s="86"/>
      <c r="J241" s="79">
        <f t="shared" si="936"/>
        <v>6.1349999999999998</v>
      </c>
    </row>
    <row r="242" spans="5:10" x14ac:dyDescent="0.25">
      <c r="E242" s="170">
        <f t="shared" si="937"/>
        <v>0.24945865813808479</v>
      </c>
      <c r="F242" s="170">
        <f t="shared" si="937"/>
        <v>0.95911314907017986</v>
      </c>
      <c r="G242" s="170">
        <f t="shared" si="937"/>
        <v>-0.13368749066621471</v>
      </c>
      <c r="H242" s="139"/>
      <c r="I242" s="86"/>
      <c r="J242" s="79">
        <f t="shared" si="936"/>
        <v>6.1420000000000003</v>
      </c>
    </row>
    <row r="243" spans="5:10" x14ac:dyDescent="0.25">
      <c r="E243" s="170">
        <f t="shared" si="937"/>
        <v>0.33935328237842233</v>
      </c>
      <c r="F243" s="170">
        <f t="shared" si="937"/>
        <v>0.93710209319660098</v>
      </c>
      <c r="G243" s="170">
        <f t="shared" si="937"/>
        <v>-8.17252510888761E-2</v>
      </c>
      <c r="H243" s="139"/>
      <c r="I243" s="86"/>
      <c r="J243" s="79">
        <f t="shared" si="936"/>
        <v>6.149</v>
      </c>
    </row>
    <row r="244" spans="5:10" x14ac:dyDescent="0.25">
      <c r="E244" s="170">
        <f t="shared" si="937"/>
        <v>0.45766584548231865</v>
      </c>
      <c r="F244" s="170">
        <f t="shared" si="937"/>
        <v>0.88899663241593019</v>
      </c>
      <c r="G244" s="170">
        <f t="shared" si="937"/>
        <v>-1.5065239197905408E-2</v>
      </c>
      <c r="H244" s="139"/>
      <c r="I244" s="86"/>
      <c r="J244" s="79">
        <f t="shared" si="936"/>
        <v>6.1559999999999997</v>
      </c>
    </row>
    <row r="245" spans="5:10" x14ac:dyDescent="0.25">
      <c r="E245" s="170">
        <f t="shared" si="937"/>
        <v>0.52425358329717764</v>
      </c>
      <c r="F245" s="170">
        <f t="shared" si="937"/>
        <v>0.85156219995961091</v>
      </c>
      <c r="G245" s="170">
        <f t="shared" si="937"/>
        <v>-1.3008419222938888E-7</v>
      </c>
      <c r="H245" s="139"/>
      <c r="I245" s="86"/>
      <c r="J245" s="79">
        <f t="shared" si="936"/>
        <v>6.1630000000000003</v>
      </c>
    </row>
    <row r="246" spans="5:10" x14ac:dyDescent="0.25">
      <c r="E246" s="170">
        <f t="shared" si="937"/>
        <v>0.16103463328490381</v>
      </c>
      <c r="F246" s="170">
        <f t="shared" si="937"/>
        <v>-2.5116381700420611E-2</v>
      </c>
      <c r="G246" s="170">
        <f t="shared" si="937"/>
        <v>-0.98662911686868204</v>
      </c>
      <c r="H246" s="139"/>
      <c r="I246" s="86"/>
      <c r="J246" s="79">
        <f t="shared" si="936"/>
        <v>6.2210000000000001</v>
      </c>
    </row>
    <row r="247" spans="5:10" x14ac:dyDescent="0.25">
      <c r="E247" s="170">
        <f t="shared" si="937"/>
        <v>0.33082320060021575</v>
      </c>
      <c r="F247" s="170">
        <f t="shared" si="937"/>
        <v>0.9057115802295147</v>
      </c>
      <c r="G247" s="170">
        <f t="shared" si="937"/>
        <v>-0.26503309865521474</v>
      </c>
      <c r="H247" s="139"/>
      <c r="I247" s="86"/>
      <c r="J247" s="79">
        <f t="shared" si="936"/>
        <v>6.2279999999999998</v>
      </c>
    </row>
    <row r="248" spans="5:10" x14ac:dyDescent="0.25">
      <c r="E248" s="170">
        <f t="shared" si="937"/>
        <v>0.39183053615558172</v>
      </c>
      <c r="F248" s="170">
        <f t="shared" si="937"/>
        <v>0.89411601365418103</v>
      </c>
      <c r="G248" s="170">
        <f t="shared" si="937"/>
        <v>-0.21685337226611395</v>
      </c>
      <c r="H248" s="139"/>
      <c r="I248" s="86"/>
      <c r="J248" s="79">
        <f t="shared" si="936"/>
        <v>6.2350000000000003</v>
      </c>
    </row>
    <row r="249" spans="5:10" x14ac:dyDescent="0.25">
      <c r="E249" s="170">
        <f t="shared" si="937"/>
        <v>0.45815530488281886</v>
      </c>
      <c r="F249" s="170">
        <f t="shared" si="937"/>
        <v>0.87425722127381722</v>
      </c>
      <c r="G249" s="170">
        <f t="shared" si="937"/>
        <v>-0.16052422763656338</v>
      </c>
      <c r="H249" s="139"/>
      <c r="I249" s="86"/>
      <c r="J249" s="79">
        <f t="shared" si="936"/>
        <v>6.242</v>
      </c>
    </row>
    <row r="250" spans="5:10" x14ac:dyDescent="0.25">
      <c r="E250" s="170">
        <f t="shared" si="937"/>
        <v>0.54120405012761663</v>
      </c>
      <c r="F250" s="170">
        <f t="shared" si="937"/>
        <v>0.83488200426784931</v>
      </c>
      <c r="G250" s="170">
        <f t="shared" si="937"/>
        <v>-0.10035046126034106</v>
      </c>
      <c r="H250" s="139"/>
      <c r="I250" s="86"/>
      <c r="J250" s="79">
        <f t="shared" si="936"/>
        <v>6.2489999999999997</v>
      </c>
    </row>
    <row r="251" spans="5:10" x14ac:dyDescent="0.25">
      <c r="E251" s="170">
        <f t="shared" si="937"/>
        <v>0.65409550716542408</v>
      </c>
      <c r="F251" s="170">
        <f t="shared" si="937"/>
        <v>0.75601014063675054</v>
      </c>
      <c r="G251" s="170">
        <f t="shared" si="937"/>
        <v>-2.4652276982209138E-2</v>
      </c>
      <c r="H251" s="139"/>
      <c r="I251" s="86"/>
      <c r="J251" s="79">
        <f t="shared" si="936"/>
        <v>6.2560000000000002</v>
      </c>
    </row>
    <row r="252" spans="5:10" x14ac:dyDescent="0.25">
      <c r="E252" s="170">
        <f t="shared" si="937"/>
        <v>0.9767655139625131</v>
      </c>
      <c r="F252" s="170">
        <f t="shared" si="937"/>
        <v>-0.21431082738279059</v>
      </c>
      <c r="G252" s="170">
        <f t="shared" si="937"/>
        <v>-2.2679489841879947E-7</v>
      </c>
      <c r="H252" s="139"/>
      <c r="I252" s="86"/>
      <c r="J252" s="79">
        <f t="shared" si="936"/>
        <v>6.2629999999999999</v>
      </c>
    </row>
    <row r="253" spans="5:10" x14ac:dyDescent="0.25">
      <c r="E253" s="170">
        <f t="shared" si="937"/>
        <v>0.59059493387648654</v>
      </c>
      <c r="F253" s="170">
        <f t="shared" si="937"/>
        <v>0.76646794931215134</v>
      </c>
      <c r="G253" s="170">
        <f t="shared" si="937"/>
        <v>-0.25243713426644238</v>
      </c>
      <c r="H253" s="139"/>
      <c r="I253" s="86"/>
      <c r="J253" s="79">
        <f t="shared" si="936"/>
        <v>7.11</v>
      </c>
    </row>
    <row r="254" spans="5:10" x14ac:dyDescent="0.25">
      <c r="E254" s="170">
        <f t="shared" ref="E254:G273" si="938">E109*-1</f>
        <v>0.66432271777007101</v>
      </c>
      <c r="F254" s="170">
        <f t="shared" si="938"/>
        <v>0.701652800746561</v>
      </c>
      <c r="G254" s="170">
        <f t="shared" si="938"/>
        <v>-0.25760177378871724</v>
      </c>
      <c r="H254" s="139"/>
      <c r="I254" s="86"/>
      <c r="J254" s="79">
        <f t="shared" si="936"/>
        <v>7.117</v>
      </c>
    </row>
    <row r="255" spans="5:10" x14ac:dyDescent="0.25">
      <c r="E255" s="170">
        <f t="shared" si="938"/>
        <v>0.73298579986000256</v>
      </c>
      <c r="F255" s="170">
        <f t="shared" si="938"/>
        <v>0.63849533131508307</v>
      </c>
      <c r="G255" s="170">
        <f t="shared" si="938"/>
        <v>-0.23463914654727724</v>
      </c>
      <c r="H255" s="139"/>
      <c r="I255" s="86"/>
      <c r="J255" s="79">
        <f t="shared" si="936"/>
        <v>7.1239999999999997</v>
      </c>
    </row>
    <row r="256" spans="5:10" x14ac:dyDescent="0.25">
      <c r="E256" s="170">
        <f t="shared" si="938"/>
        <v>0.79335753250989671</v>
      </c>
      <c r="F256" s="170">
        <f t="shared" si="938"/>
        <v>0.57347902457536803</v>
      </c>
      <c r="G256" s="170">
        <f t="shared" si="938"/>
        <v>-0.20421957296472051</v>
      </c>
      <c r="H256" s="139"/>
      <c r="I256" s="86"/>
      <c r="J256" s="79">
        <f t="shared" si="936"/>
        <v>7.1310000000000002</v>
      </c>
    </row>
    <row r="257" spans="5:10" x14ac:dyDescent="0.25">
      <c r="E257" s="170">
        <f t="shared" si="938"/>
        <v>0.84682554185221104</v>
      </c>
      <c r="F257" s="170">
        <f t="shared" si="938"/>
        <v>0.50521122361364335</v>
      </c>
      <c r="G257" s="170">
        <f t="shared" si="938"/>
        <v>-0.16627724198312432</v>
      </c>
      <c r="H257" s="139"/>
      <c r="I257" s="86"/>
      <c r="J257" s="79">
        <f t="shared" si="936"/>
        <v>7.1379999999999999</v>
      </c>
    </row>
    <row r="258" spans="5:10" x14ac:dyDescent="0.25">
      <c r="E258" s="170">
        <f t="shared" si="938"/>
        <v>0.88840650910450025</v>
      </c>
      <c r="F258" s="170">
        <f t="shared" si="938"/>
        <v>0.4460017423113552</v>
      </c>
      <c r="G258" s="170">
        <f t="shared" si="938"/>
        <v>-0.10870289985088315</v>
      </c>
      <c r="H258" s="139"/>
      <c r="I258" s="86"/>
      <c r="J258" s="79">
        <f t="shared" si="936"/>
        <v>7.1449999999999996</v>
      </c>
    </row>
    <row r="259" spans="5:10" x14ac:dyDescent="0.25">
      <c r="E259" s="170">
        <f t="shared" si="938"/>
        <v>0.93884438656346836</v>
      </c>
      <c r="F259" s="170">
        <f t="shared" si="938"/>
        <v>0.33927187843570294</v>
      </c>
      <c r="G259" s="170">
        <f t="shared" si="938"/>
        <v>-5.887113317216329E-2</v>
      </c>
      <c r="H259" s="139"/>
      <c r="I259" s="86"/>
      <c r="J259" s="79">
        <f t="shared" si="936"/>
        <v>7.1520000000000001</v>
      </c>
    </row>
    <row r="260" spans="5:10" x14ac:dyDescent="0.25">
      <c r="E260" s="170">
        <f t="shared" si="938"/>
        <v>0.98033322779146614</v>
      </c>
      <c r="F260" s="170">
        <f t="shared" si="938"/>
        <v>0.19734934124021941</v>
      </c>
      <c r="G260" s="170">
        <f t="shared" si="938"/>
        <v>-1.3008419219686192E-7</v>
      </c>
      <c r="H260" s="139"/>
      <c r="I260" s="86"/>
      <c r="J260" s="79">
        <f t="shared" si="936"/>
        <v>7.1589999999999998</v>
      </c>
    </row>
    <row r="261" spans="5:10" x14ac:dyDescent="0.25">
      <c r="E261" s="170">
        <f t="shared" si="938"/>
        <v>1.7577425614467009E-2</v>
      </c>
      <c r="F261" s="170">
        <f t="shared" si="938"/>
        <v>-2.7699950860564513E-2</v>
      </c>
      <c r="G261" s="170">
        <f t="shared" si="938"/>
        <v>-0.99946172854746684</v>
      </c>
      <c r="H261" s="139"/>
      <c r="I261" s="86"/>
      <c r="J261" s="79">
        <f t="shared" si="936"/>
        <v>7.2169999999999996</v>
      </c>
    </row>
    <row r="262" spans="5:10" x14ac:dyDescent="0.25">
      <c r="E262" s="170">
        <f t="shared" si="938"/>
        <v>0.85843840084312362</v>
      </c>
      <c r="F262" s="170">
        <f t="shared" si="938"/>
        <v>0.43294501068458296</v>
      </c>
      <c r="G262" s="170">
        <f t="shared" si="938"/>
        <v>-0.27503114311151566</v>
      </c>
      <c r="H262" s="139"/>
      <c r="I262" s="86"/>
      <c r="J262" s="79">
        <f t="shared" si="936"/>
        <v>7.2240000000000002</v>
      </c>
    </row>
    <row r="263" spans="5:10" x14ac:dyDescent="0.25">
      <c r="E263" s="170">
        <f t="shared" si="938"/>
        <v>0.90223162743791963</v>
      </c>
      <c r="F263" s="170">
        <f t="shared" si="938"/>
        <v>0.35773131474557951</v>
      </c>
      <c r="G263" s="170">
        <f t="shared" si="938"/>
        <v>-0.24084517205275716</v>
      </c>
      <c r="H263" s="139"/>
      <c r="I263" s="86"/>
      <c r="J263" s="79">
        <f t="shared" si="936"/>
        <v>7.2309999999999999</v>
      </c>
    </row>
    <row r="264" spans="5:10" x14ac:dyDescent="0.25">
      <c r="E264" s="170">
        <f t="shared" si="938"/>
        <v>0.93519334802304666</v>
      </c>
      <c r="F264" s="170">
        <f t="shared" si="938"/>
        <v>0.29422243339884308</v>
      </c>
      <c r="G264" s="170">
        <f t="shared" si="938"/>
        <v>-0.19709531069588701</v>
      </c>
      <c r="H264" s="139"/>
      <c r="I264" s="86"/>
      <c r="J264" s="79">
        <f t="shared" si="936"/>
        <v>7.2380000000000004</v>
      </c>
    </row>
    <row r="265" spans="5:10" x14ac:dyDescent="0.25">
      <c r="E265" s="170">
        <f t="shared" si="938"/>
        <v>0.96305701021189261</v>
      </c>
      <c r="F265" s="170">
        <f t="shared" si="938"/>
        <v>0.23456030184446547</v>
      </c>
      <c r="G265" s="170">
        <f t="shared" si="938"/>
        <v>-0.13229761857404737</v>
      </c>
      <c r="H265" s="139"/>
      <c r="I265" s="86"/>
      <c r="J265" s="79">
        <f t="shared" si="936"/>
        <v>7.2450000000000001</v>
      </c>
    </row>
    <row r="266" spans="5:10" x14ac:dyDescent="0.25">
      <c r="E266" s="170">
        <f t="shared" si="938"/>
        <v>0.99063735622408577</v>
      </c>
      <c r="F266" s="170">
        <f t="shared" si="938"/>
        <v>0.11497269295344574</v>
      </c>
      <c r="G266" s="170">
        <f t="shared" si="938"/>
        <v>-7.3613234736604874E-2</v>
      </c>
      <c r="H266" s="139"/>
      <c r="I266" s="86"/>
      <c r="J266" s="79">
        <f t="shared" si="936"/>
        <v>7.2519999999999998</v>
      </c>
    </row>
    <row r="267" spans="5:10" x14ac:dyDescent="0.25">
      <c r="E267" s="170">
        <f t="shared" si="938"/>
        <v>0.50941556370234198</v>
      </c>
      <c r="F267" s="170">
        <f t="shared" si="938"/>
        <v>-0.86052064673532025</v>
      </c>
      <c r="G267" s="170">
        <f t="shared" si="938"/>
        <v>-2.267948955411562E-7</v>
      </c>
      <c r="H267" s="139"/>
      <c r="I267" s="86"/>
      <c r="J267" s="79">
        <f t="shared" si="936"/>
        <v>7.2590000000000003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9CE2B95-D21B-4129-B183-7167C2169A5D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0A89E01-82FA-4404-8C7C-1413D87DDE1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1.1459999999999999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1.153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1.1599999999999999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1.218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1.2250000000000001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1.2390000000000001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1.246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1.2529999999999999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1.26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2.1120000000000001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2.1190000000000002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2.14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2.1469999999999998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2.1539999999999999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2.161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2.2189999999999999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2.226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2.2330000000000001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2.2400000000000002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2.2469999999999999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2.254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2.2610000000000001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3.1030000000000002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3.1059999999999999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3.109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3.1150000000000002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3.1219999999999999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3.129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3.1360000000000001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3.1429999999999998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3.2090000000000001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3.2149999999999999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3.2290000000000001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3.2360000000000002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3.2429999999999999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3.25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3.2570000000000001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4.1159999999999997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4.1230000000000002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4.1369999999999996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4.1440000000000001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4.1509999999999998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4.1580000000000004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4.2229999999999999</v>
      </c>
      <c r="N223" s="869" t="str">
        <f>Assy.Model!K68</f>
        <v>CPS-32193r1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4.2300000000000004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4.2370000000000001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4.2439999999999998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4.2510000000000003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4.258</v>
      </c>
      <c r="N228" s="869" t="str">
        <f>Assy.Model!K73</f>
        <v>CPS-32193r1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5.1020000000000003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5.1050000000000004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5.1079999999999997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5.1130000000000004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5.12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5.1269999999999998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5.1340000000000003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5.141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5.1479999999999997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5.1550000000000002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5.1619999999999999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5.2130000000000001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5.22</v>
      </c>
      <c r="N241" s="869" t="str">
        <f>Assy.Model!K86</f>
        <v>CPS-32193r1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5.2270000000000003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5.234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5.2409999999999997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5.2480000000000002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5.2549999999999999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5.2619999999999996</v>
      </c>
      <c r="N247" s="869" t="str">
        <f>Assy.Model!K92</f>
        <v>CPS-32193r1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6.1139999999999999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6.1210000000000004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6.1280000000000001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6.1349999999999998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6.1420000000000003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6.149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6.1559999999999997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6.1630000000000003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6.2210000000000001</v>
      </c>
      <c r="N256" s="869" t="str">
        <f>Assy.Model!K101</f>
        <v>CPS-32193r1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6.2279999999999998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6.2350000000000003</v>
      </c>
      <c r="N258" s="869">
        <f>Assy.Model!K103</f>
        <v>1313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6.242</v>
      </c>
      <c r="N259" s="869">
        <f>Assy.Model!K104</f>
        <v>1313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6.2489999999999997</v>
      </c>
      <c r="N260" s="869">
        <f>Assy.Model!K105</f>
        <v>1313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6.2560000000000002</v>
      </c>
      <c r="N261" s="869">
        <f>Assy.Model!K106</f>
        <v>1313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6.2629999999999999</v>
      </c>
      <c r="N262" s="869" t="str">
        <f>Assy.Model!K107</f>
        <v>CPS-32193r1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7.11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7.117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7.1239999999999997</v>
      </c>
      <c r="N265" s="869">
        <f>Assy.Model!K110</f>
        <v>1613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7.1310000000000002</v>
      </c>
      <c r="N266" s="869">
        <f>Assy.Model!K111</f>
        <v>1613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7.1379999999999999</v>
      </c>
      <c r="N267" s="869">
        <f>Assy.Model!K112</f>
        <v>1613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7.1449999999999996</v>
      </c>
      <c r="N268" s="869">
        <f>Assy.Model!K113</f>
        <v>1613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7.1520000000000001</v>
      </c>
      <c r="N269" s="869">
        <f>Assy.Model!K114</f>
        <v>1613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7.1589999999999998</v>
      </c>
      <c r="N270" s="869">
        <f>Assy.Model!K115</f>
        <v>1613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7.2169999999999996</v>
      </c>
      <c r="N271" s="869" t="str">
        <f>Assy.Model!K116</f>
        <v>CPS-32193r1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7.2240000000000002</v>
      </c>
      <c r="N272" s="869">
        <f>Assy.Model!K117</f>
        <v>1313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7.2309999999999999</v>
      </c>
      <c r="N273" s="869">
        <f>Assy.Model!K118</f>
        <v>1313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7.2380000000000004</v>
      </c>
      <c r="N274" s="869">
        <f>Assy.Model!K119</f>
        <v>1313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7.2450000000000001</v>
      </c>
      <c r="N275" s="869">
        <f>Assy.Model!K120</f>
        <v>1313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7.2519999999999998</v>
      </c>
      <c r="N276" s="869">
        <f>Assy.Model!K121</f>
        <v>1313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7.2590000000000003</v>
      </c>
      <c r="N277" s="869" t="str">
        <f>Assy.Model!K122</f>
        <v>CPS-32193r1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2023-03-28T19:15:07Z</dcterms:modified>
</cp:coreProperties>
</file>