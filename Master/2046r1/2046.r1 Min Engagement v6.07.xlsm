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46\"/>
    </mc:Choice>
  </mc:AlternateContent>
  <xr:revisionPtr revIDLastSave="0" documentId="13_ncr:1_{AC864197-7974-4479-A0CE-9652B9C6236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W15" i="1"/>
  <c r="IV15" i="1"/>
  <c r="IU15" i="1"/>
  <c r="IE15" i="1" s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27" i="1" l="1"/>
  <c r="IQ1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IP15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15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27" i="1" l="1"/>
  <c r="IT15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IF15" i="1" s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27" i="1" l="1"/>
  <c r="IF27" i="1" s="1"/>
  <c r="IS15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<sst xmlns="http://schemas.openxmlformats.org/spreadsheetml/2006/main" count="734" uniqueCount="391">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</sst>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6.125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3.0625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6.125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17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88.52400021310801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-0.22970069277728941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0.28160084930816154</v>
      </c>
      <c r="D9" s="704">
        <v>-0.2889008713250279</v>
      </c>
      <c r="E9" s="705">
        <v>-0.93969263802333458</v>
      </c>
      <c r="F9" s="703">
        <v>0</v>
      </c>
      <c r="G9" s="706">
        <v>0.3420200959662259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0.28160084930816154</v>
      </c>
      <c r="P9" s="625">
        <f t="shared" ref="P9:P40" si="4">IF(M9="","",D9)</f>
        <v>-0.2889008713250279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0.28160084930816154</v>
      </c>
      <c r="S9" s="626">
        <f>IF(M9="","",P9)</f>
        <v>-0.2889008713250279</v>
      </c>
      <c r="T9" s="627">
        <f>IF(M9="","",X9*COS(RADIANS(W9)))</f>
        <v>0.28150741480692804</v>
      </c>
      <c r="U9" s="624">
        <f>IF(M9="","",X9*SIN(RADIANS(W9)))</f>
        <v>7.2535329183829773E-3</v>
      </c>
      <c r="V9" s="628">
        <f>IF(M9="","",Y9)</f>
        <v>-0.2889008713250279</v>
      </c>
      <c r="W9" s="583">
        <f t="shared" ref="W9:W14" si="5">IF(M9="","",IF(Q9-$Q$8&lt;0,360+Q9-$Q$8,Q9-$Q$8))</f>
        <v>1.4759997868919896</v>
      </c>
      <c r="X9" s="629">
        <f>IF(M9="","",R9)</f>
        <v>0.28160084930816154</v>
      </c>
      <c r="Y9" s="630">
        <f>IF(M9="","",S9)</f>
        <v>-0.2889008713250279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0</v>
      </c>
      <c r="AM9" s="626">
        <f>IF(M9="","",AF9)</f>
        <v>-0.3420200959662259</v>
      </c>
      <c r="AN9" s="581">
        <f>IF(M9="","",DEGREES(ATAN2(-AM9,AL9)))</f>
        <v>0</v>
      </c>
      <c r="AO9" s="582">
        <f>IF(ROUND(IF(M9="",0,DEGREES(ACOS(AK9))),4)=90,0,IF(M9="","",DEGREES(ACOS(AK9))))</f>
        <v>19.999997112357679</v>
      </c>
      <c r="AP9" s="781">
        <f>IF(M9="","",DEGREES(ATAN2(AK9,AL9)))</f>
        <v>0</v>
      </c>
      <c r="AQ9" s="584">
        <f t="shared" ref="AQ9:AQ40" si="9">IF(M9="","",DEGREES(ATAN(($AS$5*SIN(RADIANS(90)))/(($X9*2*PI())-($AS$5*COS(RADIANS(90)))))))</f>
        <v>8.0423579097186355</v>
      </c>
      <c r="AS9" s="51">
        <f>IF(M9="","",W9)</f>
        <v>1.4759997868919896</v>
      </c>
      <c r="AT9" s="71">
        <f t="shared" ref="AT9:AT40" si="10">IF(M9="","",Y9+(((AS9-$AS$9)*$AS$6)*-1))</f>
        <v>-0.2889008713250279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1313</v>
      </c>
      <c r="JB9" s="786" cm="1">
        <f t="array" ref="JB9">IF($JA9="","",COUNT(IF(IF($II$9:$II$150="",$IJ$9:$IJ$150,"")=$JA9,$IG$9:$IG$150,"")))</f>
        <v>17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0.93000280488845966</v>
      </c>
      <c r="D10" s="709">
        <v>-0.17460052659518824</v>
      </c>
      <c r="E10" s="710">
        <v>-0.97629601393762733</v>
      </c>
      <c r="F10" s="708">
        <v>0</v>
      </c>
      <c r="G10" s="711">
        <v>0.21643958318547055</v>
      </c>
      <c r="H10" s="710">
        <v>0.26600000000000001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1313</v>
      </c>
      <c r="M10" s="168">
        <f t="shared" si="1"/>
        <v>1.1040000000000001</v>
      </c>
      <c r="N10" s="632">
        <f t="shared" si="2"/>
        <v>0</v>
      </c>
      <c r="O10" s="629">
        <f t="shared" si="3"/>
        <v>0.93000280488845966</v>
      </c>
      <c r="P10" s="633">
        <f t="shared" si="4"/>
        <v>-0.17460052659518824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0.93000280488845966</v>
      </c>
      <c r="S10" s="634">
        <f t="shared" ref="S10:S105" si="80">IF(M10="","",P10)</f>
        <v>-0.17460052659518824</v>
      </c>
      <c r="T10" s="635">
        <f t="shared" ref="T10:T105" si="81">IF(M10="","",X10*COS(RADIANS(W10)))</f>
        <v>0.92969423213935742</v>
      </c>
      <c r="U10" s="629">
        <f t="shared" ref="U10:U105" si="82">IF(M10="","",X10*SIN(RADIANS(W10)))</f>
        <v>2.3955204595511967E-2</v>
      </c>
      <c r="V10" s="636">
        <f>IF(M10="","",Y10)</f>
        <v>-0.17460052659518824</v>
      </c>
      <c r="W10" s="585">
        <f t="shared" si="5"/>
        <v>1.4759997868919896</v>
      </c>
      <c r="X10" s="629">
        <f t="shared" ref="X10:X105" si="83">IF(M10="","",R10)</f>
        <v>0.93000280488845966</v>
      </c>
      <c r="Y10" s="630">
        <f>IF(M10="","",S10)</f>
        <v>-0.17460052659518824</v>
      </c>
      <c r="Z10" s="632">
        <f t="shared" si="6"/>
        <v>0.97629601393762733</v>
      </c>
      <c r="AA10" s="629">
        <f t="shared" si="7"/>
        <v>0</v>
      </c>
      <c r="AB10" s="629">
        <f t="shared" si="8"/>
        <v>-0.21643958318547055</v>
      </c>
      <c r="AC10" s="636">
        <f t="shared" ref="AC10:AC105" si="84">IF(M10="","",SQRT(Z10^2+AA10^2+AB10^2))</f>
        <v>1</v>
      </c>
      <c r="AD10" s="637">
        <f>IF(M10="","",Z10*(1/SQRT(Z10^2+AA10^2+AB10^2)))</f>
        <v>0.97629601393762733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-0.21643958318547055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12.499998195223544</v>
      </c>
      <c r="AI10" s="585">
        <f t="shared" ref="AI10:AI105" si="89">IF(M10="","",DEGREES(-ACOS(-AF10)))</f>
        <v>-77.500001804776446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0.97629601393762733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-0.21643958318547055</v>
      </c>
      <c r="AN10" s="581">
        <f t="shared" ref="AN10:AN105" si="93">IF(M10="","",DEGREES(ATAN2(-AM10,AL10)))</f>
        <v>0</v>
      </c>
      <c r="AO10" s="582">
        <f t="shared" ref="AO10:AO54" si="94">IF(ROUND(IF(M10="",0,DEGREES(ACOS(AK10))),4)=90,0,IF(M10="","",DEGREES(ACOS(AK10))))</f>
        <v>12.499998195223544</v>
      </c>
      <c r="AP10" s="585">
        <f t="shared" ref="AP10:AP105" si="95">IF(M10="","",DEGREES(ATAN2(AK10,AL10)))</f>
        <v>0</v>
      </c>
      <c r="AQ10" s="586">
        <f t="shared" si="9"/>
        <v>2.449817559645123</v>
      </c>
      <c r="AS10" s="52">
        <f>IF($M10="","",IF(AND($W10&lt;($AS$9+180),$W10&gt;($AS$9-180)),$W10,IF($W10&gt;($AS$9+180),$W10-360,IF($W10&lt;($AS$9-180),$W10+360,"Error"))))</f>
        <v>1.4759997868919896</v>
      </c>
      <c r="AT10" s="72">
        <f t="shared" si="10"/>
        <v>-0.17460052659518824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1313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6.9276381888009886E-3</v>
      </c>
      <c r="C11" s="708">
        <v>1.620090074729174</v>
      </c>
      <c r="D11" s="709">
        <v>-5.6100169198110304E-2</v>
      </c>
      <c r="E11" s="710">
        <v>-0.97544581053393298</v>
      </c>
      <c r="F11" s="708">
        <v>4.1530226205037234E-2</v>
      </c>
      <c r="G11" s="711">
        <v>0.21628849026972508</v>
      </c>
      <c r="H11" s="710">
        <v>0.26600000000000001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1313</v>
      </c>
      <c r="L11" s="779" t="s">
        <v>332</v>
      </c>
      <c r="M11" s="168">
        <f t="shared" si="1"/>
        <v>1.107</v>
      </c>
      <c r="N11" s="632">
        <f t="shared" si="2"/>
        <v>6.9276381888009886E-3</v>
      </c>
      <c r="O11" s="629">
        <f t="shared" si="3"/>
        <v>1.620090074729174</v>
      </c>
      <c r="P11" s="633">
        <f t="shared" si="4"/>
        <v>-5.6100169198110304E-2</v>
      </c>
      <c r="Q11" s="585">
        <f t="shared" ref="Q11:Q73" si="113">IF(M11="","",IF(DEGREES(ATAN2(N11,O11))&lt;0,DEGREES(ATAN2(N11,O11))+360,IF(DEGREES(ATAN2(N11,O11))&gt;360,DEGREES(ATAN2(N11,O11))-360,DEGREES(ATAN2(N11,O11)))))</f>
        <v>89.755000035373627</v>
      </c>
      <c r="R11" s="629">
        <f t="shared" si="79"/>
        <v>1.6201048862363374</v>
      </c>
      <c r="S11" s="634">
        <f t="shared" si="80"/>
        <v>-5.6100169198110304E-2</v>
      </c>
      <c r="T11" s="635">
        <f t="shared" si="81"/>
        <v>1.6197309761799863</v>
      </c>
      <c r="U11" s="629">
        <f t="shared" si="82"/>
        <v>3.4805275604197161E-2</v>
      </c>
      <c r="V11" s="636">
        <f t="shared" ref="V11:V105" si="114">IF(M11="","",Y11)</f>
        <v>-5.6100169198110304E-2</v>
      </c>
      <c r="W11" s="585">
        <f t="shared" si="5"/>
        <v>1.2309998222656162</v>
      </c>
      <c r="X11" s="629">
        <f>IF(M11="","",R11)</f>
        <v>1.6201048862363374</v>
      </c>
      <c r="Y11" s="630">
        <f>IF(M11="","",S11)</f>
        <v>-5.6100169198110304E-2</v>
      </c>
      <c r="Z11" s="632">
        <f t="shared" si="6"/>
        <v>0.97544581053393298</v>
      </c>
      <c r="AA11" s="629">
        <f t="shared" si="7"/>
        <v>-4.1530226205037234E-2</v>
      </c>
      <c r="AB11" s="629">
        <f t="shared" si="8"/>
        <v>-0.21628849026972508</v>
      </c>
      <c r="AC11" s="636">
        <f t="shared" si="84"/>
        <v>1</v>
      </c>
      <c r="AD11" s="637">
        <f t="shared" ref="AD11:AD105" si="115">IF(M11="","",Z11*(1/SQRT(Z11^2+AA11^2+AB11^2)))</f>
        <v>0.97544581053393298</v>
      </c>
      <c r="AE11" s="629">
        <f t="shared" si="85"/>
        <v>-4.1530226205037234E-2</v>
      </c>
      <c r="AF11" s="633">
        <f t="shared" si="86"/>
        <v>-0.21628849026972508</v>
      </c>
      <c r="AG11" s="602">
        <f>IF(M11="","",DEGREES(ATAN2(-AF11,AE11)))</f>
        <v>-10.869249915954166</v>
      </c>
      <c r="AH11" s="603">
        <f t="shared" si="88"/>
        <v>12.723104813499408</v>
      </c>
      <c r="AI11" s="585">
        <f t="shared" si="89"/>
        <v>-77.508868826451234</v>
      </c>
      <c r="AJ11" s="586">
        <f t="shared" si="90"/>
        <v>87.56206807740179</v>
      </c>
      <c r="AK11" s="635">
        <f>IF(M11="","",(COS(RADIANS((90-$Q$8)-W11))*AD11)+(-SIN(RADIANS((90-$Q$8)-W11))*AE11))</f>
        <v>0.9756144777361363</v>
      </c>
      <c r="AL11" s="629">
        <f t="shared" si="91"/>
        <v>-3.7358798274155954E-2</v>
      </c>
      <c r="AM11" s="634">
        <f t="shared" si="92"/>
        <v>-0.21628849026972508</v>
      </c>
      <c r="AN11" s="581">
        <f>IF(M11="","",DEGREES(ATAN2(-AM11,AL11)))</f>
        <v>-9.7998170881059092</v>
      </c>
      <c r="AO11" s="582">
        <f>IF(ROUND(IF(M11="",0,DEGREES(ACOS(AK11))),4)=90,0,IF(M11="","",DEGREES(ACOS(AK11))))</f>
        <v>12.679151018630789</v>
      </c>
      <c r="AP11" s="585">
        <f t="shared" si="95"/>
        <v>-2.1929319579718425</v>
      </c>
      <c r="AQ11" s="586">
        <f t="shared" si="9"/>
        <v>1.4068647461745765</v>
      </c>
      <c r="AS11" s="52">
        <f t="shared" ref="AS11:AS42" si="116">IF(G11="","",IF(AND(W11&lt;(AS10+180),W11&gt;(AS10-180)),W11,IF(W11&gt;(AS10+180),W11-360,IF(W11&lt;(AS10-180),W11+360,"Error"))))</f>
        <v>1.2309998222656162</v>
      </c>
      <c r="AT11" s="72">
        <f t="shared" si="10"/>
        <v>-5.5930030333786435E-2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1313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6.0341357296179177E-2</v>
      </c>
      <c r="C12" s="708">
        <v>2.3418297937738268</v>
      </c>
      <c r="D12" s="709">
        <v>-0.22970069277728941</v>
      </c>
      <c r="E12" s="710">
        <v>-0.9420331545157794</v>
      </c>
      <c r="F12" s="708">
        <v>0.24014011795754212</v>
      </c>
      <c r="G12" s="711">
        <v>0.23432084743015832</v>
      </c>
      <c r="H12" s="710">
        <v>0.26600000000000001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1313</v>
      </c>
      <c r="L12" s="773" t="s">
        <v>366</v>
      </c>
      <c r="M12" s="168">
        <f t="shared" si="1"/>
        <v>1.1100000000000001</v>
      </c>
      <c r="N12" s="632">
        <f t="shared" si="2"/>
        <v>6.0341357296179177E-2</v>
      </c>
      <c r="O12" s="629">
        <f t="shared" si="3"/>
        <v>2.3418297937738268</v>
      </c>
      <c r="P12" s="633">
        <f t="shared" si="4"/>
        <v>-0.22970069277728941</v>
      </c>
      <c r="Q12" s="585">
        <f>IF(M12="","",IF(DEGREES(ATAN2(N12,O12))&lt;0,DEGREES(ATAN2(N12,O12))+360,IF(DEGREES(ATAN2(N12,O12))&gt;360,DEGREES(ATAN2(N12,O12))-360,DEGREES(ATAN2(N12,O12)))))</f>
        <v>88.52400021310801</v>
      </c>
      <c r="R12" s="629">
        <f t="shared" si="79"/>
        <v>2.3426070653029094</v>
      </c>
      <c r="S12" s="634">
        <f t="shared" si="80"/>
        <v>-0.22970069277728941</v>
      </c>
      <c r="T12" s="635">
        <f>IF(M12="","",X12*COS(RADIANS(W12)))</f>
        <v>2.3426070653029094</v>
      </c>
      <c r="U12" s="629">
        <f t="shared" si="82"/>
        <v>0</v>
      </c>
      <c r="V12" s="636">
        <f t="shared" si="114"/>
        <v>-0.22970069277728941</v>
      </c>
      <c r="W12" s="585">
        <f>IF(M12="","",IF(Q12-$Q$8&lt;0,360+Q12-$Q$8,Q12-$Q$8))</f>
        <v>0</v>
      </c>
      <c r="X12" s="629">
        <f t="shared" si="83"/>
        <v>2.3426070653029094</v>
      </c>
      <c r="Y12" s="630">
        <f>IF(M12="","",S12)</f>
        <v>-0.22970069277728941</v>
      </c>
      <c r="Z12" s="632">
        <f t="shared" si="6"/>
        <v>0.9420331545157794</v>
      </c>
      <c r="AA12" s="629">
        <f t="shared" si="7"/>
        <v>-0.24014011795754212</v>
      </c>
      <c r="AB12" s="629">
        <f t="shared" si="8"/>
        <v>-0.23432084743015832</v>
      </c>
      <c r="AC12" s="636">
        <f t="shared" si="84"/>
        <v>1</v>
      </c>
      <c r="AD12" s="637">
        <f t="shared" si="115"/>
        <v>0.9420331545157794</v>
      </c>
      <c r="AE12" s="629">
        <f t="shared" si="85"/>
        <v>-0.24014011795754212</v>
      </c>
      <c r="AF12" s="633">
        <f t="shared" si="86"/>
        <v>-0.23432084743015832</v>
      </c>
      <c r="AG12" s="602">
        <f t="shared" si="87"/>
        <v>-45.702698320954958</v>
      </c>
      <c r="AH12" s="603">
        <f t="shared" si="88"/>
        <v>19.604149769932949</v>
      </c>
      <c r="AI12" s="585">
        <f t="shared" si="89"/>
        <v>-76.448407553410746</v>
      </c>
      <c r="AJ12" s="586">
        <f t="shared" si="90"/>
        <v>75.698921876905217</v>
      </c>
      <c r="AK12" s="635">
        <f t="shared" ref="AK12:AK105" si="211">IF(M12="","",(COS(RADIANS((90-$Q$8)-W12))*AD12)+(-SIN(RADIANS((90-$Q$8)-W12))*AE12))</f>
        <v>0.94790616895005742</v>
      </c>
      <c r="AL12" s="629">
        <f>IF(M12="","",(SIN(RADIANS((90-$Q$8)-W12))*AD12)+(COS(RADIANS((90-$Q$8)-W12))*AE12))</f>
        <v>-0.21579535520033266</v>
      </c>
      <c r="AM12" s="634">
        <f t="shared" si="92"/>
        <v>-0.23432084743015832</v>
      </c>
      <c r="AN12" s="581">
        <f>IF(M12="","",DEGREES(ATAN2(-AM12,AL12)))</f>
        <v>-42.643200140782263</v>
      </c>
      <c r="AO12" s="582">
        <f t="shared" si="94"/>
        <v>18.575237977936073</v>
      </c>
      <c r="AP12" s="585">
        <f t="shared" si="95"/>
        <v>-12.825078336202795</v>
      </c>
      <c r="AQ12" s="586">
        <f t="shared" si="9"/>
        <v>0.97306436161468268</v>
      </c>
      <c r="AS12" s="52">
        <f t="shared" si="116"/>
        <v>0</v>
      </c>
      <c r="AT12" s="72">
        <f>IF(M12="","",Y12+(((AS12-$AS$9)*$AS$6)*-1))</f>
        <v>-0.22867569292528109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1313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0.11997851716872091</v>
      </c>
      <c r="C13" s="708">
        <v>2.787027135831134</v>
      </c>
      <c r="D13" s="709">
        <v>-0.78870237872637416</v>
      </c>
      <c r="E13" s="710">
        <v>-0.87642534685598583</v>
      </c>
      <c r="F13" s="708">
        <v>0.4584532191089899</v>
      </c>
      <c r="G13" s="711">
        <v>0.1473066776387596</v>
      </c>
      <c r="H13" s="710">
        <v>0.26600000000000001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1313</v>
      </c>
      <c r="L13" s="774">
        <f>IF($L12=$JH$22,$JH$29,IF($L12=$JI$22,$JI$29,""))</f>
        <v>10</v>
      </c>
      <c r="M13" s="168">
        <f t="shared" si="1"/>
        <v>1.113</v>
      </c>
      <c r="N13" s="632">
        <f t="shared" si="2"/>
        <v>0.11997851716872091</v>
      </c>
      <c r="O13" s="629">
        <f t="shared" si="3"/>
        <v>2.787027135831134</v>
      </c>
      <c r="P13" s="633">
        <f t="shared" si="4"/>
        <v>-0.78870237872637416</v>
      </c>
      <c r="Q13" s="585">
        <f t="shared" si="113"/>
        <v>87.535000355901914</v>
      </c>
      <c r="R13" s="629">
        <f t="shared" si="79"/>
        <v>2.7896084134589749</v>
      </c>
      <c r="S13" s="634">
        <f t="shared" si="80"/>
        <v>-0.78870237872637416</v>
      </c>
      <c r="T13" s="635">
        <f>IF(M13="","",X13*COS(RADIANS(W13)))</f>
        <v>2.7891928382248583</v>
      </c>
      <c r="U13" s="629">
        <f t="shared" si="82"/>
        <v>-4.8149887188444415E-2</v>
      </c>
      <c r="V13" s="636">
        <f t="shared" si="114"/>
        <v>-0.78870237872637416</v>
      </c>
      <c r="W13" s="585">
        <f t="shared" si="5"/>
        <v>359.01100014279388</v>
      </c>
      <c r="X13" s="629">
        <f t="shared" si="83"/>
        <v>2.7896084134589749</v>
      </c>
      <c r="Y13" s="630">
        <f>IF(M13="","",S13)</f>
        <v>-0.78870237872637416</v>
      </c>
      <c r="Z13" s="632">
        <f t="shared" si="6"/>
        <v>0.87642534685598583</v>
      </c>
      <c r="AA13" s="629">
        <f t="shared" si="7"/>
        <v>-0.4584532191089899</v>
      </c>
      <c r="AB13" s="629">
        <f t="shared" si="8"/>
        <v>-0.1473066776387596</v>
      </c>
      <c r="AC13" s="636">
        <f t="shared" si="84"/>
        <v>1</v>
      </c>
      <c r="AD13" s="637">
        <f>IF(M13="","",Z13*(1/SQRT(Z13^2+AA13^2+AB13^2)))</f>
        <v>0.87642534685598583</v>
      </c>
      <c r="AE13" s="629">
        <f t="shared" si="85"/>
        <v>-0.4584532191089899</v>
      </c>
      <c r="AF13" s="633">
        <f t="shared" si="86"/>
        <v>-0.1473066776387596</v>
      </c>
      <c r="AG13" s="602">
        <f>IF(M13="","",DEGREES(ATAN2(-AF13,AE13)))</f>
        <v>-72.187147130949185</v>
      </c>
      <c r="AH13" s="603">
        <f t="shared" si="88"/>
        <v>28.785883591924172</v>
      </c>
      <c r="AI13" s="585">
        <f t="shared" si="89"/>
        <v>-81.529123308855603</v>
      </c>
      <c r="AJ13" s="586">
        <f t="shared" si="90"/>
        <v>62.38618450450172</v>
      </c>
      <c r="AK13" s="635">
        <f t="shared" si="211"/>
        <v>0.89533202925095834</v>
      </c>
      <c r="AL13" s="629">
        <f t="shared" si="91"/>
        <v>-0.42033474769568108</v>
      </c>
      <c r="AM13" s="634">
        <f t="shared" si="92"/>
        <v>-0.1473066776387596</v>
      </c>
      <c r="AN13" s="581">
        <f t="shared" si="93"/>
        <v>-70.686943301129887</v>
      </c>
      <c r="AO13" s="582">
        <f t="shared" si="94"/>
        <v>26.448890198306653</v>
      </c>
      <c r="AP13" s="585">
        <f t="shared" si="95"/>
        <v>-25.148815851400165</v>
      </c>
      <c r="AQ13" s="586">
        <f t="shared" si="9"/>
        <v>0.81716560821565276</v>
      </c>
      <c r="AS13" s="52">
        <f t="shared" si="116"/>
        <v>-0.98899985720612449</v>
      </c>
      <c r="AT13" s="72">
        <f t="shared" si="10"/>
        <v>-0.78699057341797274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1313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0.1309026973937705</v>
      </c>
      <c r="C14" s="708">
        <v>2.8552094496374938</v>
      </c>
      <c r="D14" s="709">
        <v>-1.478304458566247</v>
      </c>
      <c r="E14" s="710">
        <v>-0.83006837223625518</v>
      </c>
      <c r="F14" s="708">
        <v>0.55424189696781079</v>
      </c>
      <c r="G14" s="711">
        <v>6.1663741847025694E-2</v>
      </c>
      <c r="H14" s="710">
        <v>0.26600000000000001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1.1160000000000001</v>
      </c>
      <c r="N14" s="632">
        <f t="shared" si="2"/>
        <v>0.1309026973937705</v>
      </c>
      <c r="O14" s="629">
        <f t="shared" si="3"/>
        <v>2.8552094496374938</v>
      </c>
      <c r="P14" s="633">
        <f t="shared" si="4"/>
        <v>-1.478304458566247</v>
      </c>
      <c r="Q14" s="585">
        <f t="shared" si="113"/>
        <v>87.375000379003055</v>
      </c>
      <c r="R14" s="629">
        <f t="shared" si="79"/>
        <v>2.8582086203571992</v>
      </c>
      <c r="S14" s="634">
        <f t="shared" si="80"/>
        <v>-1.478304458566247</v>
      </c>
      <c r="T14" s="635">
        <f t="shared" si="81"/>
        <v>2.8576339165930591</v>
      </c>
      <c r="U14" s="629">
        <f t="shared" si="82"/>
        <v>-5.7314188655334677E-2</v>
      </c>
      <c r="V14" s="636">
        <f t="shared" si="114"/>
        <v>-1.478304458566247</v>
      </c>
      <c r="W14" s="585">
        <f t="shared" si="5"/>
        <v>358.85100016589502</v>
      </c>
      <c r="X14" s="629">
        <f t="shared" si="83"/>
        <v>2.8582086203571992</v>
      </c>
      <c r="Y14" s="630">
        <f t="shared" ref="Y14:Y75" si="223">IF(M14="","",S14)</f>
        <v>-1.478304458566247</v>
      </c>
      <c r="Z14" s="632">
        <f t="shared" si="6"/>
        <v>0.83006837223625518</v>
      </c>
      <c r="AA14" s="629">
        <f t="shared" si="7"/>
        <v>-0.55424189696781079</v>
      </c>
      <c r="AB14" s="629">
        <f t="shared" si="8"/>
        <v>-6.1663741847025694E-2</v>
      </c>
      <c r="AC14" s="636">
        <f t="shared" si="84"/>
        <v>1</v>
      </c>
      <c r="AD14" s="637">
        <f>IF(M14="","",Z14*(1/SQRT(Z14^2+AA14^2+AB14^2)))</f>
        <v>0.83006837223625518</v>
      </c>
      <c r="AE14" s="629">
        <f t="shared" si="85"/>
        <v>-0.55424189696781079</v>
      </c>
      <c r="AF14" s="633">
        <f t="shared" si="86"/>
        <v>-6.1663741847025694E-2</v>
      </c>
      <c r="AG14" s="602">
        <f t="shared" si="87"/>
        <v>-83.651505440786593</v>
      </c>
      <c r="AH14" s="603">
        <f t="shared" si="88"/>
        <v>33.894237875148328</v>
      </c>
      <c r="AI14" s="585">
        <f t="shared" si="89"/>
        <v>-86.464684967661398</v>
      </c>
      <c r="AJ14" s="586">
        <f t="shared" si="90"/>
        <v>56.268713107198074</v>
      </c>
      <c r="AK14" s="635">
        <f>IF(M14="","",(COS(RADIANS((90-$Q$8)-W14))*AD14)+(-SIN(RADIANS((90-$Q$8)-W14))*AE14))</f>
        <v>0.85458101349881188</v>
      </c>
      <c r="AL14" s="629">
        <f t="shared" si="91"/>
        <v>-0.51564413533828468</v>
      </c>
      <c r="AM14" s="634">
        <f t="shared" si="92"/>
        <v>-6.1663741847025694E-2</v>
      </c>
      <c r="AN14" s="581">
        <f t="shared" si="93"/>
        <v>-83.180619972653261</v>
      </c>
      <c r="AO14" s="582">
        <f t="shared" si="94"/>
        <v>31.286522255708622</v>
      </c>
      <c r="AP14" s="585">
        <f>IF(M14="","",DEGREES(ATAN2(AK14,AL14)))</f>
        <v>-31.106287271804934</v>
      </c>
      <c r="AQ14" s="586">
        <f t="shared" si="9"/>
        <v>0.79755528331050252</v>
      </c>
      <c r="AS14" s="52">
        <f t="shared" si="116"/>
        <v>-1.1489998341049841</v>
      </c>
      <c r="AT14" s="72">
        <f t="shared" si="10"/>
        <v>-1.4764815421627768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0.8374254792826884</v>
      </c>
      <c r="C15" s="708">
        <v>1.9388887210903294</v>
      </c>
      <c r="D15" s="709">
        <v>-0.14450035015865612</v>
      </c>
      <c r="E15" s="710">
        <v>-0.82775186904958986</v>
      </c>
      <c r="F15" s="708">
        <v>0.51036276772392053</v>
      </c>
      <c r="G15" s="711">
        <v>0.2331452092711544</v>
      </c>
      <c r="H15" s="710">
        <v>0.26600000000000001</v>
      </c>
      <c r="I15" s="708">
        <v>0.52</v>
      </c>
      <c r="J15" s="570">
        <v>1.2090000000000001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0</v>
      </c>
      <c r="M15" s="168">
        <f t="shared" si="1"/>
        <v>1.2090000000000001</v>
      </c>
      <c r="N15" s="632">
        <f t="shared" si="2"/>
        <v>0.8374254792826884</v>
      </c>
      <c r="O15" s="629">
        <f t="shared" si="3"/>
        <v>1.9388887210903294</v>
      </c>
      <c r="P15" s="633">
        <f t="shared" si="4"/>
        <v>-0.14450035015865612</v>
      </c>
      <c r="Q15" s="585">
        <f t="shared" si="113"/>
        <v>66.64</v>
      </c>
      <c r="R15" s="629">
        <f t="shared" si="79"/>
        <v>2.1120063698112119</v>
      </c>
      <c r="S15" s="634">
        <f t="shared" si="80"/>
        <v>-0.14450035015865612</v>
      </c>
      <c r="T15" s="635">
        <f t="shared" si="81"/>
        <v>1.9598159810561482</v>
      </c>
      <c r="U15" s="629">
        <f t="shared" si="82"/>
        <v>-0.78720532678587818</v>
      </c>
      <c r="V15" s="636">
        <f t="shared" si="114"/>
        <v>-0.14450035015865612</v>
      </c>
      <c r="W15" s="585">
        <f t="shared" ref="W15:W78" si="224">IF(M15="","",IF(Q15-$Q$8&lt;0,360+Q15-$Q$8,Q15-$Q$8))</f>
        <v>338.11599978689196</v>
      </c>
      <c r="X15" s="629">
        <f>IF(M15="","",R15)</f>
        <v>2.1120063698112119</v>
      </c>
      <c r="Y15" s="630">
        <f>IF(M15="","",S15)</f>
        <v>-0.14450035015865612</v>
      </c>
      <c r="Z15" s="632">
        <f t="shared" si="6"/>
        <v>0.82775186904958986</v>
      </c>
      <c r="AA15" s="629">
        <f t="shared" si="7"/>
        <v>-0.51036276772392053</v>
      </c>
      <c r="AB15" s="629">
        <f t="shared" si="8"/>
        <v>-0.2331452092711544</v>
      </c>
      <c r="AC15" s="636">
        <f t="shared" si="84"/>
        <v>1</v>
      </c>
      <c r="AD15" s="637">
        <f t="shared" si="115"/>
        <v>0.82775186904958986</v>
      </c>
      <c r="AE15" s="629">
        <f t="shared" si="85"/>
        <v>-0.51036276772392053</v>
      </c>
      <c r="AF15" s="633">
        <f t="shared" si="86"/>
        <v>-0.2331452092711544</v>
      </c>
      <c r="AG15" s="602">
        <f t="shared" si="87"/>
        <v>-65.448011553102447</v>
      </c>
      <c r="AH15" s="603">
        <f t="shared" si="88"/>
        <v>34.131511544989145</v>
      </c>
      <c r="AI15" s="585">
        <f t="shared" si="89"/>
        <v>-76.51768560876333</v>
      </c>
      <c r="AJ15" s="586">
        <f t="shared" si="90"/>
        <v>58.343472491979441</v>
      </c>
      <c r="AK15" s="635">
        <f t="shared" si="211"/>
        <v>0.96226487627146551</v>
      </c>
      <c r="AL15" s="629">
        <f t="shared" si="91"/>
        <v>-0.14031970384864362</v>
      </c>
      <c r="AM15" s="634">
        <f t="shared" si="92"/>
        <v>-0.2331452092711544</v>
      </c>
      <c r="AN15" s="581">
        <f>IF(M15="","",DEGREES(ATAN2(-AM15,AL15)))</f>
        <v>-31.041859281755684</v>
      </c>
      <c r="AO15" s="582">
        <f t="shared" si="94"/>
        <v>15.790131487471626</v>
      </c>
      <c r="AP15" s="585">
        <f t="shared" si="95"/>
        <v>-8.2965275080205263</v>
      </c>
      <c r="AQ15" s="586">
        <f t="shared" si="9"/>
        <v>1.0792850890476817</v>
      </c>
      <c r="AS15" s="52">
        <f t="shared" si="116"/>
        <v>-21.884000213108038</v>
      </c>
      <c r="AT15" s="72">
        <f t="shared" si="10"/>
        <v>-0.12827812793643387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>Nose</v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1.2090000000000001</v>
      </c>
      <c r="IH15" s="731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0.109</v>
      </c>
      <c r="II15" s="734" cm="1">
        <f t="array" ref="II15">IFERROR(ROUND(VALUE(IF($IH15&lt;1,$IH15+LARGE((IF($M$9:$M$150="",0,$M$9:$M$150)-MOD(IF($M$9:$M$150="",0,$M$9:$M$150),1)),1),$IH15)),4),"")</f>
        <v>3.109</v>
      </c>
      <c r="IJ15" s="533">
        <f t="shared" si="112"/>
        <v>1313</v>
      </c>
      <c r="IK15" s="533">
        <f t="shared" si="66"/>
        <v>1313</v>
      </c>
      <c r="IL15" s="727">
        <f t="shared" si="67"/>
        <v>152.34100014712544</v>
      </c>
      <c r="IM15" s="759">
        <v>2.11836580657569E-3</v>
      </c>
      <c r="IN15" s="5">
        <f t="shared" si="68"/>
        <v>0.02</v>
      </c>
      <c r="IO15" s="771">
        <v>10</v>
      </c>
      <c r="IP15" s="9">
        <f t="shared" si="69"/>
        <v>-2.1120063698112115</v>
      </c>
      <c r="IQ15" s="5">
        <f t="shared" si="70"/>
        <v>-0.11610035015865572</v>
      </c>
      <c r="IR15" s="5">
        <f t="shared" si="71"/>
        <v>0.26600000000000001</v>
      </c>
      <c r="IS15" s="5">
        <f t="shared" si="72"/>
        <v>0.2559624570882098</v>
      </c>
      <c r="IT15" s="727">
        <f t="shared" si="73"/>
        <v>31.041859281755926</v>
      </c>
      <c r="IU15" s="9">
        <f t="shared" si="74"/>
        <v>-2.1120063698112119</v>
      </c>
      <c r="IV15" s="5">
        <f t="shared" si="75"/>
        <v>-0.14450035015865612</v>
      </c>
      <c r="IW15" s="5">
        <f t="shared" si="76"/>
        <v>0.26600000000000001</v>
      </c>
      <c r="IX15" s="5">
        <f t="shared" si="77"/>
        <v>0.25596245708820986</v>
      </c>
      <c r="IY15" s="762">
        <f t="shared" si="78"/>
        <v>31.041859281755684</v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17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1.0683915501549259</v>
      </c>
      <c r="C16" s="708">
        <v>2.4736437779251386</v>
      </c>
      <c r="D16" s="709">
        <v>-0.61930178215977527</v>
      </c>
      <c r="E16" s="710">
        <v>-0.69563302767516666</v>
      </c>
      <c r="F16" s="708">
        <v>0.69461858100235874</v>
      </c>
      <c r="G16" s="711">
        <v>0.18330225785229901</v>
      </c>
      <c r="H16" s="710">
        <v>0.26600000000000001</v>
      </c>
      <c r="I16" s="708">
        <v>0.52</v>
      </c>
      <c r="J16" s="570">
        <v>1.212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1.212</v>
      </c>
      <c r="N16" s="632">
        <f t="shared" si="2"/>
        <v>1.0683915501549259</v>
      </c>
      <c r="O16" s="629">
        <f t="shared" si="3"/>
        <v>2.4736437779251386</v>
      </c>
      <c r="P16" s="633">
        <f t="shared" si="4"/>
        <v>-0.61930178215977527</v>
      </c>
      <c r="Q16" s="585">
        <f>IF(M16="","",IF(DEGREES(ATAN2(N16,O16))&lt;0,DEGREES(ATAN2(N16,O16))+360,IF(DEGREES(ATAN2(N16,O16))&gt;360,DEGREES(ATAN2(N16,O16))-360,DEGREES(ATAN2(N16,O16)))))</f>
        <v>66.64</v>
      </c>
      <c r="R16" s="629">
        <f t="shared" si="79"/>
        <v>2.6945081266365105</v>
      </c>
      <c r="S16" s="634">
        <f t="shared" si="80"/>
        <v>-0.61930178215977527</v>
      </c>
      <c r="T16" s="635">
        <f t="shared" si="81"/>
        <v>2.5003428792404314</v>
      </c>
      <c r="U16" s="629">
        <f t="shared" si="82"/>
        <v>-1.0043204323032899</v>
      </c>
      <c r="V16" s="636">
        <f t="shared" si="114"/>
        <v>-0.61930178215977527</v>
      </c>
      <c r="W16" s="585">
        <f>IF(M16="","",IF(Q16-$Q$8&lt;0,360+Q16-$Q$8,Q16-$Q$8))</f>
        <v>338.11599978689196</v>
      </c>
      <c r="X16" s="629">
        <f t="shared" si="83"/>
        <v>2.6945081266365105</v>
      </c>
      <c r="Y16" s="630">
        <f t="shared" si="223"/>
        <v>-0.61930178215977527</v>
      </c>
      <c r="Z16" s="632">
        <f t="shared" si="6"/>
        <v>0.69563302767516666</v>
      </c>
      <c r="AA16" s="629">
        <f t="shared" si="7"/>
        <v>-0.69461858100235874</v>
      </c>
      <c r="AB16" s="629">
        <f t="shared" si="8"/>
        <v>-0.18330225785229901</v>
      </c>
      <c r="AC16" s="636">
        <f t="shared" si="84"/>
        <v>1.0000000000000002</v>
      </c>
      <c r="AD16" s="637">
        <f t="shared" si="115"/>
        <v>0.69563302767516655</v>
      </c>
      <c r="AE16" s="629">
        <f t="shared" si="85"/>
        <v>-0.69461858100235863</v>
      </c>
      <c r="AF16" s="633">
        <f t="shared" si="86"/>
        <v>-0.18330225785229898</v>
      </c>
      <c r="AG16" s="602">
        <f t="shared" si="87"/>
        <v>-75.21726375427923</v>
      </c>
      <c r="AH16" s="603">
        <f t="shared" si="88"/>
        <v>45.922317180079602</v>
      </c>
      <c r="AI16" s="585">
        <f t="shared" si="89"/>
        <v>-79.4378335977582</v>
      </c>
      <c r="AJ16" s="586">
        <f t="shared" si="90"/>
        <v>45.041807901688017</v>
      </c>
      <c r="AK16" s="635">
        <f t="shared" si="211"/>
        <v>0.9140343310917276</v>
      </c>
      <c r="AL16" s="629">
        <f t="shared" si="91"/>
        <v>-0.36185843067689805</v>
      </c>
      <c r="AM16" s="634">
        <f t="shared" si="92"/>
        <v>-0.18330225785229898</v>
      </c>
      <c r="AN16" s="581">
        <f t="shared" si="93"/>
        <v>-63.135144602996604</v>
      </c>
      <c r="AO16" s="582">
        <f t="shared" si="94"/>
        <v>23.931040629121036</v>
      </c>
      <c r="AP16" s="585">
        <f t="shared" si="95"/>
        <v>-21.598192098311948</v>
      </c>
      <c r="AQ16" s="586">
        <f t="shared" si="9"/>
        <v>0.8460026269659533</v>
      </c>
      <c r="AS16" s="52">
        <f t="shared" si="116"/>
        <v>-21.884000213108038</v>
      </c>
      <c r="AT16" s="72">
        <f t="shared" si="10"/>
        <v>-0.60307955993755302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1.212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0.112</v>
      </c>
      <c r="II16" s="734" cm="1">
        <f t="array" ref="II16">IFERROR(ROUND(VALUE(IF($IH16&lt;1,$IH16+LARGE((IF($M$9:$M$150="",0,$M$9:$M$150)-MOD(IF($M$9:$M$150="",0,$M$9:$M$150),1)),1),$IH16)),4),"")</f>
        <v>3.1120000000000001</v>
      </c>
      <c r="IJ16" s="533">
        <f t="shared" si="112"/>
        <v>1313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151.11400032428224</v>
      </c>
      <c r="IM16" s="759">
        <v>1.1009746066140899E-3</v>
      </c>
      <c r="IN16" s="5">
        <f>IF(ISNUMBER($II16),(($IO16*12)/60)/$AS$3,"")</f>
        <v>0</v>
      </c>
      <c r="IO16" s="771">
        <v>0</v>
      </c>
      <c r="IP16" s="9">
        <f>IF(ISNUMBER($II16),(INDEX($X$9:$X$150,MATCH($II16,$M$9:$M$150,0))*-1),"")</f>
        <v>-2.6945081266365101</v>
      </c>
      <c r="IQ16" s="5">
        <f>IF(ISNUMBER($II16),INDEX($Y$9:$Y$150,MATCH($II16,$M$9:$M$150,0)),"")</f>
        <v>-0.59090178215977462</v>
      </c>
      <c r="IR16" s="5">
        <f t="shared" si="71"/>
        <v>0.26600000000000001</v>
      </c>
      <c r="IS16" s="5">
        <f>IF(ISNUMBER($II16),$IR16*COS(RADIANS(INDEX($AO$9:$AO$150,MATCH($II16,$M$9:$M$150,0)))),"")</f>
        <v>0.24313313207039955</v>
      </c>
      <c r="IT16" s="727">
        <f>IF(ISNUMBER($II16),(-1*INDEX($AN$9:$AN$150,MATCH($II16,$M$9:$M$150,0))),"")</f>
        <v>63.13514460299659</v>
      </c>
      <c r="IU16" s="9">
        <f>IF(ISNUMBER($II16),-$X16,"")</f>
        <v>-2.6945081266365105</v>
      </c>
      <c r="IV16" s="5">
        <f>IF(ISNUMBER($II16),$Y16,"")</f>
        <v>-0.61930178215977527</v>
      </c>
      <c r="IW16" s="5">
        <f t="shared" si="76"/>
        <v>0.26600000000000001</v>
      </c>
      <c r="IX16" s="5">
        <f>IF(ISNUMBER($II16),$IW16*COS(RADIANS($AO16)),"")</f>
        <v>0.24313313207039955</v>
      </c>
      <c r="IY16" s="762">
        <f>IF(ISNUMBER($II16),(-1*$AN16),"")</f>
        <v>63.135144602996604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0.45243021181821469</v>
      </c>
      <c r="C17" s="708">
        <v>-0.21097167255152149</v>
      </c>
      <c r="D17" s="709">
        <v>-0.25060075581187963</v>
      </c>
      <c r="E17" s="710">
        <v>0.40305820552212301</v>
      </c>
      <c r="F17" s="708">
        <v>0.86436111111035774</v>
      </c>
      <c r="G17" s="711">
        <v>0.30070575744630179</v>
      </c>
      <c r="H17" s="710">
        <v>0.26600000000000001</v>
      </c>
      <c r="I17" s="708">
        <v>0.52</v>
      </c>
      <c r="J17" s="570">
        <v>2.1019999999999999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2.1019999999999999</v>
      </c>
      <c r="N17" s="632">
        <f t="shared" si="2"/>
        <v>0.45243021181821469</v>
      </c>
      <c r="O17" s="629">
        <f t="shared" si="3"/>
        <v>-0.21097167255152149</v>
      </c>
      <c r="P17" s="633">
        <f t="shared" si="4"/>
        <v>-0.25060075581187963</v>
      </c>
      <c r="Q17" s="585">
        <f>IF(M17="","",IF(DEGREES(ATAN2(N17,O17))&lt;0,DEGREES(ATAN2(N17,O17))+360,IF(DEGREES(ATAN2(N17,O17))&gt;360,DEGREES(ATAN2(N17,O17))-360,DEGREES(ATAN2(N17,O17)))))</f>
        <v>335</v>
      </c>
      <c r="R17" s="629">
        <f>IF(M17="","",SQRT(N17^2+O17^2))</f>
        <v>0.49920150559174098</v>
      </c>
      <c r="S17" s="634">
        <f>IF(M17="","",P17)</f>
        <v>-0.25060075581187963</v>
      </c>
      <c r="T17" s="635">
        <f>IF(M17="","",X17*COS(RADIANS(W17)))</f>
        <v>-0.19924788167587401</v>
      </c>
      <c r="U17" s="629">
        <f>IF(M17="","",X17*SIN(RADIANS(W17)))</f>
        <v>-0.45771434851087844</v>
      </c>
      <c r="V17" s="636">
        <f>IF(M17="","",Y17)</f>
        <v>-0.25060075581187963</v>
      </c>
      <c r="W17" s="585">
        <f t="shared" si="224"/>
        <v>246.47599978689198</v>
      </c>
      <c r="X17" s="629">
        <f>IF(M17="","",R17)</f>
        <v>0.49920150559174098</v>
      </c>
      <c r="Y17" s="630">
        <f t="shared" si="223"/>
        <v>-0.25060075581187963</v>
      </c>
      <c r="Z17" s="632">
        <f t="shared" si="6"/>
        <v>-0.40305820552212301</v>
      </c>
      <c r="AA17" s="629">
        <f t="shared" si="7"/>
        <v>-0.86436111111035774</v>
      </c>
      <c r="AB17" s="629">
        <f t="shared" si="8"/>
        <v>-0.30070575744630179</v>
      </c>
      <c r="AC17" s="636">
        <f>IF(M17="","",SQRT(Z17^2+AA17^2+AB17^2))</f>
        <v>1</v>
      </c>
      <c r="AD17" s="637">
        <f>IF(M17="","",Z17*(1/SQRT(Z17^2+AA17^2+AB17^2)))</f>
        <v>-0.40305820552212301</v>
      </c>
      <c r="AE17" s="629">
        <f>IF(M17="","",AA17*(1/SQRT(Z17^2+AA17^2+AB17^2)))</f>
        <v>-0.86436111111035774</v>
      </c>
      <c r="AF17" s="633">
        <f>IF(M17="","",AB17*(1/SQRT(Z17^2+AA17^2+AB17^2)))</f>
        <v>-0.30070575744630179</v>
      </c>
      <c r="AG17" s="602">
        <f>IF(M17="","",DEGREES(ATAN2(-AF17,AE17)))</f>
        <v>-70.817537836965585</v>
      </c>
      <c r="AH17" s="603">
        <f>IF(M17="","",DEGREES(ACOS(AD17)))</f>
        <v>113.7695014157993</v>
      </c>
      <c r="AI17" s="585">
        <f>IF(M17="","",DEGREES(-ACOS(-AF17)))</f>
        <v>-72.500002526687013</v>
      </c>
      <c r="AJ17" s="586">
        <f>IF(M17="","",DEGREES(ATAN2(-AE17,AD17)))</f>
        <v>-24.999999999999979</v>
      </c>
      <c r="AK17" s="635">
        <f>IF(M17="","",(COS(RADIANS((90-$Q$8)-W17))*AD17)+(-SIN(RADIANS((90-$Q$8)-W17))*AE17))</f>
        <v>0.95371696400905337</v>
      </c>
      <c r="AL17" s="629">
        <f>IF(M17="","",(SIN(RADIANS((90-$Q$8)-W17))*AD17)+(COS(RADIANS((90-$Q$8)-W17))*AE17))</f>
        <v>1.1102230246251565E-16</v>
      </c>
      <c r="AM17" s="634">
        <f>IF(M17="","",AF17)</f>
        <v>-0.30070575744630179</v>
      </c>
      <c r="AN17" s="581">
        <f>IF(M17="","",DEGREES(ATAN2(-AM17,AL17)))</f>
        <v>2.115393272462687E-14</v>
      </c>
      <c r="AO17" s="582">
        <f t="shared" si="94"/>
        <v>17.49999747331298</v>
      </c>
      <c r="AP17" s="585">
        <f>IF(M17="","",DEGREES(ATAN2(AK17,AL17)))</f>
        <v>6.6698083424954681E-15</v>
      </c>
      <c r="AQ17" s="586">
        <f t="shared" si="9"/>
        <v>4.5571123858053424</v>
      </c>
      <c r="AS17" s="52">
        <f t="shared" si="116"/>
        <v>-113.52400021310802</v>
      </c>
      <c r="AT17" s="72">
        <f t="shared" si="10"/>
        <v>-0.17073964470076852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2.1019999999999999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1313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1.0395381669781494</v>
      </c>
      <c r="C18" s="708">
        <v>-0.48474460820632032</v>
      </c>
      <c r="D18" s="709">
        <v>-0.13630041108203983</v>
      </c>
      <c r="E18" s="710">
        <v>0.41260052435469358</v>
      </c>
      <c r="F18" s="708">
        <v>0.88482467988451352</v>
      </c>
      <c r="G18" s="711">
        <v>0.21643958318547055</v>
      </c>
      <c r="H18" s="710">
        <v>0.26600000000000001</v>
      </c>
      <c r="I18" s="708">
        <v>0.52</v>
      </c>
      <c r="J18" s="570">
        <v>2.105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2.105</v>
      </c>
      <c r="N18" s="632">
        <f t="shared" si="2"/>
        <v>1.0395381669781494</v>
      </c>
      <c r="O18" s="629">
        <f t="shared" si="3"/>
        <v>-0.48474460820632032</v>
      </c>
      <c r="P18" s="633">
        <f t="shared" si="4"/>
        <v>-0.13630041108203983</v>
      </c>
      <c r="Q18" s="585">
        <f t="shared" si="113"/>
        <v>335</v>
      </c>
      <c r="R18" s="629">
        <f>IF(M18="","",SQRT(N18^2+O18^2))</f>
        <v>1.1470034593624336</v>
      </c>
      <c r="S18" s="634">
        <f>IF(M18="","",P18)</f>
        <v>-0.13630041108203983</v>
      </c>
      <c r="T18" s="635">
        <f>IF(M18="","",X18*COS(RADIANS(W18)))</f>
        <v>-0.45780713197561596</v>
      </c>
      <c r="U18" s="629">
        <f>IF(M18="","",X18*SIN(RADIANS(W18)))</f>
        <v>-1.0516794025279999</v>
      </c>
      <c r="V18" s="636">
        <f>IF(M18="","",Y18)</f>
        <v>-0.13630041108203983</v>
      </c>
      <c r="W18" s="585">
        <f t="shared" si="224"/>
        <v>246.47599978689198</v>
      </c>
      <c r="X18" s="629">
        <f>IF(M18="","",R18)</f>
        <v>1.1470034593624336</v>
      </c>
      <c r="Y18" s="630">
        <f t="shared" si="223"/>
        <v>-0.13630041108203983</v>
      </c>
      <c r="Z18" s="632">
        <f t="shared" si="6"/>
        <v>-0.41260052435469358</v>
      </c>
      <c r="AA18" s="629">
        <f t="shared" si="7"/>
        <v>-0.88482467988451352</v>
      </c>
      <c r="AB18" s="629">
        <f t="shared" si="8"/>
        <v>-0.21643958318547055</v>
      </c>
      <c r="AC18" s="636">
        <f>IF(M18="","",SQRT(Z18^2+AA18^2+AB18^2))</f>
        <v>1</v>
      </c>
      <c r="AD18" s="637">
        <f>IF(M18="","",Z18*(1/SQRT(Z18^2+AA18^2+AB18^2)))</f>
        <v>-0.41260052435469358</v>
      </c>
      <c r="AE18" s="629">
        <f>IF(M18="","",AA18*(1/SQRT(Z18^2+AA18^2+AB18^2)))</f>
        <v>-0.88482467988451352</v>
      </c>
      <c r="AF18" s="633">
        <f>IF(M18="","",AB18*(1/SQRT(Z18^2+AA18^2+AB18^2)))</f>
        <v>-0.21643958318547055</v>
      </c>
      <c r="AG18" s="602">
        <f>IF(M18="","",DEGREES(ATAN2(-AF18,AE18)))</f>
        <v>-76.254621270123053</v>
      </c>
      <c r="AH18" s="603">
        <f>IF(M18="","",DEGREES(ACOS(AD18)))</f>
        <v>114.36830069877605</v>
      </c>
      <c r="AI18" s="585">
        <f>IF(M18="","",DEGREES(-ACOS(-AF18)))</f>
        <v>-77.500001804776446</v>
      </c>
      <c r="AJ18" s="586">
        <f>IF(M18="","",DEGREES(ATAN2(-AE18,AD18)))</f>
        <v>-24.999999999999989</v>
      </c>
      <c r="AK18" s="635">
        <f>IF(M18="","",(COS(RADIANS((90-$Q$8)-W18))*AD18)+(-SIN(RADIANS((90-$Q$8)-W18))*AE18))</f>
        <v>0.97629601393762733</v>
      </c>
      <c r="AL18" s="629">
        <f>IF(M18="","",(SIN(RADIANS((90-$Q$8)-W18))*AD18)+(COS(RADIANS((90-$Q$8)-W18))*AE18))</f>
        <v>-1.1102230246251565E-16</v>
      </c>
      <c r="AM18" s="634">
        <f>IF(M18="","",AF18)</f>
        <v>-0.21643958318547055</v>
      </c>
      <c r="AN18" s="581">
        <f>IF(M18="","",DEGREES(ATAN2(-AM18,AL18)))</f>
        <v>-2.9389769049204352E-14</v>
      </c>
      <c r="AO18" s="582">
        <f t="shared" si="94"/>
        <v>12.499998195223544</v>
      </c>
      <c r="AP18" s="585">
        <f>IF(M18="","",DEGREES(ATAN2(AK18,AL18)))</f>
        <v>-6.5155539632608039E-15</v>
      </c>
      <c r="AQ18" s="586">
        <f t="shared" si="9"/>
        <v>1.9867532561129972</v>
      </c>
      <c r="AS18" s="52">
        <f t="shared" si="116"/>
        <v>-113.52400021310802</v>
      </c>
      <c r="AT18" s="72">
        <f t="shared" si="10"/>
        <v>-5.6439299970928711E-2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2.105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1.6807947698536816</v>
      </c>
      <c r="C19" s="708">
        <v>-0.80472488382366314</v>
      </c>
      <c r="D19" s="709">
        <v>-5.7900174626926627E-2</v>
      </c>
      <c r="E19" s="710">
        <v>0.48541845189852928</v>
      </c>
      <c r="F19" s="708">
        <v>0.84794038458353005</v>
      </c>
      <c r="G19" s="711">
        <v>0.21299302981264562</v>
      </c>
      <c r="H19" s="710">
        <v>0.26600000000000001</v>
      </c>
      <c r="I19" s="708">
        <v>0.52</v>
      </c>
      <c r="J19" s="570">
        <v>2.1080000000000001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2.1080000000000001</v>
      </c>
      <c r="N19" s="632">
        <f t="shared" si="2"/>
        <v>1.6807947698536816</v>
      </c>
      <c r="O19" s="629">
        <f t="shared" si="3"/>
        <v>-0.80472488382366314</v>
      </c>
      <c r="P19" s="633">
        <f t="shared" si="4"/>
        <v>-5.7900174626926627E-2</v>
      </c>
      <c r="Q19" s="585">
        <f t="shared" si="113"/>
        <v>334.41600008431919</v>
      </c>
      <c r="R19" s="629">
        <f>IF(M19="","",SQRT(N19^2+O19^2))</f>
        <v>1.8635056203329516</v>
      </c>
      <c r="S19" s="634">
        <f>IF(M19="","",P19)</f>
        <v>-5.7900174626926627E-2</v>
      </c>
      <c r="T19" s="635">
        <f>IF(M19="","",X19*COS(RADIANS(W19)))</f>
        <v>-0.76116361868377747</v>
      </c>
      <c r="U19" s="629">
        <f>IF(M19="","",X19*SIN(RADIANS(W19)))</f>
        <v>-1.7009653560859832</v>
      </c>
      <c r="V19" s="636">
        <f>IF(M19="","",Y19)</f>
        <v>-5.7900174626926627E-2</v>
      </c>
      <c r="W19" s="585">
        <f t="shared" si="224"/>
        <v>245.89199987121117</v>
      </c>
      <c r="X19" s="629">
        <f>IF(M19="","",R19)</f>
        <v>1.8635056203329516</v>
      </c>
      <c r="Y19" s="630">
        <f t="shared" si="223"/>
        <v>-5.7900174626926627E-2</v>
      </c>
      <c r="Z19" s="632">
        <f t="shared" si="6"/>
        <v>-0.48541845189852928</v>
      </c>
      <c r="AA19" s="629">
        <f t="shared" si="7"/>
        <v>-0.84794038458353005</v>
      </c>
      <c r="AB19" s="629">
        <f t="shared" si="8"/>
        <v>-0.21299302981264562</v>
      </c>
      <c r="AC19" s="636">
        <f>IF(M19="","",SQRT(Z19^2+AA19^2+AB19^2))</f>
        <v>1</v>
      </c>
      <c r="AD19" s="637">
        <f>IF(M19="","",Z19*(1/SQRT(Z19^2+AA19^2+AB19^2)))</f>
        <v>-0.48541845189852928</v>
      </c>
      <c r="AE19" s="629">
        <f>IF(M19="","",AA19*(1/SQRT(Z19^2+AA19^2+AB19^2)))</f>
        <v>-0.84794038458353005</v>
      </c>
      <c r="AF19" s="633">
        <f>IF(M19="","",AB19*(1/SQRT(Z19^2+AA19^2+AB19^2)))</f>
        <v>-0.21299302981264562</v>
      </c>
      <c r="AG19" s="602">
        <f>IF(M19="","",DEGREES(ATAN2(-AF19,AE19)))</f>
        <v>-75.899674143148104</v>
      </c>
      <c r="AH19" s="603">
        <f>IF(M19="","",DEGREES(ACOS(AD19)))</f>
        <v>119.03989187450374</v>
      </c>
      <c r="AI19" s="585">
        <f>IF(M19="","",DEGREES(-ACOS(-AF19)))</f>
        <v>-77.702190643675422</v>
      </c>
      <c r="AJ19" s="586">
        <f>IF(M19="","",DEGREES(ATAN2(-AE19,AD19)))</f>
        <v>-29.789741941936793</v>
      </c>
      <c r="AK19" s="635">
        <f>IF(M19="","",(COS(RADIANS((90-$Q$8)-W19))*AD19)+(-SIN(RADIANS((90-$Q$8)-W19))*AE19))</f>
        <v>0.97442264249312416</v>
      </c>
      <c r="AL19" s="629">
        <f>IF(M19="","",(SIN(RADIANS((90-$Q$8)-W19))*AD19)+(COS(RADIANS((90-$Q$8)-W19))*AE19))</f>
        <v>-7.1655307186187456E-2</v>
      </c>
      <c r="AM19" s="634">
        <f>IF(M19="","",AF19)</f>
        <v>-0.21299302981264562</v>
      </c>
      <c r="AN19" s="581">
        <f>IF(M19="","",DEGREES(ATAN2(-AM19,AL19)))</f>
        <v>-18.594015257928238</v>
      </c>
      <c r="AO19" s="582">
        <f t="shared" si="94"/>
        <v>12.986601497605275</v>
      </c>
      <c r="AP19" s="585">
        <f>IF(M19="","",DEGREES(ATAN2(AK19,AL19)))</f>
        <v>-4.2057420262559626</v>
      </c>
      <c r="AQ19" s="586">
        <f t="shared" si="9"/>
        <v>1.223167919597808</v>
      </c>
      <c r="AS19" s="52">
        <f t="shared" si="116"/>
        <v>-114.10800012878883</v>
      </c>
      <c r="AT19" s="72">
        <f t="shared" si="10"/>
        <v>2.2366491981185059E-2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2.1080000000000001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1313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2.2740932167276857</v>
      </c>
      <c r="C20" s="708">
        <v>-1.1548114695800999</v>
      </c>
      <c r="D20" s="709">
        <v>-0.40230121334045921</v>
      </c>
      <c r="E20" s="710">
        <v>0.68484109203177679</v>
      </c>
      <c r="F20" s="708">
        <v>0.69704063298065611</v>
      </c>
      <c r="G20" s="711">
        <v>0.21243124685095166</v>
      </c>
      <c r="H20" s="710">
        <v>0.26600000000000001</v>
      </c>
      <c r="I20" s="708">
        <v>0.52</v>
      </c>
      <c r="J20" s="570">
        <v>2.1110000000000002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2.1110000000000002</v>
      </c>
      <c r="N20" s="632">
        <f t="shared" si="2"/>
        <v>2.2740932167276857</v>
      </c>
      <c r="O20" s="629">
        <f t="shared" si="3"/>
        <v>-1.1548114695800999</v>
      </c>
      <c r="P20" s="633">
        <f t="shared" si="4"/>
        <v>-0.40230121334045921</v>
      </c>
      <c r="Q20" s="585">
        <f t="shared" si="113"/>
        <v>333.07800027750244</v>
      </c>
      <c r="R20" s="629">
        <f>IF(M20="","",SQRT(N20^2+O20^2))</f>
        <v>2.5505076923312</v>
      </c>
      <c r="S20" s="634">
        <f>IF(M20="","",P20)</f>
        <v>-0.40230121334045921</v>
      </c>
      <c r="T20" s="635">
        <f>IF(M20="","",X20*COS(RADIANS(W20)))</f>
        <v>-1.0958517424291518</v>
      </c>
      <c r="U20" s="629">
        <f>IF(M20="","",X20*SIN(RADIANS(W20)))</f>
        <v>-2.3030845506093813</v>
      </c>
      <c r="V20" s="636">
        <f>IF(M20="","",Y20)</f>
        <v>-0.40230121334045921</v>
      </c>
      <c r="W20" s="585">
        <f t="shared" si="224"/>
        <v>244.55400006439442</v>
      </c>
      <c r="X20" s="629">
        <f>IF(M20="","",R20)</f>
        <v>2.5505076923312</v>
      </c>
      <c r="Y20" s="630">
        <f t="shared" si="223"/>
        <v>-0.40230121334045921</v>
      </c>
      <c r="Z20" s="632">
        <f t="shared" si="6"/>
        <v>-0.68484109203177679</v>
      </c>
      <c r="AA20" s="629">
        <f t="shared" si="7"/>
        <v>-0.69704063298065611</v>
      </c>
      <c r="AB20" s="629">
        <f t="shared" si="8"/>
        <v>-0.21243124685095166</v>
      </c>
      <c r="AC20" s="636">
        <f>IF(M20="","",SQRT(Z20^2+AA20^2+AB20^2))</f>
        <v>1</v>
      </c>
      <c r="AD20" s="637">
        <f>IF(M20="","",Z20*(1/SQRT(Z20^2+AA20^2+AB20^2)))</f>
        <v>-0.68484109203177679</v>
      </c>
      <c r="AE20" s="629">
        <f>IF(M20="","",AA20*(1/SQRT(Z20^2+AA20^2+AB20^2)))</f>
        <v>-0.69704063298065611</v>
      </c>
      <c r="AF20" s="633">
        <f>IF(M20="","",AB20*(1/SQRT(Z20^2+AA20^2+AB20^2)))</f>
        <v>-0.21243124685095166</v>
      </c>
      <c r="AG20" s="602">
        <f>IF(M20="","",DEGREES(ATAN2(-AF20,AE20)))</f>
        <v>-73.050789616829974</v>
      </c>
      <c r="AH20" s="603">
        <f>IF(M20="","",DEGREES(ACOS(AD20)))</f>
        <v>133.22311121980081</v>
      </c>
      <c r="AI20" s="585">
        <f>IF(M20="","",DEGREES(-ACOS(-AF20)))</f>
        <v>-77.735132309904799</v>
      </c>
      <c r="AJ20" s="586">
        <f>IF(M20="","",DEGREES(ATAN2(-AE20,AD20)))</f>
        <v>-44.494194012669816</v>
      </c>
      <c r="AK20" s="635">
        <f>IF(M20="","",(COS(RADIANS((90-$Q$8)-W20))*AD20)+(-SIN(RADIANS((90-$Q$8)-W20))*AE20))</f>
        <v>0.93157834038573073</v>
      </c>
      <c r="AL20" s="629">
        <f>IF(M20="","",(SIN(RADIANS((90-$Q$8)-W20))*AD20)+(COS(RADIANS((90-$Q$8)-W20))*AE20))</f>
        <v>-0.29501654374885161</v>
      </c>
      <c r="AM20" s="634">
        <f>IF(M20="","",AF20)</f>
        <v>-0.21243124685095166</v>
      </c>
      <c r="AN20" s="581">
        <f>IF(M20="","",DEGREES(ATAN2(-AM20,AL20)))</f>
        <v>-54.243639719762164</v>
      </c>
      <c r="AO20" s="582">
        <f t="shared" si="94"/>
        <v>21.317798658284904</v>
      </c>
      <c r="AP20" s="585">
        <f>IF(M20="","",DEGREES(ATAN2(AK20,AL20)))</f>
        <v>-17.572194290172259</v>
      </c>
      <c r="AQ20" s="586">
        <f t="shared" si="9"/>
        <v>0.89375998621739772</v>
      </c>
      <c r="AS20" s="52">
        <f t="shared" si="116"/>
        <v>-115.44599993560558</v>
      </c>
      <c r="AT20" s="72">
        <f t="shared" si="10"/>
        <v>-0.32110538019983592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2.1110000000000002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2.5256381571592126</v>
      </c>
      <c r="C21" s="708">
        <v>-1.3207084870180037</v>
      </c>
      <c r="D21" s="709">
        <v>-1.0405031381574643</v>
      </c>
      <c r="E21" s="710">
        <v>0.82748016731038265</v>
      </c>
      <c r="F21" s="708">
        <v>0.5551643014478761</v>
      </c>
      <c r="G21" s="711">
        <v>8.4078362887683528E-2</v>
      </c>
      <c r="H21" s="710">
        <v>0.26600000000000001</v>
      </c>
      <c r="I21" s="708">
        <v>0.52</v>
      </c>
      <c r="J21" s="570">
        <v>2.1139999999999999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2.1139999999999999</v>
      </c>
      <c r="N21" s="632">
        <f t="shared" si="2"/>
        <v>2.5256381571592126</v>
      </c>
      <c r="O21" s="629">
        <f t="shared" si="3"/>
        <v>-1.3207084870180037</v>
      </c>
      <c r="P21" s="633">
        <f t="shared" si="4"/>
        <v>-1.0405031381574643</v>
      </c>
      <c r="Q21" s="585">
        <f t="shared" si="113"/>
        <v>332.39400037625978</v>
      </c>
      <c r="R21" s="629">
        <f>IF(M21="","",SQRT(N21^2+O21^2))</f>
        <v>2.8501085959275252</v>
      </c>
      <c r="S21" s="634">
        <f>IF(M21="","",P21)</f>
        <v>-1.0405031381574643</v>
      </c>
      <c r="T21" s="635">
        <f>IF(M21="","",X21*COS(RADIANS(W21)))</f>
        <v>-1.2552143690245792</v>
      </c>
      <c r="U21" s="629">
        <f>IF(M21="","",X21*SIN(RADIANS(W21)))</f>
        <v>-2.5588192387064383</v>
      </c>
      <c r="V21" s="636">
        <f>IF(M21="","",Y21)</f>
        <v>-1.0405031381574643</v>
      </c>
      <c r="W21" s="585">
        <f t="shared" si="224"/>
        <v>243.87000016315176</v>
      </c>
      <c r="X21" s="629">
        <f>IF(M21="","",R21)</f>
        <v>2.8501085959275252</v>
      </c>
      <c r="Y21" s="630">
        <f t="shared" si="223"/>
        <v>-1.0405031381574643</v>
      </c>
      <c r="Z21" s="632">
        <f t="shared" si="6"/>
        <v>-0.82748016731038265</v>
      </c>
      <c r="AA21" s="629">
        <f t="shared" si="7"/>
        <v>-0.5551643014478761</v>
      </c>
      <c r="AB21" s="629">
        <f t="shared" si="8"/>
        <v>-8.4078362887683528E-2</v>
      </c>
      <c r="AC21" s="636">
        <f>IF(M21="","",SQRT(Z21^2+AA21^2+AB21^2))</f>
        <v>1</v>
      </c>
      <c r="AD21" s="637">
        <f>IF(M21="","",Z21*(1/SQRT(Z21^2+AA21^2+AB21^2)))</f>
        <v>-0.82748016731038265</v>
      </c>
      <c r="AE21" s="629">
        <f>IF(M21="","",AA21*(1/SQRT(Z21^2+AA21^2+AB21^2)))</f>
        <v>-0.5551643014478761</v>
      </c>
      <c r="AF21" s="633">
        <f>IF(M21="","",AB21*(1/SQRT(Z21^2+AA21^2+AB21^2)))</f>
        <v>-8.4078362887683528E-2</v>
      </c>
      <c r="AG21" s="602">
        <f>IF(M21="","",DEGREES(ATAN2(-AF21,AE21)))</f>
        <v>-81.388129173998934</v>
      </c>
      <c r="AH21" s="603">
        <f>IF(M21="","",DEGREES(ACOS(AD21)))</f>
        <v>145.84075371169851</v>
      </c>
      <c r="AI21" s="585">
        <f>IF(M21="","",DEGREES(-ACOS(-AF21)))</f>
        <v>-85.176970765206576</v>
      </c>
      <c r="AJ21" s="586">
        <f>IF(M21="","",DEGREES(ATAN2(-AE21,AD21)))</f>
        <v>-56.141964523354716</v>
      </c>
      <c r="AK21" s="635">
        <f>IF(M21="","",(COS(RADIANS((90-$Q$8)-W21))*AD21)+(-SIN(RADIANS((90-$Q$8)-W21))*AE21))</f>
        <v>0.8754067219053927</v>
      </c>
      <c r="AL21" s="629">
        <f>IF(M21="","",(SIN(RADIANS((90-$Q$8)-W21))*AD21)+(COS(RADIANS((90-$Q$8)-W21))*AE21))</f>
        <v>-0.47601880229354571</v>
      </c>
      <c r="AM21" s="634">
        <f>IF(M21="","",AF21)</f>
        <v>-8.4078362887683528E-2</v>
      </c>
      <c r="AN21" s="581">
        <f>IF(M21="","",DEGREES(ATAN2(-AM21,AL21)))</f>
        <v>-79.983260499316415</v>
      </c>
      <c r="AO21" s="582">
        <f>IF(ROUND(IF(M21="",0,DEGREES(ACOS(AK21))),4)=90,0,IF(M21="","",DEGREES(ACOS(AK21))))</f>
        <v>28.906852369027398</v>
      </c>
      <c r="AP21" s="585">
        <f>IF(M21="","",DEGREES(ATAN2(AK21,AL21)))</f>
        <v>-28.535964899614498</v>
      </c>
      <c r="AQ21" s="586">
        <f t="shared" si="9"/>
        <v>0.79982164580944293</v>
      </c>
      <c r="AS21" s="52">
        <f t="shared" si="116"/>
        <v>-116.12999983684824</v>
      </c>
      <c r="AT21" s="72">
        <f t="shared" si="10"/>
        <v>-0.9588323050854225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2.1139999999999999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2.5323766873973641</v>
      </c>
      <c r="C22" s="708">
        <v>-1.3253017885034917</v>
      </c>
      <c r="D22" s="709">
        <v>-1.6973051190722384</v>
      </c>
      <c r="E22" s="710">
        <v>0.85311579972430929</v>
      </c>
      <c r="F22" s="708">
        <v>0.51806468245015092</v>
      </c>
      <c r="G22" s="711">
        <v>6.1663741847025687E-2</v>
      </c>
      <c r="H22" s="710">
        <v>0.26600000000000001</v>
      </c>
      <c r="I22" s="708">
        <v>0.52</v>
      </c>
      <c r="J22" s="570">
        <v>2.117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2.117</v>
      </c>
      <c r="N22" s="632">
        <f t="shared" si="2"/>
        <v>2.5323766873973641</v>
      </c>
      <c r="O22" s="629">
        <f t="shared" si="3"/>
        <v>-1.3253017885034917</v>
      </c>
      <c r="P22" s="633">
        <f t="shared" si="4"/>
        <v>-1.6973051190722384</v>
      </c>
      <c r="Q22" s="585">
        <f t="shared" si="113"/>
        <v>332.3750003790031</v>
      </c>
      <c r="R22" s="629">
        <f t="shared" si="79"/>
        <v>2.8582086203571988</v>
      </c>
      <c r="S22" s="634">
        <f t="shared" si="80"/>
        <v>-1.6973051190722384</v>
      </c>
      <c r="T22" s="635">
        <f t="shared" si="81"/>
        <v>-1.2596325740078411</v>
      </c>
      <c r="U22" s="629">
        <f t="shared" si="82"/>
        <v>-2.565673848325734</v>
      </c>
      <c r="V22" s="636">
        <f t="shared" si="114"/>
        <v>-1.6973051190722384</v>
      </c>
      <c r="W22" s="585">
        <f t="shared" si="224"/>
        <v>243.85100016589507</v>
      </c>
      <c r="X22" s="629">
        <f t="shared" si="83"/>
        <v>2.8582086203571988</v>
      </c>
      <c r="Y22" s="630">
        <f t="shared" si="223"/>
        <v>-1.6973051190722384</v>
      </c>
      <c r="Z22" s="632">
        <f t="shared" si="6"/>
        <v>-0.85311579972430929</v>
      </c>
      <c r="AA22" s="629">
        <f t="shared" si="7"/>
        <v>-0.51806468245015092</v>
      </c>
      <c r="AB22" s="629">
        <f t="shared" si="8"/>
        <v>-6.1663741847025687E-2</v>
      </c>
      <c r="AC22" s="636">
        <f t="shared" si="84"/>
        <v>1</v>
      </c>
      <c r="AD22" s="637">
        <f t="shared" si="115"/>
        <v>-0.85311579972430929</v>
      </c>
      <c r="AE22" s="629">
        <f t="shared" si="85"/>
        <v>-0.51806468245015092</v>
      </c>
      <c r="AF22" s="633">
        <f t="shared" si="86"/>
        <v>-6.1663741847025687E-2</v>
      </c>
      <c r="AG22" s="602">
        <f t="shared" si="87"/>
        <v>-83.212184099985279</v>
      </c>
      <c r="AH22" s="603">
        <f t="shared" si="88"/>
        <v>148.55219569249442</v>
      </c>
      <c r="AI22" s="585">
        <f t="shared" si="89"/>
        <v>-86.464684967661398</v>
      </c>
      <c r="AJ22" s="586">
        <f t="shared" si="90"/>
        <v>-58.731286892801911</v>
      </c>
      <c r="AK22" s="635">
        <f t="shared" si="211"/>
        <v>0.85458101349881122</v>
      </c>
      <c r="AL22" s="629">
        <f t="shared" si="91"/>
        <v>-0.51564413533828557</v>
      </c>
      <c r="AM22" s="634">
        <f t="shared" si="92"/>
        <v>-6.1663741847025687E-2</v>
      </c>
      <c r="AN22" s="581">
        <f t="shared" si="93"/>
        <v>-83.180619972653275</v>
      </c>
      <c r="AO22" s="582">
        <f t="shared" si="94"/>
        <v>31.286522255708697</v>
      </c>
      <c r="AP22" s="585">
        <f t="shared" si="95"/>
        <v>-31.106287271804998</v>
      </c>
      <c r="AQ22" s="586">
        <f t="shared" si="9"/>
        <v>0.79755528331050263</v>
      </c>
      <c r="AS22" s="52">
        <f t="shared" si="116"/>
        <v>-116.14899983410493</v>
      </c>
      <c r="AT22" s="72">
        <f t="shared" si="10"/>
        <v>-1.6156210915576572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2.117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1.5565408425600411</v>
      </c>
      <c r="C23" s="708">
        <v>-1.7507108464419787</v>
      </c>
      <c r="D23" s="709">
        <v>-0.25530069277728962</v>
      </c>
      <c r="E23" s="710">
        <v>0.85178770479640054</v>
      </c>
      <c r="F23" s="708">
        <v>0.46856317228020877</v>
      </c>
      <c r="G23" s="711">
        <v>0.23432084743015832</v>
      </c>
      <c r="H23" s="710">
        <v>0.26600000000000001</v>
      </c>
      <c r="I23" s="708">
        <v>0.52</v>
      </c>
      <c r="J23" s="570">
        <v>2.21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2.21</v>
      </c>
      <c r="N23" s="632">
        <f t="shared" si="2"/>
        <v>1.5565408425600411</v>
      </c>
      <c r="O23" s="629">
        <f t="shared" si="3"/>
        <v>-1.7507108464419787</v>
      </c>
      <c r="P23" s="633">
        <f t="shared" si="4"/>
        <v>-0.25530069277728962</v>
      </c>
      <c r="Q23" s="585">
        <f t="shared" si="113"/>
        <v>311.64</v>
      </c>
      <c r="R23" s="629">
        <f t="shared" si="79"/>
        <v>2.3426070653029103</v>
      </c>
      <c r="S23" s="634">
        <f t="shared" si="80"/>
        <v>-0.25530069277728962</v>
      </c>
      <c r="T23" s="635">
        <f t="shared" si="81"/>
        <v>-1.710036263736713</v>
      </c>
      <c r="U23" s="629">
        <f t="shared" si="82"/>
        <v>-1.6011195580319719</v>
      </c>
      <c r="V23" s="636">
        <f t="shared" si="114"/>
        <v>-0.25530069277728962</v>
      </c>
      <c r="W23" s="585">
        <f t="shared" si="224"/>
        <v>223.11599978689196</v>
      </c>
      <c r="X23" s="629">
        <f t="shared" si="83"/>
        <v>2.3426070653029103</v>
      </c>
      <c r="Y23" s="630">
        <f t="shared" si="223"/>
        <v>-0.25530069277728962</v>
      </c>
      <c r="Z23" s="632">
        <f t="shared" si="6"/>
        <v>-0.85178770479640054</v>
      </c>
      <c r="AA23" s="629">
        <f t="shared" si="7"/>
        <v>-0.46856317228020877</v>
      </c>
      <c r="AB23" s="629">
        <f t="shared" si="8"/>
        <v>-0.23432084743015832</v>
      </c>
      <c r="AC23" s="636">
        <f t="shared" si="84"/>
        <v>1</v>
      </c>
      <c r="AD23" s="637">
        <f t="shared" si="115"/>
        <v>-0.85178770479640054</v>
      </c>
      <c r="AE23" s="629">
        <f t="shared" si="85"/>
        <v>-0.46856317228020877</v>
      </c>
      <c r="AF23" s="633">
        <f t="shared" si="86"/>
        <v>-0.23432084743015832</v>
      </c>
      <c r="AG23" s="602">
        <f t="shared" si="87"/>
        <v>-63.431108263603015</v>
      </c>
      <c r="AH23" s="603">
        <f t="shared" si="88"/>
        <v>148.4066456562814</v>
      </c>
      <c r="AI23" s="585">
        <f t="shared" si="89"/>
        <v>-76.448407553410746</v>
      </c>
      <c r="AJ23" s="586">
        <f t="shared" si="90"/>
        <v>-61.185078336202771</v>
      </c>
      <c r="AK23" s="635">
        <f t="shared" si="211"/>
        <v>0.94790616895005764</v>
      </c>
      <c r="AL23" s="629">
        <f t="shared" si="91"/>
        <v>-0.21579535520033177</v>
      </c>
      <c r="AM23" s="634">
        <f t="shared" si="92"/>
        <v>-0.23432084743015832</v>
      </c>
      <c r="AN23" s="581">
        <f t="shared" si="93"/>
        <v>-42.643200140782149</v>
      </c>
      <c r="AO23" s="582">
        <f t="shared" si="94"/>
        <v>18.575237977936037</v>
      </c>
      <c r="AP23" s="585">
        <f t="shared" si="95"/>
        <v>-12.82507833620274</v>
      </c>
      <c r="AQ23" s="586">
        <f t="shared" si="9"/>
        <v>0.97306436161468224</v>
      </c>
      <c r="AS23" s="52">
        <f t="shared" si="116"/>
        <v>-136.88400021310804</v>
      </c>
      <c r="AT23" s="72">
        <f t="shared" si="10"/>
        <v>-0.15921735944395626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1.1100000000000001</v>
      </c>
      <c r="II23" s="734" cm="1">
        <f t="array" ref="II23">IFERROR(ROUND(VALUE(IF($IH23&lt;1,$IH23+LARGE((IF($M$9:$M$150="",0,$M$9:$M$150)-MOD(IF($M$9:$M$150="",0,$M$9:$M$150),1)),1),$IH23)),4),"")</f>
        <v>1.1100000000000001</v>
      </c>
      <c r="IJ23" s="533">
        <f t="shared" si="112"/>
        <v>1313</v>
      </c>
      <c r="IK23" s="533">
        <f t="shared" si="66"/>
        <v>1313</v>
      </c>
      <c r="IL23" s="727">
        <f t="shared" si="225"/>
        <v>136.88400021310804</v>
      </c>
      <c r="IM23" s="759">
        <v>8.2049856946311102E-4</v>
      </c>
      <c r="IN23" s="5">
        <f t="shared" si="226"/>
        <v>0</v>
      </c>
      <c r="IO23" s="771">
        <v>0</v>
      </c>
      <c r="IP23" s="9">
        <f t="shared" si="227"/>
        <v>-2.3426070653029094</v>
      </c>
      <c r="IQ23" s="5">
        <f t="shared" si="228"/>
        <v>-0.22970069277728941</v>
      </c>
      <c r="IR23" s="5">
        <f t="shared" si="71"/>
        <v>0.26600000000000001</v>
      </c>
      <c r="IS23" s="5">
        <f t="shared" si="229"/>
        <v>0.25214304094071532</v>
      </c>
      <c r="IT23" s="727">
        <f t="shared" si="230"/>
        <v>42.643200140782263</v>
      </c>
      <c r="IU23" s="9">
        <f t="shared" si="231"/>
        <v>-2.3426070653029103</v>
      </c>
      <c r="IV23" s="5">
        <f t="shared" si="232"/>
        <v>-0.25530069277728962</v>
      </c>
      <c r="IW23" s="5">
        <f t="shared" si="76"/>
        <v>0.26600000000000001</v>
      </c>
      <c r="IX23" s="5">
        <f t="shared" si="233"/>
        <v>0.25214304094071532</v>
      </c>
      <c r="IY23" s="762">
        <f t="shared" si="234"/>
        <v>42.643200140782149</v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1</v>
      </c>
      <c r="JG23" s="801">
        <v>4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10</v>
      </c>
      <c r="JI23" s="801">
        <v>0</v>
      </c>
    </row>
    <row r="24" spans="1:269" ht="15" customHeight="1" x14ac:dyDescent="0.25">
      <c r="A24" s="79"/>
      <c r="B24" s="707">
        <v>1.8535500445682103</v>
      </c>
      <c r="C24" s="708">
        <v>-2.0847703309291141</v>
      </c>
      <c r="D24" s="709">
        <v>-0.81430237872637401</v>
      </c>
      <c r="E24" s="710">
        <v>0.94840305487799637</v>
      </c>
      <c r="F24" s="708">
        <v>0.28077106015598374</v>
      </c>
      <c r="G24" s="711">
        <v>0.14730667763875982</v>
      </c>
      <c r="H24" s="710">
        <v>0.26600000000000001</v>
      </c>
      <c r="I24" s="708">
        <v>0.52</v>
      </c>
      <c r="J24" s="570">
        <v>2.2130000000000001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2.2130000000000001</v>
      </c>
      <c r="N24" s="632">
        <f t="shared" si="2"/>
        <v>1.8535500445682103</v>
      </c>
      <c r="O24" s="629">
        <f t="shared" si="3"/>
        <v>-2.0847703309291141</v>
      </c>
      <c r="P24" s="633">
        <f t="shared" si="4"/>
        <v>-0.81430237872637401</v>
      </c>
      <c r="Q24" s="585">
        <f t="shared" si="113"/>
        <v>311.64</v>
      </c>
      <c r="R24" s="629">
        <f t="shared" si="79"/>
        <v>2.7896084134589754</v>
      </c>
      <c r="S24" s="634">
        <f t="shared" si="80"/>
        <v>-0.81430237872637401</v>
      </c>
      <c r="T24" s="635">
        <f t="shared" si="81"/>
        <v>-2.0363344836164656</v>
      </c>
      <c r="U24" s="629">
        <f t="shared" si="82"/>
        <v>-1.9066349863766698</v>
      </c>
      <c r="V24" s="636">
        <f t="shared" si="114"/>
        <v>-0.81430237872637401</v>
      </c>
      <c r="W24" s="585">
        <f t="shared" si="224"/>
        <v>223.11599978689196</v>
      </c>
      <c r="X24" s="629">
        <f t="shared" si="83"/>
        <v>2.7896084134589754</v>
      </c>
      <c r="Y24" s="630">
        <f t="shared" si="223"/>
        <v>-0.81430237872637401</v>
      </c>
      <c r="Z24" s="632">
        <f t="shared" si="6"/>
        <v>-0.94840305487799637</v>
      </c>
      <c r="AA24" s="629">
        <f t="shared" si="7"/>
        <v>-0.28077106015598374</v>
      </c>
      <c r="AB24" s="629">
        <f t="shared" si="8"/>
        <v>-0.14730667763875982</v>
      </c>
      <c r="AC24" s="636">
        <f t="shared" si="84"/>
        <v>1</v>
      </c>
      <c r="AD24" s="637">
        <f t="shared" si="115"/>
        <v>-0.94840305487799637</v>
      </c>
      <c r="AE24" s="629">
        <f t="shared" si="85"/>
        <v>-0.28077106015598374</v>
      </c>
      <c r="AF24" s="633">
        <f t="shared" si="86"/>
        <v>-0.14730667763875982</v>
      </c>
      <c r="AG24" s="602">
        <f t="shared" si="87"/>
        <v>-62.316227452241222</v>
      </c>
      <c r="AH24" s="603">
        <f t="shared" si="88"/>
        <v>161.51434258348579</v>
      </c>
      <c r="AI24" s="585">
        <f t="shared" si="89"/>
        <v>-81.529123308855603</v>
      </c>
      <c r="AJ24" s="586">
        <f t="shared" si="90"/>
        <v>-73.508815851400186</v>
      </c>
      <c r="AK24" s="635">
        <f>IF(M24="","",(COS(RADIANS((90-$Q$8)-W24))*AD24)+(-SIN(RADIANS((90-$Q$8)-W24))*AE24))</f>
        <v>0.89533202925095856</v>
      </c>
      <c r="AL24" s="629">
        <f t="shared" si="91"/>
        <v>-0.4203347476956808</v>
      </c>
      <c r="AM24" s="634">
        <f t="shared" si="92"/>
        <v>-0.14730667763875982</v>
      </c>
      <c r="AN24" s="581">
        <f t="shared" si="93"/>
        <v>-70.686943301129844</v>
      </c>
      <c r="AO24" s="582">
        <f t="shared" si="94"/>
        <v>26.448890198306625</v>
      </c>
      <c r="AP24" s="585">
        <f t="shared" si="95"/>
        <v>-25.148815851400148</v>
      </c>
      <c r="AQ24" s="586">
        <f t="shared" si="9"/>
        <v>0.81716560821565265</v>
      </c>
      <c r="AS24" s="52">
        <f t="shared" si="116"/>
        <v>-136.88400021310804</v>
      </c>
      <c r="AT24" s="72">
        <f t="shared" si="10"/>
        <v>-0.71821904539304071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2.2130000000000001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1.113</v>
      </c>
      <c r="II24" s="734" cm="1">
        <f t="array" ref="II24">IFERROR(ROUND(VALUE(IF($IH24&lt;1,$IH24+LARGE((IF($M$9:$M$150="",0,$M$9:$M$150)-MOD(IF($M$9:$M$150="",0,$M$9:$M$150),1)),1),$IH24)),4),"")</f>
        <v>1.113</v>
      </c>
      <c r="IJ24" s="533">
        <f t="shared" si="112"/>
        <v>1313</v>
      </c>
      <c r="IK24" s="533">
        <f t="shared" si="66"/>
        <v>1313</v>
      </c>
      <c r="IL24" s="727">
        <f t="shared" si="225"/>
        <v>135.89500035590191</v>
      </c>
      <c r="IM24" s="759">
        <v>4.1362555186386497E-4</v>
      </c>
      <c r="IN24" s="5">
        <f t="shared" si="226"/>
        <v>0</v>
      </c>
      <c r="IO24" s="771">
        <v>0</v>
      </c>
      <c r="IP24" s="9">
        <f t="shared" si="227"/>
        <v>-2.7896084134589749</v>
      </c>
      <c r="IQ24" s="5">
        <f t="shared" si="228"/>
        <v>-0.78870237872637416</v>
      </c>
      <c r="IR24" s="5">
        <f t="shared" si="71"/>
        <v>0.26600000000000001</v>
      </c>
      <c r="IS24" s="5">
        <f t="shared" si="229"/>
        <v>0.23815831978075494</v>
      </c>
      <c r="IT24" s="727">
        <f t="shared" si="230"/>
        <v>70.686943301129887</v>
      </c>
      <c r="IU24" s="9">
        <f t="shared" si="231"/>
        <v>-2.7896084134589754</v>
      </c>
      <c r="IV24" s="5">
        <f t="shared" si="232"/>
        <v>-0.81430237872637401</v>
      </c>
      <c r="IW24" s="5">
        <f t="shared" si="76"/>
        <v>0.26600000000000001</v>
      </c>
      <c r="IX24" s="5">
        <f t="shared" si="233"/>
        <v>0.238158319780755</v>
      </c>
      <c r="IY24" s="762">
        <f t="shared" si="234"/>
        <v>70.686943301129844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-0.54802984746533678</v>
      </c>
      <c r="C25" s="708">
        <v>-0.45985164288230551</v>
      </c>
      <c r="D25" s="709">
        <v>-0.21240064060033206</v>
      </c>
      <c r="E25" s="710">
        <v>0.62088515930332633</v>
      </c>
      <c r="F25" s="708">
        <v>-0.73994211918816732</v>
      </c>
      <c r="G25" s="711">
        <v>0.25881900859134604</v>
      </c>
      <c r="H25" s="710">
        <v>0.26600000000000001</v>
      </c>
      <c r="I25" s="708">
        <v>0.52</v>
      </c>
      <c r="J25" s="570">
        <v>3.1030000000000002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3.1030000000000002</v>
      </c>
      <c r="N25" s="632">
        <f t="shared" si="2"/>
        <v>-0.54802984746533678</v>
      </c>
      <c r="O25" s="629">
        <f t="shared" si="3"/>
        <v>-0.45985164288230551</v>
      </c>
      <c r="P25" s="633">
        <f t="shared" si="4"/>
        <v>-0.21240064060033206</v>
      </c>
      <c r="Q25" s="585">
        <f t="shared" si="113"/>
        <v>220.00000000000003</v>
      </c>
      <c r="R25" s="629">
        <f>IF(M25="","",SQRT(N25^2+O25^2))</f>
        <v>0.7154021576529076</v>
      </c>
      <c r="S25" s="634">
        <f>IF(M25="","",P25)</f>
        <v>-0.21240064060033206</v>
      </c>
      <c r="T25" s="635">
        <f>IF(M25="","",X25*COS(RADIANS(W25)))</f>
        <v>-0.47381533134280807</v>
      </c>
      <c r="U25" s="629">
        <f>IF(M25="","",X25*SIN(RADIANS(W25)))</f>
        <v>0.53600305872162768</v>
      </c>
      <c r="V25" s="636">
        <f>IF(M25="","",Y25)</f>
        <v>-0.21240064060033206</v>
      </c>
      <c r="W25" s="585">
        <f t="shared" si="224"/>
        <v>131.47599978689203</v>
      </c>
      <c r="X25" s="629">
        <f>IF(M25="","",R25)</f>
        <v>0.7154021576529076</v>
      </c>
      <c r="Y25" s="630">
        <f t="shared" si="223"/>
        <v>-0.21240064060033206</v>
      </c>
      <c r="Z25" s="632">
        <f t="shared" si="6"/>
        <v>-0.62088515930332633</v>
      </c>
      <c r="AA25" s="629">
        <f t="shared" si="7"/>
        <v>0.73994211918816732</v>
      </c>
      <c r="AB25" s="629">
        <f t="shared" si="8"/>
        <v>-0.25881900859134604</v>
      </c>
      <c r="AC25" s="636">
        <f>IF(M25="","",SQRT(Z25^2+AA25^2+AB25^2))</f>
        <v>1</v>
      </c>
      <c r="AD25" s="637">
        <f>IF(M25="","",Z25*(1/SQRT(Z25^2+AA25^2+AB25^2)))</f>
        <v>-0.62088515930332633</v>
      </c>
      <c r="AE25" s="629">
        <f>IF(M25="","",AA25*(1/SQRT(Z25^2+AA25^2+AB25^2)))</f>
        <v>0.73994211918816732</v>
      </c>
      <c r="AF25" s="633">
        <f>IF(M25="","",AB25*(1/SQRT(Z25^2+AA25^2+AB25^2)))</f>
        <v>-0.25881900859134604</v>
      </c>
      <c r="AG25" s="602">
        <f>IF(M25="","",DEGREES(ATAN2(-AF25,AE25)))</f>
        <v>70.721042294365347</v>
      </c>
      <c r="AH25" s="603">
        <f>IF(M25="","",DEGREES(ACOS(AD25)))</f>
        <v>128.38080234576341</v>
      </c>
      <c r="AI25" s="585">
        <f>IF(M25="","",DEGREES(-ACOS(-AF25)))</f>
        <v>-75.000002165731729</v>
      </c>
      <c r="AJ25" s="586">
        <f>IF(M25="","",DEGREES(ATAN2(-AE25,AD25)))</f>
        <v>-140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-7.7715611723760958E-16</v>
      </c>
      <c r="AM25" s="634">
        <f>IF(M25="","",AF25)</f>
        <v>-0.25881900859134604</v>
      </c>
      <c r="AN25" s="581">
        <f>IF(M25="","",DEGREES(ATAN2(-AM25,AL25)))</f>
        <v>-1.7204209915970629E-13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-4.6098534564055893E-14</v>
      </c>
      <c r="AQ25" s="586">
        <f t="shared" si="9"/>
        <v>3.1833568667698677</v>
      </c>
      <c r="AS25" s="52">
        <f t="shared" si="116"/>
        <v>-228.52400021310797</v>
      </c>
      <c r="AT25" s="72">
        <f t="shared" si="10"/>
        <v>-5.2678418378109881E-2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1313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-1.0615649652760555</v>
      </c>
      <c r="C26" s="708">
        <v>-0.88955966370108897</v>
      </c>
      <c r="D26" s="709">
        <v>-9.4400284711258581E-2</v>
      </c>
      <c r="E26" s="710">
        <v>0.61654912042407173</v>
      </c>
      <c r="F26" s="708">
        <v>-0.75698731338091141</v>
      </c>
      <c r="G26" s="711">
        <v>0.21641947575172976</v>
      </c>
      <c r="H26" s="710">
        <v>0.26600000000000001</v>
      </c>
      <c r="I26" s="708">
        <v>0.52</v>
      </c>
      <c r="J26" s="570">
        <v>3.1059999999999999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3.1059999999999999</v>
      </c>
      <c r="N26" s="632">
        <f t="shared" si="2"/>
        <v>-1.0615649652760555</v>
      </c>
      <c r="O26" s="629">
        <f t="shared" si="3"/>
        <v>-0.88955966370108897</v>
      </c>
      <c r="P26" s="633">
        <f t="shared" si="4"/>
        <v>-9.4400284711258581E-2</v>
      </c>
      <c r="Q26" s="585">
        <f t="shared" si="113"/>
        <v>219.96200000548654</v>
      </c>
      <c r="R26" s="629">
        <f>IF(M26="","",SQRT(N26^2+O26^2))</f>
        <v>1.3850041771725989</v>
      </c>
      <c r="S26" s="634">
        <f>IF(M26="","",P26)</f>
        <v>-9.4400284711258581E-2</v>
      </c>
      <c r="T26" s="635">
        <f>IF(M26="","",X26*COS(RADIANS(W26)))</f>
        <v>-0.91660851982439329</v>
      </c>
      <c r="U26" s="629">
        <f>IF(M26="","",X26*SIN(RADIANS(W26)))</f>
        <v>1.0382992787105665</v>
      </c>
      <c r="V26" s="636">
        <f>IF(M26="","",Y26)</f>
        <v>-9.4400284711258581E-2</v>
      </c>
      <c r="W26" s="585">
        <f t="shared" si="224"/>
        <v>131.43799979237855</v>
      </c>
      <c r="X26" s="629">
        <f>IF(M26="","",R26)</f>
        <v>1.3850041771725989</v>
      </c>
      <c r="Y26" s="630">
        <f t="shared" si="223"/>
        <v>-9.4400284711258581E-2</v>
      </c>
      <c r="Z26" s="632">
        <f t="shared" si="6"/>
        <v>-0.61654912042407173</v>
      </c>
      <c r="AA26" s="629">
        <f t="shared" si="7"/>
        <v>0.75698731338091141</v>
      </c>
      <c r="AB26" s="629">
        <f t="shared" si="8"/>
        <v>-0.21641947575172976</v>
      </c>
      <c r="AC26" s="636">
        <f>IF(M26="","",SQRT(Z26^2+AA26^2+AB26^2))</f>
        <v>1</v>
      </c>
      <c r="AD26" s="637">
        <f>IF(M26="","",Z26*(1/SQRT(Z26^2+AA26^2+AB26^2)))</f>
        <v>-0.61654912042407173</v>
      </c>
      <c r="AE26" s="629">
        <f>IF(M26="","",AA26*(1/SQRT(Z26^2+AA26^2+AB26^2)))</f>
        <v>0.75698731338091141</v>
      </c>
      <c r="AF26" s="633">
        <f>IF(M26="","",AB26*(1/SQRT(Z26^2+AA26^2+AB26^2)))</f>
        <v>-0.21641947575172976</v>
      </c>
      <c r="AG26" s="602">
        <f>IF(M26="","",DEGREES(ATAN2(-AF26,AE26)))</f>
        <v>74.044990708786798</v>
      </c>
      <c r="AH26" s="603">
        <f>IF(M26="","",DEGREES(ACOS(AD26)))</f>
        <v>128.06456857033589</v>
      </c>
      <c r="AI26" s="585">
        <f>IF(M26="","",DEGREES(-ACOS(-AF26)))</f>
        <v>-77.501181844891008</v>
      </c>
      <c r="AJ26" s="586">
        <f>IF(M26="","",DEGREES(ATAN2(-AE26,AD26)))</f>
        <v>-140.83795973911921</v>
      </c>
      <c r="AK26" s="635">
        <f>IF(M26="","",(COS(RADIANS((90-$Q$8)-W26))*AD26)+(-SIN(RADIANS((90-$Q$8)-W26))*AE26))</f>
        <v>0.9762053151517458</v>
      </c>
      <c r="AL26" s="629">
        <f>IF(M26="","",(SIN(RADIANS((90-$Q$8)-W26))*AD26)+(COS(RADIANS((90-$Q$8)-W26))*AE26))</f>
        <v>-1.3630597376025677E-2</v>
      </c>
      <c r="AM26" s="634">
        <f>IF(M26="","",AF26)</f>
        <v>-0.21641947575172976</v>
      </c>
      <c r="AN26" s="581">
        <f>IF(M26="","",DEGREES(ATAN2(-AM26,AL26)))</f>
        <v>-3.6038600476959344</v>
      </c>
      <c r="AO26" s="582">
        <f t="shared" si="94"/>
        <v>12.523985284796424</v>
      </c>
      <c r="AP26" s="585">
        <f>IF(M26="","",DEGREES(ATAN2(AK26,AL26)))</f>
        <v>-0.79995974460581254</v>
      </c>
      <c r="AQ26" s="586">
        <f t="shared" si="9"/>
        <v>1.645554445283544</v>
      </c>
      <c r="AS26" s="52">
        <f t="shared" si="116"/>
        <v>-228.56200020762145</v>
      </c>
      <c r="AT26" s="72">
        <f t="shared" si="10"/>
        <v>6.5348326396042405E-2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1313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-1.6417778829636791</v>
      </c>
      <c r="C27" s="708">
        <v>-1.3285843176608825</v>
      </c>
      <c r="D27" s="709">
        <v>-0.11610035015865572</v>
      </c>
      <c r="E27" s="710">
        <v>0.49624672193631986</v>
      </c>
      <c r="F27" s="708">
        <v>-0.83629091969324065</v>
      </c>
      <c r="G27" s="711">
        <v>0.23314520927115437</v>
      </c>
      <c r="H27" s="710">
        <v>0.26600000000000001</v>
      </c>
      <c r="I27" s="708">
        <v>0.52</v>
      </c>
      <c r="J27" s="570">
        <v>3.109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3.109</v>
      </c>
      <c r="N27" s="632">
        <f t="shared" si="2"/>
        <v>-1.6417778829636791</v>
      </c>
      <c r="O27" s="629">
        <f t="shared" si="3"/>
        <v>-1.3285843176608825</v>
      </c>
      <c r="P27" s="633">
        <f t="shared" si="4"/>
        <v>-0.11610035015865572</v>
      </c>
      <c r="Q27" s="585">
        <f t="shared" si="113"/>
        <v>218.9810001471254</v>
      </c>
      <c r="R27" s="629">
        <f t="shared" si="79"/>
        <v>2.1120063698112115</v>
      </c>
      <c r="S27" s="634">
        <f t="shared" si="80"/>
        <v>-0.11610035015865572</v>
      </c>
      <c r="T27" s="635">
        <f t="shared" si="81"/>
        <v>-1.370432750769786</v>
      </c>
      <c r="U27" s="629">
        <f t="shared" si="82"/>
        <v>1.6070111952754684</v>
      </c>
      <c r="V27" s="636">
        <f t="shared" si="114"/>
        <v>-0.11610035015865572</v>
      </c>
      <c r="W27" s="585">
        <f t="shared" si="224"/>
        <v>130.4569999340174</v>
      </c>
      <c r="X27" s="629">
        <f t="shared" si="83"/>
        <v>2.1120063698112115</v>
      </c>
      <c r="Y27" s="630">
        <f t="shared" si="223"/>
        <v>-0.11610035015865572</v>
      </c>
      <c r="Z27" s="632">
        <f t="shared" si="6"/>
        <v>-0.49624672193631986</v>
      </c>
      <c r="AA27" s="629">
        <f t="shared" si="7"/>
        <v>0.83629091969324065</v>
      </c>
      <c r="AB27" s="629">
        <f t="shared" si="8"/>
        <v>-0.23314520927115437</v>
      </c>
      <c r="AC27" s="636">
        <f t="shared" si="84"/>
        <v>0.99999999999999978</v>
      </c>
      <c r="AD27" s="637">
        <f t="shared" si="115"/>
        <v>-0.49624672193631997</v>
      </c>
      <c r="AE27" s="629">
        <f t="shared" si="85"/>
        <v>0.83629091969324088</v>
      </c>
      <c r="AF27" s="633">
        <f t="shared" si="86"/>
        <v>-0.23314520927115442</v>
      </c>
      <c r="AG27" s="602">
        <f t="shared" si="87"/>
        <v>74.422337112194484</v>
      </c>
      <c r="AH27" s="603">
        <f t="shared" si="88"/>
        <v>119.75199423912929</v>
      </c>
      <c r="AI27" s="585">
        <f t="shared" si="89"/>
        <v>-76.51768560876333</v>
      </c>
      <c r="AJ27" s="586">
        <f t="shared" si="90"/>
        <v>-149.31552736089517</v>
      </c>
      <c r="AK27" s="635">
        <f t="shared" si="211"/>
        <v>0.96226487627146529</v>
      </c>
      <c r="AL27" s="629">
        <f t="shared" si="91"/>
        <v>-0.14031970384864501</v>
      </c>
      <c r="AM27" s="634">
        <f t="shared" si="92"/>
        <v>-0.23314520927115442</v>
      </c>
      <c r="AN27" s="581">
        <f t="shared" si="93"/>
        <v>-31.041859281755926</v>
      </c>
      <c r="AO27" s="582">
        <f t="shared" si="94"/>
        <v>15.790131487471676</v>
      </c>
      <c r="AP27" s="585">
        <f t="shared" si="95"/>
        <v>-8.2965275080206098</v>
      </c>
      <c r="AQ27" s="586">
        <f t="shared" si="9"/>
        <v>1.0792850890476819</v>
      </c>
      <c r="AS27" s="52">
        <f t="shared" si="116"/>
        <v>-229.5430000659826</v>
      </c>
      <c r="AT27" s="72">
        <f t="shared" si="10"/>
        <v>4.432951085028497E-2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-2.130404302058976</v>
      </c>
      <c r="C28" s="708">
        <v>-1.6497731826765769</v>
      </c>
      <c r="D28" s="709">
        <v>-0.59090178215977462</v>
      </c>
      <c r="E28" s="710">
        <v>0.27353584973243938</v>
      </c>
      <c r="F28" s="708">
        <v>-0.944234304173176</v>
      </c>
      <c r="G28" s="711">
        <v>0.18330225785229914</v>
      </c>
      <c r="H28" s="710">
        <v>0.26600000000000001</v>
      </c>
      <c r="I28" s="708">
        <v>0.52</v>
      </c>
      <c r="J28" s="570">
        <v>3.1120000000000001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320"/>
      <c r="M28" s="168">
        <f t="shared" si="1"/>
        <v>3.1120000000000001</v>
      </c>
      <c r="N28" s="632">
        <f t="shared" si="2"/>
        <v>-2.130404302058976</v>
      </c>
      <c r="O28" s="629">
        <f t="shared" si="3"/>
        <v>-1.6497731826765769</v>
      </c>
      <c r="P28" s="633">
        <f t="shared" si="4"/>
        <v>-0.59090178215977462</v>
      </c>
      <c r="Q28" s="585">
        <f t="shared" si="113"/>
        <v>217.75400032428223</v>
      </c>
      <c r="R28" s="629">
        <f t="shared" si="79"/>
        <v>2.6945081266365101</v>
      </c>
      <c r="S28" s="634">
        <f t="shared" si="80"/>
        <v>-0.59090178215977462</v>
      </c>
      <c r="T28" s="635">
        <f t="shared" si="81"/>
        <v>-1.7041011864363798</v>
      </c>
      <c r="U28" s="629">
        <f t="shared" si="82"/>
        <v>2.0872022400563677</v>
      </c>
      <c r="V28" s="636">
        <f t="shared" si="114"/>
        <v>-0.59090178215977462</v>
      </c>
      <c r="W28" s="585">
        <f t="shared" si="224"/>
        <v>129.23000011117421</v>
      </c>
      <c r="X28" s="629">
        <f t="shared" si="83"/>
        <v>2.6945081266365101</v>
      </c>
      <c r="Y28" s="630">
        <f t="shared" si="223"/>
        <v>-0.59090178215977462</v>
      </c>
      <c r="Z28" s="632">
        <f t="shared" si="6"/>
        <v>-0.27353584973243938</v>
      </c>
      <c r="AA28" s="629">
        <f t="shared" si="7"/>
        <v>0.944234304173176</v>
      </c>
      <c r="AB28" s="629">
        <f t="shared" si="8"/>
        <v>-0.18330225785229914</v>
      </c>
      <c r="AC28" s="636">
        <f t="shared" si="84"/>
        <v>1</v>
      </c>
      <c r="AD28" s="637">
        <f t="shared" si="115"/>
        <v>-0.27353584973243938</v>
      </c>
      <c r="AE28" s="629">
        <f t="shared" si="85"/>
        <v>0.944234304173176</v>
      </c>
      <c r="AF28" s="633">
        <f t="shared" si="86"/>
        <v>-0.18330225785229914</v>
      </c>
      <c r="AG28" s="602">
        <f t="shared" si="87"/>
        <v>79.01393404137778</v>
      </c>
      <c r="AH28" s="603">
        <f t="shared" si="88"/>
        <v>105.8747793565487</v>
      </c>
      <c r="AI28" s="585">
        <f t="shared" si="89"/>
        <v>-79.4378335977582</v>
      </c>
      <c r="AJ28" s="586">
        <f t="shared" si="90"/>
        <v>-163.84419177402972</v>
      </c>
      <c r="AK28" s="635">
        <f t="shared" si="211"/>
        <v>0.9140343310917276</v>
      </c>
      <c r="AL28" s="629">
        <f t="shared" si="91"/>
        <v>-0.36185843067689816</v>
      </c>
      <c r="AM28" s="634">
        <f t="shared" si="92"/>
        <v>-0.18330225785229914</v>
      </c>
      <c r="AN28" s="581">
        <f t="shared" si="93"/>
        <v>-63.13514460299659</v>
      </c>
      <c r="AO28" s="582">
        <f t="shared" si="94"/>
        <v>23.931040629121036</v>
      </c>
      <c r="AP28" s="585">
        <f t="shared" si="95"/>
        <v>-21.598192098311952</v>
      </c>
      <c r="AQ28" s="586">
        <f t="shared" si="9"/>
        <v>0.84600262696595352</v>
      </c>
      <c r="AS28" s="52">
        <f t="shared" si="116"/>
        <v>-230.76999988882579</v>
      </c>
      <c r="AT28" s="72">
        <f t="shared" si="10"/>
        <v>-0.42961983794052616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3.1120000000000001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1313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-2.271359964794859</v>
      </c>
      <c r="C29" s="708">
        <v>-1.7350159733591211</v>
      </c>
      <c r="D29" s="709">
        <v>-1.2593037980602548</v>
      </c>
      <c r="E29" s="710">
        <v>0.1089837395502265</v>
      </c>
      <c r="F29" s="708">
        <v>-0.99212908810047096</v>
      </c>
      <c r="G29" s="711">
        <v>6.1663741847025708E-2</v>
      </c>
      <c r="H29" s="710">
        <v>0.26600000000000001</v>
      </c>
      <c r="I29" s="708">
        <v>0.52</v>
      </c>
      <c r="J29" s="570">
        <v>3.1150000000000002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320"/>
      <c r="M29" s="168">
        <f t="shared" si="1"/>
        <v>3.1150000000000002</v>
      </c>
      <c r="N29" s="632">
        <f t="shared" si="2"/>
        <v>-2.271359964794859</v>
      </c>
      <c r="O29" s="629">
        <f t="shared" si="3"/>
        <v>-1.7350159733591211</v>
      </c>
      <c r="P29" s="633">
        <f t="shared" si="4"/>
        <v>-1.2593037980602548</v>
      </c>
      <c r="Q29" s="585">
        <f t="shared" si="113"/>
        <v>217.37500037900307</v>
      </c>
      <c r="R29" s="629">
        <f>IF(M29="","",SQRT(N29^2+O29^2))</f>
        <v>2.8582086203571988</v>
      </c>
      <c r="S29" s="634">
        <f>IF(M29="","",P29)</f>
        <v>-1.2593037980602548</v>
      </c>
      <c r="T29" s="635">
        <f>IF(M29="","",X29*COS(RADIANS(W29)))</f>
        <v>-1.792946458874745</v>
      </c>
      <c r="U29" s="629">
        <f>IF(M29="","",X29*SIN(RADIANS(W29)))</f>
        <v>2.2259154326013184</v>
      </c>
      <c r="V29" s="636">
        <f>IF(M29="","",Y29)</f>
        <v>-1.2593037980602548</v>
      </c>
      <c r="W29" s="585">
        <f t="shared" si="224"/>
        <v>128.85100016589507</v>
      </c>
      <c r="X29" s="629">
        <f>IF(M29="","",R29)</f>
        <v>2.8582086203571988</v>
      </c>
      <c r="Y29" s="630">
        <f t="shared" si="223"/>
        <v>-1.2593037980602548</v>
      </c>
      <c r="Z29" s="632">
        <f t="shared" si="6"/>
        <v>-0.1089837395502265</v>
      </c>
      <c r="AA29" s="629">
        <f t="shared" si="7"/>
        <v>0.99212908810047096</v>
      </c>
      <c r="AB29" s="629">
        <f t="shared" si="8"/>
        <v>-6.1663741847025708E-2</v>
      </c>
      <c r="AC29" s="636">
        <f>IF(M29="","",SQRT(Z29^2+AA29^2+AB29^2))</f>
        <v>1</v>
      </c>
      <c r="AD29" s="637">
        <f>IF(M29="","",Z29*(1/SQRT(Z29^2+AA29^2+AB29^2)))</f>
        <v>-0.1089837395502265</v>
      </c>
      <c r="AE29" s="629">
        <f>IF(M29="","",AA29*(1/SQRT(Z29^2+AA29^2+AB29^2)))</f>
        <v>0.99212908810047096</v>
      </c>
      <c r="AF29" s="633">
        <f>IF(M29="","",AB29*(1/SQRT(Z29^2+AA29^2+AB29^2)))</f>
        <v>-6.1663741847025708E-2</v>
      </c>
      <c r="AG29" s="602">
        <f>IF(M29="","",DEGREES(ATAN2(-AF29,AE29)))</f>
        <v>86.443473627237339</v>
      </c>
      <c r="AH29" s="603">
        <f>IF(M29="","",DEGREES(ACOS(AD29)))</f>
        <v>96.25673593321477</v>
      </c>
      <c r="AI29" s="585">
        <f>IF(M29="","",DEGREES(-ACOS(-AF29)))</f>
        <v>-86.464684967661398</v>
      </c>
      <c r="AJ29" s="586">
        <f>IF(M29="","",DEGREES(ATAN2(-AE29,AD29)))</f>
        <v>-173.73128689280193</v>
      </c>
      <c r="AK29" s="635">
        <f>IF(M29="","",(COS(RADIANS((90-$Q$8)-W29))*AD29)+(-SIN(RADIANS((90-$Q$8)-W29))*AE29))</f>
        <v>0.85458101349881133</v>
      </c>
      <c r="AL29" s="629">
        <f>IF(M29="","",(SIN(RADIANS((90-$Q$8)-W29))*AD29)+(COS(RADIANS((90-$Q$8)-W29))*AE29))</f>
        <v>-0.51564413533828557</v>
      </c>
      <c r="AM29" s="634">
        <f>IF(M29="","",AF29)</f>
        <v>-6.1663741847025708E-2</v>
      </c>
      <c r="AN29" s="581">
        <f>IF(M29="","",DEGREES(ATAN2(-AM29,AL29)))</f>
        <v>-83.180619972653275</v>
      </c>
      <c r="AO29" s="582">
        <f t="shared" si="94"/>
        <v>31.286522255708682</v>
      </c>
      <c r="AP29" s="585">
        <f>IF(M29="","",DEGREES(ATAN2(AK29,AL29)))</f>
        <v>-31.106287271804991</v>
      </c>
      <c r="AQ29" s="586">
        <f t="shared" si="9"/>
        <v>0.79755528331050263</v>
      </c>
      <c r="AS29" s="52">
        <f t="shared" si="116"/>
        <v>-231.14899983410493</v>
      </c>
      <c r="AT29" s="72">
        <f t="shared" si="10"/>
        <v>-1.0977586594345625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3.1150000000000002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1313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-2.4436998083822212</v>
      </c>
      <c r="C30" s="708">
        <v>-0.73035658082427224</v>
      </c>
      <c r="D30" s="709">
        <v>-0.42790121334045894</v>
      </c>
      <c r="E30" s="710">
        <v>-1.5897815206164154E-2</v>
      </c>
      <c r="F30" s="708">
        <v>-0.97704668508368664</v>
      </c>
      <c r="G30" s="711">
        <v>0.21243124685095172</v>
      </c>
      <c r="H30" s="710">
        <v>0.26600000000000001</v>
      </c>
      <c r="I30" s="708">
        <v>0.52</v>
      </c>
      <c r="J30" s="570">
        <v>3.2109999999999999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3.2109999999999999</v>
      </c>
      <c r="N30" s="632">
        <f t="shared" si="2"/>
        <v>-2.4436998083822212</v>
      </c>
      <c r="O30" s="629">
        <f t="shared" si="3"/>
        <v>-0.73035658082427224</v>
      </c>
      <c r="P30" s="633">
        <f t="shared" si="4"/>
        <v>-0.42790121334045894</v>
      </c>
      <c r="Q30" s="585">
        <f t="shared" si="113"/>
        <v>196.64000000000001</v>
      </c>
      <c r="R30" s="629">
        <f>IF(M30="","",SQRT(N30^2+O30^2))</f>
        <v>2.5505076923312004</v>
      </c>
      <c r="S30" s="634">
        <f>IF(M30="","",P30)</f>
        <v>-0.42790121334045894</v>
      </c>
      <c r="T30" s="635">
        <f>IF(M30="","",X30*COS(RADIANS(W30)))</f>
        <v>-0.79305957530484728</v>
      </c>
      <c r="U30" s="629">
        <f>IF(M30="","",X30*SIN(RADIANS(W30)))</f>
        <v>2.4240763186537508</v>
      </c>
      <c r="V30" s="636">
        <f>IF(M30="","",Y30)</f>
        <v>-0.42790121334045894</v>
      </c>
      <c r="W30" s="585">
        <f t="shared" si="224"/>
        <v>108.115999786892</v>
      </c>
      <c r="X30" s="629">
        <f>IF(M30="","",R30)</f>
        <v>2.5505076923312004</v>
      </c>
      <c r="Y30" s="630">
        <f t="shared" si="223"/>
        <v>-0.42790121334045894</v>
      </c>
      <c r="Z30" s="632">
        <f t="shared" si="6"/>
        <v>1.5897815206164154E-2</v>
      </c>
      <c r="AA30" s="629">
        <f t="shared" si="7"/>
        <v>0.97704668508368664</v>
      </c>
      <c r="AB30" s="629">
        <f t="shared" si="8"/>
        <v>-0.21243124685095172</v>
      </c>
      <c r="AC30" s="636">
        <f>IF(M30="","",SQRT(Z30^2+AA30^2+AB30^2))</f>
        <v>1</v>
      </c>
      <c r="AD30" s="637">
        <f>IF(M30="","",Z30*(1/SQRT(Z30^2+AA30^2+AB30^2)))</f>
        <v>1.5897815206164154E-2</v>
      </c>
      <c r="AE30" s="629">
        <f>IF(M30="","",AA30*(1/SQRT(Z30^2+AA30^2+AB30^2)))</f>
        <v>0.97704668508368664</v>
      </c>
      <c r="AF30" s="633">
        <f>IF(M30="","",AB30*(1/SQRT(Z30^2+AA30^2+AB30^2)))</f>
        <v>-0.21243124685095172</v>
      </c>
      <c r="AG30" s="602">
        <f>IF(M30="","",DEGREES(ATAN2(-AF30,AE30)))</f>
        <v>77.733557976340165</v>
      </c>
      <c r="AH30" s="603">
        <f>IF(M30="","",DEGREES(ACOS(AD30)))</f>
        <v>89.089083911557566</v>
      </c>
      <c r="AI30" s="585">
        <f>IF(M30="","",DEGREES(-ACOS(-AF30)))</f>
        <v>-77.735132309904785</v>
      </c>
      <c r="AJ30" s="586">
        <f>IF(M30="","",DEGREES(ATAN2(-AE30,AD30)))</f>
        <v>179.06780570982775</v>
      </c>
      <c r="AK30" s="635">
        <f>IF(M30="","",(COS(RADIANS((90-$Q$8)-W30))*AD30)+(-SIN(RADIANS((90-$Q$8)-W30))*AE30))</f>
        <v>0.93157834038573051</v>
      </c>
      <c r="AL30" s="629">
        <f>IF(M30="","",(SIN(RADIANS((90-$Q$8)-W30))*AD30)+(COS(RADIANS((90-$Q$8)-W30))*AE30))</f>
        <v>-0.29501654374885183</v>
      </c>
      <c r="AM30" s="634">
        <f>IF(M30="","",AF30)</f>
        <v>-0.21243124685095172</v>
      </c>
      <c r="AN30" s="581">
        <f>IF(M30="","",DEGREES(ATAN2(-AM30,AL30)))</f>
        <v>-54.243639719762179</v>
      </c>
      <c r="AO30" s="582">
        <f>IF(ROUND(IF(M30="",0,DEGREES(ACOS(AK30))),4)=90,0,IF(M30="","",DEGREES(ACOS(AK30))))</f>
        <v>21.317798658284943</v>
      </c>
      <c r="AP30" s="585">
        <f>IF(M30="","",DEGREES(ATAN2(AK30,AL30)))</f>
        <v>-17.572194290172273</v>
      </c>
      <c r="AQ30" s="586">
        <f t="shared" si="9"/>
        <v>0.8937599862173975</v>
      </c>
      <c r="AS30" s="52">
        <f t="shared" si="116"/>
        <v>-251.88400021310798</v>
      </c>
      <c r="AT30" s="72">
        <f t="shared" si="10"/>
        <v>-0.25195676889601448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3.2109999999999999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2.1110000000000002</v>
      </c>
      <c r="II30" s="734" cm="1">
        <f t="array" ref="II30">IFERROR(ROUND(VALUE(IF($IH30&lt;1,$IH30+LARGE((IF($M$9:$M$150="",0,$M$9:$M$150)-MOD(IF($M$9:$M$150="",0,$M$9:$M$150),1)),1),$IH30)),4),"")</f>
        <v>2.1110000000000002</v>
      </c>
      <c r="IJ30" s="533">
        <f t="shared" si="112"/>
        <v>1313</v>
      </c>
      <c r="IK30" s="533">
        <f t="shared" si="66"/>
        <v>1313</v>
      </c>
      <c r="IL30" s="727">
        <f t="shared" si="225"/>
        <v>136.4380002775024</v>
      </c>
      <c r="IM30" s="759">
        <v>7.1614254236495797E-4</v>
      </c>
      <c r="IN30" s="5">
        <f t="shared" si="226"/>
        <v>0</v>
      </c>
      <c r="IO30" s="771">
        <v>0</v>
      </c>
      <c r="IP30" s="9">
        <f t="shared" si="227"/>
        <v>-2.5505076923312</v>
      </c>
      <c r="IQ30" s="5">
        <f t="shared" si="228"/>
        <v>-0.40230121334045921</v>
      </c>
      <c r="IR30" s="5">
        <f t="shared" si="71"/>
        <v>0.26600000000000001</v>
      </c>
      <c r="IS30" s="5">
        <f t="shared" si="229"/>
        <v>0.2477998385426044</v>
      </c>
      <c r="IT30" s="727">
        <f t="shared" si="230"/>
        <v>54.243639719762164</v>
      </c>
      <c r="IU30" s="9">
        <f t="shared" si="231"/>
        <v>-2.5505076923312004</v>
      </c>
      <c r="IV30" s="5">
        <f t="shared" si="232"/>
        <v>-0.42790121334045894</v>
      </c>
      <c r="IW30" s="5">
        <f t="shared" si="76"/>
        <v>0.26600000000000001</v>
      </c>
      <c r="IX30" s="5">
        <f t="shared" si="233"/>
        <v>0.24779983854260432</v>
      </c>
      <c r="IY30" s="762">
        <f t="shared" si="234"/>
        <v>54.243639719762179</v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-2.7307542928328439</v>
      </c>
      <c r="C31" s="708">
        <v>-0.81614949657214586</v>
      </c>
      <c r="D31" s="709">
        <v>-1.0661031381574653</v>
      </c>
      <c r="E31" s="710">
        <v>-0.20540537763711858</v>
      </c>
      <c r="F31" s="708">
        <v>-0.97505869553164848</v>
      </c>
      <c r="G31" s="711">
        <v>8.407836288768343E-2</v>
      </c>
      <c r="H31" s="710">
        <v>0.26600000000000001</v>
      </c>
      <c r="I31" s="708">
        <v>0.52</v>
      </c>
      <c r="J31" s="570">
        <v>3.214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3.214</v>
      </c>
      <c r="N31" s="632">
        <f t="shared" si="2"/>
        <v>-2.7307542928328439</v>
      </c>
      <c r="O31" s="629">
        <f t="shared" si="3"/>
        <v>-0.81614949657214586</v>
      </c>
      <c r="P31" s="633">
        <f t="shared" si="4"/>
        <v>-1.0661031381574653</v>
      </c>
      <c r="Q31" s="585">
        <f t="shared" si="113"/>
        <v>196.64000000000001</v>
      </c>
      <c r="R31" s="629">
        <f>IF(M31="","",SQRT(N31^2+O31^2))</f>
        <v>2.8501085959275261</v>
      </c>
      <c r="S31" s="634">
        <f>IF(M31="","",P31)</f>
        <v>-1.0661031381574653</v>
      </c>
      <c r="T31" s="635">
        <f>IF(M31="","",X31*COS(RADIANS(W31)))</f>
        <v>-0.88621803394485221</v>
      </c>
      <c r="U31" s="629">
        <f>IF(M31="","",X31*SIN(RADIANS(W31)))</f>
        <v>2.7088256874318981</v>
      </c>
      <c r="V31" s="636">
        <f>IF(M31="","",Y31)</f>
        <v>-1.0661031381574653</v>
      </c>
      <c r="W31" s="585">
        <f t="shared" si="224"/>
        <v>108.115999786892</v>
      </c>
      <c r="X31" s="629">
        <f>IF(M31="","",R31)</f>
        <v>2.8501085959275261</v>
      </c>
      <c r="Y31" s="630">
        <f t="shared" si="223"/>
        <v>-1.0661031381574653</v>
      </c>
      <c r="Z31" s="632">
        <f t="shared" si="6"/>
        <v>0.20540537763711858</v>
      </c>
      <c r="AA31" s="629">
        <f t="shared" si="7"/>
        <v>0.97505869553164848</v>
      </c>
      <c r="AB31" s="629">
        <f t="shared" si="8"/>
        <v>-8.407836288768343E-2</v>
      </c>
      <c r="AC31" s="636">
        <f>IF(M31="","",SQRT(Z31^2+AA31^2+AB31^2))</f>
        <v>1</v>
      </c>
      <c r="AD31" s="637">
        <f>IF(M31="","",Z31*(1/SQRT(Z31^2+AA31^2+AB31^2)))</f>
        <v>0.20540537763711858</v>
      </c>
      <c r="AE31" s="629">
        <f>IF(M31="","",AA31*(1/SQRT(Z31^2+AA31^2+AB31^2)))</f>
        <v>0.97505869553164848</v>
      </c>
      <c r="AF31" s="633">
        <f>IF(M31="","",AB31*(1/SQRT(Z31^2+AA31^2+AB31^2)))</f>
        <v>-8.407836288768343E-2</v>
      </c>
      <c r="AG31" s="602">
        <f>IF(M31="","",DEGREES(ATAN2(-AF31,AE31)))</f>
        <v>85.071631409365907</v>
      </c>
      <c r="AH31" s="603">
        <f>IF(M31="","",DEGREES(ACOS(AD31)))</f>
        <v>78.146769506363867</v>
      </c>
      <c r="AI31" s="585">
        <f>IF(M31="","",DEGREES(-ACOS(-AF31)))</f>
        <v>-85.176970765206576</v>
      </c>
      <c r="AJ31" s="586">
        <f>IF(M31="","",DEGREES(ATAN2(-AE31,AD31)))</f>
        <v>168.10403510038549</v>
      </c>
      <c r="AK31" s="635">
        <f>IF(M31="","",(COS(RADIANS((90-$Q$8)-W31))*AD31)+(-SIN(RADIANS((90-$Q$8)-W31))*AE31))</f>
        <v>0.87540672190539237</v>
      </c>
      <c r="AL31" s="629">
        <f>IF(M31="","",(SIN(RADIANS((90-$Q$8)-W31))*AD31)+(COS(RADIANS((90-$Q$8)-W31))*AE31))</f>
        <v>-0.47601880229354632</v>
      </c>
      <c r="AM31" s="634">
        <f>IF(M31="","",AF31)</f>
        <v>-8.407836288768343E-2</v>
      </c>
      <c r="AN31" s="581">
        <f>IF(M31="","",DEGREES(ATAN2(-AM31,AL31)))</f>
        <v>-79.983260499316444</v>
      </c>
      <c r="AO31" s="582">
        <f t="shared" si="94"/>
        <v>28.906852369027437</v>
      </c>
      <c r="AP31" s="585">
        <f>IF(M31="","",DEGREES(ATAN2(AK31,AL31)))</f>
        <v>-28.535964899614545</v>
      </c>
      <c r="AQ31" s="586">
        <f t="shared" si="9"/>
        <v>0.79982164580944271</v>
      </c>
      <c r="AS31" s="52">
        <f t="shared" si="116"/>
        <v>-251.88400021310798</v>
      </c>
      <c r="AT31" s="72">
        <f t="shared" si="10"/>
        <v>-0.89015869371302081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>Gage</v>
      </c>
      <c r="IG31" s="847">
        <f t="shared" si="210"/>
        <v>3.214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2.1139999999999999</v>
      </c>
      <c r="II31" s="734" cm="1">
        <f t="array" ref="II31">IFERROR(ROUND(VALUE(IF($IH31&lt;1,$IH31+LARGE((IF($M$9:$M$150="",0,$M$9:$M$150)-MOD(IF($M$9:$M$150="",0,$M$9:$M$150),1)),1),$IH31)),4),"")</f>
        <v>2.1139999999999999</v>
      </c>
      <c r="IJ31" s="533">
        <f t="shared" si="112"/>
        <v>1313</v>
      </c>
      <c r="IK31" s="533">
        <f t="shared" si="66"/>
        <v>1313</v>
      </c>
      <c r="IL31" s="727">
        <f t="shared" si="225"/>
        <v>135.75400037625974</v>
      </c>
      <c r="IM31" s="759">
        <v>1.9922590388008699E-4</v>
      </c>
      <c r="IN31" s="5">
        <f t="shared" si="226"/>
        <v>0</v>
      </c>
      <c r="IO31" s="771">
        <v>0</v>
      </c>
      <c r="IP31" s="9">
        <f t="shared" si="227"/>
        <v>-2.8501085959275252</v>
      </c>
      <c r="IQ31" s="5">
        <f t="shared" si="228"/>
        <v>-1.0405031381574643</v>
      </c>
      <c r="IR31" s="5">
        <f t="shared" si="71"/>
        <v>0.26600000000000001</v>
      </c>
      <c r="IS31" s="5">
        <f t="shared" si="229"/>
        <v>0.2328581880268345</v>
      </c>
      <c r="IT31" s="727">
        <f t="shared" si="230"/>
        <v>79.983260499316415</v>
      </c>
      <c r="IU31" s="9">
        <f t="shared" si="231"/>
        <v>-2.8501085959275261</v>
      </c>
      <c r="IV31" s="5">
        <f t="shared" si="232"/>
        <v>-1.0661031381574653</v>
      </c>
      <c r="IW31" s="5">
        <f t="shared" si="76"/>
        <v>0.26600000000000001</v>
      </c>
      <c r="IX31" s="5">
        <f t="shared" si="233"/>
        <v>0.23285818802683442</v>
      </c>
      <c r="IY31" s="762">
        <f t="shared" si="234"/>
        <v>79.983260499316444</v>
      </c>
    </row>
    <row r="32" spans="1:269" ht="15" customHeight="1" x14ac:dyDescent="0.25">
      <c r="A32" s="79"/>
      <c r="B32" s="707"/>
      <c r="C32" s="708"/>
      <c r="D32" s="709"/>
      <c r="E32" s="710"/>
      <c r="F32" s="708"/>
      <c r="G32" s="711"/>
      <c r="H32" s="710"/>
      <c r="I32" s="708"/>
      <c r="J32" s="570"/>
      <c r="K32" s="865" t="str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/>
      </c>
      <c r="L32" s="320"/>
      <c r="M32" s="168" t="str">
        <f t="shared" si="1"/>
        <v/>
      </c>
      <c r="N32" s="632" t="str">
        <f t="shared" si="2"/>
        <v/>
      </c>
      <c r="O32" s="629" t="str">
        <f t="shared" si="3"/>
        <v/>
      </c>
      <c r="P32" s="633" t="str">
        <f t="shared" si="4"/>
        <v/>
      </c>
      <c r="Q32" s="585" t="str">
        <f t="shared" si="113"/>
        <v/>
      </c>
      <c r="R32" s="629" t="str">
        <f t="shared" si="79"/>
        <v/>
      </c>
      <c r="S32" s="634" t="str">
        <f t="shared" si="80"/>
        <v/>
      </c>
      <c r="T32" s="635" t="str">
        <f t="shared" si="81"/>
        <v/>
      </c>
      <c r="U32" s="629" t="str">
        <f t="shared" si="82"/>
        <v/>
      </c>
      <c r="V32" s="636" t="str">
        <f t="shared" si="114"/>
        <v/>
      </c>
      <c r="W32" s="585" t="str">
        <f t="shared" si="224"/>
        <v/>
      </c>
      <c r="X32" s="629" t="str">
        <f t="shared" si="83"/>
        <v/>
      </c>
      <c r="Y32" s="630" t="str">
        <f t="shared" si="223"/>
        <v/>
      </c>
      <c r="Z32" s="632" t="str">
        <f t="shared" si="6"/>
        <v/>
      </c>
      <c r="AA32" s="629" t="str">
        <f t="shared" si="7"/>
        <v/>
      </c>
      <c r="AB32" s="629" t="str">
        <f t="shared" si="8"/>
        <v/>
      </c>
      <c r="AC32" s="636" t="str">
        <f t="shared" si="84"/>
        <v/>
      </c>
      <c r="AD32" s="637" t="str">
        <f t="shared" si="115"/>
        <v/>
      </c>
      <c r="AE32" s="629" t="str">
        <f t="shared" si="85"/>
        <v/>
      </c>
      <c r="AF32" s="633" t="str">
        <f t="shared" si="86"/>
        <v/>
      </c>
      <c r="AG32" s="602" t="str">
        <f t="shared" si="87"/>
        <v/>
      </c>
      <c r="AH32" s="603" t="str">
        <f t="shared" si="88"/>
        <v/>
      </c>
      <c r="AI32" s="585" t="str">
        <f t="shared" si="89"/>
        <v/>
      </c>
      <c r="AJ32" s="586" t="str">
        <f t="shared" si="90"/>
        <v/>
      </c>
      <c r="AK32" s="635" t="str">
        <f t="shared" si="211"/>
        <v/>
      </c>
      <c r="AL32" s="629" t="str">
        <f t="shared" si="91"/>
        <v/>
      </c>
      <c r="AM32" s="634" t="str">
        <f t="shared" si="92"/>
        <v/>
      </c>
      <c r="AN32" s="581" t="str">
        <f t="shared" si="93"/>
        <v/>
      </c>
      <c r="AO32" s="582" t="str">
        <f t="shared" si="94"/>
        <v/>
      </c>
      <c r="AP32" s="585" t="str">
        <f t="shared" si="95"/>
        <v/>
      </c>
      <c r="AQ32" s="586" t="str">
        <f t="shared" si="9"/>
        <v/>
      </c>
      <c r="AS32" s="52" t="str">
        <f t="shared" si="116"/>
        <v/>
      </c>
      <c r="AT32" s="72" t="str">
        <f t="shared" si="10"/>
        <v/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210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 t="str">
        <f t="shared" si="112"/>
        <v/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/>
      <c r="C33" s="708"/>
      <c r="D33" s="709"/>
      <c r="E33" s="710"/>
      <c r="F33" s="708"/>
      <c r="G33" s="711"/>
      <c r="H33" s="710"/>
      <c r="I33" s="708"/>
      <c r="J33" s="570"/>
      <c r="K33" s="865" t="str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/>
      </c>
      <c r="L33" s="320"/>
      <c r="M33" s="168" t="str">
        <f t="shared" si="1"/>
        <v/>
      </c>
      <c r="N33" s="632" t="str">
        <f t="shared" si="2"/>
        <v/>
      </c>
      <c r="O33" s="629" t="str">
        <f t="shared" si="3"/>
        <v/>
      </c>
      <c r="P33" s="633" t="str">
        <f t="shared" si="4"/>
        <v/>
      </c>
      <c r="Q33" s="585" t="str">
        <f t="shared" si="113"/>
        <v/>
      </c>
      <c r="R33" s="629" t="str">
        <f t="shared" si="79"/>
        <v/>
      </c>
      <c r="S33" s="634" t="str">
        <f t="shared" si="80"/>
        <v/>
      </c>
      <c r="T33" s="635" t="str">
        <f t="shared" si="81"/>
        <v/>
      </c>
      <c r="U33" s="629" t="str">
        <f t="shared" si="82"/>
        <v/>
      </c>
      <c r="V33" s="636" t="str">
        <f t="shared" si="114"/>
        <v/>
      </c>
      <c r="W33" s="585" t="str">
        <f t="shared" si="224"/>
        <v/>
      </c>
      <c r="X33" s="629" t="str">
        <f t="shared" si="83"/>
        <v/>
      </c>
      <c r="Y33" s="630" t="str">
        <f t="shared" si="223"/>
        <v/>
      </c>
      <c r="Z33" s="632" t="str">
        <f t="shared" si="6"/>
        <v/>
      </c>
      <c r="AA33" s="629" t="str">
        <f t="shared" si="7"/>
        <v/>
      </c>
      <c r="AB33" s="629" t="str">
        <f t="shared" si="8"/>
        <v/>
      </c>
      <c r="AC33" s="636" t="str">
        <f t="shared" si="84"/>
        <v/>
      </c>
      <c r="AD33" s="637" t="str">
        <f t="shared" si="115"/>
        <v/>
      </c>
      <c r="AE33" s="629" t="str">
        <f t="shared" si="85"/>
        <v/>
      </c>
      <c r="AF33" s="633" t="str">
        <f t="shared" si="86"/>
        <v/>
      </c>
      <c r="AG33" s="602" t="str">
        <f t="shared" si="87"/>
        <v/>
      </c>
      <c r="AH33" s="603" t="str">
        <f t="shared" si="88"/>
        <v/>
      </c>
      <c r="AI33" s="585" t="str">
        <f t="shared" si="89"/>
        <v/>
      </c>
      <c r="AJ33" s="586" t="str">
        <f t="shared" si="90"/>
        <v/>
      </c>
      <c r="AK33" s="635" t="str">
        <f t="shared" si="211"/>
        <v/>
      </c>
      <c r="AL33" s="629" t="str">
        <f t="shared" si="91"/>
        <v/>
      </c>
      <c r="AM33" s="634" t="str">
        <f t="shared" si="92"/>
        <v/>
      </c>
      <c r="AN33" s="581" t="str">
        <f t="shared" si="93"/>
        <v/>
      </c>
      <c r="AO33" s="582" t="str">
        <f t="shared" si="94"/>
        <v/>
      </c>
      <c r="AP33" s="585" t="str">
        <f t="shared" si="95"/>
        <v/>
      </c>
      <c r="AQ33" s="586" t="str">
        <f t="shared" si="9"/>
        <v/>
      </c>
      <c r="AS33" s="52" t="str">
        <f t="shared" si="116"/>
        <v/>
      </c>
      <c r="AT33" s="72" t="str">
        <f t="shared" si="10"/>
        <v/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210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 t="str">
        <f t="shared" si="112"/>
        <v/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/>
      <c r="C34" s="708"/>
      <c r="D34" s="709"/>
      <c r="E34" s="710"/>
      <c r="F34" s="708"/>
      <c r="G34" s="711"/>
      <c r="H34" s="710"/>
      <c r="I34" s="708"/>
      <c r="J34" s="570"/>
      <c r="K34" s="865" t="str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/>
      </c>
      <c r="L34" s="320"/>
      <c r="M34" s="168" t="str">
        <f t="shared" si="1"/>
        <v/>
      </c>
      <c r="N34" s="632" t="str">
        <f t="shared" si="2"/>
        <v/>
      </c>
      <c r="O34" s="629" t="str">
        <f t="shared" si="3"/>
        <v/>
      </c>
      <c r="P34" s="633" t="str">
        <f t="shared" si="4"/>
        <v/>
      </c>
      <c r="Q34" s="585" t="str">
        <f t="shared" si="113"/>
        <v/>
      </c>
      <c r="R34" s="629" t="str">
        <f>IF(M34="","",SQRT(N34^2+O34^2))</f>
        <v/>
      </c>
      <c r="S34" s="634" t="str">
        <f>IF(M34="","",P34)</f>
        <v/>
      </c>
      <c r="T34" s="635" t="str">
        <f>IF(M34="","",X34*COS(RADIANS(W34)))</f>
        <v/>
      </c>
      <c r="U34" s="629" t="str">
        <f>IF(M34="","",X34*SIN(RADIANS(W34)))</f>
        <v/>
      </c>
      <c r="V34" s="636" t="str">
        <f>IF(M34="","",Y34)</f>
        <v/>
      </c>
      <c r="W34" s="585" t="str">
        <f t="shared" si="224"/>
        <v/>
      </c>
      <c r="X34" s="629" t="str">
        <f>IF(M34="","",R34)</f>
        <v/>
      </c>
      <c r="Y34" s="630" t="str">
        <f t="shared" si="223"/>
        <v/>
      </c>
      <c r="Z34" s="632" t="str">
        <f t="shared" si="6"/>
        <v/>
      </c>
      <c r="AA34" s="629" t="str">
        <f t="shared" si="7"/>
        <v/>
      </c>
      <c r="AB34" s="629" t="str">
        <f t="shared" si="8"/>
        <v/>
      </c>
      <c r="AC34" s="636" t="str">
        <f>IF(M34="","",SQRT(Z34^2+AA34^2+AB34^2))</f>
        <v/>
      </c>
      <c r="AD34" s="637" t="str">
        <f>IF(M34="","",Z34*(1/SQRT(Z34^2+AA34^2+AB34^2)))</f>
        <v/>
      </c>
      <c r="AE34" s="629" t="str">
        <f>IF(M34="","",AA34*(1/SQRT(Z34^2+AA34^2+AB34^2)))</f>
        <v/>
      </c>
      <c r="AF34" s="633" t="str">
        <f>IF(M34="","",AB34*(1/SQRT(Z34^2+AA34^2+AB34^2)))</f>
        <v/>
      </c>
      <c r="AG34" s="602" t="str">
        <f>IF(M34="","",DEGREES(ATAN2(-AF34,AE34)))</f>
        <v/>
      </c>
      <c r="AH34" s="603" t="str">
        <f>IF(M34="","",DEGREES(ACOS(AD34)))</f>
        <v/>
      </c>
      <c r="AI34" s="585" t="str">
        <f>IF(M34="","",DEGREES(-ACOS(-AF34)))</f>
        <v/>
      </c>
      <c r="AJ34" s="586" t="str">
        <f>IF(M34="","",DEGREES(ATAN2(-AE34,AD34)))</f>
        <v/>
      </c>
      <c r="AK34" s="635" t="str">
        <f>IF(M34="","",(COS(RADIANS((90-$Q$8)-W34))*AD34)+(-SIN(RADIANS((90-$Q$8)-W34))*AE34))</f>
        <v/>
      </c>
      <c r="AL34" s="629" t="str">
        <f>IF(M34="","",(SIN(RADIANS((90-$Q$8)-W34))*AD34)+(COS(RADIANS((90-$Q$8)-W34))*AE34))</f>
        <v/>
      </c>
      <c r="AM34" s="634" t="str">
        <f>IF(M34="","",AF34)</f>
        <v/>
      </c>
      <c r="AN34" s="581" t="str">
        <f>IF(M34="","",DEGREES(ATAN2(-AM34,AL34)))</f>
        <v/>
      </c>
      <c r="AO34" s="582" t="str">
        <f t="shared" si="94"/>
        <v/>
      </c>
      <c r="AP34" s="585" t="str">
        <f>IF(M34="","",DEGREES(ATAN2(AK34,AL34)))</f>
        <v/>
      </c>
      <c r="AQ34" s="586" t="str">
        <f t="shared" si="9"/>
        <v/>
      </c>
      <c r="AS34" s="52" t="str">
        <f t="shared" si="116"/>
        <v/>
      </c>
      <c r="AT34" s="72" t="str">
        <f t="shared" si="10"/>
        <v/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210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 t="str">
        <f t="shared" si="112"/>
        <v/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/>
      <c r="C35" s="708"/>
      <c r="D35" s="709"/>
      <c r="E35" s="710"/>
      <c r="F35" s="708"/>
      <c r="G35" s="711"/>
      <c r="H35" s="710"/>
      <c r="I35" s="708"/>
      <c r="J35" s="570"/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/>
      </c>
      <c r="L35" s="320"/>
      <c r="M35" s="168" t="str">
        <f t="shared" si="1"/>
        <v/>
      </c>
      <c r="N35" s="632" t="str">
        <f t="shared" si="2"/>
        <v/>
      </c>
      <c r="O35" s="629" t="str">
        <f t="shared" si="3"/>
        <v/>
      </c>
      <c r="P35" s="633" t="str">
        <f t="shared" si="4"/>
        <v/>
      </c>
      <c r="Q35" s="585" t="str">
        <f t="shared" si="113"/>
        <v/>
      </c>
      <c r="R35" s="629" t="str">
        <f>IF(M35="","",SQRT(N35^2+O35^2))</f>
        <v/>
      </c>
      <c r="S35" s="634" t="str">
        <f>IF(M35="","",P35)</f>
        <v/>
      </c>
      <c r="T35" s="635" t="str">
        <f>IF(M35="","",X35*COS(RADIANS(W35)))</f>
        <v/>
      </c>
      <c r="U35" s="629" t="str">
        <f>IF(M35="","",X35*SIN(RADIANS(W35)))</f>
        <v/>
      </c>
      <c r="V35" s="636" t="str">
        <f>IF(M35="","",Y35)</f>
        <v/>
      </c>
      <c r="W35" s="585" t="str">
        <f t="shared" si="224"/>
        <v/>
      </c>
      <c r="X35" s="629" t="str">
        <f>IF(M35="","",R35)</f>
        <v/>
      </c>
      <c r="Y35" s="630" t="str">
        <f t="shared" si="223"/>
        <v/>
      </c>
      <c r="Z35" s="632" t="str">
        <f t="shared" si="6"/>
        <v/>
      </c>
      <c r="AA35" s="629" t="str">
        <f t="shared" si="7"/>
        <v/>
      </c>
      <c r="AB35" s="629" t="str">
        <f t="shared" si="8"/>
        <v/>
      </c>
      <c r="AC35" s="636" t="str">
        <f>IF(M35="","",SQRT(Z35^2+AA35^2+AB35^2))</f>
        <v/>
      </c>
      <c r="AD35" s="637" t="str">
        <f>IF(M35="","",Z35*(1/SQRT(Z35^2+AA35^2+AB35^2)))</f>
        <v/>
      </c>
      <c r="AE35" s="629" t="str">
        <f>IF(M35="","",AA35*(1/SQRT(Z35^2+AA35^2+AB35^2)))</f>
        <v/>
      </c>
      <c r="AF35" s="633" t="str">
        <f>IF(M35="","",AB35*(1/SQRT(Z35^2+AA35^2+AB35^2)))</f>
        <v/>
      </c>
      <c r="AG35" s="602" t="str">
        <f>IF(M35="","",DEGREES(ATAN2(-AF35,AE35)))</f>
        <v/>
      </c>
      <c r="AH35" s="603" t="str">
        <f>IF(M35="","",DEGREES(ACOS(AD35)))</f>
        <v/>
      </c>
      <c r="AI35" s="585" t="str">
        <f>IF(M35="","",DEGREES(-ACOS(-AF35)))</f>
        <v/>
      </c>
      <c r="AJ35" s="586" t="str">
        <f>IF(M35="","",DEGREES(ATAN2(-AE35,AD35)))</f>
        <v/>
      </c>
      <c r="AK35" s="635" t="str">
        <f>IF(M35="","",(COS(RADIANS((90-$Q$8)-W35))*AD35)+(-SIN(RADIANS((90-$Q$8)-W35))*AE35))</f>
        <v/>
      </c>
      <c r="AL35" s="629" t="str">
        <f>IF(M35="","",(SIN(RADIANS((90-$Q$8)-W35))*AD35)+(COS(RADIANS((90-$Q$8)-W35))*AE35))</f>
        <v/>
      </c>
      <c r="AM35" s="634" t="str">
        <f>IF(M35="","",AF35)</f>
        <v/>
      </c>
      <c r="AN35" s="581" t="str">
        <f>IF(M35="","",DEGREES(ATAN2(-AM35,AL35)))</f>
        <v/>
      </c>
      <c r="AO35" s="582" t="str">
        <f t="shared" si="94"/>
        <v/>
      </c>
      <c r="AP35" s="585" t="str">
        <f>IF(M35="","",DEGREES(ATAN2(AK35,AL35)))</f>
        <v/>
      </c>
      <c r="AQ35" s="586" t="str">
        <f t="shared" si="9"/>
        <v/>
      </c>
      <c r="AS35" s="52" t="str">
        <f t="shared" si="116"/>
        <v/>
      </c>
      <c r="AT35" s="72" t="str">
        <f t="shared" si="10"/>
        <v/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210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 t="str">
        <f t="shared" si="112"/>
        <v/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/>
      <c r="C36" s="708"/>
      <c r="D36" s="709"/>
      <c r="E36" s="710"/>
      <c r="F36" s="708"/>
      <c r="G36" s="711"/>
      <c r="H36" s="710"/>
      <c r="I36" s="708"/>
      <c r="J36" s="570"/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/>
      </c>
      <c r="L36" s="320"/>
      <c r="M36" s="168" t="str">
        <f t="shared" si="1"/>
        <v/>
      </c>
      <c r="N36" s="632" t="str">
        <f t="shared" si="2"/>
        <v/>
      </c>
      <c r="O36" s="629" t="str">
        <f t="shared" si="3"/>
        <v/>
      </c>
      <c r="P36" s="633" t="str">
        <f t="shared" si="4"/>
        <v/>
      </c>
      <c r="Q36" s="585" t="str">
        <f t="shared" si="113"/>
        <v/>
      </c>
      <c r="R36" s="629" t="str">
        <f>IF(M36="","",SQRT(N36^2+O36^2))</f>
        <v/>
      </c>
      <c r="S36" s="634" t="str">
        <f>IF(M36="","",P36)</f>
        <v/>
      </c>
      <c r="T36" s="635" t="str">
        <f>IF(M36="","",X36*COS(RADIANS(W36)))</f>
        <v/>
      </c>
      <c r="U36" s="629" t="str">
        <f>IF(M36="","",X36*SIN(RADIANS(W36)))</f>
        <v/>
      </c>
      <c r="V36" s="636" t="str">
        <f>IF(M36="","",Y36)</f>
        <v/>
      </c>
      <c r="W36" s="585" t="str">
        <f t="shared" si="224"/>
        <v/>
      </c>
      <c r="X36" s="629" t="str">
        <f>IF(M36="","",R36)</f>
        <v/>
      </c>
      <c r="Y36" s="630" t="str">
        <f t="shared" si="223"/>
        <v/>
      </c>
      <c r="Z36" s="632" t="str">
        <f t="shared" si="6"/>
        <v/>
      </c>
      <c r="AA36" s="629" t="str">
        <f t="shared" si="7"/>
        <v/>
      </c>
      <c r="AB36" s="629" t="str">
        <f t="shared" si="8"/>
        <v/>
      </c>
      <c r="AC36" s="636" t="str">
        <f>IF(M36="","",SQRT(Z36^2+AA36^2+AB36^2))</f>
        <v/>
      </c>
      <c r="AD36" s="637" t="str">
        <f>IF(M36="","",Z36*(1/SQRT(Z36^2+AA36^2+AB36^2)))</f>
        <v/>
      </c>
      <c r="AE36" s="629" t="str">
        <f>IF(M36="","",AA36*(1/SQRT(Z36^2+AA36^2+AB36^2)))</f>
        <v/>
      </c>
      <c r="AF36" s="633" t="str">
        <f>IF(M36="","",AB36*(1/SQRT(Z36^2+AA36^2+AB36^2)))</f>
        <v/>
      </c>
      <c r="AG36" s="602" t="str">
        <f>IF(M36="","",DEGREES(ATAN2(-AF36,AE36)))</f>
        <v/>
      </c>
      <c r="AH36" s="603" t="str">
        <f>IF(M36="","",DEGREES(ACOS(AD36)))</f>
        <v/>
      </c>
      <c r="AI36" s="585" t="str">
        <f>IF(M36="","",DEGREES(-ACOS(-AF36)))</f>
        <v/>
      </c>
      <c r="AJ36" s="586" t="str">
        <f>IF(M36="","",DEGREES(ATAN2(-AE36,AD36)))</f>
        <v/>
      </c>
      <c r="AK36" s="635" t="str">
        <f>IF(M36="","",(COS(RADIANS((90-$Q$8)-W36))*AD36)+(-SIN(RADIANS((90-$Q$8)-W36))*AE36))</f>
        <v/>
      </c>
      <c r="AL36" s="629" t="str">
        <f>IF(M36="","",(SIN(RADIANS((90-$Q$8)-W36))*AD36)+(COS(RADIANS((90-$Q$8)-W36))*AE36))</f>
        <v/>
      </c>
      <c r="AM36" s="634" t="str">
        <f>IF(M36="","",AF36)</f>
        <v/>
      </c>
      <c r="AN36" s="581" t="str">
        <f>IF(M36="","",DEGREES(ATAN2(-AM36,AL36)))</f>
        <v/>
      </c>
      <c r="AO36" s="582" t="str">
        <f t="shared" si="94"/>
        <v/>
      </c>
      <c r="AP36" s="585" t="str">
        <f>IF(M36="","",DEGREES(ATAN2(AK36,AL36)))</f>
        <v/>
      </c>
      <c r="AQ36" s="586" t="str">
        <f t="shared" si="9"/>
        <v/>
      </c>
      <c r="AS36" s="52" t="str">
        <f t="shared" si="116"/>
        <v/>
      </c>
      <c r="AT36" s="72" t="str">
        <f t="shared" si="10"/>
        <v/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210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 t="str">
        <f t="shared" si="112"/>
        <v/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/>
      <c r="C37" s="708"/>
      <c r="D37" s="709"/>
      <c r="E37" s="710"/>
      <c r="F37" s="708"/>
      <c r="G37" s="711"/>
      <c r="H37" s="710"/>
      <c r="I37" s="708"/>
      <c r="J37" s="570"/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/>
      </c>
      <c r="L37" s="320"/>
      <c r="M37" s="168" t="str">
        <f t="shared" si="1"/>
        <v/>
      </c>
      <c r="N37" s="632" t="str">
        <f t="shared" si="2"/>
        <v/>
      </c>
      <c r="O37" s="629" t="str">
        <f t="shared" si="3"/>
        <v/>
      </c>
      <c r="P37" s="633" t="str">
        <f t="shared" si="4"/>
        <v/>
      </c>
      <c r="Q37" s="585" t="str">
        <f t="shared" si="113"/>
        <v/>
      </c>
      <c r="R37" s="629" t="str">
        <f t="shared" si="79"/>
        <v/>
      </c>
      <c r="S37" s="634" t="str">
        <f t="shared" si="80"/>
        <v/>
      </c>
      <c r="T37" s="635" t="str">
        <f t="shared" si="81"/>
        <v/>
      </c>
      <c r="U37" s="629" t="str">
        <f t="shared" si="82"/>
        <v/>
      </c>
      <c r="V37" s="636" t="str">
        <f t="shared" si="114"/>
        <v/>
      </c>
      <c r="W37" s="585" t="str">
        <f t="shared" si="224"/>
        <v/>
      </c>
      <c r="X37" s="629" t="str">
        <f t="shared" si="83"/>
        <v/>
      </c>
      <c r="Y37" s="630" t="str">
        <f t="shared" si="223"/>
        <v/>
      </c>
      <c r="Z37" s="632" t="str">
        <f t="shared" si="6"/>
        <v/>
      </c>
      <c r="AA37" s="629" t="str">
        <f t="shared" si="7"/>
        <v/>
      </c>
      <c r="AB37" s="629" t="str">
        <f t="shared" si="8"/>
        <v/>
      </c>
      <c r="AC37" s="636" t="str">
        <f t="shared" si="84"/>
        <v/>
      </c>
      <c r="AD37" s="637" t="str">
        <f t="shared" si="115"/>
        <v/>
      </c>
      <c r="AE37" s="629" t="str">
        <f t="shared" si="85"/>
        <v/>
      </c>
      <c r="AF37" s="633" t="str">
        <f t="shared" si="86"/>
        <v/>
      </c>
      <c r="AG37" s="602" t="str">
        <f t="shared" si="87"/>
        <v/>
      </c>
      <c r="AH37" s="603" t="str">
        <f t="shared" si="88"/>
        <v/>
      </c>
      <c r="AI37" s="585" t="str">
        <f t="shared" si="89"/>
        <v/>
      </c>
      <c r="AJ37" s="586" t="str">
        <f t="shared" si="90"/>
        <v/>
      </c>
      <c r="AK37" s="635" t="str">
        <f t="shared" si="211"/>
        <v/>
      </c>
      <c r="AL37" s="629" t="str">
        <f t="shared" si="91"/>
        <v/>
      </c>
      <c r="AM37" s="634" t="str">
        <f t="shared" si="92"/>
        <v/>
      </c>
      <c r="AN37" s="581" t="str">
        <f t="shared" si="93"/>
        <v/>
      </c>
      <c r="AO37" s="582" t="str">
        <f t="shared" si="94"/>
        <v/>
      </c>
      <c r="AP37" s="585" t="str">
        <f t="shared" si="95"/>
        <v/>
      </c>
      <c r="AQ37" s="586" t="str">
        <f t="shared" si="9"/>
        <v/>
      </c>
      <c r="AS37" s="52" t="str">
        <f t="shared" si="116"/>
        <v/>
      </c>
      <c r="AT37" s="72" t="str">
        <f t="shared" si="10"/>
        <v/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210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 t="str">
        <f t="shared" si="112"/>
        <v/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/>
      <c r="C38" s="708"/>
      <c r="D38" s="709"/>
      <c r="E38" s="710"/>
      <c r="F38" s="708"/>
      <c r="G38" s="711"/>
      <c r="H38" s="710"/>
      <c r="I38" s="708"/>
      <c r="J38" s="570"/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/>
      </c>
      <c r="L38" s="320"/>
      <c r="M38" s="168" t="str">
        <f t="shared" si="1"/>
        <v/>
      </c>
      <c r="N38" s="632" t="str">
        <f t="shared" si="2"/>
        <v/>
      </c>
      <c r="O38" s="629" t="str">
        <f t="shared" si="3"/>
        <v/>
      </c>
      <c r="P38" s="633" t="str">
        <f t="shared" si="4"/>
        <v/>
      </c>
      <c r="Q38" s="585" t="str">
        <f t="shared" si="113"/>
        <v/>
      </c>
      <c r="R38" s="629" t="str">
        <f t="shared" si="79"/>
        <v/>
      </c>
      <c r="S38" s="634" t="str">
        <f t="shared" si="80"/>
        <v/>
      </c>
      <c r="T38" s="635" t="str">
        <f t="shared" si="81"/>
        <v/>
      </c>
      <c r="U38" s="629" t="str">
        <f t="shared" si="82"/>
        <v/>
      </c>
      <c r="V38" s="636" t="str">
        <f t="shared" si="114"/>
        <v/>
      </c>
      <c r="W38" s="585" t="str">
        <f t="shared" si="224"/>
        <v/>
      </c>
      <c r="X38" s="629" t="str">
        <f t="shared" si="83"/>
        <v/>
      </c>
      <c r="Y38" s="630" t="str">
        <f t="shared" si="223"/>
        <v/>
      </c>
      <c r="Z38" s="632" t="str">
        <f t="shared" si="6"/>
        <v/>
      </c>
      <c r="AA38" s="629" t="str">
        <f t="shared" si="7"/>
        <v/>
      </c>
      <c r="AB38" s="629" t="str">
        <f t="shared" si="8"/>
        <v/>
      </c>
      <c r="AC38" s="636" t="str">
        <f t="shared" si="84"/>
        <v/>
      </c>
      <c r="AD38" s="637" t="str">
        <f t="shared" si="115"/>
        <v/>
      </c>
      <c r="AE38" s="629" t="str">
        <f t="shared" si="85"/>
        <v/>
      </c>
      <c r="AF38" s="633" t="str">
        <f t="shared" si="86"/>
        <v/>
      </c>
      <c r="AG38" s="602" t="str">
        <f t="shared" si="87"/>
        <v/>
      </c>
      <c r="AH38" s="603" t="str">
        <f t="shared" si="88"/>
        <v/>
      </c>
      <c r="AI38" s="585" t="str">
        <f t="shared" si="89"/>
        <v/>
      </c>
      <c r="AJ38" s="586" t="str">
        <f t="shared" si="90"/>
        <v/>
      </c>
      <c r="AK38" s="635" t="str">
        <f t="shared" si="211"/>
        <v/>
      </c>
      <c r="AL38" s="629" t="str">
        <f t="shared" si="91"/>
        <v/>
      </c>
      <c r="AM38" s="634" t="str">
        <f t="shared" si="92"/>
        <v/>
      </c>
      <c r="AN38" s="581" t="str">
        <f t="shared" si="93"/>
        <v/>
      </c>
      <c r="AO38" s="582" t="str">
        <f t="shared" si="94"/>
        <v/>
      </c>
      <c r="AP38" s="585" t="str">
        <f t="shared" si="95"/>
        <v/>
      </c>
      <c r="AQ38" s="586" t="str">
        <f t="shared" si="9"/>
        <v/>
      </c>
      <c r="AS38" s="52" t="str">
        <f t="shared" si="116"/>
        <v/>
      </c>
      <c r="AT38" s="72" t="str">
        <f t="shared" si="10"/>
        <v/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210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 t="str">
        <f t="shared" si="112"/>
        <v/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/>
      <c r="C39" s="708"/>
      <c r="D39" s="709"/>
      <c r="E39" s="710"/>
      <c r="F39" s="708"/>
      <c r="G39" s="711"/>
      <c r="H39" s="710"/>
      <c r="I39" s="708"/>
      <c r="J39" s="570"/>
      <c r="K39" s="865" t="str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/>
      </c>
      <c r="L39" s="320"/>
      <c r="M39" s="168" t="str">
        <f t="shared" si="1"/>
        <v/>
      </c>
      <c r="N39" s="632" t="str">
        <f t="shared" si="2"/>
        <v/>
      </c>
      <c r="O39" s="629" t="str">
        <f t="shared" si="3"/>
        <v/>
      </c>
      <c r="P39" s="633" t="str">
        <f t="shared" si="4"/>
        <v/>
      </c>
      <c r="Q39" s="585" t="str">
        <f t="shared" si="113"/>
        <v/>
      </c>
      <c r="R39" s="629" t="str">
        <f t="shared" si="79"/>
        <v/>
      </c>
      <c r="S39" s="634" t="str">
        <f t="shared" si="80"/>
        <v/>
      </c>
      <c r="T39" s="635" t="str">
        <f t="shared" si="81"/>
        <v/>
      </c>
      <c r="U39" s="629" t="str">
        <f t="shared" si="82"/>
        <v/>
      </c>
      <c r="V39" s="636" t="str">
        <f t="shared" si="114"/>
        <v/>
      </c>
      <c r="W39" s="585" t="str">
        <f t="shared" si="224"/>
        <v/>
      </c>
      <c r="X39" s="629" t="str">
        <f t="shared" si="83"/>
        <v/>
      </c>
      <c r="Y39" s="630" t="str">
        <f t="shared" si="223"/>
        <v/>
      </c>
      <c r="Z39" s="632" t="str">
        <f t="shared" si="6"/>
        <v/>
      </c>
      <c r="AA39" s="629" t="str">
        <f t="shared" si="7"/>
        <v/>
      </c>
      <c r="AB39" s="629" t="str">
        <f t="shared" si="8"/>
        <v/>
      </c>
      <c r="AC39" s="636" t="str">
        <f t="shared" si="84"/>
        <v/>
      </c>
      <c r="AD39" s="637" t="str">
        <f t="shared" si="115"/>
        <v/>
      </c>
      <c r="AE39" s="629" t="str">
        <f t="shared" si="85"/>
        <v/>
      </c>
      <c r="AF39" s="633" t="str">
        <f t="shared" si="86"/>
        <v/>
      </c>
      <c r="AG39" s="602" t="str">
        <f t="shared" si="87"/>
        <v/>
      </c>
      <c r="AH39" s="603" t="str">
        <f t="shared" si="88"/>
        <v/>
      </c>
      <c r="AI39" s="585" t="str">
        <f t="shared" si="89"/>
        <v/>
      </c>
      <c r="AJ39" s="586" t="str">
        <f t="shared" si="90"/>
        <v/>
      </c>
      <c r="AK39" s="635" t="str">
        <f t="shared" si="211"/>
        <v/>
      </c>
      <c r="AL39" s="629" t="str">
        <f t="shared" si="91"/>
        <v/>
      </c>
      <c r="AM39" s="634" t="str">
        <f t="shared" si="92"/>
        <v/>
      </c>
      <c r="AN39" s="581" t="str">
        <f t="shared" si="93"/>
        <v/>
      </c>
      <c r="AO39" s="582" t="str">
        <f t="shared" si="94"/>
        <v/>
      </c>
      <c r="AP39" s="585" t="str">
        <f t="shared" si="95"/>
        <v/>
      </c>
      <c r="AQ39" s="586" t="str">
        <f t="shared" si="9"/>
        <v/>
      </c>
      <c r="AS39" s="52" t="str">
        <f t="shared" si="116"/>
        <v/>
      </c>
      <c r="AT39" s="72" t="str">
        <f t="shared" si="10"/>
        <v/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210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 t="str">
        <f t="shared" si="112"/>
        <v/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/>
      <c r="C40" s="708"/>
      <c r="D40" s="709"/>
      <c r="E40" s="710"/>
      <c r="F40" s="708"/>
      <c r="G40" s="711"/>
      <c r="H40" s="710"/>
      <c r="I40" s="708"/>
      <c r="J40" s="570"/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/>
      </c>
      <c r="L40" s="320"/>
      <c r="M40" s="168" t="str">
        <f t="shared" si="1"/>
        <v/>
      </c>
      <c r="N40" s="632" t="str">
        <f t="shared" si="2"/>
        <v/>
      </c>
      <c r="O40" s="629" t="str">
        <f t="shared" si="3"/>
        <v/>
      </c>
      <c r="P40" s="633" t="str">
        <f t="shared" si="4"/>
        <v/>
      </c>
      <c r="Q40" s="585" t="str">
        <f t="shared" si="113"/>
        <v/>
      </c>
      <c r="R40" s="629" t="str">
        <f t="shared" si="79"/>
        <v/>
      </c>
      <c r="S40" s="634" t="str">
        <f t="shared" si="80"/>
        <v/>
      </c>
      <c r="T40" s="635" t="str">
        <f t="shared" si="81"/>
        <v/>
      </c>
      <c r="U40" s="629" t="str">
        <f t="shared" si="82"/>
        <v/>
      </c>
      <c r="V40" s="636" t="str">
        <f t="shared" si="114"/>
        <v/>
      </c>
      <c r="W40" s="585" t="str">
        <f t="shared" si="224"/>
        <v/>
      </c>
      <c r="X40" s="629" t="str">
        <f t="shared" si="83"/>
        <v/>
      </c>
      <c r="Y40" s="630" t="str">
        <f t="shared" si="223"/>
        <v/>
      </c>
      <c r="Z40" s="632" t="str">
        <f t="shared" si="6"/>
        <v/>
      </c>
      <c r="AA40" s="629" t="str">
        <f t="shared" si="7"/>
        <v/>
      </c>
      <c r="AB40" s="629" t="str">
        <f t="shared" si="8"/>
        <v/>
      </c>
      <c r="AC40" s="636" t="str">
        <f t="shared" si="84"/>
        <v/>
      </c>
      <c r="AD40" s="637" t="str">
        <f t="shared" si="115"/>
        <v/>
      </c>
      <c r="AE40" s="629" t="str">
        <f t="shared" si="85"/>
        <v/>
      </c>
      <c r="AF40" s="633" t="str">
        <f t="shared" si="86"/>
        <v/>
      </c>
      <c r="AG40" s="602" t="str">
        <f t="shared" si="87"/>
        <v/>
      </c>
      <c r="AH40" s="603" t="str">
        <f t="shared" si="88"/>
        <v/>
      </c>
      <c r="AI40" s="585" t="str">
        <f t="shared" si="89"/>
        <v/>
      </c>
      <c r="AJ40" s="586" t="str">
        <f t="shared" si="90"/>
        <v/>
      </c>
      <c r="AK40" s="635" t="str">
        <f t="shared" si="211"/>
        <v/>
      </c>
      <c r="AL40" s="629" t="str">
        <f t="shared" si="91"/>
        <v/>
      </c>
      <c r="AM40" s="634" t="str">
        <f t="shared" si="92"/>
        <v/>
      </c>
      <c r="AN40" s="581" t="str">
        <f t="shared" si="93"/>
        <v/>
      </c>
      <c r="AO40" s="582" t="str">
        <f t="shared" si="94"/>
        <v/>
      </c>
      <c r="AP40" s="585" t="str">
        <f t="shared" si="95"/>
        <v/>
      </c>
      <c r="AQ40" s="586" t="str">
        <f t="shared" si="9"/>
        <v/>
      </c>
      <c r="AS40" s="52" t="str">
        <f t="shared" si="116"/>
        <v/>
      </c>
      <c r="AT40" s="72" t="str">
        <f t="shared" si="10"/>
        <v/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210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 t="str">
        <f t="shared" si="112"/>
        <v/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/>
      <c r="C41" s="708"/>
      <c r="D41" s="709"/>
      <c r="E41" s="710"/>
      <c r="F41" s="708"/>
      <c r="G41" s="711"/>
      <c r="H41" s="710"/>
      <c r="I41" s="708"/>
      <c r="J41" s="570"/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/>
      </c>
      <c r="L41" s="320"/>
      <c r="M41" s="168" t="str">
        <f t="shared" ref="M41:M72" si="239">IF(J41="","",VALUE(J41))</f>
        <v/>
      </c>
      <c r="N41" s="632" t="str">
        <f t="shared" ref="N41:N72" si="240">IF(M41="","",B41)</f>
        <v/>
      </c>
      <c r="O41" s="629" t="str">
        <f t="shared" ref="O41:O72" si="241">IF(M41="","",C41)</f>
        <v/>
      </c>
      <c r="P41" s="633" t="str">
        <f t="shared" ref="P41:P72" si="242">IF(M41="","",D41)</f>
        <v/>
      </c>
      <c r="Q41" s="585" t="str">
        <f t="shared" si="113"/>
        <v/>
      </c>
      <c r="R41" s="629" t="str">
        <f t="shared" si="79"/>
        <v/>
      </c>
      <c r="S41" s="634" t="str">
        <f t="shared" si="80"/>
        <v/>
      </c>
      <c r="T41" s="635" t="str">
        <f t="shared" si="81"/>
        <v/>
      </c>
      <c r="U41" s="629" t="str">
        <f t="shared" si="82"/>
        <v/>
      </c>
      <c r="V41" s="636" t="str">
        <f t="shared" si="114"/>
        <v/>
      </c>
      <c r="W41" s="585" t="str">
        <f t="shared" si="224"/>
        <v/>
      </c>
      <c r="X41" s="629" t="str">
        <f t="shared" si="83"/>
        <v/>
      </c>
      <c r="Y41" s="630" t="str">
        <f t="shared" si="223"/>
        <v/>
      </c>
      <c r="Z41" s="632" t="str">
        <f t="shared" ref="Z41:Z72" si="243">IF(M41="","",-E41)</f>
        <v/>
      </c>
      <c r="AA41" s="629" t="str">
        <f t="shared" ref="AA41:AA72" si="244">IF(M41="","",-F41)</f>
        <v/>
      </c>
      <c r="AB41" s="629" t="str">
        <f t="shared" ref="AB41:AB72" si="245">IF(M41="","",-G41)</f>
        <v/>
      </c>
      <c r="AC41" s="636" t="str">
        <f t="shared" si="84"/>
        <v/>
      </c>
      <c r="AD41" s="637" t="str">
        <f t="shared" si="115"/>
        <v/>
      </c>
      <c r="AE41" s="629" t="str">
        <f t="shared" si="85"/>
        <v/>
      </c>
      <c r="AF41" s="633" t="str">
        <f t="shared" si="86"/>
        <v/>
      </c>
      <c r="AG41" s="602" t="str">
        <f t="shared" si="87"/>
        <v/>
      </c>
      <c r="AH41" s="603" t="str">
        <f t="shared" si="88"/>
        <v/>
      </c>
      <c r="AI41" s="585" t="str">
        <f t="shared" si="89"/>
        <v/>
      </c>
      <c r="AJ41" s="586" t="str">
        <f t="shared" si="90"/>
        <v/>
      </c>
      <c r="AK41" s="635" t="str">
        <f t="shared" si="211"/>
        <v/>
      </c>
      <c r="AL41" s="629" t="str">
        <f t="shared" si="91"/>
        <v/>
      </c>
      <c r="AM41" s="634" t="str">
        <f t="shared" si="92"/>
        <v/>
      </c>
      <c r="AN41" s="581" t="str">
        <f t="shared" si="93"/>
        <v/>
      </c>
      <c r="AO41" s="582" t="str">
        <f t="shared" si="94"/>
        <v/>
      </c>
      <c r="AP41" s="585" t="str">
        <f t="shared" si="95"/>
        <v/>
      </c>
      <c r="AQ41" s="586" t="str">
        <f t="shared" ref="AQ41:AQ72" si="246">IF(M41="","",DEGREES(ATAN(($AS$5*SIN(RADIANS(90)))/(($X41*2*PI())-($AS$5*COS(RADIANS(90)))))))</f>
        <v/>
      </c>
      <c r="AS41" s="52" t="str">
        <f t="shared" si="116"/>
        <v/>
      </c>
      <c r="AT41" s="72" t="str">
        <f t="shared" ref="AT41:AT72" si="247">IF(M41="","",Y41+(((AS41-$AS$9)*$AS$6)*-1))</f>
        <v/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210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 t="str">
        <f t="shared" si="112"/>
        <v/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/>
      <c r="C42" s="708"/>
      <c r="D42" s="709"/>
      <c r="E42" s="710"/>
      <c r="F42" s="708"/>
      <c r="G42" s="711"/>
      <c r="H42" s="710"/>
      <c r="I42" s="708"/>
      <c r="J42" s="570"/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/>
      </c>
      <c r="L42" s="320"/>
      <c r="M42" s="168" t="str">
        <f t="shared" si="239"/>
        <v/>
      </c>
      <c r="N42" s="632" t="str">
        <f t="shared" si="240"/>
        <v/>
      </c>
      <c r="O42" s="629" t="str">
        <f t="shared" si="241"/>
        <v/>
      </c>
      <c r="P42" s="633" t="str">
        <f t="shared" si="242"/>
        <v/>
      </c>
      <c r="Q42" s="585" t="str">
        <f t="shared" si="113"/>
        <v/>
      </c>
      <c r="R42" s="629" t="str">
        <f t="shared" ref="R42:R47" si="385">IF(M42="","",SQRT(N42^2+O42^2))</f>
        <v/>
      </c>
      <c r="S42" s="634" t="str">
        <f t="shared" ref="S42:S47" si="386">IF(M42="","",P42)</f>
        <v/>
      </c>
      <c r="T42" s="635" t="str">
        <f t="shared" ref="T42:T47" si="387">IF(M42="","",X42*COS(RADIANS(W42)))</f>
        <v/>
      </c>
      <c r="U42" s="629" t="str">
        <f t="shared" ref="U42:U47" si="388">IF(M42="","",X42*SIN(RADIANS(W42)))</f>
        <v/>
      </c>
      <c r="V42" s="636" t="str">
        <f t="shared" ref="V42:V47" si="389">IF(M42="","",Y42)</f>
        <v/>
      </c>
      <c r="W42" s="585" t="str">
        <f t="shared" si="224"/>
        <v/>
      </c>
      <c r="X42" s="629" t="str">
        <f t="shared" ref="X42:X47" si="390">IF(M42="","",R42)</f>
        <v/>
      </c>
      <c r="Y42" s="630" t="str">
        <f t="shared" si="223"/>
        <v/>
      </c>
      <c r="Z42" s="632" t="str">
        <f t="shared" si="243"/>
        <v/>
      </c>
      <c r="AA42" s="629" t="str">
        <f t="shared" si="244"/>
        <v/>
      </c>
      <c r="AB42" s="629" t="str">
        <f t="shared" si="245"/>
        <v/>
      </c>
      <c r="AC42" s="636" t="str">
        <f t="shared" ref="AC42:AC47" si="391">IF(M42="","",SQRT(Z42^2+AA42^2+AB42^2))</f>
        <v/>
      </c>
      <c r="AD42" s="637" t="str">
        <f t="shared" ref="AD42:AD47" si="392">IF(M42="","",Z42*(1/SQRT(Z42^2+AA42^2+AB42^2)))</f>
        <v/>
      </c>
      <c r="AE42" s="629" t="str">
        <f t="shared" ref="AE42:AE47" si="393">IF(M42="","",AA42*(1/SQRT(Z42^2+AA42^2+AB42^2)))</f>
        <v/>
      </c>
      <c r="AF42" s="633" t="str">
        <f t="shared" ref="AF42:AF47" si="394">IF(M42="","",AB42*(1/SQRT(Z42^2+AA42^2+AB42^2)))</f>
        <v/>
      </c>
      <c r="AG42" s="602" t="str">
        <f t="shared" ref="AG42:AG47" si="395">IF(M42="","",DEGREES(ATAN2(-AF42,AE42)))</f>
        <v/>
      </c>
      <c r="AH42" s="603" t="str">
        <f t="shared" ref="AH42:AH47" si="396">IF(M42="","",DEGREES(ACOS(AD42)))</f>
        <v/>
      </c>
      <c r="AI42" s="585" t="str">
        <f t="shared" ref="AI42:AI47" si="397">IF(M42="","",DEGREES(-ACOS(-AF42)))</f>
        <v/>
      </c>
      <c r="AJ42" s="586" t="str">
        <f t="shared" ref="AJ42:AJ47" si="398">IF(M42="","",DEGREES(ATAN2(-AE42,AD42)))</f>
        <v/>
      </c>
      <c r="AK42" s="635" t="str">
        <f t="shared" ref="AK42:AK47" si="399">IF(M42="","",(COS(RADIANS((90-$Q$8)-W42))*AD42)+(-SIN(RADIANS((90-$Q$8)-W42))*AE42))</f>
        <v/>
      </c>
      <c r="AL42" s="629" t="str">
        <f t="shared" ref="AL42:AL47" si="400">IF(M42="","",(SIN(RADIANS((90-$Q$8)-W42))*AD42)+(COS(RADIANS((90-$Q$8)-W42))*AE42))</f>
        <v/>
      </c>
      <c r="AM42" s="634" t="str">
        <f t="shared" ref="AM42:AM47" si="401">IF(M42="","",AF42)</f>
        <v/>
      </c>
      <c r="AN42" s="581" t="str">
        <f t="shared" ref="AN42:AN47" si="402">IF(M42="","",DEGREES(ATAN2(-AM42,AL42)))</f>
        <v/>
      </c>
      <c r="AO42" s="582" t="str">
        <f t="shared" si="94"/>
        <v/>
      </c>
      <c r="AP42" s="585" t="str">
        <f t="shared" ref="AP42:AP47" si="403">IF(M42="","",DEGREES(ATAN2(AK42,AL42)))</f>
        <v/>
      </c>
      <c r="AQ42" s="586" t="str">
        <f t="shared" si="246"/>
        <v/>
      </c>
      <c r="AS42" s="52" t="str">
        <f t="shared" si="116"/>
        <v/>
      </c>
      <c r="AT42" s="72" t="str">
        <f t="shared" si="247"/>
        <v/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210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 t="str">
        <f t="shared" si="112"/>
        <v/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0.97629601393762733</v>
      </c>
      <c r="F155" s="170">
        <f t="shared" si="929"/>
        <v>0</v>
      </c>
      <c r="G155" s="170">
        <f t="shared" si="929"/>
        <v>-0.21643958318547055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0.97544581053393298</v>
      </c>
      <c r="F156" s="170">
        <f t="shared" si="929"/>
        <v>-4.1530226205037234E-2</v>
      </c>
      <c r="G156" s="170">
        <f t="shared" si="929"/>
        <v>-0.21628849026972508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0.9420331545157794</v>
      </c>
      <c r="F157" s="170">
        <f t="shared" si="929"/>
        <v>-0.24014011795754212</v>
      </c>
      <c r="G157" s="170">
        <f t="shared" si="929"/>
        <v>-0.23432084743015832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0.87642534685598583</v>
      </c>
      <c r="F158" s="170">
        <f t="shared" si="929"/>
        <v>-0.4584532191089899</v>
      </c>
      <c r="G158" s="170">
        <f t="shared" si="929"/>
        <v>-0.1473066776387596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0.83006837223625518</v>
      </c>
      <c r="F159" s="170">
        <f t="shared" si="929"/>
        <v>-0.55424189696781079</v>
      </c>
      <c r="G159" s="170">
        <f t="shared" si="929"/>
        <v>-6.1663741847025694E-2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0.82775186904958986</v>
      </c>
      <c r="F160" s="170">
        <f t="shared" si="929"/>
        <v>-0.51036276772392053</v>
      </c>
      <c r="G160" s="170">
        <f t="shared" si="929"/>
        <v>-0.2331452092711544</v>
      </c>
      <c r="H160" s="139"/>
      <c r="I160" s="86"/>
      <c r="J160" s="79">
        <f t="shared" si="930"/>
        <v>1.2090000000000001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0.69563302767516666</v>
      </c>
      <c r="F161" s="170">
        <f t="shared" si="929"/>
        <v>-0.69461858100235874</v>
      </c>
      <c r="G161" s="170">
        <f t="shared" si="929"/>
        <v>-0.18330225785229901</v>
      </c>
      <c r="H161" s="139"/>
      <c r="I161" s="86"/>
      <c r="J161" s="79">
        <f t="shared" si="930"/>
        <v>1.212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-0.40305820552212301</v>
      </c>
      <c r="F162" s="170">
        <f t="shared" si="929"/>
        <v>-0.86436111111035774</v>
      </c>
      <c r="G162" s="170">
        <f t="shared" si="929"/>
        <v>-0.30070575744630179</v>
      </c>
      <c r="H162" s="139"/>
      <c r="I162" s="86"/>
      <c r="J162" s="79">
        <f t="shared" si="930"/>
        <v>2.1019999999999999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-0.41260052435469358</v>
      </c>
      <c r="F163" s="170">
        <f t="shared" si="929"/>
        <v>-0.88482467988451352</v>
      </c>
      <c r="G163" s="170">
        <f t="shared" si="929"/>
        <v>-0.21643958318547055</v>
      </c>
      <c r="H163" s="139"/>
      <c r="I163" s="86"/>
      <c r="J163" s="79">
        <f t="shared" si="930"/>
        <v>2.105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-0.48541845189852928</v>
      </c>
      <c r="F164" s="170">
        <f t="shared" si="929"/>
        <v>-0.84794038458353005</v>
      </c>
      <c r="G164" s="170">
        <f t="shared" si="929"/>
        <v>-0.21299302981264562</v>
      </c>
      <c r="H164" s="139"/>
      <c r="I164" s="86"/>
      <c r="J164" s="79">
        <f t="shared" si="930"/>
        <v>2.1080000000000001</v>
      </c>
    </row>
    <row r="165" spans="5:16" x14ac:dyDescent="0.25">
      <c r="E165" s="170">
        <f t="shared" si="929"/>
        <v>-0.68484109203177679</v>
      </c>
      <c r="F165" s="170">
        <f t="shared" si="929"/>
        <v>-0.69704063298065611</v>
      </c>
      <c r="G165" s="170">
        <f t="shared" si="929"/>
        <v>-0.21243124685095166</v>
      </c>
      <c r="H165" s="139"/>
      <c r="I165" s="86"/>
      <c r="J165" s="79">
        <f t="shared" si="930"/>
        <v>2.1110000000000002</v>
      </c>
    </row>
    <row r="166" spans="5:16" x14ac:dyDescent="0.25">
      <c r="E166" s="170">
        <f t="shared" si="929"/>
        <v>-0.82748016731038265</v>
      </c>
      <c r="F166" s="170">
        <f t="shared" si="929"/>
        <v>-0.5551643014478761</v>
      </c>
      <c r="G166" s="170">
        <f t="shared" si="929"/>
        <v>-8.4078362887683528E-2</v>
      </c>
      <c r="H166" s="139"/>
      <c r="I166" s="86"/>
      <c r="J166" s="79">
        <f t="shared" si="930"/>
        <v>2.1139999999999999</v>
      </c>
    </row>
    <row r="167" spans="5:16" x14ac:dyDescent="0.25">
      <c r="E167" s="170">
        <f t="shared" si="929"/>
        <v>-0.85311579972430929</v>
      </c>
      <c r="F167" s="170">
        <f t="shared" si="929"/>
        <v>-0.51806468245015092</v>
      </c>
      <c r="G167" s="170">
        <f t="shared" si="929"/>
        <v>-6.1663741847025687E-2</v>
      </c>
      <c r="H167" s="139"/>
      <c r="I167" s="86"/>
      <c r="J167" s="79">
        <f t="shared" si="930"/>
        <v>2.117</v>
      </c>
    </row>
    <row r="168" spans="5:16" x14ac:dyDescent="0.25">
      <c r="E168" s="170">
        <f t="shared" si="929"/>
        <v>-0.85178770479640054</v>
      </c>
      <c r="F168" s="170">
        <f t="shared" si="929"/>
        <v>-0.46856317228020877</v>
      </c>
      <c r="G168" s="170">
        <f t="shared" si="929"/>
        <v>-0.23432084743015832</v>
      </c>
      <c r="H168" s="139"/>
      <c r="I168" s="86"/>
      <c r="J168" s="79">
        <f t="shared" si="930"/>
        <v>2.21</v>
      </c>
    </row>
    <row r="169" spans="5:16" x14ac:dyDescent="0.25">
      <c r="E169" s="170">
        <f t="shared" si="929"/>
        <v>-0.94840305487799637</v>
      </c>
      <c r="F169" s="170">
        <f t="shared" si="929"/>
        <v>-0.28077106015598374</v>
      </c>
      <c r="G169" s="170">
        <f t="shared" si="929"/>
        <v>-0.14730667763875982</v>
      </c>
      <c r="H169" s="139"/>
      <c r="I169" s="86"/>
      <c r="J169" s="79">
        <f t="shared" si="930"/>
        <v>2.2130000000000001</v>
      </c>
    </row>
    <row r="170" spans="5:16" x14ac:dyDescent="0.25">
      <c r="E170" s="170">
        <f t="shared" si="929"/>
        <v>-0.62088515930332633</v>
      </c>
      <c r="F170" s="170">
        <f t="shared" si="929"/>
        <v>0.73994211918816732</v>
      </c>
      <c r="G170" s="170">
        <f t="shared" si="929"/>
        <v>-0.25881900859134604</v>
      </c>
      <c r="H170" s="139"/>
      <c r="I170" s="86"/>
      <c r="J170" s="79">
        <f t="shared" si="930"/>
        <v>3.1030000000000002</v>
      </c>
    </row>
    <row r="171" spans="5:16" x14ac:dyDescent="0.25">
      <c r="E171" s="170">
        <f t="shared" si="929"/>
        <v>-0.61654912042407173</v>
      </c>
      <c r="F171" s="170">
        <f t="shared" si="929"/>
        <v>0.75698731338091141</v>
      </c>
      <c r="G171" s="170">
        <f t="shared" si="929"/>
        <v>-0.21641947575172976</v>
      </c>
      <c r="H171" s="139"/>
      <c r="I171" s="86"/>
      <c r="J171" s="79">
        <f t="shared" si="930"/>
        <v>3.1059999999999999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-0.49624672193631986</v>
      </c>
      <c r="F172" s="170">
        <f t="shared" si="929"/>
        <v>0.83629091969324065</v>
      </c>
      <c r="G172" s="170">
        <f t="shared" si="929"/>
        <v>-0.23314520927115437</v>
      </c>
      <c r="H172" s="139"/>
      <c r="I172" s="86"/>
      <c r="J172" s="79">
        <f t="shared" si="930"/>
        <v>3.109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-0.27353584973243938</v>
      </c>
      <c r="F173" s="170">
        <f t="shared" si="929"/>
        <v>0.944234304173176</v>
      </c>
      <c r="G173" s="170">
        <f t="shared" si="929"/>
        <v>-0.18330225785229914</v>
      </c>
      <c r="H173" s="139"/>
      <c r="I173" s="86"/>
      <c r="J173" s="79">
        <f t="shared" si="930"/>
        <v>3.1120000000000001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-0.1089837395502265</v>
      </c>
      <c r="F174" s="170">
        <f t="shared" si="933"/>
        <v>0.99212908810047096</v>
      </c>
      <c r="G174" s="170">
        <f t="shared" si="933"/>
        <v>-6.1663741847025708E-2</v>
      </c>
      <c r="H174" s="139"/>
      <c r="I174" s="86"/>
      <c r="J174" s="79">
        <f t="shared" si="930"/>
        <v>3.1150000000000002</v>
      </c>
    </row>
    <row r="175" spans="5:16" x14ac:dyDescent="0.25">
      <c r="E175" s="170">
        <f t="shared" si="933"/>
        <v>1.5897815206164154E-2</v>
      </c>
      <c r="F175" s="170">
        <f t="shared" si="933"/>
        <v>0.97704668508368664</v>
      </c>
      <c r="G175" s="170">
        <f t="shared" si="933"/>
        <v>-0.21243124685095172</v>
      </c>
      <c r="H175" s="139"/>
      <c r="I175" s="86"/>
      <c r="J175" s="79">
        <f t="shared" si="930"/>
        <v>3.2109999999999999</v>
      </c>
    </row>
    <row r="176" spans="5:16" x14ac:dyDescent="0.25">
      <c r="E176" s="170">
        <f t="shared" si="933"/>
        <v>0.20540537763711858</v>
      </c>
      <c r="F176" s="170">
        <f t="shared" si="933"/>
        <v>0.97505869553164848</v>
      </c>
      <c r="G176" s="170">
        <f t="shared" si="933"/>
        <v>-8.407836288768343E-2</v>
      </c>
      <c r="H176" s="139"/>
      <c r="I176" s="86"/>
      <c r="J176" s="79">
        <f t="shared" si="930"/>
        <v>3.214</v>
      </c>
    </row>
    <row r="177" spans="5:10" x14ac:dyDescent="0.25">
      <c r="E177" s="170">
        <f t="shared" si="933"/>
        <v>0</v>
      </c>
      <c r="F177" s="170">
        <f t="shared" si="933"/>
        <v>0</v>
      </c>
      <c r="G177" s="170">
        <f t="shared" si="933"/>
        <v>0</v>
      </c>
      <c r="H177" s="139"/>
      <c r="I177" s="86"/>
      <c r="J177" s="79">
        <f t="shared" si="930"/>
        <v>0</v>
      </c>
    </row>
    <row r="178" spans="5:10" x14ac:dyDescent="0.25">
      <c r="E178" s="170">
        <f t="shared" si="933"/>
        <v>0</v>
      </c>
      <c r="F178" s="170">
        <f t="shared" si="933"/>
        <v>0</v>
      </c>
      <c r="G178" s="170">
        <f t="shared" si="933"/>
        <v>0</v>
      </c>
      <c r="H178" s="139"/>
      <c r="I178" s="86"/>
      <c r="J178" s="79">
        <f t="shared" si="930"/>
        <v>0</v>
      </c>
    </row>
    <row r="179" spans="5:10" x14ac:dyDescent="0.25">
      <c r="E179" s="170">
        <f t="shared" si="933"/>
        <v>0</v>
      </c>
      <c r="F179" s="170">
        <f t="shared" si="933"/>
        <v>0</v>
      </c>
      <c r="G179" s="170">
        <f t="shared" si="933"/>
        <v>0</v>
      </c>
      <c r="H179" s="139"/>
      <c r="I179" s="86"/>
      <c r="J179" s="79">
        <f t="shared" si="930"/>
        <v>0</v>
      </c>
    </row>
    <row r="180" spans="5:10" x14ac:dyDescent="0.25">
      <c r="E180" s="170">
        <f t="shared" si="933"/>
        <v>0</v>
      </c>
      <c r="F180" s="170">
        <f t="shared" si="933"/>
        <v>0</v>
      </c>
      <c r="G180" s="170">
        <f t="shared" si="933"/>
        <v>0</v>
      </c>
      <c r="H180" s="139"/>
      <c r="I180" s="86"/>
      <c r="J180" s="79">
        <f t="shared" si="930"/>
        <v>0</v>
      </c>
    </row>
    <row r="181" spans="5:10" x14ac:dyDescent="0.25">
      <c r="E181" s="170">
        <f t="shared" si="933"/>
        <v>0</v>
      </c>
      <c r="F181" s="170">
        <f t="shared" si="933"/>
        <v>0</v>
      </c>
      <c r="G181" s="170">
        <f t="shared" si="933"/>
        <v>0</v>
      </c>
      <c r="H181" s="139"/>
      <c r="I181" s="86"/>
      <c r="J181" s="79">
        <f t="shared" si="930"/>
        <v>0</v>
      </c>
    </row>
    <row r="182" spans="5:10" x14ac:dyDescent="0.25">
      <c r="E182" s="170">
        <f t="shared" si="933"/>
        <v>0</v>
      </c>
      <c r="F182" s="170">
        <f t="shared" si="933"/>
        <v>0</v>
      </c>
      <c r="G182" s="170">
        <f t="shared" si="933"/>
        <v>0</v>
      </c>
      <c r="H182" s="139"/>
      <c r="I182" s="86"/>
      <c r="J182" s="79">
        <f t="shared" si="930"/>
        <v>0</v>
      </c>
    </row>
    <row r="183" spans="5:10" x14ac:dyDescent="0.25">
      <c r="E183" s="170">
        <f t="shared" si="933"/>
        <v>0</v>
      </c>
      <c r="F183" s="170">
        <f t="shared" si="933"/>
        <v>0</v>
      </c>
      <c r="G183" s="170">
        <f t="shared" si="933"/>
        <v>0</v>
      </c>
      <c r="H183" s="139"/>
      <c r="I183" s="86"/>
      <c r="J183" s="79">
        <f t="shared" si="930"/>
        <v>0</v>
      </c>
    </row>
    <row r="184" spans="5:10" x14ac:dyDescent="0.25">
      <c r="E184" s="170">
        <f t="shared" si="933"/>
        <v>0</v>
      </c>
      <c r="F184" s="170">
        <f t="shared" si="933"/>
        <v>0</v>
      </c>
      <c r="G184" s="170">
        <f t="shared" si="933"/>
        <v>0</v>
      </c>
      <c r="H184" s="139"/>
      <c r="I184" s="86"/>
      <c r="J184" s="79">
        <f t="shared" si="930"/>
        <v>0</v>
      </c>
    </row>
    <row r="185" spans="5:10" x14ac:dyDescent="0.25">
      <c r="E185" s="170">
        <f t="shared" si="933"/>
        <v>0</v>
      </c>
      <c r="F185" s="170">
        <f t="shared" si="933"/>
        <v>0</v>
      </c>
      <c r="G185" s="170">
        <f t="shared" si="933"/>
        <v>0</v>
      </c>
      <c r="H185" s="139"/>
      <c r="I185" s="86"/>
      <c r="J185" s="79">
        <f t="shared" si="930"/>
        <v>0</v>
      </c>
    </row>
    <row r="186" spans="5:10" x14ac:dyDescent="0.25">
      <c r="E186" s="170">
        <f t="shared" si="933"/>
        <v>0</v>
      </c>
      <c r="F186" s="170">
        <f t="shared" si="933"/>
        <v>0</v>
      </c>
      <c r="G186" s="170">
        <f t="shared" si="933"/>
        <v>0</v>
      </c>
      <c r="H186" s="139"/>
      <c r="I186" s="86"/>
      <c r="J186" s="79">
        <f t="shared" si="930"/>
        <v>0</v>
      </c>
    </row>
    <row r="187" spans="5:10" x14ac:dyDescent="0.25">
      <c r="E187" s="170">
        <f t="shared" si="933"/>
        <v>0</v>
      </c>
      <c r="F187" s="170">
        <f t="shared" si="933"/>
        <v>0</v>
      </c>
      <c r="G187" s="170">
        <f t="shared" si="933"/>
        <v>0</v>
      </c>
      <c r="H187" s="139"/>
      <c r="I187" s="86"/>
      <c r="J187" s="79">
        <f t="shared" si="930"/>
        <v>0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1F4D9A16-48B6-434E-A7ED-5552410CB65A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38251AA2-DB53-450E-89D4-A98D0A4ADF3C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6.125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1313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1313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1313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1313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1.2090000000000001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1.212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2.1019999999999999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2.105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2.1080000000000001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2.1110000000000002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2.1139999999999999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2.117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2.21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2.2130000000000001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3.1030000000000002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3.1059999999999999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3.109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3.1120000000000001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3.1150000000000002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3.2109999999999999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3.214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 t="str">
        <f>Assy.Model!$M32</f>
        <v/>
      </c>
      <c r="N187" s="869" t="str">
        <f>Assy.Model!K32</f>
        <v/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 t="str">
        <f>Assy.Model!$M33</f>
        <v/>
      </c>
      <c r="N188" s="869" t="str">
        <f>Assy.Model!K33</f>
        <v/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 t="str">
        <f>Assy.Model!$M34</f>
        <v/>
      </c>
      <c r="N189" s="869" t="str">
        <f>Assy.Model!K34</f>
        <v/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 t="str">
        <f>Assy.Model!$M35</f>
        <v/>
      </c>
      <c r="N190" s="869" t="str">
        <f>Assy.Model!K35</f>
        <v/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 t="str">
        <f>Assy.Model!$M36</f>
        <v/>
      </c>
      <c r="N191" s="869" t="str">
        <f>Assy.Model!K36</f>
        <v/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 t="str">
        <f>Assy.Model!$M37</f>
        <v/>
      </c>
      <c r="N192" s="869" t="str">
        <f>Assy.Model!K37</f>
        <v/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 t="str">
        <f>Assy.Model!$M38</f>
        <v/>
      </c>
      <c r="N193" s="869" t="str">
        <f>Assy.Model!K38</f>
        <v/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 t="str">
        <f>Assy.Model!$M39</f>
        <v/>
      </c>
      <c r="N194" s="869" t="str">
        <f>Assy.Model!K39</f>
        <v/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 t="str">
        <f>Assy.Model!$M40</f>
        <v/>
      </c>
      <c r="N195" s="869" t="str">
        <f>Assy.Model!K40</f>
        <v/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 t="str">
        <f>Assy.Model!$M41</f>
        <v/>
      </c>
      <c r="N196" s="869" t="str">
        <f>Assy.Model!K41</f>
        <v/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 t="str">
        <f>Assy.Model!$M42</f>
        <v/>
      </c>
      <c r="N197" s="869" t="str">
        <f>Assy.Model!K42</f>
        <v/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2023-03-28T19:05:24Z</dcterms:modified>
</cp:coreProperties>
</file>