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10\"/>
    </mc:Choice>
  </mc:AlternateContent>
  <xr:revisionPtr revIDLastSave="0" documentId="13_ncr:1_{18F390E5-2B8D-40BA-BB95-6D5FBCB5BA0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20" i="1"/>
  <c r="L15" i="1"/>
  <c r="L13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P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Q69" i="1"/>
  <c r="IN69" i="1"/>
  <c r="IR69" i="1"/>
  <c r="IW69" i="1"/>
  <c r="IP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T11" i="1"/>
  <c r="IR11" i="1"/>
  <c r="IX11" i="1"/>
  <c r="IL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Q50" i="1"/>
  <c r="IN50" i="1"/>
  <c r="IP50" i="1"/>
  <c r="IR50" i="1"/>
  <c r="IK48" i="1"/>
  <c r="IP48" i="1"/>
  <c r="IW48" i="1"/>
  <c r="IR48" i="1"/>
  <c r="IN48" i="1"/>
  <c r="IQ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P32" i="1"/>
  <c r="IN32" i="1"/>
  <c r="IR32" i="1"/>
  <c r="IQ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P11" i="1" l="1"/>
  <c r="IY11" i="1"/>
  <c r="IF11" i="1" s="1"/>
  <c r="IQ11" i="1"/>
  <c r="IN11" i="1"/>
  <c r="IK11" i="1"/>
  <c r="JA23" i="1" s="1" a="1"/>
  <c r="JA23" i="1" s="1"/>
  <c r="JA9" i="1" a="1"/>
  <c r="JA9" i="1" s="1"/>
  <c r="IF85" i="1"/>
  <c r="IF129" i="1"/>
  <c r="IF73" i="1"/>
  <c r="IF138" i="1"/>
  <c r="IF10" i="1"/>
  <c r="IF150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75" i="1" l="1"/>
  <c r="IV69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Q62" i="1" s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4" i="1" l="1"/>
  <c r="IV50" i="1"/>
  <c r="IQ52" i="1"/>
  <c r="IV48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4" i="1" l="1"/>
  <c r="IU50" i="1"/>
  <c r="IE50" i="1" s="1"/>
  <c r="IP52" i="1"/>
  <c r="IU48" i="1"/>
  <c r="IE48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IL69" i="1" s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50" i="1" s="1"/>
  <c r="W39" i="1"/>
  <c r="IL47" i="1" s="1"/>
  <c r="W40" i="1"/>
  <c r="IL48" i="1" s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9" i="1" l="1"/>
  <c r="IL32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T69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IT48" i="1" s="1"/>
  <c r="U40" i="1"/>
  <c r="T40" i="1"/>
  <c r="T39" i="1"/>
  <c r="AL39" i="1"/>
  <c r="AN39" i="1" s="1"/>
  <c r="IT47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T32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42" i="1" l="1"/>
  <c r="IT50" i="1"/>
  <c r="IF49" i="1"/>
  <c r="IY41" i="1"/>
  <c r="IT49" i="1"/>
  <c r="IX41" i="1"/>
  <c r="IS49" i="1"/>
  <c r="IT37" i="1"/>
  <c r="IT20" i="1"/>
  <c r="IY78" i="1"/>
  <c r="IT82" i="1"/>
  <c r="IT75" i="1"/>
  <c r="IT76" i="1"/>
  <c r="IT74" i="1"/>
  <c r="IY61" i="1"/>
  <c r="IT68" i="1"/>
  <c r="IT54" i="1"/>
  <c r="IY26" i="1"/>
  <c r="IT31" i="1"/>
  <c r="IT35" i="1"/>
  <c r="IY31" i="1"/>
  <c r="IT19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IS69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IS64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AP42" i="1"/>
  <c r="AP41" i="1"/>
  <c r="AO40" i="1"/>
  <c r="IS48" i="1" s="1"/>
  <c r="AP40" i="1"/>
  <c r="AO39" i="1"/>
  <c r="IS47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7" i="1" s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IS34" i="1" s="1"/>
  <c r="AP25" i="1"/>
  <c r="AO26" i="1"/>
  <c r="IS32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18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5" i="1" l="1"/>
  <c r="IX69" i="1"/>
  <c r="IF69" i="1" s="1"/>
  <c r="IT65" i="1"/>
  <c r="IF41" i="1"/>
  <c r="IS54" i="1"/>
  <c r="IX50" i="1"/>
  <c r="IF50" i="1" s="1"/>
  <c r="IX42" i="1"/>
  <c r="IF42" i="1" s="1"/>
  <c r="IS50" i="1"/>
  <c r="IS52" i="1"/>
  <c r="IX48" i="1"/>
  <c r="IF48" i="1" s="1"/>
  <c r="IT29" i="1"/>
  <c r="IY47" i="1"/>
  <c r="IF47" i="1" s="1"/>
  <c r="IS2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<sst xmlns="http://schemas.openxmlformats.org/spreadsheetml/2006/main" count="734" uniqueCount="391">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</sst>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9.875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4.9375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9.875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39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1.111's θ about Z Axis</v>
      </c>
      <c r="U5" s="1021"/>
      <c r="V5" s="1072"/>
      <c r="W5" s="1021" t="str">
        <f>CONCATENATE("Relative to ",M8,"'s θ about Z Axis")</f>
        <v>Relative to 1.111's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89.700000043314645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-1.2000036192109154E-3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0.34160103026870731</v>
      </c>
      <c r="D9" s="704">
        <v>-0.56640170826755221</v>
      </c>
      <c r="E9" s="705">
        <v>-0.86602544158358563</v>
      </c>
      <c r="F9" s="703">
        <v>-0.12940948735077987</v>
      </c>
      <c r="G9" s="706">
        <v>0.4829628547968921</v>
      </c>
      <c r="H9" s="705">
        <v>0.314</v>
      </c>
      <c r="I9" s="703">
        <v>0.39400000000000002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1610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0.34160103026870731</v>
      </c>
      <c r="P9" s="625">
        <f t="shared" ref="P9:P40" si="4">IF(M9="","",D9)</f>
        <v>-0.56640170826755221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0.34160103026870731</v>
      </c>
      <c r="S9" s="626">
        <f>IF(M9="","",P9)</f>
        <v>-0.56640170826755221</v>
      </c>
      <c r="T9" s="627">
        <f>IF(M9="","",X9*COS(RADIANS(W9)))</f>
        <v>0.34159634768765779</v>
      </c>
      <c r="U9" s="624">
        <f>IF(M9="","",X9*SIN(RADIANS(W9)))</f>
        <v>1.7886103810215248E-3</v>
      </c>
      <c r="V9" s="628">
        <f>IF(M9="","",Y9)</f>
        <v>-0.56640170826755221</v>
      </c>
      <c r="W9" s="583">
        <f t="shared" ref="W9:W14" si="5">IF(M9="","",IF(Q9-$Q$8&lt;0,360+Q9-$Q$8,Q9-$Q$8))</f>
        <v>0.29999995668535462</v>
      </c>
      <c r="X9" s="629">
        <f>IF(M9="","",R9)</f>
        <v>0.34160103026870731</v>
      </c>
      <c r="Y9" s="630">
        <f>IF(M9="","",S9)</f>
        <v>-0.56640170826755221</v>
      </c>
      <c r="Z9" s="623">
        <f t="shared" ref="Z9:Z40" si="6">IF(M9="","",-E9)</f>
        <v>0.86602544158358563</v>
      </c>
      <c r="AA9" s="624">
        <f t="shared" ref="AA9:AA40" si="7">IF(M9="","",-F9)</f>
        <v>0.12940948735077987</v>
      </c>
      <c r="AB9" s="624">
        <f t="shared" ref="AB9:AB40" si="8">IF(M9="","",-G9)</f>
        <v>-0.4829628547968921</v>
      </c>
      <c r="AC9" s="628">
        <f>IF(M9="","",SQRT(Z9^2+AA9^2+AB9^2))</f>
        <v>1</v>
      </c>
      <c r="AD9" s="631">
        <f>IF(M9="","",Z9*(1/SQRT(Z9^2+AA9^2+AB9^2)))</f>
        <v>0.86602544158358563</v>
      </c>
      <c r="AE9" s="624">
        <f>IF(M9="","",AA9*(1/SQRT(Z9^2+AA9^2+AB9^2)))</f>
        <v>0.12940948735077987</v>
      </c>
      <c r="AF9" s="625">
        <f>IF(M9="","",AB9*(1/SQRT(Z9^2+AA9^2+AB9^2)))</f>
        <v>-0.4829628547968921</v>
      </c>
      <c r="AG9" s="599">
        <f>IF(M9="","",DEGREES(ATAN2(-AF9,AE9)))</f>
        <v>14.999997834268267</v>
      </c>
      <c r="AH9" s="600">
        <f>IF(M9="","",DEGREES(ACOS(AD9)))</f>
        <v>29.999995668536535</v>
      </c>
      <c r="AI9" s="583">
        <f>IF(M9="","",DEGREES(-ACOS(-AF9)))</f>
        <v>-61.120909800431896</v>
      </c>
      <c r="AJ9" s="601">
        <f>IF(M9="","",DEGREES(ATAN2(-AE9,AD9)))</f>
        <v>98.498778059971826</v>
      </c>
      <c r="AK9" s="627">
        <f>IF(M9="","",(COS(RADIANS((90-$Q$8)-W9))*AD9)+(-SIN(RADIANS((90-$Q$8)-W9))*AE9))</f>
        <v>0.86602544158358563</v>
      </c>
      <c r="AL9" s="624">
        <f>IF(M9="","",(SIN(RADIANS((90-$Q$8)-W9))*AD9)+(COS(RADIANS((90-$Q$8)-W9))*AE9))</f>
        <v>0.12940948735077987</v>
      </c>
      <c r="AM9" s="626">
        <f>IF(M9="","",AF9)</f>
        <v>-0.4829628547968921</v>
      </c>
      <c r="AN9" s="581">
        <f>IF(M9="","",DEGREES(ATAN2(-AM9,AL9)))</f>
        <v>14.999997834268267</v>
      </c>
      <c r="AO9" s="582">
        <f>IF(ROUND(IF(M9="",0,DEGREES(ACOS(AK9))),4)=90,0,IF(M9="","",DEGREES(ACOS(AK9))))</f>
        <v>29.999995668536535</v>
      </c>
      <c r="AP9" s="781">
        <f>IF(M9="","",DEGREES(ATAN2(AK9,AL9)))</f>
        <v>8.4987780599718281</v>
      </c>
      <c r="AQ9" s="584">
        <f t="shared" ref="AQ9:AQ40" si="9">IF(M9="","",DEGREES(ATAN(($AS$5*SIN(RADIANS(90)))/(($X9*2*PI())-($AS$5*COS(RADIANS(90)))))))</f>
        <v>6.6437156487284525</v>
      </c>
      <c r="AS9" s="51">
        <f>IF(M9="","",W9)</f>
        <v>0.29999995668535462</v>
      </c>
      <c r="AT9" s="71">
        <f t="shared" ref="AT9:AT40" si="10">IF(M9="","",Y9+(((AS9-$AS$9)*$AS$6)*-1))</f>
        <v>-0.56640170826755221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1610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30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1.0775032497498012</v>
      </c>
      <c r="D10" s="709">
        <v>-0.36920111351055834</v>
      </c>
      <c r="E10" s="710">
        <v>-0.96592583607220739</v>
      </c>
      <c r="F10" s="708">
        <v>-6.6987279208207184E-2</v>
      </c>
      <c r="G10" s="711">
        <v>0.24999996726497564</v>
      </c>
      <c r="H10" s="710">
        <v>0.314</v>
      </c>
      <c r="I10" s="708">
        <v>0.39400000000000002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1610</v>
      </c>
      <c r="M10" s="168">
        <f t="shared" si="1"/>
        <v>1.1040000000000001</v>
      </c>
      <c r="N10" s="632">
        <f t="shared" si="2"/>
        <v>0</v>
      </c>
      <c r="O10" s="629">
        <f t="shared" si="3"/>
        <v>1.0775032497498012</v>
      </c>
      <c r="P10" s="633">
        <f t="shared" si="4"/>
        <v>-0.36920111351055834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1.0775032497498012</v>
      </c>
      <c r="S10" s="634">
        <f t="shared" ref="S10:S105" si="80">IF(M10="","",P10)</f>
        <v>-0.36920111351055834</v>
      </c>
      <c r="T10" s="635">
        <f t="shared" ref="T10:T105" si="81">IF(M10="","",X10*COS(RADIANS(W10)))</f>
        <v>1.0774884796061219</v>
      </c>
      <c r="U10" s="629">
        <f t="shared" ref="U10:U105" si="82">IF(M10="","",X10*SIN(RADIANS(W10)))</f>
        <v>5.6417672293638541E-3</v>
      </c>
      <c r="V10" s="636">
        <f>IF(M10="","",Y10)</f>
        <v>-0.36920111351055834</v>
      </c>
      <c r="W10" s="585">
        <f t="shared" si="5"/>
        <v>0.29999995668535462</v>
      </c>
      <c r="X10" s="629">
        <f t="shared" ref="X10:X105" si="83">IF(M10="","",R10)</f>
        <v>1.0775032497498012</v>
      </c>
      <c r="Y10" s="630">
        <f>IF(M10="","",S10)</f>
        <v>-0.36920111351055834</v>
      </c>
      <c r="Z10" s="632">
        <f t="shared" si="6"/>
        <v>0.96592583607220739</v>
      </c>
      <c r="AA10" s="629">
        <f t="shared" si="7"/>
        <v>6.6987279208207184E-2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6.6987279208207184E-2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6.6987279208207184E-2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14.999997834268264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3.9671296450865703</v>
      </c>
      <c r="AQ10" s="586">
        <f t="shared" si="9"/>
        <v>2.1147883098850824</v>
      </c>
      <c r="AS10" s="52">
        <f>IF($M10="","",IF(AND($W10&lt;($AS$9+180),$W10&gt;($AS$9-180)),$W10,IF($W10&gt;($AS$9+180),$W10-360,IF($W10&lt;($AS$9-180),$W10+360,"Error"))))</f>
        <v>0.29999995668535462</v>
      </c>
      <c r="AT10" s="72">
        <f t="shared" si="10"/>
        <v>-0.36920111351055834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1610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1610</v>
      </c>
      <c r="JB10" s="787" cm="1">
        <f t="array" ref="JB10">IF($JA10="","",COUNT(IF(IF($II$9:$II$150="",$IJ$9:$IJ$150,"")=$JA10,$IG$9:$IG$150,"")))</f>
        <v>9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1.8133054689292942</v>
      </c>
      <c r="D11" s="709">
        <v>-0.17210051905516546</v>
      </c>
      <c r="E11" s="710">
        <v>-0.96592583607220739</v>
      </c>
      <c r="F11" s="708">
        <v>-6.6987279208207184E-2</v>
      </c>
      <c r="G11" s="711">
        <v>0.24999996726497564</v>
      </c>
      <c r="H11" s="710">
        <v>0.314</v>
      </c>
      <c r="I11" s="708">
        <v>0.39400000000000002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1610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1.8133054689292942</v>
      </c>
      <c r="P11" s="633">
        <f t="shared" si="4"/>
        <v>-0.17210051905516546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1.8133054689292942</v>
      </c>
      <c r="S11" s="634">
        <f t="shared" si="80"/>
        <v>-0.17210051905516546</v>
      </c>
      <c r="T11" s="635">
        <f t="shared" si="81"/>
        <v>1.8132806125937642</v>
      </c>
      <c r="U11" s="629">
        <f t="shared" si="82"/>
        <v>9.4944004798194689E-3</v>
      </c>
      <c r="V11" s="636">
        <f t="shared" ref="V11:V105" si="114">IF(M11="","",Y11)</f>
        <v>-0.17210051905516546</v>
      </c>
      <c r="W11" s="585">
        <f t="shared" si="5"/>
        <v>0.29999995668535462</v>
      </c>
      <c r="X11" s="629">
        <f>IF(M11="","",R11)</f>
        <v>1.8133054689292942</v>
      </c>
      <c r="Y11" s="630">
        <f>IF(M11="","",S11)</f>
        <v>-0.17210051905516546</v>
      </c>
      <c r="Z11" s="632">
        <f t="shared" si="6"/>
        <v>0.96592583607220739</v>
      </c>
      <c r="AA11" s="629">
        <f t="shared" si="7"/>
        <v>6.6987279208207184E-2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6.6987279208207184E-2</v>
      </c>
      <c r="AF11" s="633">
        <f t="shared" si="86"/>
        <v>-0.24999996726497564</v>
      </c>
      <c r="AG11" s="602">
        <f>IF(M11="","",DEGREES(ATAN2(-AF11,AE11)))</f>
        <v>14.999997834268264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6.6987279208207184E-2</v>
      </c>
      <c r="AM11" s="634">
        <f t="shared" si="92"/>
        <v>-0.24999996726497564</v>
      </c>
      <c r="AN11" s="581">
        <f>IF(M11="","",DEGREES(ATAN2(-AM11,AL11)))</f>
        <v>14.999997834268264</v>
      </c>
      <c r="AO11" s="582">
        <f>IF(ROUND(IF(M11="",0,DEGREES(ACOS(AK11))),4)=90,0,IF(M11="","",DEGREES(ACOS(AK11))))</f>
        <v>14.999997834268255</v>
      </c>
      <c r="AP11" s="585">
        <f t="shared" si="95"/>
        <v>3.9671296450865703</v>
      </c>
      <c r="AQ11" s="586">
        <f t="shared" si="9"/>
        <v>1.257019788266621</v>
      </c>
      <c r="AS11" s="52">
        <f t="shared" ref="AS11:AS42" si="116">IF(G11="","",IF(AND(W11&lt;(AS10+180),W11&gt;(AS10-180)),W11,IF(W11&gt;(AS10+180),W11-360,IF(W11&lt;(AS10-180),W11+360,"Error"))))</f>
        <v>0.29999995668535462</v>
      </c>
      <c r="AT11" s="72">
        <f t="shared" si="10"/>
        <v>-0.17210051905516546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1610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1.3694179129168219E-2</v>
      </c>
      <c r="C12" s="708">
        <v>2.6153720367163356</v>
      </c>
      <c r="D12" s="709">
        <v>-1.2000036192109154E-3</v>
      </c>
      <c r="E12" s="710">
        <v>-0.96504850314925805</v>
      </c>
      <c r="F12" s="708">
        <v>3.0375779519678237E-2</v>
      </c>
      <c r="G12" s="711">
        <v>0.26030501068544315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1.3694179129168219E-2</v>
      </c>
      <c r="O12" s="629">
        <f t="shared" si="3"/>
        <v>2.6153720367163356</v>
      </c>
      <c r="P12" s="633">
        <f t="shared" si="4"/>
        <v>-1.2000036192109154E-3</v>
      </c>
      <c r="Q12" s="585">
        <f>IF(M12="","",IF(DEGREES(ATAN2(N12,O12))&lt;0,DEGREES(ATAN2(N12,O12))+360,IF(DEGREES(ATAN2(N12,O12))&gt;360,DEGREES(ATAN2(N12,O12))-360,DEGREES(ATAN2(N12,O12)))))</f>
        <v>89.700000043314645</v>
      </c>
      <c r="R12" s="629">
        <f t="shared" si="79"/>
        <v>2.6154078880701905</v>
      </c>
      <c r="S12" s="634">
        <f t="shared" si="80"/>
        <v>-1.2000036192109154E-3</v>
      </c>
      <c r="T12" s="635">
        <f>IF(M12="","",X12*COS(RADIANS(W12)))</f>
        <v>2.6154078880701905</v>
      </c>
      <c r="U12" s="629">
        <f t="shared" si="82"/>
        <v>0</v>
      </c>
      <c r="V12" s="636">
        <f t="shared" si="114"/>
        <v>-1.2000036192109154E-3</v>
      </c>
      <c r="W12" s="585">
        <f>IF(M12="","",IF(Q12-$Q$8&lt;0,360+Q12-$Q$8,Q12-$Q$8))</f>
        <v>0</v>
      </c>
      <c r="X12" s="629">
        <f t="shared" si="83"/>
        <v>2.6154078880701905</v>
      </c>
      <c r="Y12" s="630">
        <f>IF(M12="","",S12)</f>
        <v>-1.2000036192109154E-3</v>
      </c>
      <c r="Z12" s="632">
        <f t="shared" si="6"/>
        <v>0.96504850314925805</v>
      </c>
      <c r="AA12" s="629">
        <f t="shared" si="7"/>
        <v>-3.0375779519678237E-2</v>
      </c>
      <c r="AB12" s="629">
        <f t="shared" si="8"/>
        <v>-0.26030501068544315</v>
      </c>
      <c r="AC12" s="636">
        <f t="shared" si="84"/>
        <v>1</v>
      </c>
      <c r="AD12" s="637">
        <f t="shared" si="115"/>
        <v>0.96504850314925805</v>
      </c>
      <c r="AE12" s="629">
        <f t="shared" si="85"/>
        <v>-3.0375779519678237E-2</v>
      </c>
      <c r="AF12" s="633">
        <f t="shared" si="86"/>
        <v>-0.26030501068544315</v>
      </c>
      <c r="AG12" s="602">
        <f t="shared" si="87"/>
        <v>-6.6559150698726803</v>
      </c>
      <c r="AH12" s="603">
        <f t="shared" si="88"/>
        <v>15.193003623069492</v>
      </c>
      <c r="AI12" s="585">
        <f t="shared" si="89"/>
        <v>-74.911838836295843</v>
      </c>
      <c r="AJ12" s="586">
        <f t="shared" si="90"/>
        <v>88.197158440064001</v>
      </c>
      <c r="AK12" s="635">
        <f t="shared" ref="AK12:AK105" si="211">IF(M12="","",(COS(RADIANS((90-$Q$8)-W12))*AD12)+(-SIN(RADIANS((90-$Q$8)-W12))*AE12))</f>
        <v>0.96519432096692859</v>
      </c>
      <c r="AL12" s="629">
        <f>IF(M12="","",(SIN(RADIANS((90-$Q$8)-W12))*AD12)+(COS(RADIANS((90-$Q$8)-W12))*AE12))</f>
        <v>-2.5322404807623912E-2</v>
      </c>
      <c r="AM12" s="634">
        <f t="shared" si="92"/>
        <v>-0.26030501068544315</v>
      </c>
      <c r="AN12" s="581">
        <f>IF(M12="","",DEGREES(ATAN2(-AM12,AL12)))</f>
        <v>-5.5562359110907078</v>
      </c>
      <c r="AO12" s="582">
        <f t="shared" si="94"/>
        <v>15.161091233855601</v>
      </c>
      <c r="AP12" s="585">
        <f t="shared" si="95"/>
        <v>-1.5028416032506524</v>
      </c>
      <c r="AQ12" s="586">
        <f t="shared" si="9"/>
        <v>0.87158519030363968</v>
      </c>
      <c r="AS12" s="52">
        <f t="shared" si="116"/>
        <v>0</v>
      </c>
      <c r="AT12" s="72">
        <f>IF(M12="","",Y12+(((AS12-$AS$9)*$AS$6)*-1))</f>
        <v>-9.9167031595719687E-4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6.9183627782162485E-2</v>
      </c>
      <c r="C13" s="708">
        <v>3.3875038173723717</v>
      </c>
      <c r="D13" s="709">
        <v>-0.11660035166666052</v>
      </c>
      <c r="E13" s="710">
        <v>-0.95007282306891505</v>
      </c>
      <c r="F13" s="708">
        <v>0.16860040907041612</v>
      </c>
      <c r="G13" s="711">
        <v>0.26255577107949968</v>
      </c>
      <c r="H13" s="710">
        <v>0.314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0</v>
      </c>
      <c r="M13" s="168">
        <f t="shared" si="1"/>
        <v>1.1160000000000001</v>
      </c>
      <c r="N13" s="632">
        <f t="shared" si="2"/>
        <v>6.9183627782162485E-2</v>
      </c>
      <c r="O13" s="629">
        <f t="shared" si="3"/>
        <v>3.3875038173723717</v>
      </c>
      <c r="P13" s="633">
        <f t="shared" si="4"/>
        <v>-0.11660035166666052</v>
      </c>
      <c r="Q13" s="585">
        <f t="shared" si="113"/>
        <v>88.830000168927086</v>
      </c>
      <c r="R13" s="629">
        <f t="shared" si="79"/>
        <v>3.3882102188420204</v>
      </c>
      <c r="S13" s="634">
        <f t="shared" si="80"/>
        <v>-0.11660035166666052</v>
      </c>
      <c r="T13" s="635">
        <f>IF(M13="","",X13*COS(RADIANS(W13)))</f>
        <v>3.3878196252421042</v>
      </c>
      <c r="U13" s="629">
        <f t="shared" si="82"/>
        <v>-5.1445834524686533E-2</v>
      </c>
      <c r="V13" s="636">
        <f t="shared" si="114"/>
        <v>-0.11660035166666052</v>
      </c>
      <c r="W13" s="585">
        <f t="shared" si="5"/>
        <v>359.13000012561247</v>
      </c>
      <c r="X13" s="629">
        <f t="shared" si="83"/>
        <v>3.3882102188420204</v>
      </c>
      <c r="Y13" s="630">
        <f>IF(M13="","",S13)</f>
        <v>-0.11660035166666052</v>
      </c>
      <c r="Z13" s="632">
        <f t="shared" si="6"/>
        <v>0.95007282306891505</v>
      </c>
      <c r="AA13" s="629">
        <f t="shared" si="7"/>
        <v>-0.16860040907041612</v>
      </c>
      <c r="AB13" s="629">
        <f t="shared" si="8"/>
        <v>-0.26255577107949968</v>
      </c>
      <c r="AC13" s="636">
        <f t="shared" si="84"/>
        <v>1</v>
      </c>
      <c r="AD13" s="637">
        <f>IF(M13="","",Z13*(1/SQRT(Z13^2+AA13^2+AB13^2)))</f>
        <v>0.95007282306891505</v>
      </c>
      <c r="AE13" s="629">
        <f t="shared" si="85"/>
        <v>-0.16860040907041612</v>
      </c>
      <c r="AF13" s="633">
        <f t="shared" si="86"/>
        <v>-0.26255577107949968</v>
      </c>
      <c r="AG13" s="602">
        <f>IF(M13="","",DEGREES(ATAN2(-AF13,AE13)))</f>
        <v>-32.70658257181119</v>
      </c>
      <c r="AH13" s="603">
        <f t="shared" si="88"/>
        <v>18.181505045807747</v>
      </c>
      <c r="AI13" s="585">
        <f t="shared" si="89"/>
        <v>-74.778233238279412</v>
      </c>
      <c r="AJ13" s="586">
        <f t="shared" si="90"/>
        <v>79.937024084462308</v>
      </c>
      <c r="AK13" s="635">
        <f t="shared" si="211"/>
        <v>0.95331738417832457</v>
      </c>
      <c r="AL13" s="629">
        <f t="shared" si="91"/>
        <v>-0.14916578728463964</v>
      </c>
      <c r="AM13" s="634">
        <f t="shared" si="92"/>
        <v>-0.26255577107949968</v>
      </c>
      <c r="AN13" s="581">
        <f t="shared" si="93"/>
        <v>-29.602202510106821</v>
      </c>
      <c r="AO13" s="582">
        <f t="shared" si="94"/>
        <v>17.575972751729214</v>
      </c>
      <c r="AP13" s="585">
        <f t="shared" si="95"/>
        <v>-8.8929760844648005</v>
      </c>
      <c r="AQ13" s="586">
        <f t="shared" si="9"/>
        <v>0.67281003782328019</v>
      </c>
      <c r="AS13" s="52">
        <f t="shared" si="116"/>
        <v>-0.86999987438753124</v>
      </c>
      <c r="AT13" s="72">
        <f t="shared" si="10"/>
        <v>-0.11578785178397102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0.15138231850512412</v>
      </c>
      <c r="C14" s="708">
        <v>4.0511848303312235</v>
      </c>
      <c r="D14" s="709">
        <v>-0.52540158461117992</v>
      </c>
      <c r="E14" s="710">
        <v>-0.91001539860371139</v>
      </c>
      <c r="F14" s="708">
        <v>0.32681852294412489</v>
      </c>
      <c r="G14" s="711">
        <v>0.25507180825161563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0.15138231850512412</v>
      </c>
      <c r="O14" s="629">
        <f t="shared" si="3"/>
        <v>4.0511848303312235</v>
      </c>
      <c r="P14" s="633">
        <f t="shared" si="4"/>
        <v>-0.52540158461117992</v>
      </c>
      <c r="Q14" s="585">
        <f t="shared" si="113"/>
        <v>87.860000308977732</v>
      </c>
      <c r="R14" s="629">
        <f t="shared" si="79"/>
        <v>4.0540122269008769</v>
      </c>
      <c r="S14" s="634">
        <f t="shared" si="80"/>
        <v>-0.52540158461117992</v>
      </c>
      <c r="T14" s="635">
        <f t="shared" si="81"/>
        <v>4.0519219299379445</v>
      </c>
      <c r="U14" s="629">
        <f t="shared" si="82"/>
        <v>-0.13016838921092935</v>
      </c>
      <c r="V14" s="636">
        <f t="shared" si="114"/>
        <v>-0.52540158461117992</v>
      </c>
      <c r="W14" s="585">
        <f t="shared" si="5"/>
        <v>358.16000026566314</v>
      </c>
      <c r="X14" s="629">
        <f t="shared" si="83"/>
        <v>4.0540122269008769</v>
      </c>
      <c r="Y14" s="630">
        <f t="shared" ref="Y14:Y75" si="223">IF(M14="","",S14)</f>
        <v>-0.52540158461117992</v>
      </c>
      <c r="Z14" s="632">
        <f t="shared" si="6"/>
        <v>0.91001539860371139</v>
      </c>
      <c r="AA14" s="629">
        <f t="shared" si="7"/>
        <v>-0.32681852294412489</v>
      </c>
      <c r="AB14" s="629">
        <f t="shared" si="8"/>
        <v>-0.25507180825161563</v>
      </c>
      <c r="AC14" s="636">
        <f t="shared" si="84"/>
        <v>1</v>
      </c>
      <c r="AD14" s="637">
        <f>IF(M14="","",Z14*(1/SQRT(Z14^2+AA14^2+AB14^2)))</f>
        <v>0.91001539860371139</v>
      </c>
      <c r="AE14" s="629">
        <f t="shared" si="85"/>
        <v>-0.32681852294412489</v>
      </c>
      <c r="AF14" s="633">
        <f t="shared" si="86"/>
        <v>-0.25507180825161563</v>
      </c>
      <c r="AG14" s="602">
        <f t="shared" si="87"/>
        <v>-52.029056826552477</v>
      </c>
      <c r="AH14" s="603">
        <f t="shared" si="88"/>
        <v>24.49252041205575</v>
      </c>
      <c r="AI14" s="585">
        <f t="shared" si="89"/>
        <v>-75.22215983268579</v>
      </c>
      <c r="AJ14" s="586">
        <f t="shared" si="90"/>
        <v>70.245002462935503</v>
      </c>
      <c r="AK14" s="635">
        <f>IF(M14="","",(COS(RADIANS((90-$Q$8)-W14))*AD14)+(-SIN(RADIANS((90-$Q$8)-W14))*AE14))</f>
        <v>0.92158457222537327</v>
      </c>
      <c r="AL14" s="629">
        <f t="shared" si="91"/>
        <v>-0.29260937932921255</v>
      </c>
      <c r="AM14" s="634">
        <f t="shared" si="92"/>
        <v>-0.25507180825161563</v>
      </c>
      <c r="AN14" s="581">
        <f t="shared" si="93"/>
        <v>-48.920868784910638</v>
      </c>
      <c r="AO14" s="582">
        <f t="shared" si="94"/>
        <v>22.841153952725264</v>
      </c>
      <c r="AP14" s="585">
        <f>IF(M14="","",DEGREES(ATAN2(AK14,AL14)))</f>
        <v>-17.614997846042279</v>
      </c>
      <c r="AQ14" s="586">
        <f t="shared" si="9"/>
        <v>0.56232031589678722</v>
      </c>
      <c r="AS14" s="52">
        <f t="shared" si="116"/>
        <v>-1.8399997343368568</v>
      </c>
      <c r="AT14" s="72">
        <f t="shared" si="10"/>
        <v>-0.52391547371463676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0.22565113924206268</v>
      </c>
      <c r="C15" s="708">
        <v>4.5010608711628626</v>
      </c>
      <c r="D15" s="709">
        <v>-1.1622035052057724</v>
      </c>
      <c r="E15" s="710">
        <v>-0.86087089778490211</v>
      </c>
      <c r="F15" s="708">
        <v>0.47361815789748463</v>
      </c>
      <c r="G15" s="711">
        <v>0.18597617550861201</v>
      </c>
      <c r="H15" s="710">
        <v>0.314</v>
      </c>
      <c r="I15" s="708">
        <v>0.52</v>
      </c>
      <c r="J15" s="570">
        <v>1.1259999999999999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1.1259999999999999</v>
      </c>
      <c r="N15" s="632">
        <f t="shared" si="2"/>
        <v>0.22565113924206268</v>
      </c>
      <c r="O15" s="629">
        <f t="shared" si="3"/>
        <v>4.5010608711628626</v>
      </c>
      <c r="P15" s="633">
        <f t="shared" si="4"/>
        <v>-1.1622035052057724</v>
      </c>
      <c r="Q15" s="585">
        <f t="shared" si="113"/>
        <v>87.130000414376667</v>
      </c>
      <c r="R15" s="629">
        <f t="shared" si="79"/>
        <v>4.5067135922481949</v>
      </c>
      <c r="S15" s="634">
        <f t="shared" si="80"/>
        <v>-1.1622035052057724</v>
      </c>
      <c r="T15" s="635">
        <f t="shared" si="81"/>
        <v>4.5021806727849443</v>
      </c>
      <c r="U15" s="629">
        <f t="shared" si="82"/>
        <v>-0.20208065755122034</v>
      </c>
      <c r="V15" s="636">
        <f t="shared" si="114"/>
        <v>-1.1622035052057724</v>
      </c>
      <c r="W15" s="585">
        <f t="shared" ref="W15:W78" si="224">IF(M15="","",IF(Q15-$Q$8&lt;0,360+Q15-$Q$8,Q15-$Q$8))</f>
        <v>357.43000037106208</v>
      </c>
      <c r="X15" s="629">
        <f>IF(M15="","",R15)</f>
        <v>4.5067135922481949</v>
      </c>
      <c r="Y15" s="630">
        <f>IF(M15="","",S15)</f>
        <v>-1.1622035052057724</v>
      </c>
      <c r="Z15" s="632">
        <f t="shared" si="6"/>
        <v>0.86087089778490211</v>
      </c>
      <c r="AA15" s="629">
        <f t="shared" si="7"/>
        <v>-0.47361815789748463</v>
      </c>
      <c r="AB15" s="629">
        <f t="shared" si="8"/>
        <v>-0.18597617550861201</v>
      </c>
      <c r="AC15" s="636">
        <f t="shared" si="84"/>
        <v>1</v>
      </c>
      <c r="AD15" s="637">
        <f t="shared" si="115"/>
        <v>0.86087089778490211</v>
      </c>
      <c r="AE15" s="629">
        <f t="shared" si="85"/>
        <v>-0.47361815789748463</v>
      </c>
      <c r="AF15" s="633">
        <f t="shared" si="86"/>
        <v>-0.18597617550861201</v>
      </c>
      <c r="AG15" s="602">
        <f t="shared" si="87"/>
        <v>-68.561497232466081</v>
      </c>
      <c r="AH15" s="603">
        <f t="shared" si="88"/>
        <v>30.585491685384383</v>
      </c>
      <c r="AI15" s="585">
        <f t="shared" si="89"/>
        <v>-79.281949129054013</v>
      </c>
      <c r="AJ15" s="586">
        <f t="shared" si="90"/>
        <v>61.18209568578915</v>
      </c>
      <c r="AK15" s="635">
        <f t="shared" si="211"/>
        <v>0.88350517700670439</v>
      </c>
      <c r="AL15" s="629">
        <f t="shared" si="91"/>
        <v>-0.42992029999238474</v>
      </c>
      <c r="AM15" s="634">
        <f t="shared" si="92"/>
        <v>-0.18597617550861201</v>
      </c>
      <c r="AN15" s="581">
        <f>IF(M15="","",DEGREES(ATAN2(-AM15,AL15)))</f>
        <v>-66.607515745358626</v>
      </c>
      <c r="AO15" s="582">
        <f t="shared" si="94"/>
        <v>27.931874497187067</v>
      </c>
      <c r="AP15" s="585">
        <f t="shared" si="95"/>
        <v>-25.947904728587513</v>
      </c>
      <c r="AQ15" s="586">
        <f t="shared" si="9"/>
        <v>0.50583809139678082</v>
      </c>
      <c r="AS15" s="52">
        <f t="shared" si="116"/>
        <v>-2.5699996289379214</v>
      </c>
      <c r="AT15" s="72">
        <f t="shared" si="10"/>
        <v>-1.1602104499379784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39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0.25619237102293202</v>
      </c>
      <c r="C16" s="708">
        <v>4.6700781448525737</v>
      </c>
      <c r="D16" s="709">
        <v>-1.9192057883246578</v>
      </c>
      <c r="E16" s="710">
        <v>-0.81799646796693537</v>
      </c>
      <c r="F16" s="708">
        <v>0.57104948984485793</v>
      </c>
      <c r="G16" s="711">
        <v>6.9168334818370036E-2</v>
      </c>
      <c r="H16" s="710">
        <v>0.314</v>
      </c>
      <c r="I16" s="708">
        <v>0.52</v>
      </c>
      <c r="J16" s="570">
        <v>1.131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1.131</v>
      </c>
      <c r="N16" s="632">
        <f t="shared" si="2"/>
        <v>0.25619237102293202</v>
      </c>
      <c r="O16" s="629">
        <f t="shared" si="3"/>
        <v>4.6700781448525737</v>
      </c>
      <c r="P16" s="633">
        <f t="shared" si="4"/>
        <v>-1.9192057883246578</v>
      </c>
      <c r="Q16" s="585">
        <f>IF(M16="","",IF(DEGREES(ATAN2(N16,O16))&lt;0,DEGREES(ATAN2(N16,O16))+360,IF(DEGREES(ATAN2(N16,O16))&gt;360,DEGREES(ATAN2(N16,O16))-360,DEGREES(ATAN2(N16,O16)))))</f>
        <v>86.860000453359845</v>
      </c>
      <c r="R16" s="629">
        <f t="shared" si="79"/>
        <v>4.6771000000000011</v>
      </c>
      <c r="S16" s="634">
        <f t="shared" si="80"/>
        <v>-1.9192057883246578</v>
      </c>
      <c r="T16" s="635">
        <f t="shared" si="81"/>
        <v>4.6713555423902395</v>
      </c>
      <c r="U16" s="629">
        <f t="shared" si="82"/>
        <v>-0.23173650247641245</v>
      </c>
      <c r="V16" s="636">
        <f t="shared" si="114"/>
        <v>-1.9192057883246578</v>
      </c>
      <c r="W16" s="585">
        <f>IF(M16="","",IF(Q16-$Q$8&lt;0,360+Q16-$Q$8,Q16-$Q$8))</f>
        <v>357.1600004100452</v>
      </c>
      <c r="X16" s="629">
        <f t="shared" si="83"/>
        <v>4.6771000000000011</v>
      </c>
      <c r="Y16" s="630">
        <f t="shared" si="223"/>
        <v>-1.9192057883246578</v>
      </c>
      <c r="Z16" s="632">
        <f t="shared" si="6"/>
        <v>0.81799646796693537</v>
      </c>
      <c r="AA16" s="629">
        <f t="shared" si="7"/>
        <v>-0.57104948984485793</v>
      </c>
      <c r="AB16" s="629">
        <f t="shared" si="8"/>
        <v>-6.9168334818370036E-2</v>
      </c>
      <c r="AC16" s="636">
        <f t="shared" si="84"/>
        <v>1</v>
      </c>
      <c r="AD16" s="637">
        <f t="shared" si="115"/>
        <v>0.81799646796693537</v>
      </c>
      <c r="AE16" s="629">
        <f t="shared" si="85"/>
        <v>-0.57104948984485793</v>
      </c>
      <c r="AF16" s="633">
        <f t="shared" si="86"/>
        <v>-6.9168334818370036E-2</v>
      </c>
      <c r="AG16" s="602">
        <f t="shared" si="87"/>
        <v>-83.09369575746662</v>
      </c>
      <c r="AH16" s="603">
        <f t="shared" si="88"/>
        <v>35.115267483205166</v>
      </c>
      <c r="AI16" s="585">
        <f t="shared" si="89"/>
        <v>-86.033779470653556</v>
      </c>
      <c r="AJ16" s="586">
        <f t="shared" si="90"/>
        <v>55.080816883453871</v>
      </c>
      <c r="AK16" s="635">
        <f t="shared" si="211"/>
        <v>0.84804813888815156</v>
      </c>
      <c r="AL16" s="629">
        <f t="shared" si="91"/>
        <v>-0.52538566366698325</v>
      </c>
      <c r="AM16" s="634">
        <f t="shared" si="92"/>
        <v>-6.9168334818370036E-2</v>
      </c>
      <c r="AN16" s="581">
        <f t="shared" si="93"/>
        <v>-82.499999999999986</v>
      </c>
      <c r="AO16" s="582">
        <f t="shared" si="94"/>
        <v>31.999995379772262</v>
      </c>
      <c r="AP16" s="585">
        <f t="shared" si="95"/>
        <v>-31.779183569905943</v>
      </c>
      <c r="AQ16" s="586">
        <f t="shared" si="9"/>
        <v>0.48741135290495968</v>
      </c>
      <c r="AS16" s="52">
        <f t="shared" si="116"/>
        <v>-2.8399995899548003</v>
      </c>
      <c r="AT16" s="72">
        <f t="shared" si="10"/>
        <v>-1.9170252330839355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0.26563361821202125</v>
      </c>
      <c r="C17" s="708">
        <v>4.7216337840704661</v>
      </c>
      <c r="D17" s="709">
        <v>-2.6692080503314797</v>
      </c>
      <c r="E17" s="710">
        <v>-0.72872970558035144</v>
      </c>
      <c r="F17" s="708">
        <v>0.68480144290500333</v>
      </c>
      <c r="G17" s="711">
        <v>2.1066442159928389E-17</v>
      </c>
      <c r="H17" s="710">
        <v>0.314</v>
      </c>
      <c r="I17" s="708">
        <v>0.52</v>
      </c>
      <c r="J17" s="570">
        <v>1.1359999999999999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1.1359999999999999</v>
      </c>
      <c r="N17" s="632">
        <f t="shared" si="2"/>
        <v>0.26563361821202125</v>
      </c>
      <c r="O17" s="629">
        <f t="shared" si="3"/>
        <v>4.7216337840704661</v>
      </c>
      <c r="P17" s="633">
        <f t="shared" si="4"/>
        <v>-2.6692080503314797</v>
      </c>
      <c r="Q17" s="585">
        <f>IF(M17="","",IF(DEGREES(ATAN2(N17,O17))&lt;0,DEGREES(ATAN2(N17,O17))+360,IF(DEGREES(ATAN2(N17,O17))&gt;360,DEGREES(ATAN2(N17,O17))-360,DEGREES(ATAN2(N17,O17)))))</f>
        <v>86.780000464910415</v>
      </c>
      <c r="R17" s="629">
        <f>IF(M17="","",SQRT(N17^2+O17^2))</f>
        <v>4.7290999999999999</v>
      </c>
      <c r="S17" s="634">
        <f>IF(M17="","",P17)</f>
        <v>-2.6692080503314797</v>
      </c>
      <c r="T17" s="635">
        <f>IF(M17="","",X17*COS(RADIANS(W17)))</f>
        <v>4.7229599089180576</v>
      </c>
      <c r="U17" s="629">
        <f>IF(M17="","",X17*SIN(RADIANS(W17)))</f>
        <v>-0.24090767682398803</v>
      </c>
      <c r="V17" s="636">
        <f>IF(M17="","",Y17)</f>
        <v>-2.6692080503314797</v>
      </c>
      <c r="W17" s="585">
        <f t="shared" si="224"/>
        <v>357.08000042159574</v>
      </c>
      <c r="X17" s="629">
        <f>IF(M17="","",R17)</f>
        <v>4.7290999999999999</v>
      </c>
      <c r="Y17" s="630">
        <f t="shared" si="223"/>
        <v>-2.6692080503314797</v>
      </c>
      <c r="Z17" s="632">
        <f t="shared" si="6"/>
        <v>0.72872970558035144</v>
      </c>
      <c r="AA17" s="629">
        <f t="shared" si="7"/>
        <v>-0.68480144290500333</v>
      </c>
      <c r="AB17" s="629">
        <f t="shared" si="8"/>
        <v>-2.1066442159928389E-17</v>
      </c>
      <c r="AC17" s="636">
        <f>IF(M17="","",SQRT(Z17^2+AA17^2+AB17^2))</f>
        <v>1</v>
      </c>
      <c r="AD17" s="637">
        <f>IF(M17="","",Z17*(1/SQRT(Z17^2+AA17^2+AB17^2)))</f>
        <v>0.72872970558035144</v>
      </c>
      <c r="AE17" s="629">
        <f>IF(M17="","",AA17*(1/SQRT(Z17^2+AA17^2+AB17^2)))</f>
        <v>-0.68480144290500333</v>
      </c>
      <c r="AF17" s="633">
        <f>IF(M17="","",AB17*(1/SQRT(Z17^2+AA17^2+AB17^2)))</f>
        <v>-2.1066442159928389E-17</v>
      </c>
      <c r="AG17" s="602">
        <f>IF(M17="","",DEGREES(ATAN2(-AF17,AE17)))</f>
        <v>-90</v>
      </c>
      <c r="AH17" s="603">
        <f>IF(M17="","",DEGREES(ACOS(AD17)))</f>
        <v>43.21999375980495</v>
      </c>
      <c r="AI17" s="585">
        <f>IF(M17="","",DEGREES(-ACOS(-AF17)))</f>
        <v>-90</v>
      </c>
      <c r="AJ17" s="586">
        <f>IF(M17="","",DEGREES(ATAN2(-AE17,AD17)))</f>
        <v>46.780006240195036</v>
      </c>
      <c r="AK17" s="635">
        <f>IF(M17="","",(COS(RADIANS((90-$Q$8)-W17))*AD17)+(-SIN(RADIANS((90-$Q$8)-W17))*AE17))</f>
        <v>0.76604450791050793</v>
      </c>
      <c r="AL17" s="629">
        <f>IF(M17="","",(SIN(RADIANS((90-$Q$8)-W17))*AD17)+(COS(RADIANS((90-$Q$8)-W17))*AE17))</f>
        <v>-0.64278753247099318</v>
      </c>
      <c r="AM17" s="634">
        <f>IF(M17="","",AF17)</f>
        <v>-2.1066442159928389E-17</v>
      </c>
      <c r="AN17" s="581">
        <f>IF(M17="","",DEGREES(ATAN2(-AM17,AL17)))</f>
        <v>-90</v>
      </c>
      <c r="AO17" s="582">
        <f t="shared" si="94"/>
        <v>39.999994224715316</v>
      </c>
      <c r="AP17" s="585">
        <f>IF(M17="","",DEGREES(ATAN2(AK17,AL17)))</f>
        <v>-39.999994224715337</v>
      </c>
      <c r="AQ17" s="586">
        <f t="shared" si="9"/>
        <v>0.48205215397356044</v>
      </c>
      <c r="AS17" s="52">
        <f t="shared" si="116"/>
        <v>-2.9199995784042585</v>
      </c>
      <c r="AT17" s="72">
        <f t="shared" si="10"/>
        <v>-2.666971939543223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1.1359999999999999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0.79961656462508002</v>
      </c>
      <c r="C18" s="708">
        <v>0.6894803819447356</v>
      </c>
      <c r="D18" s="709">
        <v>-0.43295950917820697</v>
      </c>
      <c r="E18" s="710">
        <v>-7.9638860250929921E-2</v>
      </c>
      <c r="F18" s="708">
        <v>-0.29795755927366757</v>
      </c>
      <c r="G18" s="711">
        <v>0.95125125219870899</v>
      </c>
      <c r="H18" s="710">
        <v>0.25700000000000001</v>
      </c>
      <c r="I18" s="708">
        <v>0.45500000000000002</v>
      </c>
      <c r="J18" s="570">
        <v>1.204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Inactive</v>
      </c>
      <c r="L18" s="779" t="s">
        <v>331</v>
      </c>
      <c r="M18" s="168">
        <f t="shared" si="1"/>
        <v>1.204</v>
      </c>
      <c r="N18" s="632">
        <f t="shared" si="2"/>
        <v>0.79961656462508002</v>
      </c>
      <c r="O18" s="629">
        <f t="shared" si="3"/>
        <v>0.6894803819447356</v>
      </c>
      <c r="P18" s="633">
        <f t="shared" si="4"/>
        <v>-0.43295950917820697</v>
      </c>
      <c r="Q18" s="585">
        <f t="shared" si="113"/>
        <v>40.770007107931555</v>
      </c>
      <c r="R18" s="629">
        <f>IF(M18="","",SQRT(N18^2+O18^2))</f>
        <v>1.0558266181099401</v>
      </c>
      <c r="S18" s="634">
        <f>IF(M18="","",P18)</f>
        <v>-0.43295950917820697</v>
      </c>
      <c r="T18" s="635">
        <f>IF(M18="","",X18*COS(RADIANS(W18)))</f>
        <v>0.69365769352787732</v>
      </c>
      <c r="U18" s="629">
        <f>IF(M18="","",X18*SIN(RADIANS(W18)))</f>
        <v>-0.79599550986111633</v>
      </c>
      <c r="V18" s="636">
        <f>IF(M18="","",Y18)</f>
        <v>-0.43295950917820697</v>
      </c>
      <c r="W18" s="585">
        <f t="shared" si="224"/>
        <v>311.0700070646169</v>
      </c>
      <c r="X18" s="629">
        <f>IF(M18="","",R18)</f>
        <v>1.0558266181099401</v>
      </c>
      <c r="Y18" s="630">
        <f t="shared" si="223"/>
        <v>-0.43295950917820697</v>
      </c>
      <c r="Z18" s="632">
        <f t="shared" si="6"/>
        <v>7.9638860250929921E-2</v>
      </c>
      <c r="AA18" s="629">
        <f t="shared" si="7"/>
        <v>0.29795755927366757</v>
      </c>
      <c r="AB18" s="629">
        <f t="shared" si="8"/>
        <v>-0.95125125219870899</v>
      </c>
      <c r="AC18" s="636">
        <f>IF(M18="","",SQRT(Z18^2+AA18^2+AB18^2))</f>
        <v>1</v>
      </c>
      <c r="AD18" s="637">
        <f>IF(M18="","",Z18*(1/SQRT(Z18^2+AA18^2+AB18^2)))</f>
        <v>7.9638860250929921E-2</v>
      </c>
      <c r="AE18" s="629">
        <f>IF(M18="","",AA18*(1/SQRT(Z18^2+AA18^2+AB18^2)))</f>
        <v>0.29795755927366757</v>
      </c>
      <c r="AF18" s="633">
        <f>IF(M18="","",AB18*(1/SQRT(Z18^2+AA18^2+AB18^2)))</f>
        <v>-0.95125125219870899</v>
      </c>
      <c r="AG18" s="602">
        <f>IF(M18="","",DEGREES(ATAN2(-AF18,AE18)))</f>
        <v>17.391964019079751</v>
      </c>
      <c r="AH18" s="603">
        <f>IF(M18="","",DEGREES(ACOS(AD18)))</f>
        <v>85.432192279552936</v>
      </c>
      <c r="AI18" s="585">
        <f>IF(M18="","",DEGREES(-ACOS(-AF18)))</f>
        <v>-17.963858339992342</v>
      </c>
      <c r="AJ18" s="586">
        <f>IF(M18="","",DEGREES(ATAN2(-AE18,AD18)))</f>
        <v>165.03564237930786</v>
      </c>
      <c r="AK18" s="635">
        <f>IF(M18="","",(COS(RADIANS((90-$Q$8)-W18))*AD18)+(-SIN(RADIANS((90-$Q$8)-W18))*AE18))</f>
        <v>-0.17364817766693044</v>
      </c>
      <c r="AL18" s="629">
        <f>IF(M18="","",(SIN(RADIANS((90-$Q$8)-W18))*AD18)+(COS(RADIANS((90-$Q$8)-W18))*AE18))</f>
        <v>0.25488696628769081</v>
      </c>
      <c r="AM18" s="634">
        <f>IF(M18="","",AF18)</f>
        <v>-0.95125125219870899</v>
      </c>
      <c r="AN18" s="581">
        <f>IF(M18="","",DEGREES(ATAN2(-AM18,AL18)))</f>
        <v>14.999997834268271</v>
      </c>
      <c r="AO18" s="582">
        <f t="shared" si="94"/>
        <v>100</v>
      </c>
      <c r="AP18" s="585">
        <f>IF(M18="","",DEGREES(ATAN2(AK18,AL18)))</f>
        <v>124.26563527137633</v>
      </c>
      <c r="AQ18" s="586">
        <f t="shared" si="9"/>
        <v>2.1581652941878473</v>
      </c>
      <c r="AS18" s="52">
        <f t="shared" si="116"/>
        <v>-48.929992935383098</v>
      </c>
      <c r="AT18" s="72">
        <f t="shared" si="10"/>
        <v>-0.39877201411427055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1.204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1.1040000000000001</v>
      </c>
      <c r="II18" s="734" cm="1">
        <f t="array" ref="II18">IFERROR(ROUND(VALUE(IF($IH18&lt;1,$IH18+LARGE((IF($M$9:$M$150="",0,$M$9:$M$150)-MOD(IF($M$9:$M$150="",0,$M$9:$M$150),1)),1),$IH18)),4),"")</f>
        <v>1.1040000000000001</v>
      </c>
      <c r="IJ18" s="533">
        <f t="shared" si="112"/>
        <v>1610</v>
      </c>
      <c r="IK18" s="533" t="str">
        <f t="shared" si="66"/>
        <v>Inactive</v>
      </c>
      <c r="IL18" s="727">
        <f t="shared" si="225"/>
        <v>49.229992892068481</v>
      </c>
      <c r="IM18" s="759">
        <v>0.23024864514183099</v>
      </c>
      <c r="IN18" s="5">
        <f t="shared" si="226"/>
        <v>1.94</v>
      </c>
      <c r="IO18" s="771">
        <v>970</v>
      </c>
      <c r="IP18" s="9">
        <f t="shared" si="227"/>
        <v>-1.0775032497498012</v>
      </c>
      <c r="IQ18" s="5">
        <f t="shared" si="228"/>
        <v>-0.36920111351055834</v>
      </c>
      <c r="IR18" s="5">
        <f t="shared" si="71"/>
        <v>0.314</v>
      </c>
      <c r="IS18" s="5">
        <f t="shared" si="229"/>
        <v>0.30330071252667312</v>
      </c>
      <c r="IT18" s="727">
        <f t="shared" si="230"/>
        <v>-14.999997834268264</v>
      </c>
      <c r="IU18" s="9">
        <f t="shared" si="231"/>
        <v>-1.0558266181099401</v>
      </c>
      <c r="IV18" s="5">
        <f t="shared" si="232"/>
        <v>-0.43295950917820697</v>
      </c>
      <c r="IW18" s="5">
        <f t="shared" si="76"/>
        <v>0.25700000000000001</v>
      </c>
      <c r="IX18" s="5">
        <f t="shared" si="233"/>
        <v>-4.4627581660401087E-2</v>
      </c>
      <c r="IY18" s="762">
        <f t="shared" si="234"/>
        <v>-14.999997834268271</v>
      </c>
    </row>
    <row r="19" spans="1:269" ht="15" customHeight="1" thickBot="1" x14ac:dyDescent="0.3">
      <c r="A19" s="79"/>
      <c r="B19" s="707">
        <v>0.80612999355792636</v>
      </c>
      <c r="C19" s="708">
        <v>1.6000276010411143</v>
      </c>
      <c r="D19" s="709">
        <v>-0.18119555541367793</v>
      </c>
      <c r="E19" s="710">
        <v>-0.11645387943306147</v>
      </c>
      <c r="F19" s="708">
        <v>-0.23114015915293729</v>
      </c>
      <c r="G19" s="711">
        <v>0.96592583607218252</v>
      </c>
      <c r="H19" s="710">
        <v>0.25700000000000001</v>
      </c>
      <c r="I19" s="708">
        <v>0.45500000000000002</v>
      </c>
      <c r="J19" s="570">
        <v>1.2070000000000001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Inactive</v>
      </c>
      <c r="L19" s="775" t="s">
        <v>366</v>
      </c>
      <c r="M19" s="168">
        <f t="shared" si="1"/>
        <v>1.2070000000000001</v>
      </c>
      <c r="N19" s="632">
        <f t="shared" si="2"/>
        <v>0.80612999355792636</v>
      </c>
      <c r="O19" s="629">
        <f t="shared" si="3"/>
        <v>1.6000276010411143</v>
      </c>
      <c r="P19" s="633">
        <f t="shared" si="4"/>
        <v>-0.18119555541367793</v>
      </c>
      <c r="Q19" s="585">
        <f t="shared" si="113"/>
        <v>63.260003860777772</v>
      </c>
      <c r="R19" s="629">
        <f>IF(M19="","",SQRT(N19^2+O19^2))</f>
        <v>1.7916288372894329</v>
      </c>
      <c r="S19" s="634">
        <f>IF(M19="","",P19)</f>
        <v>-0.18119555541367793</v>
      </c>
      <c r="T19" s="635">
        <f>IF(M19="","",X19*COS(RADIANS(W19)))</f>
        <v>1.6042265351452614</v>
      </c>
      <c r="U19" s="629">
        <f>IF(M19="","",X19*SIN(RADIANS(W19)))</f>
        <v>-0.79774125789187744</v>
      </c>
      <c r="V19" s="636">
        <f>IF(M19="","",Y19)</f>
        <v>-0.18119555541367793</v>
      </c>
      <c r="W19" s="585">
        <f t="shared" si="224"/>
        <v>333.5600038174631</v>
      </c>
      <c r="X19" s="629">
        <f>IF(M19="","",R19)</f>
        <v>1.7916288372894329</v>
      </c>
      <c r="Y19" s="630">
        <f t="shared" si="223"/>
        <v>-0.18119555541367793</v>
      </c>
      <c r="Z19" s="632">
        <f t="shared" si="6"/>
        <v>0.11645387943306147</v>
      </c>
      <c r="AA19" s="629">
        <f t="shared" si="7"/>
        <v>0.23114015915293729</v>
      </c>
      <c r="AB19" s="629">
        <f t="shared" si="8"/>
        <v>-0.96592583607218252</v>
      </c>
      <c r="AC19" s="636">
        <f>IF(M19="","",SQRT(Z19^2+AA19^2+AB19^2))</f>
        <v>1</v>
      </c>
      <c r="AD19" s="637">
        <f>IF(M19="","",Z19*(1/SQRT(Z19^2+AA19^2+AB19^2)))</f>
        <v>0.11645387943306147</v>
      </c>
      <c r="AE19" s="629">
        <f>IF(M19="","",AA19*(1/SQRT(Z19^2+AA19^2+AB19^2)))</f>
        <v>0.23114015915293729</v>
      </c>
      <c r="AF19" s="633">
        <f>IF(M19="","",AB19*(1/SQRT(Z19^2+AA19^2+AB19^2)))</f>
        <v>-0.96592583607218252</v>
      </c>
      <c r="AG19" s="602">
        <f>IF(M19="","",DEGREES(ATAN2(-AF19,AE19)))</f>
        <v>13.457473917216385</v>
      </c>
      <c r="AH19" s="603">
        <f>IF(M19="","",DEGREES(ACOS(AD19)))</f>
        <v>83.312510307054907</v>
      </c>
      <c r="AI19" s="585">
        <f>IF(M19="","",DEGREES(-ACOS(-AF19)))</f>
        <v>-14.999997834273763</v>
      </c>
      <c r="AJ19" s="586">
        <f>IF(M19="","",DEGREES(ATAN2(-AE19,AD19)))</f>
        <v>153.25995365430157</v>
      </c>
      <c r="AK19" s="635">
        <f>IF(M19="","",(COS(RADIANS((90-$Q$8)-W19))*AD19)+(-SIN(RADIANS((90-$Q$8)-W19))*AE19))</f>
        <v>2.2679489636301398E-7</v>
      </c>
      <c r="AL19" s="629">
        <f>IF(M19="","",(SIN(RADIANS((90-$Q$8)-W19))*AD19)+(COS(RADIANS((90-$Q$8)-W19))*AE19))</f>
        <v>0.25881900859133927</v>
      </c>
      <c r="AM19" s="634">
        <f>IF(M19="","",AF19)</f>
        <v>-0.96592583607218252</v>
      </c>
      <c r="AN19" s="581">
        <f>IF(M19="","",DEGREES(ATAN2(-AM19,AL19)))</f>
        <v>14.999997834268267</v>
      </c>
      <c r="AO19" s="582">
        <f t="shared" si="94"/>
        <v>0</v>
      </c>
      <c r="AP19" s="585">
        <f>IF(M19="","",DEGREES(ATAN2(AK19,AL19)))</f>
        <v>89.999949793523882</v>
      </c>
      <c r="AQ19" s="586">
        <f t="shared" si="9"/>
        <v>1.2722233016972093</v>
      </c>
      <c r="AS19" s="52">
        <f t="shared" si="116"/>
        <v>-26.439996182536902</v>
      </c>
      <c r="AT19" s="72">
        <f t="shared" si="10"/>
        <v>-0.16262611365032914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1.2070000000000001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1.107</v>
      </c>
      <c r="II19" s="734" cm="1">
        <f t="array" ref="II19">IFERROR(ROUND(VALUE(IF($IH19&lt;1,$IH19+LARGE((IF($M$9:$M$150="",0,$M$9:$M$150)-MOD(IF($M$9:$M$150="",0,$M$9:$M$150),1)),1),$IH19)),4),"")</f>
        <v>1.107</v>
      </c>
      <c r="IJ19" s="533">
        <f t="shared" si="112"/>
        <v>1610</v>
      </c>
      <c r="IK19" s="533" t="str">
        <f t="shared" si="66"/>
        <v>Inactive</v>
      </c>
      <c r="IL19" s="727">
        <f t="shared" si="225"/>
        <v>26.739996139222285</v>
      </c>
      <c r="IM19" s="759">
        <v>3.5906452182821499E-2</v>
      </c>
      <c r="IN19" s="5">
        <f t="shared" si="226"/>
        <v>0.66</v>
      </c>
      <c r="IO19" s="771">
        <v>330</v>
      </c>
      <c r="IP19" s="9">
        <f t="shared" si="227"/>
        <v>-1.8133054689292942</v>
      </c>
      <c r="IQ19" s="5">
        <f t="shared" si="228"/>
        <v>-0.17210051905516546</v>
      </c>
      <c r="IR19" s="5">
        <f t="shared" si="71"/>
        <v>0.314</v>
      </c>
      <c r="IS19" s="5">
        <f t="shared" si="229"/>
        <v>0.30330071252667312</v>
      </c>
      <c r="IT19" s="727">
        <f t="shared" si="230"/>
        <v>-14.999997834268264</v>
      </c>
      <c r="IU19" s="9">
        <f t="shared" si="231"/>
        <v>-1.7916288372894329</v>
      </c>
      <c r="IV19" s="5">
        <f t="shared" si="232"/>
        <v>-0.18119555541367793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-14.999997834268267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1.0050870392550808</v>
      </c>
      <c r="C20" s="708">
        <v>2.4098235891980639</v>
      </c>
      <c r="D20" s="709">
        <v>3.1384401102265663E-3</v>
      </c>
      <c r="E20" s="710">
        <v>-2.0146393635575334E-2</v>
      </c>
      <c r="F20" s="708">
        <v>-4.8302943483577991E-2</v>
      </c>
      <c r="G20" s="711">
        <v>0.99862953515019925</v>
      </c>
      <c r="H20" s="710">
        <v>0.25700000000000001</v>
      </c>
      <c r="I20" s="708">
        <v>0.45500000000000002</v>
      </c>
      <c r="J20" s="570">
        <v>1.2110000000000001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Inactive</v>
      </c>
      <c r="L20" s="774">
        <f>IF($L19=$JH$22,$JH$30,IF($L19=$JI$22,$JI$30,""))</f>
        <v>300</v>
      </c>
      <c r="M20" s="168">
        <f t="shared" si="1"/>
        <v>1.2110000000000001</v>
      </c>
      <c r="N20" s="632">
        <f t="shared" si="2"/>
        <v>1.0050870392550808</v>
      </c>
      <c r="O20" s="629">
        <f t="shared" si="3"/>
        <v>2.4098235891980639</v>
      </c>
      <c r="P20" s="633">
        <f t="shared" si="4"/>
        <v>3.1384401102265663E-3</v>
      </c>
      <c r="Q20" s="585">
        <f t="shared" si="113"/>
        <v>67.360003268811099</v>
      </c>
      <c r="R20" s="629">
        <f>IF(M20="","",SQRT(N20^2+O20^2))</f>
        <v>2.6110246432261</v>
      </c>
      <c r="S20" s="634">
        <f>IF(M20="","",P20)</f>
        <v>3.1384401102265663E-3</v>
      </c>
      <c r="T20" s="635">
        <f>IF(M20="","",X20*COS(RADIANS(W20)))</f>
        <v>2.415053154567246</v>
      </c>
      <c r="U20" s="629">
        <f>IF(M20="","",X20*SIN(RADIANS(W20)))</f>
        <v>-0.99245551444322977</v>
      </c>
      <c r="V20" s="636">
        <f>IF(M20="","",Y20)</f>
        <v>3.1384401102265663E-3</v>
      </c>
      <c r="W20" s="585">
        <f t="shared" si="224"/>
        <v>337.66000322549644</v>
      </c>
      <c r="X20" s="629">
        <f>IF(M20="","",R20)</f>
        <v>2.6110246432261</v>
      </c>
      <c r="Y20" s="630">
        <f t="shared" si="223"/>
        <v>3.1384401102265663E-3</v>
      </c>
      <c r="Z20" s="632">
        <f t="shared" si="6"/>
        <v>2.0146393635575334E-2</v>
      </c>
      <c r="AA20" s="629">
        <f t="shared" si="7"/>
        <v>4.8302943483577991E-2</v>
      </c>
      <c r="AB20" s="629">
        <f t="shared" si="8"/>
        <v>-0.99862953515019925</v>
      </c>
      <c r="AC20" s="636">
        <f>IF(M20="","",SQRT(Z20^2+AA20^2+AB20^2))</f>
        <v>1</v>
      </c>
      <c r="AD20" s="637">
        <f>IF(M20="","",Z20*(1/SQRT(Z20^2+AA20^2+AB20^2)))</f>
        <v>2.0146393635575334E-2</v>
      </c>
      <c r="AE20" s="629">
        <f>IF(M20="","",AA20*(1/SQRT(Z20^2+AA20^2+AB20^2)))</f>
        <v>4.8302943483577991E-2</v>
      </c>
      <c r="AF20" s="633">
        <f>IF(M20="","",AB20*(1/SQRT(Z20^2+AA20^2+AB20^2)))</f>
        <v>-0.99862953515019925</v>
      </c>
      <c r="AG20" s="602">
        <f>IF(M20="","",DEGREES(ATAN2(-AF20,AE20)))</f>
        <v>2.7691946005277037</v>
      </c>
      <c r="AH20" s="603">
        <f>IF(M20="","",DEGREES(ACOS(AD20)))</f>
        <v>88.845618573777941</v>
      </c>
      <c r="AI20" s="585">
        <f>IF(M20="","",DEGREES(-ACOS(-AF20)))</f>
        <v>-2.9999995668815838</v>
      </c>
      <c r="AJ20" s="586">
        <f>IF(M20="","",DEGREES(ATAN2(-AE20,AD20)))</f>
        <v>157.35975498076584</v>
      </c>
      <c r="AK20" s="635">
        <f>IF(M20="","",(COS(RADIANS((90-$Q$8)-W20))*AD20)+(-SIN(RADIANS((90-$Q$8)-W20))*AE20))</f>
        <v>2.2679489669608088E-7</v>
      </c>
      <c r="AL20" s="629">
        <f>IF(M20="","",(SIN(RADIANS((90-$Q$8)-W20))*AD20)+(COS(RADIANS((90-$Q$8)-W20))*AE20))</f>
        <v>5.2335948693473057E-2</v>
      </c>
      <c r="AM20" s="634">
        <f>IF(M20="","",AF20)</f>
        <v>-0.99862953515019925</v>
      </c>
      <c r="AN20" s="581">
        <f>IF(M20="","",DEGREES(ATAN2(-AM20,AL20)))</f>
        <v>2.9999995668536514</v>
      </c>
      <c r="AO20" s="582">
        <f t="shared" si="94"/>
        <v>0</v>
      </c>
      <c r="AP20" s="585">
        <f>IF(M20="","",DEGREES(ATAN2(AK20,AL20)))</f>
        <v>89.999751711954787</v>
      </c>
      <c r="AQ20" s="586">
        <f t="shared" si="9"/>
        <v>0.87304813339504961</v>
      </c>
      <c r="AS20" s="52">
        <f t="shared" si="116"/>
        <v>-22.339996774503561</v>
      </c>
      <c r="AT20" s="72">
        <f t="shared" si="10"/>
        <v>1.8860660062441092E-2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1.2110000000000001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734" cm="1">
        <f t="array" ref="II20">IFERROR(ROUND(VALUE(IF($IH20&lt;1,$IH20+LARGE((IF($M$9:$M$150="",0,$M$9:$M$150)-MOD(IF($M$9:$M$150="",0,$M$9:$M$150),1)),1),$IH20)),4),"")</f>
        <v>1.111</v>
      </c>
      <c r="IJ20" s="533">
        <f t="shared" si="112"/>
        <v>1613</v>
      </c>
      <c r="IK20" s="533" t="str">
        <f t="shared" si="66"/>
        <v>Inactive</v>
      </c>
      <c r="IL20" s="727">
        <f t="shared" si="225"/>
        <v>22.339996774503561</v>
      </c>
      <c r="IM20" s="759">
        <v>4.1741655138616003E-2</v>
      </c>
      <c r="IN20" s="5">
        <f t="shared" si="226"/>
        <v>0.66</v>
      </c>
      <c r="IO20" s="771">
        <v>330</v>
      </c>
      <c r="IP20" s="9">
        <f t="shared" si="227"/>
        <v>-2.6154078880701905</v>
      </c>
      <c r="IQ20" s="5">
        <f t="shared" si="228"/>
        <v>-1.2000036192109154E-3</v>
      </c>
      <c r="IR20" s="5">
        <f t="shared" si="71"/>
        <v>0.314</v>
      </c>
      <c r="IS20" s="5">
        <f t="shared" si="229"/>
        <v>0.30307101678361559</v>
      </c>
      <c r="IT20" s="727">
        <f t="shared" si="230"/>
        <v>5.5562359110907078</v>
      </c>
      <c r="IU20" s="9">
        <f t="shared" si="231"/>
        <v>-2.6110246432261</v>
      </c>
      <c r="IV20" s="5">
        <f t="shared" si="232"/>
        <v>3.1384401102265663E-3</v>
      </c>
      <c r="IW20" s="5">
        <f t="shared" si="76"/>
        <v>0.25700000000000001</v>
      </c>
      <c r="IX20" s="5">
        <f t="shared" si="233"/>
        <v>0.25700000000000001</v>
      </c>
      <c r="IY20" s="762">
        <f t="shared" si="234"/>
        <v>-2.9999995668536514</v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0.96607414531114355</v>
      </c>
      <c r="C21" s="708">
        <v>3.2489141613178334</v>
      </c>
      <c r="D21" s="709">
        <v>-0.15004885126942594</v>
      </c>
      <c r="E21" s="710">
        <v>-0.85186931990772008</v>
      </c>
      <c r="F21" s="708">
        <v>0.42180252134047341</v>
      </c>
      <c r="G21" s="711">
        <v>0.31048557903834806</v>
      </c>
      <c r="H21" s="710">
        <v>0.314</v>
      </c>
      <c r="I21" s="708">
        <v>0.39400000000000002</v>
      </c>
      <c r="J21" s="570">
        <v>1.216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1610</v>
      </c>
      <c r="L21" s="776" t="s">
        <v>367</v>
      </c>
      <c r="M21" s="168">
        <f t="shared" si="1"/>
        <v>1.216</v>
      </c>
      <c r="N21" s="632">
        <f t="shared" si="2"/>
        <v>0.96607414531114355</v>
      </c>
      <c r="O21" s="629">
        <f t="shared" si="3"/>
        <v>3.2489141613178334</v>
      </c>
      <c r="P21" s="633">
        <f t="shared" si="4"/>
        <v>-0.15004885126942594</v>
      </c>
      <c r="Q21" s="585">
        <f t="shared" si="113"/>
        <v>73.440000000000012</v>
      </c>
      <c r="R21" s="629">
        <f>IF(M21="","",SQRT(N21^2+O21^2))</f>
        <v>3.3895047546581516</v>
      </c>
      <c r="S21" s="634">
        <f>IF(M21="","",P21)</f>
        <v>-0.15004885126942594</v>
      </c>
      <c r="T21" s="635">
        <f>IF(M21="","",X21*COS(RADIANS(W21)))</f>
        <v>3.2539279545722306</v>
      </c>
      <c r="U21" s="629">
        <f>IF(M21="","",X21*SIN(RADIANS(W21)))</f>
        <v>-0.94904970802566313</v>
      </c>
      <c r="V21" s="636">
        <f>IF(M21="","",Y21)</f>
        <v>-0.15004885126942594</v>
      </c>
      <c r="W21" s="585">
        <f t="shared" si="224"/>
        <v>343.73999995668532</v>
      </c>
      <c r="X21" s="629">
        <f>IF(M21="","",R21)</f>
        <v>3.3895047546581516</v>
      </c>
      <c r="Y21" s="630">
        <f t="shared" si="223"/>
        <v>-0.15004885126942594</v>
      </c>
      <c r="Z21" s="632">
        <f t="shared" si="6"/>
        <v>0.85186931990772008</v>
      </c>
      <c r="AA21" s="629">
        <f t="shared" si="7"/>
        <v>-0.42180252134047341</v>
      </c>
      <c r="AB21" s="629">
        <f t="shared" si="8"/>
        <v>-0.31048557903834806</v>
      </c>
      <c r="AC21" s="636">
        <f>IF(M21="","",SQRT(Z21^2+AA21^2+AB21^2))</f>
        <v>1</v>
      </c>
      <c r="AD21" s="637">
        <f>IF(M21="","",Z21*(1/SQRT(Z21^2+AA21^2+AB21^2)))</f>
        <v>0.85186931990772008</v>
      </c>
      <c r="AE21" s="629">
        <f>IF(M21="","",AA21*(1/SQRT(Z21^2+AA21^2+AB21^2)))</f>
        <v>-0.42180252134047341</v>
      </c>
      <c r="AF21" s="633">
        <f>IF(M21="","",AB21*(1/SQRT(Z21^2+AA21^2+AB21^2)))</f>
        <v>-0.31048557903834806</v>
      </c>
      <c r="AG21" s="602">
        <f>IF(M21="","",DEGREES(ATAN2(-AF21,AE21)))</f>
        <v>-53.643502407072091</v>
      </c>
      <c r="AH21" s="603">
        <f>IF(M21="","",DEGREES(ACOS(AD21)))</f>
        <v>31.584427241456662</v>
      </c>
      <c r="AI21" s="585">
        <f>IF(M21="","",DEGREES(-ACOS(-AF21)))</f>
        <v>-71.911503833529892</v>
      </c>
      <c r="AJ21" s="586">
        <f>IF(M21="","",DEGREES(ATAN2(-AE21,AD21)))</f>
        <v>63.657718359668337</v>
      </c>
      <c r="AK21" s="635">
        <f>IF(M21="","",(COS(RADIANS((90-$Q$8)-W21))*AD21)+(-SIN(RADIANS((90-$Q$8)-W21))*AE21))</f>
        <v>0.93675714806740129</v>
      </c>
      <c r="AL21" s="629">
        <f>IF(M21="","",(SIN(RADIANS((90-$Q$8)-W21))*AD21)+(COS(RADIANS((90-$Q$8)-W21))*AE21))</f>
        <v>-0.16150774208641108</v>
      </c>
      <c r="AM21" s="634">
        <f>IF(M21="","",AF21)</f>
        <v>-0.31048557903834806</v>
      </c>
      <c r="AN21" s="581">
        <f>IF(M21="","",DEGREES(ATAN2(-AM21,AL21)))</f>
        <v>-27.482455249189222</v>
      </c>
      <c r="AO21" s="582">
        <f>IF(ROUND(IF(M21="",0,DEGREES(ACOS(AK21))),4)=90,0,IF(M21="","",DEGREES(ACOS(AK21))))</f>
        <v>20.486095775447147</v>
      </c>
      <c r="AP21" s="585">
        <f>IF(M21="","",DEGREES(ATAN2(AK21,AL21)))</f>
        <v>-9.7822816403316146</v>
      </c>
      <c r="AQ21" s="586">
        <f t="shared" si="9"/>
        <v>0.67255309861378965</v>
      </c>
      <c r="AS21" s="52">
        <f t="shared" si="116"/>
        <v>-16.260000043314676</v>
      </c>
      <c r="AT21" s="72">
        <f t="shared" si="10"/>
        <v>-0.13854885126942593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1.216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1.1160000000000001</v>
      </c>
      <c r="II21" s="734" cm="1">
        <f t="array" ref="II21">IFERROR(ROUND(VALUE(IF($IH21&lt;1,$IH21+LARGE((IF($M$9:$M$150="",0,$M$9:$M$150)-MOD(IF($M$9:$M$150="",0,$M$9:$M$150),1)),1),$IH21)),4),"")</f>
        <v>1.1160000000000001</v>
      </c>
      <c r="IJ21" s="533">
        <f t="shared" si="112"/>
        <v>1613</v>
      </c>
      <c r="IK21" s="533">
        <f t="shared" si="66"/>
        <v>1610</v>
      </c>
      <c r="IL21" s="727">
        <f t="shared" si="225"/>
        <v>15.390000168927145</v>
      </c>
      <c r="IM21" s="759">
        <v>3.0886319530266299E-3</v>
      </c>
      <c r="IN21" s="5">
        <f t="shared" si="226"/>
        <v>0.26</v>
      </c>
      <c r="IO21" s="771">
        <v>130</v>
      </c>
      <c r="IP21" s="9">
        <f t="shared" si="227"/>
        <v>-3.3882102188420204</v>
      </c>
      <c r="IQ21" s="5">
        <f t="shared" si="228"/>
        <v>-0.11660035166666052</v>
      </c>
      <c r="IR21" s="5">
        <f t="shared" si="71"/>
        <v>0.314</v>
      </c>
      <c r="IS21" s="5">
        <f t="shared" si="229"/>
        <v>0.29934165863199391</v>
      </c>
      <c r="IT21" s="727">
        <f t="shared" si="230"/>
        <v>29.602202510106821</v>
      </c>
      <c r="IU21" s="9">
        <f t="shared" si="231"/>
        <v>-3.3895047546581516</v>
      </c>
      <c r="IV21" s="5">
        <f t="shared" si="232"/>
        <v>-0.15004885126942594</v>
      </c>
      <c r="IW21" s="5">
        <f t="shared" si="76"/>
        <v>0.314</v>
      </c>
      <c r="IX21" s="5">
        <f t="shared" si="233"/>
        <v>0.29414174449316399</v>
      </c>
      <c r="IY21" s="762">
        <f t="shared" si="234"/>
        <v>27.482455249189222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1.0481105296714837</v>
      </c>
      <c r="C22" s="708">
        <v>3.9198102291459525</v>
      </c>
      <c r="D22" s="709">
        <v>-0.555896111617597</v>
      </c>
      <c r="E22" s="710">
        <v>-0.78805309380813582</v>
      </c>
      <c r="F22" s="708">
        <v>0.540146719389619</v>
      </c>
      <c r="G22" s="711">
        <v>0.29531989921449225</v>
      </c>
      <c r="H22" s="710">
        <v>0.314</v>
      </c>
      <c r="I22" s="708">
        <v>0.39400000000000002</v>
      </c>
      <c r="J22" s="570">
        <v>1.2210000000000001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1610</v>
      </c>
      <c r="L22" s="1313" t="str">
        <f>IF($L21=$JH$22,$JH$30,IF($L21=$JI$22,$JI$30,""))</f>
        <v/>
      </c>
      <c r="M22" s="168">
        <f t="shared" si="1"/>
        <v>1.2210000000000001</v>
      </c>
      <c r="N22" s="632">
        <f t="shared" si="2"/>
        <v>1.0481105296714837</v>
      </c>
      <c r="O22" s="629">
        <f t="shared" si="3"/>
        <v>3.9198102291459525</v>
      </c>
      <c r="P22" s="633">
        <f t="shared" si="4"/>
        <v>-0.555896111617597</v>
      </c>
      <c r="Q22" s="585">
        <f t="shared" si="113"/>
        <v>75.029999999999987</v>
      </c>
      <c r="R22" s="629">
        <f t="shared" si="79"/>
        <v>4.0575174571313282</v>
      </c>
      <c r="S22" s="634">
        <f t="shared" si="80"/>
        <v>-0.555896111617597</v>
      </c>
      <c r="T22" s="635">
        <f t="shared" si="81"/>
        <v>3.9252443654050597</v>
      </c>
      <c r="U22" s="629">
        <f t="shared" si="82"/>
        <v>-1.0275721808132547</v>
      </c>
      <c r="V22" s="636">
        <f t="shared" si="114"/>
        <v>-0.555896111617597</v>
      </c>
      <c r="W22" s="585">
        <f t="shared" si="224"/>
        <v>345.32999995668536</v>
      </c>
      <c r="X22" s="629">
        <f t="shared" si="83"/>
        <v>4.0575174571313282</v>
      </c>
      <c r="Y22" s="630">
        <f t="shared" si="223"/>
        <v>-0.555896111617597</v>
      </c>
      <c r="Z22" s="632">
        <f t="shared" si="6"/>
        <v>0.78805309380813582</v>
      </c>
      <c r="AA22" s="629">
        <f t="shared" si="7"/>
        <v>-0.540146719389619</v>
      </c>
      <c r="AB22" s="629">
        <f t="shared" si="8"/>
        <v>-0.29531989921449225</v>
      </c>
      <c r="AC22" s="636">
        <f t="shared" si="84"/>
        <v>1</v>
      </c>
      <c r="AD22" s="637">
        <f t="shared" si="115"/>
        <v>0.78805309380813582</v>
      </c>
      <c r="AE22" s="629">
        <f t="shared" si="85"/>
        <v>-0.540146719389619</v>
      </c>
      <c r="AF22" s="633">
        <f t="shared" si="86"/>
        <v>-0.29531989921449225</v>
      </c>
      <c r="AG22" s="602">
        <f t="shared" si="87"/>
        <v>-61.33280135986238</v>
      </c>
      <c r="AH22" s="603">
        <f t="shared" si="88"/>
        <v>37.996059487684946</v>
      </c>
      <c r="AI22" s="585">
        <f t="shared" si="89"/>
        <v>-72.823279085349768</v>
      </c>
      <c r="AJ22" s="586">
        <f t="shared" si="90"/>
        <v>55.572512236308178</v>
      </c>
      <c r="AK22" s="635">
        <f t="shared" si="211"/>
        <v>0.90083458198186361</v>
      </c>
      <c r="AL22" s="629">
        <f t="shared" si="91"/>
        <v>-0.31825023650188133</v>
      </c>
      <c r="AM22" s="634">
        <f t="shared" si="92"/>
        <v>-0.29531989921449225</v>
      </c>
      <c r="AN22" s="581">
        <f t="shared" si="93"/>
        <v>-47.140261289065954</v>
      </c>
      <c r="AO22" s="582">
        <f t="shared" si="94"/>
        <v>25.732012918890778</v>
      </c>
      <c r="AP22" s="585">
        <f t="shared" si="95"/>
        <v>-19.457487763691766</v>
      </c>
      <c r="AQ22" s="586">
        <f t="shared" si="9"/>
        <v>0.56183456671948229</v>
      </c>
      <c r="AS22" s="52">
        <f t="shared" si="116"/>
        <v>-14.670000043314644</v>
      </c>
      <c r="AT22" s="72">
        <f t="shared" si="10"/>
        <v>-0.54550027828426362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1.2210000000000001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1.121</v>
      </c>
      <c r="II22" s="734" cm="1">
        <f t="array" ref="II22">IFERROR(ROUND(VALUE(IF($IH22&lt;1,$IH22+LARGE((IF($M$9:$M$150="",0,$M$9:$M$150)-MOD(IF($M$9:$M$150="",0,$M$9:$M$150),1)),1),$IH22)),4),"")</f>
        <v>1.121</v>
      </c>
      <c r="IJ22" s="533">
        <f t="shared" si="112"/>
        <v>1613</v>
      </c>
      <c r="IK22" s="533">
        <f t="shared" si="66"/>
        <v>1610</v>
      </c>
      <c r="IL22" s="727">
        <f t="shared" si="225"/>
        <v>12.830000308977787</v>
      </c>
      <c r="IM22" s="759">
        <v>7.4731561263062702E-4</v>
      </c>
      <c r="IN22" s="5">
        <f t="shared" si="226"/>
        <v>0</v>
      </c>
      <c r="IO22" s="771">
        <v>0</v>
      </c>
      <c r="IP22" s="9">
        <f t="shared" si="227"/>
        <v>-4.0540122269008769</v>
      </c>
      <c r="IQ22" s="5">
        <f t="shared" si="228"/>
        <v>-0.52540158461117992</v>
      </c>
      <c r="IR22" s="5">
        <f t="shared" si="71"/>
        <v>0.314</v>
      </c>
      <c r="IS22" s="5">
        <f t="shared" si="229"/>
        <v>0.28937755567876722</v>
      </c>
      <c r="IT22" s="727">
        <f t="shared" si="230"/>
        <v>48.920868784910638</v>
      </c>
      <c r="IU22" s="9">
        <f t="shared" si="231"/>
        <v>-4.0575174571313282</v>
      </c>
      <c r="IV22" s="5">
        <f t="shared" si="232"/>
        <v>-0.555896111617597</v>
      </c>
      <c r="IW22" s="5">
        <f t="shared" si="76"/>
        <v>0.314</v>
      </c>
      <c r="IX22" s="5">
        <f t="shared" si="233"/>
        <v>0.28286205874230519</v>
      </c>
      <c r="IY22" s="762">
        <f t="shared" si="234"/>
        <v>47.140261289065954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1.1230363014189053</v>
      </c>
      <c r="C23" s="708">
        <v>4.3707705251893909</v>
      </c>
      <c r="D23" s="709">
        <v>-1.192001241998532</v>
      </c>
      <c r="E23" s="710">
        <v>-0.71596068770640164</v>
      </c>
      <c r="F23" s="708">
        <v>0.66422369376960766</v>
      </c>
      <c r="G23" s="711">
        <v>0.21495855017662138</v>
      </c>
      <c r="H23" s="710">
        <v>0.314</v>
      </c>
      <c r="I23" s="708">
        <v>0.39400000000000002</v>
      </c>
      <c r="J23" s="570">
        <v>1.226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1610</v>
      </c>
      <c r="M23" s="168">
        <f t="shared" si="1"/>
        <v>1.226</v>
      </c>
      <c r="N23" s="632">
        <f t="shared" si="2"/>
        <v>1.1230363014189053</v>
      </c>
      <c r="O23" s="629">
        <f t="shared" si="3"/>
        <v>4.3707705251893909</v>
      </c>
      <c r="P23" s="633">
        <f t="shared" si="4"/>
        <v>-1.192001241998532</v>
      </c>
      <c r="Q23" s="585">
        <f t="shared" si="113"/>
        <v>75.59</v>
      </c>
      <c r="R23" s="629">
        <f t="shared" si="79"/>
        <v>4.5127425716706906</v>
      </c>
      <c r="S23" s="634">
        <f t="shared" si="80"/>
        <v>-1.192001241998532</v>
      </c>
      <c r="T23" s="635">
        <f t="shared" si="81"/>
        <v>4.3765907883723951</v>
      </c>
      <c r="U23" s="629">
        <f t="shared" si="82"/>
        <v>-1.1001357140384522</v>
      </c>
      <c r="V23" s="636">
        <f t="shared" si="114"/>
        <v>-1.192001241998532</v>
      </c>
      <c r="W23" s="585">
        <f t="shared" si="224"/>
        <v>345.88999995668541</v>
      </c>
      <c r="X23" s="629">
        <f t="shared" si="83"/>
        <v>4.5127425716706906</v>
      </c>
      <c r="Y23" s="630">
        <f t="shared" si="223"/>
        <v>-1.192001241998532</v>
      </c>
      <c r="Z23" s="632">
        <f t="shared" si="6"/>
        <v>0.71596068770640164</v>
      </c>
      <c r="AA23" s="629">
        <f t="shared" si="7"/>
        <v>-0.66422369376960766</v>
      </c>
      <c r="AB23" s="629">
        <f t="shared" si="8"/>
        <v>-0.21495855017662138</v>
      </c>
      <c r="AC23" s="636">
        <f t="shared" si="84"/>
        <v>1</v>
      </c>
      <c r="AD23" s="637">
        <f t="shared" si="115"/>
        <v>0.71596068770640164</v>
      </c>
      <c r="AE23" s="629">
        <f t="shared" si="85"/>
        <v>-0.66422369376960766</v>
      </c>
      <c r="AF23" s="633">
        <f t="shared" si="86"/>
        <v>-0.21495855017662138</v>
      </c>
      <c r="AG23" s="602">
        <f t="shared" si="87"/>
        <v>-72.067188320851713</v>
      </c>
      <c r="AH23" s="603">
        <f t="shared" si="88"/>
        <v>44.278013578321698</v>
      </c>
      <c r="AI23" s="585">
        <f t="shared" si="89"/>
        <v>-77.586904452908442</v>
      </c>
      <c r="AJ23" s="586">
        <f t="shared" si="90"/>
        <v>47.146759632193259</v>
      </c>
      <c r="AK23" s="635">
        <f t="shared" si="211"/>
        <v>0.85873437933611418</v>
      </c>
      <c r="AL23" s="629">
        <f t="shared" si="91"/>
        <v>-0.46515383202998983</v>
      </c>
      <c r="AM23" s="634">
        <f t="shared" si="92"/>
        <v>-0.21495855017662138</v>
      </c>
      <c r="AN23" s="581">
        <f t="shared" si="93"/>
        <v>-65.197228450787847</v>
      </c>
      <c r="AO23" s="582">
        <f t="shared" si="94"/>
        <v>30.825225304276163</v>
      </c>
      <c r="AP23" s="585">
        <f t="shared" si="95"/>
        <v>-28.443240367806752</v>
      </c>
      <c r="AQ23" s="586">
        <f t="shared" si="9"/>
        <v>0.50516233175672176</v>
      </c>
      <c r="AS23" s="52">
        <f t="shared" si="116"/>
        <v>-14.110000043314585</v>
      </c>
      <c r="AT23" s="72">
        <f t="shared" si="10"/>
        <v>-1.1819942975540876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1.226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1.1259999999999999</v>
      </c>
      <c r="II23" s="734" cm="1">
        <f t="array" ref="II23">IFERROR(ROUND(VALUE(IF($IH23&lt;1,$IH23+LARGE((IF($M$9:$M$150="",0,$M$9:$M$150)-MOD(IF($M$9:$M$150="",0,$M$9:$M$150),1)),1),$IH23)),4),"")</f>
        <v>1.1259999999999999</v>
      </c>
      <c r="IJ23" s="533">
        <f t="shared" si="112"/>
        <v>1613</v>
      </c>
      <c r="IK23" s="533">
        <f t="shared" si="66"/>
        <v>1610</v>
      </c>
      <c r="IL23" s="727">
        <f t="shared" si="225"/>
        <v>11.540000414376664</v>
      </c>
      <c r="IM23" s="759">
        <v>9.8989291963312294E-4</v>
      </c>
      <c r="IN23" s="5">
        <f t="shared" si="226"/>
        <v>0</v>
      </c>
      <c r="IO23" s="771">
        <v>0</v>
      </c>
      <c r="IP23" s="9">
        <f t="shared" si="227"/>
        <v>-4.5067135922481949</v>
      </c>
      <c r="IQ23" s="5">
        <f t="shared" si="228"/>
        <v>-1.1622035052057724</v>
      </c>
      <c r="IR23" s="5">
        <f t="shared" si="71"/>
        <v>0.314</v>
      </c>
      <c r="IS23" s="5">
        <f t="shared" si="229"/>
        <v>0.27742062558010522</v>
      </c>
      <c r="IT23" s="727">
        <f t="shared" si="230"/>
        <v>66.607515745358626</v>
      </c>
      <c r="IU23" s="9">
        <f t="shared" si="231"/>
        <v>-4.5127425716706906</v>
      </c>
      <c r="IV23" s="5">
        <f t="shared" si="232"/>
        <v>-1.192001241998532</v>
      </c>
      <c r="IW23" s="5">
        <f t="shared" si="76"/>
        <v>0.314</v>
      </c>
      <c r="IX23" s="5">
        <f t="shared" si="233"/>
        <v>0.26964259511153987</v>
      </c>
      <c r="IY23" s="762">
        <f t="shared" si="234"/>
        <v>65.197228450787847</v>
      </c>
      <c r="JA23" s="855" cm="1">
        <f t="array" ref="JA23:JA24">IFERROR(_xlfn._xlws.SORT(_xlfn.UNIQUE(_xlfn._xlws.FILTER($IK$9:$IK$150,$IK$9:$IK$150&lt;&gt;"")),,1),"")</f>
        <v>1610</v>
      </c>
      <c r="JB23" s="859" cm="1">
        <f t="array" ref="JB23">IF($JA23="","",COUNT(IF(IF($II$9:$II$150&lt;&gt;"",$IK$9:$IK$150,"")=$JA23,$IG$9:$IG$150,"")))</f>
        <v>13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9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0</v>
      </c>
      <c r="JI23" s="801">
        <v>0</v>
      </c>
    </row>
    <row r="24" spans="1:269" ht="15" customHeight="1" x14ac:dyDescent="0.25">
      <c r="A24" s="79"/>
      <c r="B24" s="707">
        <v>1.2455177428951352</v>
      </c>
      <c r="C24" s="708">
        <v>4.5064600928467762</v>
      </c>
      <c r="D24" s="709">
        <v>-1.9542988846055529</v>
      </c>
      <c r="E24" s="710">
        <v>0.24143772008641151</v>
      </c>
      <c r="F24" s="708">
        <v>0.87355681365752114</v>
      </c>
      <c r="G24" s="711">
        <v>0.42261841019055779</v>
      </c>
      <c r="H24" s="710">
        <v>0.25700000000000001</v>
      </c>
      <c r="I24" s="708">
        <v>0.45500000000000002</v>
      </c>
      <c r="J24" s="570">
        <v>1.2310000000000001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Inactive</v>
      </c>
      <c r="M24" s="168">
        <f t="shared" si="1"/>
        <v>1.2310000000000001</v>
      </c>
      <c r="N24" s="632">
        <f t="shared" si="2"/>
        <v>1.2455177428951352</v>
      </c>
      <c r="O24" s="629">
        <f t="shared" si="3"/>
        <v>4.5064600928467762</v>
      </c>
      <c r="P24" s="633">
        <f t="shared" si="4"/>
        <v>-1.9542988846055529</v>
      </c>
      <c r="Q24" s="585">
        <f t="shared" si="113"/>
        <v>74.550002230703683</v>
      </c>
      <c r="R24" s="629">
        <f t="shared" si="79"/>
        <v>4.6754141010489292</v>
      </c>
      <c r="S24" s="634">
        <f t="shared" si="80"/>
        <v>-1.9542988846055529</v>
      </c>
      <c r="T24" s="635">
        <f t="shared" si="81"/>
        <v>4.5129198043362919</v>
      </c>
      <c r="U24" s="629">
        <f t="shared" si="82"/>
        <v>-1.221905011003904</v>
      </c>
      <c r="V24" s="636">
        <f t="shared" si="114"/>
        <v>-1.9542988846055529</v>
      </c>
      <c r="W24" s="585">
        <f t="shared" si="224"/>
        <v>344.85000218738901</v>
      </c>
      <c r="X24" s="629">
        <f t="shared" si="83"/>
        <v>4.6754141010489292</v>
      </c>
      <c r="Y24" s="630">
        <f t="shared" si="223"/>
        <v>-1.9542988846055529</v>
      </c>
      <c r="Z24" s="632">
        <f t="shared" si="6"/>
        <v>-0.24143772008641151</v>
      </c>
      <c r="AA24" s="629">
        <f t="shared" si="7"/>
        <v>-0.87355681365752114</v>
      </c>
      <c r="AB24" s="629">
        <f t="shared" si="8"/>
        <v>-0.42261841019055779</v>
      </c>
      <c r="AC24" s="636">
        <f t="shared" si="84"/>
        <v>1</v>
      </c>
      <c r="AD24" s="637">
        <f t="shared" si="115"/>
        <v>-0.24143772008641151</v>
      </c>
      <c r="AE24" s="629">
        <f t="shared" si="85"/>
        <v>-0.87355681365752114</v>
      </c>
      <c r="AF24" s="633">
        <f t="shared" si="86"/>
        <v>-0.42261841019055779</v>
      </c>
      <c r="AG24" s="602">
        <f t="shared" si="87"/>
        <v>-64.18274805693747</v>
      </c>
      <c r="AH24" s="603">
        <f t="shared" si="88"/>
        <v>103.97141130444267</v>
      </c>
      <c r="AI24" s="585">
        <f t="shared" si="89"/>
        <v>-64.999990615163199</v>
      </c>
      <c r="AJ24" s="586">
        <f t="shared" si="90"/>
        <v>-15.449983431571789</v>
      </c>
      <c r="AK24" s="635">
        <f>IF(M24="","",(COS(RADIANS((90-$Q$8)-W24))*AD24)+(-SIN(RADIANS((90-$Q$8)-W24))*AE24))</f>
        <v>2.2679489750099258E-7</v>
      </c>
      <c r="AL24" s="629">
        <f t="shared" si="91"/>
        <v>-0.90630771781330099</v>
      </c>
      <c r="AM24" s="634">
        <f t="shared" si="92"/>
        <v>-0.42261841019055779</v>
      </c>
      <c r="AN24" s="581">
        <f t="shared" si="93"/>
        <v>-64.999990615162503</v>
      </c>
      <c r="AO24" s="582">
        <f t="shared" si="94"/>
        <v>0</v>
      </c>
      <c r="AP24" s="585">
        <f t="shared" si="95"/>
        <v>-89.999985662275435</v>
      </c>
      <c r="AQ24" s="586">
        <f t="shared" si="9"/>
        <v>0.48758709918230875</v>
      </c>
      <c r="AS24" s="52">
        <f t="shared" si="116"/>
        <v>-15.149997812610991</v>
      </c>
      <c r="AT24" s="72">
        <f t="shared" si="10"/>
        <v>-1.943569719487986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>Gage</v>
      </c>
      <c r="IG24" s="847">
        <f t="shared" si="210"/>
        <v>1.2310000000000001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1.131</v>
      </c>
      <c r="II24" s="734" cm="1">
        <f t="array" ref="II24">IFERROR(ROUND(VALUE(IF($IH24&lt;1,$IH24+LARGE((IF($M$9:$M$150="",0,$M$9:$M$150)-MOD(IF($M$9:$M$150="",0,$M$9:$M$150),1)),1),$IH24)),4),"")</f>
        <v>1.131</v>
      </c>
      <c r="IJ24" s="533">
        <f t="shared" si="112"/>
        <v>1613</v>
      </c>
      <c r="IK24" s="533" t="str">
        <f t="shared" si="66"/>
        <v>Inactive</v>
      </c>
      <c r="IL24" s="727">
        <f t="shared" si="225"/>
        <v>12.309998222656191</v>
      </c>
      <c r="IM24" s="759">
        <v>9.3305736090522704E-3</v>
      </c>
      <c r="IN24" s="5">
        <f t="shared" si="226"/>
        <v>2</v>
      </c>
      <c r="IO24" s="771">
        <v>1000</v>
      </c>
      <c r="IP24" s="9">
        <f t="shared" si="227"/>
        <v>-4.6771000000000011</v>
      </c>
      <c r="IQ24" s="5">
        <f t="shared" si="228"/>
        <v>-1.9192057883246578</v>
      </c>
      <c r="IR24" s="5">
        <f t="shared" si="71"/>
        <v>0.314</v>
      </c>
      <c r="IS24" s="5">
        <f t="shared" si="229"/>
        <v>0.26628711561087959</v>
      </c>
      <c r="IT24" s="727">
        <f t="shared" si="230"/>
        <v>82.499999999999986</v>
      </c>
      <c r="IU24" s="9">
        <f t="shared" si="231"/>
        <v>-4.6754141010489292</v>
      </c>
      <c r="IV24" s="5">
        <f t="shared" si="232"/>
        <v>-1.9542988846055529</v>
      </c>
      <c r="IW24" s="5">
        <f t="shared" si="76"/>
        <v>0.25700000000000001</v>
      </c>
      <c r="IX24" s="5">
        <f t="shared" si="233"/>
        <v>0.25700000000000001</v>
      </c>
      <c r="IY24" s="762">
        <f t="shared" si="234"/>
        <v>64.999990615162503</v>
      </c>
      <c r="JA24" s="798" t="str">
        <v>Inactive</v>
      </c>
      <c r="JB24" s="856" cm="1">
        <f t="array" ref="JB24">IF($JA24="","",COUNT(IF(IF($II$9:$II$150&lt;&gt;"",$IK$9:$IK$150,"")=$JA24,$IG$9:$IG$150,"")))</f>
        <v>21</v>
      </c>
      <c r="JC24" s="5"/>
      <c r="JD24" s="5"/>
      <c r="JE24" s="10"/>
      <c r="JF24" s="247">
        <v>11</v>
      </c>
      <c r="JG24" s="803" t="str">
        <v/>
      </c>
      <c r="JH24" s="787">
        <v>300</v>
      </c>
      <c r="JI24" s="803" t="str">
        <v/>
      </c>
    </row>
    <row r="25" spans="1:269" ht="15" customHeight="1" x14ac:dyDescent="0.25">
      <c r="A25" s="79"/>
      <c r="B25" s="707">
        <v>1.2567213836093292</v>
      </c>
      <c r="C25" s="708">
        <v>4.5624989002637895</v>
      </c>
      <c r="D25" s="709">
        <v>-2.7148152815079944</v>
      </c>
      <c r="E25" s="710">
        <v>0.24067530623051958</v>
      </c>
      <c r="F25" s="708">
        <v>0.87376717513239821</v>
      </c>
      <c r="G25" s="711">
        <v>0.4226184101905579</v>
      </c>
      <c r="H25" s="710">
        <v>0.25700000000000001</v>
      </c>
      <c r="I25" s="708">
        <v>0.45500000000000002</v>
      </c>
      <c r="J25" s="570">
        <v>1.236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Inactive</v>
      </c>
      <c r="L25" s="320"/>
      <c r="M25" s="168">
        <f t="shared" si="1"/>
        <v>1.236</v>
      </c>
      <c r="N25" s="632">
        <f t="shared" si="2"/>
        <v>1.2567213836093292</v>
      </c>
      <c r="O25" s="629">
        <f t="shared" si="3"/>
        <v>4.5624989002637895</v>
      </c>
      <c r="P25" s="633">
        <f t="shared" si="4"/>
        <v>-2.7148152815079944</v>
      </c>
      <c r="Q25" s="585">
        <f t="shared" si="113"/>
        <v>74.60000222348458</v>
      </c>
      <c r="R25" s="629">
        <f>IF(M25="","",SQRT(N25^2+O25^2))</f>
        <v>4.7324142729614485</v>
      </c>
      <c r="S25" s="634">
        <f>IF(M25="","",P25)</f>
        <v>-2.7148152815079944</v>
      </c>
      <c r="T25" s="635">
        <f>IF(M25="","",X25*COS(RADIANS(W25)))</f>
        <v>4.5690165054365117</v>
      </c>
      <c r="U25" s="629">
        <f>IF(M25="","",X25*SIN(RADIANS(W25)))</f>
        <v>-1.2328150810149749</v>
      </c>
      <c r="V25" s="636">
        <f>IF(M25="","",Y25)</f>
        <v>-2.7148152815079944</v>
      </c>
      <c r="W25" s="585">
        <f t="shared" si="224"/>
        <v>344.90000218016996</v>
      </c>
      <c r="X25" s="629">
        <f>IF(M25="","",R25)</f>
        <v>4.7324142729614485</v>
      </c>
      <c r="Y25" s="630">
        <f t="shared" si="223"/>
        <v>-2.7148152815079944</v>
      </c>
      <c r="Z25" s="632">
        <f t="shared" si="6"/>
        <v>-0.24067530623051958</v>
      </c>
      <c r="AA25" s="629">
        <f t="shared" si="7"/>
        <v>-0.87376717513239821</v>
      </c>
      <c r="AB25" s="629">
        <f t="shared" si="8"/>
        <v>-0.4226184101905579</v>
      </c>
      <c r="AC25" s="636">
        <f>IF(M25="","",SQRT(Z25^2+AA25^2+AB25^2))</f>
        <v>1</v>
      </c>
      <c r="AD25" s="637">
        <f>IF(M25="","",Z25*(1/SQRT(Z25^2+AA25^2+AB25^2)))</f>
        <v>-0.24067530623051958</v>
      </c>
      <c r="AE25" s="629">
        <f>IF(M25="","",AA25*(1/SQRT(Z25^2+AA25^2+AB25^2)))</f>
        <v>-0.87376717513239821</v>
      </c>
      <c r="AF25" s="633">
        <f>IF(M25="","",AB25*(1/SQRT(Z25^2+AA25^2+AB25^2)))</f>
        <v>-0.4226184101905579</v>
      </c>
      <c r="AG25" s="602">
        <f>IF(M25="","",DEGREES(ATAN2(-AF25,AE25)))</f>
        <v>-64.18815605255449</v>
      </c>
      <c r="AH25" s="603">
        <f>IF(M25="","",DEGREES(ACOS(AD25)))</f>
        <v>103.92640089869703</v>
      </c>
      <c r="AI25" s="585">
        <f>IF(M25="","",DEGREES(-ACOS(-AF25)))</f>
        <v>-64.999990615163185</v>
      </c>
      <c r="AJ25" s="586">
        <f>IF(M25="","",DEGREES(ATAN2(-AE25,AD25)))</f>
        <v>-15.399983438790894</v>
      </c>
      <c r="AK25" s="635">
        <f>IF(M25="","",(COS(RADIANS((90-$Q$8)-W25))*AD25)+(-SIN(RADIANS((90-$Q$8)-W25))*AE25))</f>
        <v>2.2679489652954743E-7</v>
      </c>
      <c r="AL25" s="629">
        <f>IF(M25="","",(SIN(RADIANS((90-$Q$8)-W25))*AD25)+(COS(RADIANS((90-$Q$8)-W25))*AE25))</f>
        <v>-0.90630771781330099</v>
      </c>
      <c r="AM25" s="634">
        <f>IF(M25="","",AF25)</f>
        <v>-0.4226184101905579</v>
      </c>
      <c r="AN25" s="581">
        <f>IF(M25="","",DEGREES(ATAN2(-AM25,AL25)))</f>
        <v>-64.999990615162503</v>
      </c>
      <c r="AO25" s="582">
        <f>IF(ROUND(IF(M25="",0,DEGREES(ACOS(AK25))),4)=90,0,IF(M25="","",DEGREES(ACOS(AK25))))</f>
        <v>0</v>
      </c>
      <c r="AP25" s="585">
        <f>IF(M25="","",DEGREES(ATAN2(AK25,AL25)))</f>
        <v>-89.999985662275478</v>
      </c>
      <c r="AQ25" s="586">
        <f t="shared" si="9"/>
        <v>0.48171457213593327</v>
      </c>
      <c r="AS25" s="52">
        <f t="shared" si="116"/>
        <v>-15.099997819830037</v>
      </c>
      <c r="AT25" s="72">
        <f t="shared" si="10"/>
        <v>-2.7041208386076367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>Gage</v>
      </c>
      <c r="IG25" s="847">
        <f t="shared" si="210"/>
        <v>1.236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1.1359999999999999</v>
      </c>
      <c r="II25" s="734" cm="1">
        <f t="array" ref="II25">IFERROR(ROUND(VALUE(IF($IH25&lt;1,$IH25+LARGE((IF($M$9:$M$150="",0,$M$9:$M$150)-MOD(IF($M$9:$M$150="",0,$M$9:$M$150),1)),1),$IH25)),4),"")</f>
        <v>1.1359999999999999</v>
      </c>
      <c r="IJ25" s="533">
        <f t="shared" si="112"/>
        <v>1613</v>
      </c>
      <c r="IK25" s="533" t="str">
        <f t="shared" si="66"/>
        <v>Inactive</v>
      </c>
      <c r="IL25" s="727">
        <f t="shared" si="225"/>
        <v>12.179998241425778</v>
      </c>
      <c r="IM25" s="759">
        <v>2.5012986007541597E-4</v>
      </c>
      <c r="IN25" s="5">
        <f t="shared" si="226"/>
        <v>0</v>
      </c>
      <c r="IO25" s="771">
        <v>0</v>
      </c>
      <c r="IP25" s="9">
        <f t="shared" si="227"/>
        <v>-4.7290999999999999</v>
      </c>
      <c r="IQ25" s="5">
        <f t="shared" si="228"/>
        <v>-2.6692080503314797</v>
      </c>
      <c r="IR25" s="5">
        <f t="shared" si="71"/>
        <v>0.314</v>
      </c>
      <c r="IS25" s="5">
        <f t="shared" si="229"/>
        <v>0.24053797548389949</v>
      </c>
      <c r="IT25" s="727">
        <f t="shared" si="230"/>
        <v>90</v>
      </c>
      <c r="IU25" s="9">
        <f t="shared" si="231"/>
        <v>-4.7324142729614485</v>
      </c>
      <c r="IV25" s="5">
        <f t="shared" si="232"/>
        <v>-2.7148152815079944</v>
      </c>
      <c r="IW25" s="5">
        <f t="shared" si="76"/>
        <v>0.25700000000000001</v>
      </c>
      <c r="IX25" s="5">
        <f t="shared" si="233"/>
        <v>0.25700000000000001</v>
      </c>
      <c r="IY25" s="762">
        <f t="shared" si="234"/>
        <v>64.999990615162503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2.313154346077483</v>
      </c>
      <c r="C26" s="708">
        <v>0.83369711468541896</v>
      </c>
      <c r="D26" s="709">
        <v>-1.580004765294377E-2</v>
      </c>
      <c r="E26" s="710">
        <v>-0.32488719741133415</v>
      </c>
      <c r="F26" s="708">
        <v>0.90919588513458016</v>
      </c>
      <c r="G26" s="711">
        <v>0.26040574381636844</v>
      </c>
      <c r="H26" s="710">
        <v>0.314</v>
      </c>
      <c r="I26" s="708">
        <v>0.52</v>
      </c>
      <c r="J26" s="570">
        <v>2.11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843"/>
      <c r="M26" s="168">
        <f t="shared" si="1"/>
        <v>2.11</v>
      </c>
      <c r="N26" s="632">
        <f t="shared" si="2"/>
        <v>2.313154346077483</v>
      </c>
      <c r="O26" s="629">
        <f t="shared" si="3"/>
        <v>0.83369711468541896</v>
      </c>
      <c r="P26" s="633">
        <f t="shared" si="4"/>
        <v>-1.580004765294377E-2</v>
      </c>
      <c r="Q26" s="585">
        <f t="shared" si="113"/>
        <v>19.819958155175279</v>
      </c>
      <c r="R26" s="629">
        <f>IF(M26="","",SQRT(N26^2+O26^2))</f>
        <v>2.4588074157631663</v>
      </c>
      <c r="S26" s="634">
        <f>IF(M26="","",P26)</f>
        <v>-1.580004765294377E-2</v>
      </c>
      <c r="T26" s="635">
        <f>IF(M26="","",X26*COS(RADIANS(W26)))</f>
        <v>0.84579727731882204</v>
      </c>
      <c r="U26" s="629">
        <f>IF(M26="","",X26*SIN(RADIANS(W26)))</f>
        <v>-2.3087574306305996</v>
      </c>
      <c r="V26" s="636">
        <f>IF(M26="","",Y26)</f>
        <v>-1.580004765294377E-2</v>
      </c>
      <c r="W26" s="585">
        <f t="shared" si="224"/>
        <v>290.11995811186068</v>
      </c>
      <c r="X26" s="629">
        <f>IF(M26="","",R26)</f>
        <v>2.4588074157631663</v>
      </c>
      <c r="Y26" s="630">
        <f t="shared" si="223"/>
        <v>-1.580004765294377E-2</v>
      </c>
      <c r="Z26" s="632">
        <f t="shared" si="6"/>
        <v>0.32488719741133415</v>
      </c>
      <c r="AA26" s="629">
        <f t="shared" si="7"/>
        <v>-0.90919588513458016</v>
      </c>
      <c r="AB26" s="629">
        <f t="shared" si="8"/>
        <v>-0.26040574381636844</v>
      </c>
      <c r="AC26" s="636">
        <f>IF(M26="","",SQRT(Z26^2+AA26^2+AB26^2))</f>
        <v>1</v>
      </c>
      <c r="AD26" s="637">
        <f>IF(M26="","",Z26*(1/SQRT(Z26^2+AA26^2+AB26^2)))</f>
        <v>0.32488719741133415</v>
      </c>
      <c r="AE26" s="629">
        <f>IF(M26="","",AA26*(1/SQRT(Z26^2+AA26^2+AB26^2)))</f>
        <v>-0.90919588513458016</v>
      </c>
      <c r="AF26" s="633">
        <f>IF(M26="","",AB26*(1/SQRT(Z26^2+AA26^2+AB26^2)))</f>
        <v>-0.26040574381636844</v>
      </c>
      <c r="AG26" s="602">
        <f>IF(M26="","",DEGREES(ATAN2(-AF26,AE26)))</f>
        <v>-74.017585967532384</v>
      </c>
      <c r="AH26" s="603">
        <f>IF(M26="","",DEGREES(ACOS(AD26)))</f>
        <v>71.041258979663425</v>
      </c>
      <c r="AI26" s="585">
        <f>IF(M26="","",DEGREES(-ACOS(-AF26)))</f>
        <v>-74.905861097916755</v>
      </c>
      <c r="AJ26" s="586">
        <f>IF(M26="","",DEGREES(ATAN2(-AE26,AD26)))</f>
        <v>19.663569520949242</v>
      </c>
      <c r="AK26" s="635">
        <f>IF(M26="","",(COS(RADIANS((90-$Q$8)-W26))*AD26)+(-SIN(RADIANS((90-$Q$8)-W26))*AE26))</f>
        <v>0.96549567769952649</v>
      </c>
      <c r="AL26" s="629">
        <f>IF(M26="","",(SIN(RADIANS((90-$Q$8)-W26))*AD26)+(COS(RADIANS((90-$Q$8)-W26))*AE26))</f>
        <v>-2.6353236947532777E-3</v>
      </c>
      <c r="AM26" s="634">
        <f>IF(M26="","",AF26)</f>
        <v>-0.26040574381636844</v>
      </c>
      <c r="AN26" s="581">
        <f>IF(M26="","",DEGREES(ATAN2(-AM26,AL26)))</f>
        <v>-0.57981736031923359</v>
      </c>
      <c r="AO26" s="582">
        <f t="shared" si="94"/>
        <v>15.0949302140786</v>
      </c>
      <c r="AP26" s="585">
        <f>IF(M26="","",DEGREES(ATAN2(AK26,AL26)))</f>
        <v>-0.15638863422607249</v>
      </c>
      <c r="AQ26" s="586">
        <f t="shared" si="9"/>
        <v>0.92708670793090442</v>
      </c>
      <c r="AS26" s="52">
        <f t="shared" si="116"/>
        <v>-69.880041888139317</v>
      </c>
      <c r="AT26" s="72">
        <f t="shared" si="10"/>
        <v>3.293609251707337E-2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3.0613303621235506</v>
      </c>
      <c r="C27" s="708">
        <v>1.0558913577252049</v>
      </c>
      <c r="D27" s="709">
        <v>-6.8700207199825059E-2</v>
      </c>
      <c r="E27" s="710">
        <v>-0.19724291680718509</v>
      </c>
      <c r="F27" s="708">
        <v>0.9461869052245907</v>
      </c>
      <c r="G27" s="711">
        <v>0.25656494723735235</v>
      </c>
      <c r="H27" s="710">
        <v>0.314</v>
      </c>
      <c r="I27" s="708">
        <v>0.52</v>
      </c>
      <c r="J27" s="570">
        <v>2.1150000000000002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843"/>
      <c r="M27" s="168">
        <f t="shared" si="1"/>
        <v>2.1150000000000002</v>
      </c>
      <c r="N27" s="632">
        <f t="shared" si="2"/>
        <v>3.0613303621235506</v>
      </c>
      <c r="O27" s="629">
        <f t="shared" si="3"/>
        <v>1.0558913577252049</v>
      </c>
      <c r="P27" s="633">
        <f t="shared" si="4"/>
        <v>-6.8700207199825059E-2</v>
      </c>
      <c r="Q27" s="585">
        <f t="shared" si="113"/>
        <v>19.029958269237149</v>
      </c>
      <c r="R27" s="629">
        <f t="shared" si="79"/>
        <v>3.238309766742256</v>
      </c>
      <c r="S27" s="634">
        <f t="shared" si="80"/>
        <v>-6.8700207199825059E-2</v>
      </c>
      <c r="T27" s="635">
        <f t="shared" si="81"/>
        <v>1.0719058965697301</v>
      </c>
      <c r="U27" s="629">
        <f t="shared" si="82"/>
        <v>-3.0557597900157871</v>
      </c>
      <c r="V27" s="636">
        <f t="shared" si="114"/>
        <v>-6.8700207199825059E-2</v>
      </c>
      <c r="W27" s="585">
        <f t="shared" si="224"/>
        <v>289.3299582259225</v>
      </c>
      <c r="X27" s="629">
        <f t="shared" si="83"/>
        <v>3.238309766742256</v>
      </c>
      <c r="Y27" s="630">
        <f t="shared" si="223"/>
        <v>-6.8700207199825059E-2</v>
      </c>
      <c r="Z27" s="632">
        <f t="shared" si="6"/>
        <v>0.19724291680718509</v>
      </c>
      <c r="AA27" s="629">
        <f t="shared" si="7"/>
        <v>-0.9461869052245907</v>
      </c>
      <c r="AB27" s="629">
        <f t="shared" si="8"/>
        <v>-0.25656494723735235</v>
      </c>
      <c r="AC27" s="636">
        <f t="shared" si="84"/>
        <v>1</v>
      </c>
      <c r="AD27" s="637">
        <f t="shared" si="115"/>
        <v>0.19724291680718509</v>
      </c>
      <c r="AE27" s="629">
        <f t="shared" si="85"/>
        <v>-0.9461869052245907</v>
      </c>
      <c r="AF27" s="633">
        <f t="shared" si="86"/>
        <v>-0.25656494723735235</v>
      </c>
      <c r="AG27" s="602">
        <f t="shared" si="87"/>
        <v>-74.828670345763371</v>
      </c>
      <c r="AH27" s="603">
        <f t="shared" si="88"/>
        <v>78.624221573541064</v>
      </c>
      <c r="AI27" s="585">
        <f t="shared" si="89"/>
        <v>-75.133664568089799</v>
      </c>
      <c r="AJ27" s="586">
        <f t="shared" si="90"/>
        <v>11.775290439660735</v>
      </c>
      <c r="AK27" s="635">
        <f t="shared" si="211"/>
        <v>0.95878962053728023</v>
      </c>
      <c r="AL27" s="629">
        <f t="shared" si="91"/>
        <v>-0.12205282216758803</v>
      </c>
      <c r="AM27" s="634">
        <f t="shared" si="92"/>
        <v>-0.25656494723735235</v>
      </c>
      <c r="AN27" s="581">
        <f t="shared" si="93"/>
        <v>-25.441321077494955</v>
      </c>
      <c r="AO27" s="582">
        <f t="shared" si="94"/>
        <v>16.506074021700901</v>
      </c>
      <c r="AP27" s="585">
        <f t="shared" si="95"/>
        <v>-7.2546678295763876</v>
      </c>
      <c r="AQ27" s="586">
        <f t="shared" si="9"/>
        <v>0.703951161251269</v>
      </c>
      <c r="AS27" s="52">
        <f t="shared" si="116"/>
        <v>-70.670041774077504</v>
      </c>
      <c r="AT27" s="72">
        <f t="shared" si="10"/>
        <v>-1.9415455997906408E-2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2.1150000000000002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3.7414746489143833</v>
      </c>
      <c r="C28" s="708">
        <v>1.2185642609446583</v>
      </c>
      <c r="D28" s="709">
        <v>-0.42270127486704506</v>
      </c>
      <c r="E28" s="710">
        <v>-3.6781930622160355E-2</v>
      </c>
      <c r="F28" s="708">
        <v>0.96448909700941154</v>
      </c>
      <c r="G28" s="711">
        <v>0.26154898457015041</v>
      </c>
      <c r="H28" s="710">
        <v>0.314</v>
      </c>
      <c r="I28" s="708">
        <v>0.52</v>
      </c>
      <c r="J28" s="570">
        <v>2.12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843"/>
      <c r="M28" s="168">
        <f t="shared" si="1"/>
        <v>2.12</v>
      </c>
      <c r="N28" s="632">
        <f t="shared" si="2"/>
        <v>3.7414746489143833</v>
      </c>
      <c r="O28" s="629">
        <f t="shared" si="3"/>
        <v>1.2185642609446583</v>
      </c>
      <c r="P28" s="633">
        <f t="shared" si="4"/>
        <v>-0.42270127486704506</v>
      </c>
      <c r="Q28" s="585">
        <f t="shared" si="113"/>
        <v>18.039958412175455</v>
      </c>
      <c r="R28" s="629">
        <f t="shared" si="79"/>
        <v>3.9349118676941939</v>
      </c>
      <c r="S28" s="634">
        <f t="shared" si="80"/>
        <v>-0.42270127486704506</v>
      </c>
      <c r="T28" s="635">
        <f t="shared" si="81"/>
        <v>1.2381377802815359</v>
      </c>
      <c r="U28" s="629">
        <f t="shared" si="82"/>
        <v>-3.7350430042450813</v>
      </c>
      <c r="V28" s="636">
        <f t="shared" si="114"/>
        <v>-0.42270127486704506</v>
      </c>
      <c r="W28" s="585">
        <f t="shared" si="224"/>
        <v>288.33995836886083</v>
      </c>
      <c r="X28" s="629">
        <f t="shared" si="83"/>
        <v>3.9349118676941939</v>
      </c>
      <c r="Y28" s="630">
        <f t="shared" si="223"/>
        <v>-0.42270127486704506</v>
      </c>
      <c r="Z28" s="632">
        <f t="shared" si="6"/>
        <v>3.6781930622160355E-2</v>
      </c>
      <c r="AA28" s="629">
        <f t="shared" si="7"/>
        <v>-0.96448909700941154</v>
      </c>
      <c r="AB28" s="629">
        <f t="shared" si="8"/>
        <v>-0.26154898457015041</v>
      </c>
      <c r="AC28" s="636">
        <f t="shared" si="84"/>
        <v>1</v>
      </c>
      <c r="AD28" s="637">
        <f t="shared" si="115"/>
        <v>3.6781930622160355E-2</v>
      </c>
      <c r="AE28" s="629">
        <f t="shared" si="85"/>
        <v>-0.96448909700941154</v>
      </c>
      <c r="AF28" s="633">
        <f t="shared" si="86"/>
        <v>-0.26154898457015041</v>
      </c>
      <c r="AG28" s="602">
        <f t="shared" si="87"/>
        <v>-74.827493073379514</v>
      </c>
      <c r="AH28" s="603">
        <f t="shared" si="88"/>
        <v>87.892075125095985</v>
      </c>
      <c r="AI28" s="585">
        <f t="shared" si="89"/>
        <v>-74.838006724375504</v>
      </c>
      <c r="AJ28" s="586">
        <f t="shared" si="90"/>
        <v>2.1839838469326454</v>
      </c>
      <c r="AK28" s="635">
        <f t="shared" si="211"/>
        <v>0.92846619557469601</v>
      </c>
      <c r="AL28" s="629">
        <f t="shared" si="91"/>
        <v>-0.26370940890566252</v>
      </c>
      <c r="AM28" s="634">
        <f t="shared" si="92"/>
        <v>-0.26154898457015041</v>
      </c>
      <c r="AN28" s="581">
        <f t="shared" si="93"/>
        <v>-45.235660200577918</v>
      </c>
      <c r="AO28" s="582">
        <f t="shared" si="94"/>
        <v>21.803028578585344</v>
      </c>
      <c r="AP28" s="585">
        <f t="shared" si="95"/>
        <v>-15.855974565242786</v>
      </c>
      <c r="AQ28" s="586">
        <f t="shared" si="9"/>
        <v>0.57933926223048582</v>
      </c>
      <c r="AS28" s="52">
        <f t="shared" si="116"/>
        <v>-71.660041631139165</v>
      </c>
      <c r="AT28" s="72">
        <f t="shared" si="10"/>
        <v>-0.37272902376438916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4.2379533266611205</v>
      </c>
      <c r="C29" s="708">
        <v>1.3151051894944354</v>
      </c>
      <c r="D29" s="709">
        <v>-1.0211030796468881</v>
      </c>
      <c r="E29" s="710">
        <v>0.12172256983752197</v>
      </c>
      <c r="F29" s="708">
        <v>0.97128179946544491</v>
      </c>
      <c r="G29" s="711">
        <v>0.2044389444780936</v>
      </c>
      <c r="H29" s="710">
        <v>0.314</v>
      </c>
      <c r="I29" s="708">
        <v>0.52</v>
      </c>
      <c r="J29" s="570">
        <v>2.125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2.125</v>
      </c>
      <c r="N29" s="632">
        <f t="shared" si="2"/>
        <v>4.2379533266611205</v>
      </c>
      <c r="O29" s="629">
        <f t="shared" si="3"/>
        <v>1.3151051894944354</v>
      </c>
      <c r="P29" s="633">
        <f t="shared" si="4"/>
        <v>-1.0211030796468881</v>
      </c>
      <c r="Q29" s="585">
        <f t="shared" si="113"/>
        <v>17.239958527681139</v>
      </c>
      <c r="R29" s="629">
        <f>IF(M29="","",SQRT(N29^2+O29^2))</f>
        <v>4.4373133829371634</v>
      </c>
      <c r="S29" s="634">
        <f>IF(M29="","",P29)</f>
        <v>-1.0211030796468881</v>
      </c>
      <c r="T29" s="635">
        <f>IF(M29="","",X29*COS(RADIANS(W29)))</f>
        <v>1.3372769294969586</v>
      </c>
      <c r="U29" s="629">
        <f>IF(M29="","",X29*SIN(RADIANS(W29)))</f>
        <v>-4.2310093916497564</v>
      </c>
      <c r="V29" s="636">
        <f>IF(M29="","",Y29)</f>
        <v>-1.0211030796468881</v>
      </c>
      <c r="W29" s="585">
        <f t="shared" si="224"/>
        <v>287.53995848436648</v>
      </c>
      <c r="X29" s="629">
        <f>IF(M29="","",R29)</f>
        <v>4.4373133829371634</v>
      </c>
      <c r="Y29" s="630">
        <f t="shared" si="223"/>
        <v>-1.0211030796468881</v>
      </c>
      <c r="Z29" s="632">
        <f t="shared" si="6"/>
        <v>-0.12172256983752197</v>
      </c>
      <c r="AA29" s="629">
        <f t="shared" si="7"/>
        <v>-0.97128179946544491</v>
      </c>
      <c r="AB29" s="629">
        <f t="shared" si="8"/>
        <v>-0.2044389444780936</v>
      </c>
      <c r="AC29" s="636">
        <f>IF(M29="","",SQRT(Z29^2+AA29^2+AB29^2))</f>
        <v>1</v>
      </c>
      <c r="AD29" s="637">
        <f>IF(M29="","",Z29*(1/SQRT(Z29^2+AA29^2+AB29^2)))</f>
        <v>-0.12172256983752197</v>
      </c>
      <c r="AE29" s="629">
        <f>IF(M29="","",AA29*(1/SQRT(Z29^2+AA29^2+AB29^2)))</f>
        <v>-0.97128179946544491</v>
      </c>
      <c r="AF29" s="633">
        <f>IF(M29="","",AB29*(1/SQRT(Z29^2+AA29^2+AB29^2)))</f>
        <v>-0.2044389444780936</v>
      </c>
      <c r="AG29" s="602">
        <f>IF(M29="","",DEGREES(ATAN2(-AF29,AE29)))</f>
        <v>-78.11368245457011</v>
      </c>
      <c r="AH29" s="603">
        <f>IF(M29="","",DEGREES(ACOS(AD29)))</f>
        <v>96.991527416995169</v>
      </c>
      <c r="AI29" s="585">
        <f>IF(M29="","",DEGREES(-ACOS(-AF29)))</f>
        <v>-78.203342629470669</v>
      </c>
      <c r="AJ29" s="586">
        <f>IF(M29="","",DEGREES(ATAN2(-AE29,AD29)))</f>
        <v>-7.1431573488071507</v>
      </c>
      <c r="AK29" s="635">
        <f>IF(M29="","",(COS(RADIANS((90-$Q$8)-W29))*AD29)+(-SIN(RADIANS((90-$Q$8)-W29))*AE29))</f>
        <v>0.89156852547551557</v>
      </c>
      <c r="AL29" s="629">
        <f>IF(M29="","",(SIN(RADIANS((90-$Q$8)-W29))*AD29)+(COS(RADIANS((90-$Q$8)-W29))*AE29))</f>
        <v>-0.40411666924552642</v>
      </c>
      <c r="AM29" s="634">
        <f>IF(M29="","",AF29)</f>
        <v>-0.2044389444780936</v>
      </c>
      <c r="AN29" s="581">
        <f>IF(M29="","",DEGREES(ATAN2(-AM29,AL29)))</f>
        <v>-63.165566724421495</v>
      </c>
      <c r="AO29" s="582">
        <f t="shared" si="94"/>
        <v>26.928986352221855</v>
      </c>
      <c r="AP29" s="585">
        <f>IF(M29="","",DEGREES(ATAN2(AK29,AL29)))</f>
        <v>-24.383115876488265</v>
      </c>
      <c r="AQ29" s="586">
        <f t="shared" si="9"/>
        <v>0.5137490499570958</v>
      </c>
      <c r="AS29" s="52">
        <f t="shared" si="116"/>
        <v>-72.46004151563352</v>
      </c>
      <c r="AT29" s="72">
        <f t="shared" si="10"/>
        <v>-0.9705752730688888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2.125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13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4.4686478451855747</v>
      </c>
      <c r="C30" s="708">
        <v>1.355120140695399</v>
      </c>
      <c r="D30" s="709">
        <v>-1.7692053359232933</v>
      </c>
      <c r="E30" s="710">
        <v>0.23990682377583247</v>
      </c>
      <c r="F30" s="708">
        <v>0.96846548082461748</v>
      </c>
      <c r="G30" s="711">
        <v>6.7225950026268619E-2</v>
      </c>
      <c r="H30" s="710">
        <v>0.314</v>
      </c>
      <c r="I30" s="708">
        <v>0.52</v>
      </c>
      <c r="J30" s="570">
        <v>2.13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2.13</v>
      </c>
      <c r="N30" s="632">
        <f t="shared" si="2"/>
        <v>4.4686478451855747</v>
      </c>
      <c r="O30" s="629">
        <f t="shared" si="3"/>
        <v>1.355120140695399</v>
      </c>
      <c r="P30" s="633">
        <f t="shared" si="4"/>
        <v>-1.7692053359232933</v>
      </c>
      <c r="Q30" s="585">
        <f t="shared" si="113"/>
        <v>16.86995858110253</v>
      </c>
      <c r="R30" s="629">
        <f>IF(M30="","",SQRT(N30^2+O30^2))</f>
        <v>4.6696</v>
      </c>
      <c r="S30" s="634">
        <f>IF(M30="","",P30)</f>
        <v>-1.7692053359232933</v>
      </c>
      <c r="T30" s="635">
        <f>IF(M30="","",X30*COS(RADIANS(W30)))</f>
        <v>1.3784992401637357</v>
      </c>
      <c r="U30" s="629">
        <f>IF(M30="","",X30*SIN(RADIANS(W30)))</f>
        <v>-4.4614912310647883</v>
      </c>
      <c r="V30" s="636">
        <f>IF(M30="","",Y30)</f>
        <v>-1.7692053359232933</v>
      </c>
      <c r="W30" s="585">
        <f t="shared" si="224"/>
        <v>287.16995853778792</v>
      </c>
      <c r="X30" s="629">
        <f>IF(M30="","",R30)</f>
        <v>4.6696</v>
      </c>
      <c r="Y30" s="630">
        <f t="shared" si="223"/>
        <v>-1.7692053359232933</v>
      </c>
      <c r="Z30" s="632">
        <f t="shared" si="6"/>
        <v>-0.23990682377583247</v>
      </c>
      <c r="AA30" s="629">
        <f t="shared" si="7"/>
        <v>-0.96846548082461748</v>
      </c>
      <c r="AB30" s="629">
        <f t="shared" si="8"/>
        <v>-6.7225950026268619E-2</v>
      </c>
      <c r="AC30" s="636">
        <f>IF(M30="","",SQRT(Z30^2+AA30^2+AB30^2))</f>
        <v>1</v>
      </c>
      <c r="AD30" s="637">
        <f>IF(M30="","",Z30*(1/SQRT(Z30^2+AA30^2+AB30^2)))</f>
        <v>-0.23990682377583247</v>
      </c>
      <c r="AE30" s="629">
        <f>IF(M30="","",AA30*(1/SQRT(Z30^2+AA30^2+AB30^2)))</f>
        <v>-0.96846548082461748</v>
      </c>
      <c r="AF30" s="633">
        <f>IF(M30="","",AB30*(1/SQRT(Z30^2+AA30^2+AB30^2)))</f>
        <v>-6.7225950026268619E-2</v>
      </c>
      <c r="AG30" s="602">
        <f>IF(M30="","",DEGREES(ATAN2(-AF30,AE30)))</f>
        <v>-86.029187796534771</v>
      </c>
      <c r="AH30" s="603">
        <f>IF(M30="","",DEGREES(ACOS(AD30)))</f>
        <v>103.88104109381796</v>
      </c>
      <c r="AI30" s="585">
        <f>IF(M30="","",DEGREES(-ACOS(-AF30)))</f>
        <v>-86.145329643140457</v>
      </c>
      <c r="AJ30" s="586">
        <f>IF(M30="","",DEGREES(ATAN2(-AE30,AD30)))</f>
        <v>-13.913147107292948</v>
      </c>
      <c r="AK30" s="635">
        <f>IF(M30="","",(COS(RADIANS((90-$Q$8)-W30))*AD30)+(-SIN(RADIANS((90-$Q$8)-W30))*AE30))</f>
        <v>0.85716734093597857</v>
      </c>
      <c r="AL30" s="629">
        <f>IF(M30="","",(SIN(RADIANS((90-$Q$8)-W30))*AD30)+(COS(RADIANS((90-$Q$8)-W30))*AE30))</f>
        <v>-0.51063178639388462</v>
      </c>
      <c r="AM30" s="634">
        <f>IF(M30="","",AF30)</f>
        <v>-6.7225950026268619E-2</v>
      </c>
      <c r="AN30" s="581">
        <f>IF(M30="","",DEGREES(ATAN2(-AM30,AL30)))</f>
        <v>-82.5</v>
      </c>
      <c r="AO30" s="582">
        <f>IF(ROUND(IF(M30="",0,DEGREES(ACOS(AK30))),4)=90,0,IF(M30="","",DEGREES(ACOS(AK30))))</f>
        <v>30.999995524154443</v>
      </c>
      <c r="AP30" s="585">
        <f>IF(M30="","",DEGREES(ATAN2(AK30,AL30)))</f>
        <v>-30.783105688395501</v>
      </c>
      <c r="AQ30" s="586">
        <f t="shared" si="9"/>
        <v>0.48819416264445487</v>
      </c>
      <c r="AS30" s="52">
        <f t="shared" si="116"/>
        <v>-72.83004146221208</v>
      </c>
      <c r="AT30" s="72">
        <f t="shared" si="10"/>
        <v>-1.7184205849379479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21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300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4.5277374708403544</v>
      </c>
      <c r="C31" s="708">
        <v>1.3652766038968769</v>
      </c>
      <c r="D31" s="709">
        <v>-2.5192000000000001</v>
      </c>
      <c r="E31" s="710">
        <v>0.39426329584149566</v>
      </c>
      <c r="F31" s="708">
        <v>0.91899752641244969</v>
      </c>
      <c r="G31" s="711">
        <v>0</v>
      </c>
      <c r="H31" s="710">
        <v>0.314</v>
      </c>
      <c r="I31" s="708">
        <v>0.52</v>
      </c>
      <c r="J31" s="570">
        <v>2.1349999999999998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2.1349999999999998</v>
      </c>
      <c r="N31" s="632">
        <f t="shared" si="2"/>
        <v>4.5277374708403544</v>
      </c>
      <c r="O31" s="629">
        <f t="shared" si="3"/>
        <v>1.3652766038968769</v>
      </c>
      <c r="P31" s="633">
        <f t="shared" si="4"/>
        <v>-2.5192000000000001</v>
      </c>
      <c r="Q31" s="585">
        <f t="shared" si="113"/>
        <v>16.779958594096904</v>
      </c>
      <c r="R31" s="629">
        <f>IF(M31="","",SQRT(N31^2+O31^2))</f>
        <v>4.7290999999999999</v>
      </c>
      <c r="S31" s="634">
        <f>IF(M31="","",P31)</f>
        <v>-2.5192000000000001</v>
      </c>
      <c r="T31" s="635">
        <f>IF(M31="","",X31*COS(RADIANS(W31)))</f>
        <v>1.3889649552410397</v>
      </c>
      <c r="U31" s="629">
        <f>IF(M31="","",X31*SIN(RADIANS(W31)))</f>
        <v>-4.5205268678675337</v>
      </c>
      <c r="V31" s="636">
        <f>IF(M31="","",Y31)</f>
        <v>-2.5192000000000001</v>
      </c>
      <c r="W31" s="585">
        <f t="shared" si="224"/>
        <v>287.07995855078229</v>
      </c>
      <c r="X31" s="629">
        <f>IF(M31="","",R31)</f>
        <v>4.7290999999999999</v>
      </c>
      <c r="Y31" s="630">
        <f t="shared" si="223"/>
        <v>-2.5192000000000001</v>
      </c>
      <c r="Z31" s="632">
        <f t="shared" si="6"/>
        <v>-0.39426329584149566</v>
      </c>
      <c r="AA31" s="629">
        <f t="shared" si="7"/>
        <v>-0.91899752641244969</v>
      </c>
      <c r="AB31" s="629">
        <f t="shared" si="8"/>
        <v>0</v>
      </c>
      <c r="AC31" s="636">
        <f>IF(M31="","",SQRT(Z31^2+AA31^2+AB31^2))</f>
        <v>1</v>
      </c>
      <c r="AD31" s="637">
        <f>IF(M31="","",Z31*(1/SQRT(Z31^2+AA31^2+AB31^2)))</f>
        <v>-0.39426329584149566</v>
      </c>
      <c r="AE31" s="629">
        <f>IF(M31="","",AA31*(1/SQRT(Z31^2+AA31^2+AB31^2)))</f>
        <v>-0.91899752641244969</v>
      </c>
      <c r="AF31" s="633">
        <f>IF(M31="","",AB31*(1/SQRT(Z31^2+AA31^2+AB31^2)))</f>
        <v>0</v>
      </c>
      <c r="AG31" s="602">
        <f>IF(M31="","",DEGREES(ATAN2(-AF31,AE31)))</f>
        <v>-90</v>
      </c>
      <c r="AH31" s="603">
        <f>IF(M31="","",DEGREES(ACOS(AD31)))</f>
        <v>113.22003563061847</v>
      </c>
      <c r="AI31" s="585">
        <f>IF(M31="","",DEGREES(-ACOS(-AF31)))</f>
        <v>-90</v>
      </c>
      <c r="AJ31" s="586">
        <f>IF(M31="","",DEGREES(ATAN2(-AE31,AD31)))</f>
        <v>-23.220035630618472</v>
      </c>
      <c r="AK31" s="635">
        <f>IF(M31="","",(COS(RADIANS((90-$Q$8)-W31))*AD31)+(-SIN(RADIANS((90-$Q$8)-W31))*AE31))</f>
        <v>0.76604450791050704</v>
      </c>
      <c r="AL31" s="629">
        <f>IF(M31="","",(SIN(RADIANS((90-$Q$8)-W31))*AD31)+(COS(RADIANS((90-$Q$8)-W31))*AE31))</f>
        <v>-0.64278753247099396</v>
      </c>
      <c r="AM31" s="634">
        <f>IF(M31="","",AF31)</f>
        <v>0</v>
      </c>
      <c r="AN31" s="581">
        <f>IF(M31="","",DEGREES(ATAN2(-AM31,AL31)))</f>
        <v>-90</v>
      </c>
      <c r="AO31" s="582">
        <f t="shared" si="94"/>
        <v>39.999994224715394</v>
      </c>
      <c r="AP31" s="585">
        <f>IF(M31="","",DEGREES(ATAN2(AK31,AL31)))</f>
        <v>-39.999994224715401</v>
      </c>
      <c r="AQ31" s="586">
        <f t="shared" si="9"/>
        <v>0.48205215397356044</v>
      </c>
      <c r="AS31" s="52">
        <f t="shared" si="116"/>
        <v>-72.920041449217706</v>
      </c>
      <c r="AT31" s="72">
        <f t="shared" si="10"/>
        <v>-2.4683527490236785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2.1349999999999998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2.4439043046369289</v>
      </c>
      <c r="C32" s="708">
        <v>-0.17346803676022149</v>
      </c>
      <c r="D32" s="709">
        <v>-1.5548694083170368E-2</v>
      </c>
      <c r="E32" s="710">
        <v>-0.10426610831566922</v>
      </c>
      <c r="F32" s="708">
        <v>7.4010233278501243E-3</v>
      </c>
      <c r="G32" s="711">
        <v>0.99452189694868243</v>
      </c>
      <c r="H32" s="710">
        <v>0.25700000000000001</v>
      </c>
      <c r="I32" s="708">
        <v>0.45500000000000002</v>
      </c>
      <c r="J32" s="570">
        <v>2.21</v>
      </c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Inactive</v>
      </c>
      <c r="L32" s="320"/>
      <c r="M32" s="168">
        <f t="shared" si="1"/>
        <v>2.21</v>
      </c>
      <c r="N32" s="632">
        <f t="shared" si="2"/>
        <v>2.4439043046369289</v>
      </c>
      <c r="O32" s="629">
        <f t="shared" si="3"/>
        <v>-0.17346803676022149</v>
      </c>
      <c r="P32" s="633">
        <f t="shared" si="4"/>
        <v>-1.5548694083170368E-2</v>
      </c>
      <c r="Q32" s="585">
        <f t="shared" si="113"/>
        <v>355.93996160302021</v>
      </c>
      <c r="R32" s="629">
        <f t="shared" si="79"/>
        <v>2.4500529402444258</v>
      </c>
      <c r="S32" s="634">
        <f t="shared" si="80"/>
        <v>-1.5548694083170368E-2</v>
      </c>
      <c r="T32" s="635">
        <f t="shared" si="81"/>
        <v>-0.16066946620497846</v>
      </c>
      <c r="U32" s="629">
        <f t="shared" si="82"/>
        <v>-2.4447790764463284</v>
      </c>
      <c r="V32" s="636">
        <f t="shared" si="114"/>
        <v>-1.5548694083170368E-2</v>
      </c>
      <c r="W32" s="585">
        <f t="shared" si="224"/>
        <v>266.23996155970553</v>
      </c>
      <c r="X32" s="629">
        <f t="shared" si="83"/>
        <v>2.4500529402444258</v>
      </c>
      <c r="Y32" s="630">
        <f t="shared" si="223"/>
        <v>-1.5548694083170368E-2</v>
      </c>
      <c r="Z32" s="632">
        <f t="shared" si="6"/>
        <v>0.10426610831566922</v>
      </c>
      <c r="AA32" s="629">
        <f t="shared" si="7"/>
        <v>-7.4010233278501243E-3</v>
      </c>
      <c r="AB32" s="629">
        <f t="shared" si="8"/>
        <v>-0.99452189694868243</v>
      </c>
      <c r="AC32" s="636">
        <f t="shared" si="84"/>
        <v>1</v>
      </c>
      <c r="AD32" s="637">
        <f t="shared" si="115"/>
        <v>0.10426610831566922</v>
      </c>
      <c r="AE32" s="629">
        <f t="shared" si="85"/>
        <v>-7.4010233278501243E-3</v>
      </c>
      <c r="AF32" s="633">
        <f t="shared" si="86"/>
        <v>-0.99452189694868243</v>
      </c>
      <c r="AG32" s="602">
        <f t="shared" si="87"/>
        <v>-0.42637530091152487</v>
      </c>
      <c r="AH32" s="603">
        <f t="shared" si="88"/>
        <v>84.015114421656378</v>
      </c>
      <c r="AI32" s="585">
        <f t="shared" si="89"/>
        <v>-5.999999133721337</v>
      </c>
      <c r="AJ32" s="586">
        <f t="shared" si="90"/>
        <v>85.939837288629079</v>
      </c>
      <c r="AK32" s="635">
        <f t="shared" si="211"/>
        <v>2.2679489661801833E-7</v>
      </c>
      <c r="AL32" s="629">
        <f t="shared" si="91"/>
        <v>0.10452844823081807</v>
      </c>
      <c r="AM32" s="634">
        <f t="shared" si="92"/>
        <v>-0.99452189694868243</v>
      </c>
      <c r="AN32" s="581">
        <f t="shared" si="93"/>
        <v>5.9999991337073073</v>
      </c>
      <c r="AO32" s="582">
        <f t="shared" si="94"/>
        <v>0</v>
      </c>
      <c r="AP32" s="585">
        <f t="shared" si="95"/>
        <v>89.999875685608927</v>
      </c>
      <c r="AQ32" s="586">
        <f t="shared" si="9"/>
        <v>0.93039877258271064</v>
      </c>
      <c r="AS32" s="52">
        <f t="shared" si="116"/>
        <v>-93.760038440294466</v>
      </c>
      <c r="AT32" s="72">
        <f t="shared" si="10"/>
        <v>4.9770777025843392E-2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Nose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2.21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2.11</v>
      </c>
      <c r="II32" s="734" cm="1">
        <f t="array" ref="II32">IFERROR(ROUND(VALUE(IF($IH32&lt;1,$IH32+LARGE((IF($M$9:$M$150="",0,$M$9:$M$150)-MOD(IF($M$9:$M$150="",0,$M$9:$M$150),1)),1),$IH32)),4),"")</f>
        <v>2.11</v>
      </c>
      <c r="IJ32" s="533">
        <f t="shared" si="112"/>
        <v>1613</v>
      </c>
      <c r="IK32" s="533" t="str">
        <f t="shared" si="66"/>
        <v>Inactive</v>
      </c>
      <c r="IL32" s="727">
        <f t="shared" si="225"/>
        <v>23.879996552155148</v>
      </c>
      <c r="IM32" s="759">
        <v>4.4280705478511498E-2</v>
      </c>
      <c r="IN32" s="5">
        <f t="shared" si="226"/>
        <v>0.66</v>
      </c>
      <c r="IO32" s="771">
        <v>330</v>
      </c>
      <c r="IP32" s="9">
        <f t="shared" si="227"/>
        <v>-2.4588074157631663</v>
      </c>
      <c r="IQ32" s="5">
        <f t="shared" si="228"/>
        <v>-1.580004765294377E-2</v>
      </c>
      <c r="IR32" s="5">
        <f t="shared" si="71"/>
        <v>0.314</v>
      </c>
      <c r="IS32" s="5">
        <f t="shared" si="229"/>
        <v>0.30316564279765129</v>
      </c>
      <c r="IT32" s="727">
        <f t="shared" si="230"/>
        <v>0.57981736031923359</v>
      </c>
      <c r="IU32" s="9">
        <f t="shared" si="231"/>
        <v>-2.4500529402444258</v>
      </c>
      <c r="IV32" s="5">
        <f t="shared" si="232"/>
        <v>-1.5548694083170368E-2</v>
      </c>
      <c r="IW32" s="5">
        <f t="shared" si="76"/>
        <v>0.25700000000000001</v>
      </c>
      <c r="IX32" s="5">
        <f t="shared" si="233"/>
        <v>0.25700000000000001</v>
      </c>
      <c r="IY32" s="762">
        <f t="shared" si="234"/>
        <v>-5.9999991337073073</v>
      </c>
    </row>
    <row r="33" spans="1:267" ht="15" customHeight="1" x14ac:dyDescent="0.25">
      <c r="A33" s="79"/>
      <c r="B33" s="707">
        <v>3.2350573232830975</v>
      </c>
      <c r="C33" s="708">
        <v>0.16444478166234172</v>
      </c>
      <c r="D33" s="709">
        <v>-0.10304876645155399</v>
      </c>
      <c r="E33" s="710">
        <v>8.3363738659811587E-2</v>
      </c>
      <c r="F33" s="708">
        <v>0.94854218259951306</v>
      </c>
      <c r="G33" s="711">
        <v>0.30548030199345255</v>
      </c>
      <c r="H33" s="710">
        <v>0.314</v>
      </c>
      <c r="I33" s="708">
        <v>0.39400000000000002</v>
      </c>
      <c r="J33" s="570">
        <v>2.2149999999999999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1610</v>
      </c>
      <c r="L33" s="320"/>
      <c r="M33" s="168">
        <f t="shared" si="1"/>
        <v>2.2149999999999999</v>
      </c>
      <c r="N33" s="632">
        <f t="shared" si="2"/>
        <v>3.2350573232830975</v>
      </c>
      <c r="O33" s="629">
        <f t="shared" si="3"/>
        <v>0.16444478166234172</v>
      </c>
      <c r="P33" s="633">
        <f t="shared" si="4"/>
        <v>-0.10304876645155399</v>
      </c>
      <c r="Q33" s="585">
        <f t="shared" si="113"/>
        <v>2.909960596676854</v>
      </c>
      <c r="R33" s="629">
        <f t="shared" si="79"/>
        <v>3.2392341642961804</v>
      </c>
      <c r="S33" s="634">
        <f t="shared" si="80"/>
        <v>-0.10304876645155399</v>
      </c>
      <c r="T33" s="635">
        <f t="shared" si="81"/>
        <v>0.18138116818627448</v>
      </c>
      <c r="U33" s="629">
        <f t="shared" si="82"/>
        <v>-3.234151951125821</v>
      </c>
      <c r="V33" s="636">
        <f t="shared" si="114"/>
        <v>-0.10304876645155399</v>
      </c>
      <c r="W33" s="585">
        <f t="shared" si="224"/>
        <v>273.20996055336218</v>
      </c>
      <c r="X33" s="629">
        <f t="shared" si="83"/>
        <v>3.2392341642961804</v>
      </c>
      <c r="Y33" s="630">
        <f t="shared" si="223"/>
        <v>-0.10304876645155399</v>
      </c>
      <c r="Z33" s="632">
        <f t="shared" si="6"/>
        <v>-8.3363738659811587E-2</v>
      </c>
      <c r="AA33" s="629">
        <f t="shared" si="7"/>
        <v>-0.94854218259951306</v>
      </c>
      <c r="AB33" s="629">
        <f t="shared" si="8"/>
        <v>-0.30548030199345255</v>
      </c>
      <c r="AC33" s="636">
        <f t="shared" si="84"/>
        <v>1</v>
      </c>
      <c r="AD33" s="637">
        <f t="shared" si="115"/>
        <v>-8.3363738659811587E-2</v>
      </c>
      <c r="AE33" s="629">
        <f t="shared" si="85"/>
        <v>-0.94854218259951306</v>
      </c>
      <c r="AF33" s="633">
        <f t="shared" si="86"/>
        <v>-0.30548030199345255</v>
      </c>
      <c r="AG33" s="602">
        <f t="shared" si="87"/>
        <v>-72.148720386599464</v>
      </c>
      <c r="AH33" s="603">
        <f t="shared" si="88"/>
        <v>94.781940026947467</v>
      </c>
      <c r="AI33" s="585">
        <f t="shared" si="89"/>
        <v>-72.212937649458496</v>
      </c>
      <c r="AJ33" s="586">
        <f t="shared" si="90"/>
        <v>-5.0226016058995411</v>
      </c>
      <c r="AK33" s="635">
        <f t="shared" si="211"/>
        <v>0.94308699140396413</v>
      </c>
      <c r="AL33" s="629">
        <f t="shared" si="91"/>
        <v>-0.13141047042990361</v>
      </c>
      <c r="AM33" s="634">
        <f t="shared" si="92"/>
        <v>-0.30548030199345255</v>
      </c>
      <c r="AN33" s="581">
        <f t="shared" si="93"/>
        <v>-23.276242599561751</v>
      </c>
      <c r="AO33" s="582">
        <f t="shared" si="94"/>
        <v>19.423388101028259</v>
      </c>
      <c r="AP33" s="585">
        <f t="shared" si="95"/>
        <v>-7.9325622025763405</v>
      </c>
      <c r="AQ33" s="586">
        <f t="shared" si="9"/>
        <v>0.70375029115595211</v>
      </c>
      <c r="AS33" s="52">
        <f t="shared" si="116"/>
        <v>-86.79003944663782</v>
      </c>
      <c r="AT33" s="72">
        <f t="shared" si="10"/>
        <v>-4.256957242146845E-2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2.2149999999999999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2.1150000000000002</v>
      </c>
      <c r="II33" s="734" cm="1">
        <f t="array" ref="II33">IFERROR(ROUND(VALUE(IF($IH33&lt;1,$IH33+LARGE((IF($M$9:$M$150="",0,$M$9:$M$150)-MOD(IF($M$9:$M$150="",0,$M$9:$M$150),1)),1),$IH33)),4),"")</f>
        <v>2.1150000000000002</v>
      </c>
      <c r="IJ33" s="533">
        <f t="shared" si="112"/>
        <v>1613</v>
      </c>
      <c r="IK33" s="533">
        <f t="shared" si="66"/>
        <v>1610</v>
      </c>
      <c r="IL33" s="727">
        <f t="shared" si="225"/>
        <v>16.119997672560316</v>
      </c>
      <c r="IM33" s="759">
        <v>5.8884888902586696E-3</v>
      </c>
      <c r="IN33" s="5">
        <f t="shared" si="226"/>
        <v>0.5</v>
      </c>
      <c r="IO33" s="771">
        <v>250</v>
      </c>
      <c r="IP33" s="9">
        <f t="shared" si="227"/>
        <v>-3.238309766742256</v>
      </c>
      <c r="IQ33" s="5">
        <f t="shared" si="228"/>
        <v>-6.8700207199825059E-2</v>
      </c>
      <c r="IR33" s="5">
        <f t="shared" si="71"/>
        <v>0.314</v>
      </c>
      <c r="IS33" s="5">
        <f t="shared" si="229"/>
        <v>0.30105994084870602</v>
      </c>
      <c r="IT33" s="727">
        <f t="shared" si="230"/>
        <v>25.441321077494955</v>
      </c>
      <c r="IU33" s="9">
        <f t="shared" si="231"/>
        <v>-3.2392341642961804</v>
      </c>
      <c r="IV33" s="5">
        <f t="shared" si="232"/>
        <v>-0.10304876645155399</v>
      </c>
      <c r="IW33" s="5">
        <f t="shared" si="76"/>
        <v>0.314</v>
      </c>
      <c r="IX33" s="5">
        <f t="shared" si="233"/>
        <v>0.29612931530084474</v>
      </c>
      <c r="IY33" s="762">
        <f t="shared" si="234"/>
        <v>23.276242599561751</v>
      </c>
    </row>
    <row r="34" spans="1:267" ht="15" customHeight="1" x14ac:dyDescent="0.25">
      <c r="A34" s="79"/>
      <c r="B34" s="707">
        <v>3.9240107971183678</v>
      </c>
      <c r="C34" s="708">
        <v>0.33088494220162984</v>
      </c>
      <c r="D34" s="709">
        <v>-0.45358073092686529</v>
      </c>
      <c r="E34" s="710">
        <v>0.20959486846970513</v>
      </c>
      <c r="F34" s="708">
        <v>0.92943900545918345</v>
      </c>
      <c r="G34" s="711">
        <v>0.3036661427327898</v>
      </c>
      <c r="H34" s="710">
        <v>0.314</v>
      </c>
      <c r="I34" s="708">
        <v>0.39400000000000002</v>
      </c>
      <c r="J34" s="570">
        <v>2.2200000000000002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1610</v>
      </c>
      <c r="L34" s="320"/>
      <c r="M34" s="168">
        <f t="shared" si="1"/>
        <v>2.2200000000000002</v>
      </c>
      <c r="N34" s="632">
        <f t="shared" si="2"/>
        <v>3.9240107971183678</v>
      </c>
      <c r="O34" s="629">
        <f t="shared" si="3"/>
        <v>0.33088494220162984</v>
      </c>
      <c r="P34" s="633">
        <f t="shared" si="4"/>
        <v>-0.45358073092686529</v>
      </c>
      <c r="Q34" s="585">
        <f t="shared" si="113"/>
        <v>4.8199581291865039</v>
      </c>
      <c r="R34" s="629">
        <f>IF(M34="","",SQRT(N34^2+O34^2))</f>
        <v>3.9379367162103183</v>
      </c>
      <c r="S34" s="634">
        <f>IF(M34="","",P34)</f>
        <v>-0.45358073092686529</v>
      </c>
      <c r="T34" s="635">
        <f>IF(M34="","",X34*COS(RADIANS(W34)))</f>
        <v>0.35142638215538979</v>
      </c>
      <c r="U34" s="629">
        <f>IF(M34="","",X34*SIN(RADIANS(W34)))</f>
        <v>-3.9222245064252097</v>
      </c>
      <c r="V34" s="636">
        <f>IF(M34="","",Y34)</f>
        <v>-0.45358073092686529</v>
      </c>
      <c r="W34" s="585">
        <f t="shared" si="224"/>
        <v>275.11995808587187</v>
      </c>
      <c r="X34" s="629">
        <f>IF(M34="","",R34)</f>
        <v>3.9379367162103183</v>
      </c>
      <c r="Y34" s="630">
        <f t="shared" si="223"/>
        <v>-0.45358073092686529</v>
      </c>
      <c r="Z34" s="632">
        <f t="shared" si="6"/>
        <v>-0.20959486846970513</v>
      </c>
      <c r="AA34" s="629">
        <f t="shared" si="7"/>
        <v>-0.92943900545918345</v>
      </c>
      <c r="AB34" s="629">
        <f t="shared" si="8"/>
        <v>-0.3036661427327898</v>
      </c>
      <c r="AC34" s="636">
        <f>IF(M34="","",SQRT(Z34^2+AA34^2+AB34^2))</f>
        <v>1</v>
      </c>
      <c r="AD34" s="637">
        <f>IF(M34="","",Z34*(1/SQRT(Z34^2+AA34^2+AB34^2)))</f>
        <v>-0.20959486846970513</v>
      </c>
      <c r="AE34" s="629">
        <f>IF(M34="","",AA34*(1/SQRT(Z34^2+AA34^2+AB34^2)))</f>
        <v>-0.92943900545918345</v>
      </c>
      <c r="AF34" s="633">
        <f>IF(M34="","",AB34*(1/SQRT(Z34^2+AA34^2+AB34^2)))</f>
        <v>-0.3036661427327898</v>
      </c>
      <c r="AG34" s="602">
        <f>IF(M34="","",DEGREES(ATAN2(-AF34,AE34)))</f>
        <v>-71.906758963836168</v>
      </c>
      <c r="AH34" s="603">
        <f>IF(M34="","",DEGREES(ACOS(AD34)))</f>
        <v>102.09861156594268</v>
      </c>
      <c r="AI34" s="585">
        <f>IF(M34="","",DEGREES(-ACOS(-AF34)))</f>
        <v>-72.322066151433674</v>
      </c>
      <c r="AJ34" s="586">
        <f>IF(M34="","",DEGREES(ATAN2(-AE34,AD34)))</f>
        <v>-12.708021884711494</v>
      </c>
      <c r="AK34" s="635">
        <f>IF(M34="","",(COS(RADIANS((90-$Q$8)-W34))*AD34)+(-SIN(RADIANS((90-$Q$8)-W34))*AE34))</f>
        <v>0.90854098594771693</v>
      </c>
      <c r="AL34" s="629">
        <f>IF(M34="","",(SIN(RADIANS((90-$Q$8)-W34))*AD34)+(COS(RADIANS((90-$Q$8)-W34))*AE34))</f>
        <v>-0.28694973533868162</v>
      </c>
      <c r="AM34" s="634">
        <f>IF(M34="","",AF34)</f>
        <v>-0.3036661427327898</v>
      </c>
      <c r="AN34" s="581">
        <f>IF(M34="","",DEGREES(ATAN2(-AM34,AL34)))</f>
        <v>-43.378770368091487</v>
      </c>
      <c r="AO34" s="582">
        <f t="shared" si="94"/>
        <v>24.69550109438174</v>
      </c>
      <c r="AP34" s="585">
        <f>IF(M34="","",DEGREES(ATAN2(AK34,AL34)))</f>
        <v>-17.527980013897974</v>
      </c>
      <c r="AQ34" s="586">
        <f t="shared" si="9"/>
        <v>0.57889428448464253</v>
      </c>
      <c r="AS34" s="52">
        <f t="shared" si="116"/>
        <v>-84.880041914128128</v>
      </c>
      <c r="AT34" s="72">
        <f t="shared" si="10"/>
        <v>-0.39442792407213373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2.2200000000000002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</v>
      </c>
      <c r="II34" s="734" cm="1">
        <f t="array" ref="II34">IFERROR(ROUND(VALUE(IF($IH34&lt;1,$IH34+LARGE((IF($M$9:$M$150="",0,$M$9:$M$150)-MOD(IF($M$9:$M$150="",0,$M$9:$M$150),1)),1),$IH34)),4),"")</f>
        <v>2.12</v>
      </c>
      <c r="IJ34" s="533">
        <f t="shared" si="112"/>
        <v>1613</v>
      </c>
      <c r="IK34" s="533">
        <f t="shared" si="66"/>
        <v>1610</v>
      </c>
      <c r="IL34" s="727">
        <f t="shared" si="225"/>
        <v>13.220000282988963</v>
      </c>
      <c r="IM34" s="759">
        <v>5.7940194455028196E-4</v>
      </c>
      <c r="IN34" s="5">
        <f t="shared" si="226"/>
        <v>0</v>
      </c>
      <c r="IO34" s="771">
        <v>0</v>
      </c>
      <c r="IP34" s="9">
        <f t="shared" si="227"/>
        <v>-3.9349118676941939</v>
      </c>
      <c r="IQ34" s="5">
        <f t="shared" si="228"/>
        <v>-0.42270127486704506</v>
      </c>
      <c r="IR34" s="5">
        <f t="shared" si="71"/>
        <v>0.314</v>
      </c>
      <c r="IS34" s="5">
        <f t="shared" si="229"/>
        <v>0.29153838541045457</v>
      </c>
      <c r="IT34" s="727">
        <f t="shared" si="230"/>
        <v>45.235660200577918</v>
      </c>
      <c r="IU34" s="9">
        <f t="shared" si="231"/>
        <v>-3.9379367162103183</v>
      </c>
      <c r="IV34" s="5">
        <f t="shared" si="232"/>
        <v>-0.45358073092686529</v>
      </c>
      <c r="IW34" s="5">
        <f t="shared" si="76"/>
        <v>0.314</v>
      </c>
      <c r="IX34" s="5">
        <f t="shared" si="233"/>
        <v>0.28528186958758311</v>
      </c>
      <c r="IY34" s="762">
        <f t="shared" si="234"/>
        <v>43.378770368091487</v>
      </c>
      <c r="JG34" s="470"/>
    </row>
    <row r="35" spans="1:267" ht="15" customHeight="1" x14ac:dyDescent="0.25">
      <c r="A35" s="79"/>
      <c r="B35" s="707">
        <v>4.4222304784039688</v>
      </c>
      <c r="C35" s="708">
        <v>0.42736711594503962</v>
      </c>
      <c r="D35" s="709">
        <v>-1.050872326181763</v>
      </c>
      <c r="E35" s="710">
        <v>0.3522881038330527</v>
      </c>
      <c r="F35" s="708">
        <v>0.90567584397819223</v>
      </c>
      <c r="G35" s="711">
        <v>0.23589056261771374</v>
      </c>
      <c r="H35" s="710">
        <v>0.314</v>
      </c>
      <c r="I35" s="708">
        <v>0.39400000000000002</v>
      </c>
      <c r="J35" s="570">
        <v>2.2250000000000001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1610</v>
      </c>
      <c r="L35" s="320"/>
      <c r="M35" s="168">
        <f t="shared" si="1"/>
        <v>2.2250000000000001</v>
      </c>
      <c r="N35" s="632">
        <f t="shared" si="2"/>
        <v>4.4222304784039688</v>
      </c>
      <c r="O35" s="629">
        <f t="shared" si="3"/>
        <v>0.42736711594503962</v>
      </c>
      <c r="P35" s="633">
        <f t="shared" si="4"/>
        <v>-1.050872326181763</v>
      </c>
      <c r="Q35" s="585">
        <f t="shared" si="113"/>
        <v>5.5199581291865076</v>
      </c>
      <c r="R35" s="629">
        <f>IF(M35="","",SQRT(N35^2+O35^2))</f>
        <v>4.44283299887765</v>
      </c>
      <c r="S35" s="634">
        <f>IF(M35="","",P35)</f>
        <v>-1.050872326181763</v>
      </c>
      <c r="T35" s="635">
        <f>IF(M35="","",X35*COS(RADIANS(W35)))</f>
        <v>0.45051589320008878</v>
      </c>
      <c r="U35" s="629">
        <f>IF(M35="","",X35*SIN(RADIANS(W35)))</f>
        <v>-4.4199321811415047</v>
      </c>
      <c r="V35" s="636">
        <f>IF(M35="","",Y35)</f>
        <v>-1.050872326181763</v>
      </c>
      <c r="W35" s="585">
        <f t="shared" si="224"/>
        <v>275.81995808587192</v>
      </c>
      <c r="X35" s="629">
        <f>IF(M35="","",R35)</f>
        <v>4.44283299887765</v>
      </c>
      <c r="Y35" s="630">
        <f t="shared" si="223"/>
        <v>-1.050872326181763</v>
      </c>
      <c r="Z35" s="632">
        <f t="shared" si="6"/>
        <v>-0.3522881038330527</v>
      </c>
      <c r="AA35" s="629">
        <f t="shared" si="7"/>
        <v>-0.90567584397819223</v>
      </c>
      <c r="AB35" s="629">
        <f t="shared" si="8"/>
        <v>-0.23589056261771374</v>
      </c>
      <c r="AC35" s="636">
        <f>IF(M35="","",SQRT(Z35^2+AA35^2+AB35^2))</f>
        <v>1</v>
      </c>
      <c r="AD35" s="637">
        <f>IF(M35="","",Z35*(1/SQRT(Z35^2+AA35^2+AB35^2)))</f>
        <v>-0.3522881038330527</v>
      </c>
      <c r="AE35" s="629">
        <f>IF(M35="","",AA35*(1/SQRT(Z35^2+AA35^2+AB35^2)))</f>
        <v>-0.90567584397819223</v>
      </c>
      <c r="AF35" s="633">
        <f>IF(M35="","",AB35*(1/SQRT(Z35^2+AA35^2+AB35^2)))</f>
        <v>-0.23589056261771374</v>
      </c>
      <c r="AG35" s="602">
        <f>IF(M35="","",DEGREES(ATAN2(-AF35,AE35)))</f>
        <v>-75.401204091041805</v>
      </c>
      <c r="AH35" s="603">
        <f>IF(M35="","",DEGREES(ACOS(AD35)))</f>
        <v>110.62732978524463</v>
      </c>
      <c r="AI35" s="585">
        <f>IF(M35="","",DEGREES(-ACOS(-AF35)))</f>
        <v>-76.355875803923084</v>
      </c>
      <c r="AJ35" s="586">
        <f>IF(M35="","",DEGREES(ATAN2(-AE35,AD35)))</f>
        <v>-21.254947233737788</v>
      </c>
      <c r="AK35" s="635">
        <f>IF(M35="","",(COS(RADIANS((90-$Q$8)-W35))*AD35)+(-SIN(RADIANS((90-$Q$8)-W35))*AE35))</f>
        <v>0.86758853435442151</v>
      </c>
      <c r="AL35" s="629">
        <f>IF(M35="","",(SIN(RADIANS((90-$Q$8)-W35))*AD35)+(COS(RADIANS((90-$Q$8)-W35))*AE35))</f>
        <v>-0.43777366015401764</v>
      </c>
      <c r="AM35" s="634">
        <f>IF(M35="","",AF35)</f>
        <v>-0.23589056261771374</v>
      </c>
      <c r="AN35" s="581">
        <f>IF(M35="","",DEGREES(ATAN2(-AM35,AL35)))</f>
        <v>-61.682375402397909</v>
      </c>
      <c r="AO35" s="582">
        <f t="shared" si="94"/>
        <v>29.820390534176834</v>
      </c>
      <c r="AP35" s="585">
        <f>IF(M35="","",DEGREES(ATAN2(AK35,AL35)))</f>
        <v>-26.774905362924326</v>
      </c>
      <c r="AQ35" s="586">
        <f t="shared" si="9"/>
        <v>0.51311082076005532</v>
      </c>
      <c r="AS35" s="52">
        <f t="shared" si="116"/>
        <v>-84.180041914128083</v>
      </c>
      <c r="AT35" s="72">
        <f t="shared" si="10"/>
        <v>-0.99220563043814247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2.2250000000000001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2.125</v>
      </c>
      <c r="II35" s="734" cm="1">
        <f t="array" ref="II35">IFERROR(ROUND(VALUE(IF($IH35&lt;1,$IH35+LARGE((IF($M$9:$M$150="",0,$M$9:$M$150)-MOD(IF($M$9:$M$150="",0,$M$9:$M$150),1)),1),$IH35)),4),"")</f>
        <v>2.125</v>
      </c>
      <c r="IJ35" s="533">
        <f t="shared" si="112"/>
        <v>1613</v>
      </c>
      <c r="IK35" s="533">
        <f t="shared" si="66"/>
        <v>1610</v>
      </c>
      <c r="IL35" s="727">
        <f t="shared" si="225"/>
        <v>11.720000398494562</v>
      </c>
      <c r="IM35" s="759">
        <v>1.1908044458989399E-3</v>
      </c>
      <c r="IN35" s="5">
        <f t="shared" si="226"/>
        <v>0</v>
      </c>
      <c r="IO35" s="771">
        <v>0</v>
      </c>
      <c r="IP35" s="9">
        <f t="shared" si="227"/>
        <v>-4.4373133829371634</v>
      </c>
      <c r="IQ35" s="5">
        <f t="shared" si="228"/>
        <v>-1.0211030796468881</v>
      </c>
      <c r="IR35" s="5">
        <f t="shared" si="71"/>
        <v>0.314</v>
      </c>
      <c r="IS35" s="5">
        <f t="shared" si="229"/>
        <v>0.2799525169993119</v>
      </c>
      <c r="IT35" s="727">
        <f t="shared" si="230"/>
        <v>63.165566724421495</v>
      </c>
      <c r="IU35" s="9">
        <f t="shared" si="231"/>
        <v>-4.44283299887765</v>
      </c>
      <c r="IV35" s="5">
        <f t="shared" si="232"/>
        <v>-1.050872326181763</v>
      </c>
      <c r="IW35" s="5">
        <f t="shared" si="76"/>
        <v>0.314</v>
      </c>
      <c r="IX35" s="5">
        <f t="shared" si="233"/>
        <v>0.27242279978728834</v>
      </c>
      <c r="IY35" s="762">
        <f t="shared" si="234"/>
        <v>61.682375402397909</v>
      </c>
    </row>
    <row r="36" spans="1:267" ht="15" customHeight="1" x14ac:dyDescent="0.25">
      <c r="A36" s="79"/>
      <c r="B36" s="707">
        <v>4.6606797230976209</v>
      </c>
      <c r="C36" s="708">
        <v>0.37089288884237925</v>
      </c>
      <c r="D36" s="709">
        <v>-1.8031183772089625</v>
      </c>
      <c r="E36" s="710">
        <v>0.90345150780014616</v>
      </c>
      <c r="F36" s="708">
        <v>7.1896122438198942E-2</v>
      </c>
      <c r="G36" s="711">
        <v>0.42261841019055735</v>
      </c>
      <c r="H36" s="710">
        <v>0.25700000000000001</v>
      </c>
      <c r="I36" s="708">
        <v>0.45500000000000002</v>
      </c>
      <c r="J36" s="570">
        <v>2.23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Inactive</v>
      </c>
      <c r="L36" s="320"/>
      <c r="M36" s="168">
        <f t="shared" si="1"/>
        <v>2.23</v>
      </c>
      <c r="N36" s="632">
        <f t="shared" si="2"/>
        <v>4.6606797230976209</v>
      </c>
      <c r="O36" s="629">
        <f t="shared" si="3"/>
        <v>0.37089288884237925</v>
      </c>
      <c r="P36" s="633">
        <f t="shared" si="4"/>
        <v>-1.8031183772089625</v>
      </c>
      <c r="Q36" s="585">
        <f t="shared" si="113"/>
        <v>4.5499603598901857</v>
      </c>
      <c r="R36" s="629">
        <f>IF(M36="","",SQRT(N36^2+O36^2))</f>
        <v>4.6754141010489283</v>
      </c>
      <c r="S36" s="634">
        <f>IF(M36="","",P36)</f>
        <v>-1.8031183772089625</v>
      </c>
      <c r="T36" s="635">
        <f>IF(M36="","",X36*COS(RADIANS(W36)))</f>
        <v>0.39529095167251982</v>
      </c>
      <c r="U36" s="629">
        <f>IF(M36="","",X36*SIN(RADIANS(W36)))</f>
        <v>-4.6586738542006776</v>
      </c>
      <c r="V36" s="636">
        <f>IF(M36="","",Y36)</f>
        <v>-1.8031183772089625</v>
      </c>
      <c r="W36" s="585">
        <f t="shared" si="224"/>
        <v>274.84996031657556</v>
      </c>
      <c r="X36" s="629">
        <f>IF(M36="","",R36)</f>
        <v>4.6754141010489283</v>
      </c>
      <c r="Y36" s="630">
        <f t="shared" si="223"/>
        <v>-1.8031183772089625</v>
      </c>
      <c r="Z36" s="632">
        <f t="shared" si="6"/>
        <v>-0.90345150780014616</v>
      </c>
      <c r="AA36" s="629">
        <f t="shared" si="7"/>
        <v>-7.1896122438198942E-2</v>
      </c>
      <c r="AB36" s="629">
        <f t="shared" si="8"/>
        <v>-0.42261841019055735</v>
      </c>
      <c r="AC36" s="636">
        <f>IF(M36="","",SQRT(Z36^2+AA36^2+AB36^2))</f>
        <v>1</v>
      </c>
      <c r="AD36" s="637">
        <f>IF(M36="","",Z36*(1/SQRT(Z36^2+AA36^2+AB36^2)))</f>
        <v>-0.90345150780014616</v>
      </c>
      <c r="AE36" s="629">
        <f>IF(M36="","",AA36*(1/SQRT(Z36^2+AA36^2+AB36^2)))</f>
        <v>-7.1896122438198942E-2</v>
      </c>
      <c r="AF36" s="633">
        <f>IF(M36="","",AB36*(1/SQRT(Z36^2+AA36^2+AB36^2)))</f>
        <v>-0.42261841019055735</v>
      </c>
      <c r="AG36" s="602">
        <f>IF(M36="","",DEGREES(ATAN2(-AF36,AE36)))</f>
        <v>-9.6547642512678404</v>
      </c>
      <c r="AH36" s="603">
        <f>IF(M36="","",DEGREES(ACOS(AD36)))</f>
        <v>154.61552805012511</v>
      </c>
      <c r="AI36" s="585">
        <f>IF(M36="","",DEGREES(-ACOS(-AF36)))</f>
        <v>-64.999990615163213</v>
      </c>
      <c r="AJ36" s="586">
        <f>IF(M36="","",DEGREES(ATAN2(-AE36,AD36)))</f>
        <v>-85.450025302385285</v>
      </c>
      <c r="AK36" s="635">
        <f>IF(M36="","",(COS(RADIANS((90-$Q$8)-W36))*AD36)+(-SIN(RADIANS((90-$Q$8)-W36))*AE36))</f>
        <v>2.2679489727894797E-7</v>
      </c>
      <c r="AL36" s="629">
        <f>IF(M36="","",(SIN(RADIANS((90-$Q$8)-W36))*AD36)+(COS(RADIANS((90-$Q$8)-W36))*AE36))</f>
        <v>-0.90630771781330122</v>
      </c>
      <c r="AM36" s="634">
        <f>IF(M36="","",AF36)</f>
        <v>-0.42261841019055735</v>
      </c>
      <c r="AN36" s="581">
        <f>IF(M36="","",DEGREES(ATAN2(-AM36,AL36)))</f>
        <v>-64.999990615162531</v>
      </c>
      <c r="AO36" s="582">
        <f t="shared" si="94"/>
        <v>0</v>
      </c>
      <c r="AP36" s="585">
        <f>IF(M36="","",DEGREES(ATAN2(AK36,AL36)))</f>
        <v>-89.999985662275449</v>
      </c>
      <c r="AQ36" s="586">
        <f t="shared" si="9"/>
        <v>0.48758709918230886</v>
      </c>
      <c r="AS36" s="52">
        <f t="shared" si="116"/>
        <v>-85.150039683424438</v>
      </c>
      <c r="AT36" s="72">
        <f t="shared" si="10"/>
        <v>-1.7437780719033307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>Gage</v>
      </c>
      <c r="IG36" s="847">
        <f t="shared" si="210"/>
        <v>2.23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</v>
      </c>
      <c r="II36" s="734" cm="1">
        <f t="array" ref="II36">IFERROR(ROUND(VALUE(IF($IH36&lt;1,$IH36+LARGE((IF($M$9:$M$150="",0,$M$9:$M$150)-MOD(IF($M$9:$M$150="",0,$M$9:$M$150),1)),1),$IH36)),4),"")</f>
        <v>2.13</v>
      </c>
      <c r="IJ36" s="533">
        <f t="shared" si="112"/>
        <v>1613</v>
      </c>
      <c r="IK36" s="533" t="str">
        <f t="shared" si="66"/>
        <v>Inactive</v>
      </c>
      <c r="IL36" s="727">
        <f t="shared" si="225"/>
        <v>12.319998221212359</v>
      </c>
      <c r="IM36" s="759">
        <v>4.7536812205896898E-3</v>
      </c>
      <c r="IN36" s="5">
        <f t="shared" si="226"/>
        <v>1.62</v>
      </c>
      <c r="IO36" s="771">
        <v>810</v>
      </c>
      <c r="IP36" s="9">
        <f t="shared" si="227"/>
        <v>-4.6696</v>
      </c>
      <c r="IQ36" s="5">
        <f t="shared" si="228"/>
        <v>-1.7692053359232933</v>
      </c>
      <c r="IR36" s="5">
        <f t="shared" si="71"/>
        <v>0.314</v>
      </c>
      <c r="IS36" s="5">
        <f t="shared" si="229"/>
        <v>0.26915054505389729</v>
      </c>
      <c r="IT36" s="727">
        <f t="shared" si="230"/>
        <v>82.5</v>
      </c>
      <c r="IU36" s="9">
        <f t="shared" si="231"/>
        <v>-4.6754141010489283</v>
      </c>
      <c r="IV36" s="5">
        <f t="shared" si="232"/>
        <v>-1.8031183772089625</v>
      </c>
      <c r="IW36" s="5">
        <f t="shared" si="76"/>
        <v>0.25700000000000001</v>
      </c>
      <c r="IX36" s="5">
        <f t="shared" si="233"/>
        <v>0.25700000000000001</v>
      </c>
      <c r="IY36" s="762">
        <f t="shared" si="234"/>
        <v>64.999990615162531</v>
      </c>
    </row>
    <row r="37" spans="1:267" ht="15" customHeight="1" x14ac:dyDescent="0.25">
      <c r="A37" s="79"/>
      <c r="B37" s="707">
        <v>4.7171708540206714</v>
      </c>
      <c r="C37" s="708">
        <v>0.37953126999909415</v>
      </c>
      <c r="D37" s="709">
        <v>-2.5648148291066302</v>
      </c>
      <c r="E37" s="710">
        <v>0.90338842260565688</v>
      </c>
      <c r="F37" s="708">
        <v>7.2684505020455009E-2</v>
      </c>
      <c r="G37" s="711">
        <v>0.42261841019055796</v>
      </c>
      <c r="H37" s="710">
        <v>0.25700000000000001</v>
      </c>
      <c r="I37" s="708">
        <v>0.45500000000000002</v>
      </c>
      <c r="J37" s="570">
        <v>2.2349999999999999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Inactive</v>
      </c>
      <c r="L37" s="320"/>
      <c r="M37" s="168">
        <f t="shared" si="1"/>
        <v>2.2349999999999999</v>
      </c>
      <c r="N37" s="632">
        <f t="shared" si="2"/>
        <v>4.7171708540206714</v>
      </c>
      <c r="O37" s="629">
        <f t="shared" si="3"/>
        <v>0.37953126999909415</v>
      </c>
      <c r="P37" s="633">
        <f t="shared" si="4"/>
        <v>-2.5648148291066302</v>
      </c>
      <c r="Q37" s="585">
        <f t="shared" si="113"/>
        <v>4.5999603526710802</v>
      </c>
      <c r="R37" s="629">
        <f t="shared" si="79"/>
        <v>4.7324142729614485</v>
      </c>
      <c r="S37" s="634">
        <f t="shared" si="80"/>
        <v>-2.5648148291066302</v>
      </c>
      <c r="T37" s="635">
        <f t="shared" si="81"/>
        <v>0.40422499989207711</v>
      </c>
      <c r="U37" s="629">
        <f t="shared" si="82"/>
        <v>-4.715118980512738</v>
      </c>
      <c r="V37" s="636">
        <f t="shared" si="114"/>
        <v>-2.5648148291066302</v>
      </c>
      <c r="W37" s="585">
        <f t="shared" si="224"/>
        <v>274.8999603093564</v>
      </c>
      <c r="X37" s="629">
        <f t="shared" si="83"/>
        <v>4.7324142729614485</v>
      </c>
      <c r="Y37" s="630">
        <f t="shared" si="223"/>
        <v>-2.5648148291066302</v>
      </c>
      <c r="Z37" s="632">
        <f t="shared" si="6"/>
        <v>-0.90338842260565688</v>
      </c>
      <c r="AA37" s="629">
        <f t="shared" si="7"/>
        <v>-7.2684505020455009E-2</v>
      </c>
      <c r="AB37" s="629">
        <f t="shared" si="8"/>
        <v>-0.42261841019055796</v>
      </c>
      <c r="AC37" s="636">
        <f t="shared" si="84"/>
        <v>1</v>
      </c>
      <c r="AD37" s="637">
        <f t="shared" si="115"/>
        <v>-0.90338842260565688</v>
      </c>
      <c r="AE37" s="629">
        <f t="shared" si="85"/>
        <v>-7.2684505020455009E-2</v>
      </c>
      <c r="AF37" s="633">
        <f t="shared" si="86"/>
        <v>-0.42261841019055796</v>
      </c>
      <c r="AG37" s="602">
        <f t="shared" si="87"/>
        <v>-9.7586094324255956</v>
      </c>
      <c r="AH37" s="603">
        <f t="shared" si="88"/>
        <v>154.60709782649516</v>
      </c>
      <c r="AI37" s="585">
        <f t="shared" si="89"/>
        <v>-64.999990615163185</v>
      </c>
      <c r="AJ37" s="586">
        <f t="shared" si="90"/>
        <v>-85.400025309604388</v>
      </c>
      <c r="AK37" s="635">
        <f t="shared" si="211"/>
        <v>2.2679489797283736E-7</v>
      </c>
      <c r="AL37" s="629">
        <f t="shared" si="91"/>
        <v>-0.90630771781330111</v>
      </c>
      <c r="AM37" s="634">
        <f t="shared" si="92"/>
        <v>-0.42261841019055796</v>
      </c>
      <c r="AN37" s="581">
        <f t="shared" si="93"/>
        <v>-64.999990615162503</v>
      </c>
      <c r="AO37" s="582">
        <f t="shared" si="94"/>
        <v>0</v>
      </c>
      <c r="AP37" s="585">
        <f t="shared" si="95"/>
        <v>-89.999985662275392</v>
      </c>
      <c r="AQ37" s="586">
        <f t="shared" si="9"/>
        <v>0.48171457213593327</v>
      </c>
      <c r="AS37" s="52">
        <f t="shared" si="116"/>
        <v>-85.100039690643598</v>
      </c>
      <c r="AT37" s="72">
        <f t="shared" si="10"/>
        <v>-2.5055092460182071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>Gage</v>
      </c>
      <c r="IG37" s="847">
        <f t="shared" si="210"/>
        <v>2.2349999999999999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2.1349999999999998</v>
      </c>
      <c r="II37" s="734" cm="1">
        <f t="array" ref="II37">IFERROR(ROUND(VALUE(IF($IH37&lt;1,$IH37+LARGE((IF($M$9:$M$150="",0,$M$9:$M$150)-MOD(IF($M$9:$M$150="",0,$M$9:$M$150),1)),1),$IH37)),4),"")</f>
        <v>2.1349999999999998</v>
      </c>
      <c r="IJ37" s="533">
        <f t="shared" si="112"/>
        <v>1613</v>
      </c>
      <c r="IK37" s="533" t="str">
        <f t="shared" si="66"/>
        <v>Inactive</v>
      </c>
      <c r="IL37" s="727">
        <f t="shared" si="225"/>
        <v>12.179998241425892</v>
      </c>
      <c r="IM37" s="759">
        <v>2.5772727011767402E-4</v>
      </c>
      <c r="IN37" s="5">
        <f t="shared" si="226"/>
        <v>0</v>
      </c>
      <c r="IO37" s="771">
        <v>0</v>
      </c>
      <c r="IP37" s="9">
        <f t="shared" si="227"/>
        <v>-4.7290999999999999</v>
      </c>
      <c r="IQ37" s="5">
        <f t="shared" si="228"/>
        <v>-2.5192000000000001</v>
      </c>
      <c r="IR37" s="5">
        <f t="shared" si="71"/>
        <v>0.314</v>
      </c>
      <c r="IS37" s="5">
        <f t="shared" si="229"/>
        <v>0.24053797548389924</v>
      </c>
      <c r="IT37" s="727">
        <f t="shared" si="230"/>
        <v>90</v>
      </c>
      <c r="IU37" s="9">
        <f t="shared" si="231"/>
        <v>-4.7324142729614485</v>
      </c>
      <c r="IV37" s="5">
        <f t="shared" si="232"/>
        <v>-2.5648148291066302</v>
      </c>
      <c r="IW37" s="5">
        <f t="shared" si="76"/>
        <v>0.25700000000000001</v>
      </c>
      <c r="IX37" s="5">
        <f t="shared" si="233"/>
        <v>0.25700000000000001</v>
      </c>
      <c r="IY37" s="762">
        <f t="shared" si="234"/>
        <v>64.999990615162503</v>
      </c>
    </row>
    <row r="38" spans="1:267" ht="15" customHeight="1" x14ac:dyDescent="0.25">
      <c r="A38" s="79"/>
      <c r="B38" s="707">
        <v>0.47733138062686936</v>
      </c>
      <c r="C38" s="708">
        <v>-0.68170064587808976</v>
      </c>
      <c r="D38" s="709">
        <v>-0.43490131166235596</v>
      </c>
      <c r="E38" s="710">
        <v>0.71897774371020229</v>
      </c>
      <c r="F38" s="708">
        <v>0.61149757067390431</v>
      </c>
      <c r="G38" s="711">
        <v>0.33036604714967338</v>
      </c>
      <c r="H38" s="710">
        <v>0.314</v>
      </c>
      <c r="I38" s="708">
        <v>0.39400000000000002</v>
      </c>
      <c r="J38" s="570">
        <v>3.1030000000000002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1610</v>
      </c>
      <c r="L38" s="320"/>
      <c r="M38" s="168">
        <f t="shared" si="1"/>
        <v>3.1030000000000002</v>
      </c>
      <c r="N38" s="632">
        <f t="shared" si="2"/>
        <v>0.47733138062686936</v>
      </c>
      <c r="O38" s="629">
        <f t="shared" si="3"/>
        <v>-0.68170064587808976</v>
      </c>
      <c r="P38" s="633">
        <f t="shared" si="4"/>
        <v>-0.43490131166235596</v>
      </c>
      <c r="Q38" s="585">
        <f t="shared" si="113"/>
        <v>304.99996895784517</v>
      </c>
      <c r="R38" s="629">
        <f t="shared" si="79"/>
        <v>0.83220250992277001</v>
      </c>
      <c r="S38" s="634">
        <f t="shared" si="80"/>
        <v>-0.43490131166235596</v>
      </c>
      <c r="T38" s="635">
        <f t="shared" si="81"/>
        <v>-0.67919201181329125</v>
      </c>
      <c r="U38" s="629">
        <f t="shared" si="82"/>
        <v>-0.48089419689862367</v>
      </c>
      <c r="V38" s="636">
        <f t="shared" si="114"/>
        <v>-0.43490131166235596</v>
      </c>
      <c r="W38" s="585">
        <f t="shared" si="224"/>
        <v>215.29996891453052</v>
      </c>
      <c r="X38" s="629">
        <f t="shared" si="83"/>
        <v>0.83220250992277001</v>
      </c>
      <c r="Y38" s="630">
        <f t="shared" si="223"/>
        <v>-0.43490131166235596</v>
      </c>
      <c r="Z38" s="632">
        <f t="shared" si="6"/>
        <v>-0.71897774371020229</v>
      </c>
      <c r="AA38" s="629">
        <f t="shared" si="7"/>
        <v>-0.61149757067390431</v>
      </c>
      <c r="AB38" s="629">
        <f t="shared" si="8"/>
        <v>-0.33036604714967338</v>
      </c>
      <c r="AC38" s="636">
        <f t="shared" si="84"/>
        <v>1</v>
      </c>
      <c r="AD38" s="637">
        <f t="shared" si="115"/>
        <v>-0.71897774371020229</v>
      </c>
      <c r="AE38" s="629">
        <f t="shared" si="85"/>
        <v>-0.61149757067390431</v>
      </c>
      <c r="AF38" s="633">
        <f t="shared" si="86"/>
        <v>-0.33036604714967338</v>
      </c>
      <c r="AG38" s="602">
        <f t="shared" si="87"/>
        <v>-61.61953952769985</v>
      </c>
      <c r="AH38" s="603">
        <f t="shared" si="88"/>
        <v>135.97014543617573</v>
      </c>
      <c r="AI38" s="585">
        <f t="shared" si="89"/>
        <v>-70.709005437865216</v>
      </c>
      <c r="AJ38" s="586">
        <f t="shared" si="90"/>
        <v>-49.61851227991535</v>
      </c>
      <c r="AK38" s="635">
        <f t="shared" si="211"/>
        <v>0.93969263802333458</v>
      </c>
      <c r="AL38" s="629">
        <f t="shared" si="91"/>
        <v>8.8521302156295611E-2</v>
      </c>
      <c r="AM38" s="634">
        <f t="shared" si="92"/>
        <v>-0.33036604714967338</v>
      </c>
      <c r="AN38" s="581">
        <f t="shared" si="93"/>
        <v>14.999997834268271</v>
      </c>
      <c r="AO38" s="582">
        <f t="shared" si="94"/>
        <v>19.999997112357679</v>
      </c>
      <c r="AP38" s="585">
        <f t="shared" si="95"/>
        <v>5.3815187622394811</v>
      </c>
      <c r="AQ38" s="586">
        <f t="shared" si="9"/>
        <v>2.7373047878229215</v>
      </c>
      <c r="AS38" s="52">
        <f t="shared" si="116"/>
        <v>-144.70003108546948</v>
      </c>
      <c r="AT38" s="72">
        <f t="shared" si="10"/>
        <v>-0.33420684566085956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3.1030000000000002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1610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0.89942722658134322</v>
      </c>
      <c r="C39" s="708">
        <v>-1.2845166820493061</v>
      </c>
      <c r="D39" s="709">
        <v>-0.23780071720696314</v>
      </c>
      <c r="E39" s="710">
        <v>0.75281812825823691</v>
      </c>
      <c r="F39" s="708">
        <v>0.60890465767086721</v>
      </c>
      <c r="G39" s="711">
        <v>0.24999996726497564</v>
      </c>
      <c r="H39" s="710">
        <v>0.314</v>
      </c>
      <c r="I39" s="708">
        <v>0.39400000000000002</v>
      </c>
      <c r="J39" s="570">
        <v>3.1059999999999999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1610</v>
      </c>
      <c r="L39" s="320"/>
      <c r="M39" s="168">
        <f t="shared" si="1"/>
        <v>3.1059999999999999</v>
      </c>
      <c r="N39" s="632">
        <f t="shared" si="2"/>
        <v>0.89942722658134322</v>
      </c>
      <c r="O39" s="629">
        <f t="shared" si="3"/>
        <v>-1.2845166820493061</v>
      </c>
      <c r="P39" s="633">
        <f t="shared" si="4"/>
        <v>-0.23780071720696314</v>
      </c>
      <c r="Q39" s="585">
        <f t="shared" si="113"/>
        <v>304.99996895784517</v>
      </c>
      <c r="R39" s="629">
        <f t="shared" si="79"/>
        <v>1.5681047294038639</v>
      </c>
      <c r="S39" s="634">
        <f t="shared" si="80"/>
        <v>-0.23780071720696314</v>
      </c>
      <c r="T39" s="635">
        <f t="shared" si="81"/>
        <v>-1.2797897064701056</v>
      </c>
      <c r="U39" s="629">
        <f t="shared" si="82"/>
        <v>-0.90614057937602943</v>
      </c>
      <c r="V39" s="636">
        <f t="shared" si="114"/>
        <v>-0.23780071720696314</v>
      </c>
      <c r="W39" s="585">
        <f t="shared" si="224"/>
        <v>215.29996891453052</v>
      </c>
      <c r="X39" s="629">
        <f t="shared" si="83"/>
        <v>1.5681047294038639</v>
      </c>
      <c r="Y39" s="630">
        <f t="shared" si="223"/>
        <v>-0.23780071720696314</v>
      </c>
      <c r="Z39" s="632">
        <f t="shared" si="6"/>
        <v>-0.75281812825823691</v>
      </c>
      <c r="AA39" s="629">
        <f t="shared" si="7"/>
        <v>-0.60890465767086721</v>
      </c>
      <c r="AB39" s="629">
        <f t="shared" si="8"/>
        <v>-0.24999996726497564</v>
      </c>
      <c r="AC39" s="636">
        <f t="shared" si="84"/>
        <v>1</v>
      </c>
      <c r="AD39" s="637">
        <f t="shared" si="115"/>
        <v>-0.75281812825823691</v>
      </c>
      <c r="AE39" s="629">
        <f t="shared" si="85"/>
        <v>-0.60890465767086721</v>
      </c>
      <c r="AF39" s="633">
        <f t="shared" si="86"/>
        <v>-0.24999996726497564</v>
      </c>
      <c r="AG39" s="602">
        <f t="shared" si="87"/>
        <v>-67.678258110110775</v>
      </c>
      <c r="AH39" s="603">
        <f t="shared" si="88"/>
        <v>138.83508611201967</v>
      </c>
      <c r="AI39" s="585">
        <f t="shared" si="89"/>
        <v>-75.522489751159469</v>
      </c>
      <c r="AJ39" s="586">
        <f t="shared" si="90"/>
        <v>-51.032901397068258</v>
      </c>
      <c r="AK39" s="635">
        <f t="shared" si="211"/>
        <v>0.96592583607220739</v>
      </c>
      <c r="AL39" s="629">
        <f t="shared" si="91"/>
        <v>6.6987279208207351E-2</v>
      </c>
      <c r="AM39" s="634">
        <f t="shared" si="92"/>
        <v>-0.24999996726497564</v>
      </c>
      <c r="AN39" s="581">
        <f t="shared" si="93"/>
        <v>14.999997834268303</v>
      </c>
      <c r="AO39" s="582">
        <f t="shared" si="94"/>
        <v>14.999997834268255</v>
      </c>
      <c r="AP39" s="585">
        <f t="shared" si="95"/>
        <v>3.9671296450865805</v>
      </c>
      <c r="AQ39" s="586">
        <f t="shared" si="9"/>
        <v>1.4534983073405761</v>
      </c>
      <c r="AS39" s="52">
        <f t="shared" si="116"/>
        <v>-144.70003108546948</v>
      </c>
      <c r="AT39" s="72">
        <f t="shared" si="10"/>
        <v>-0.13710625120546671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3.1059999999999999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1610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1.3188293286426045</v>
      </c>
      <c r="C40" s="708">
        <v>-1.8890940764405488</v>
      </c>
      <c r="D40" s="709">
        <v>-4.2900129386790289E-2</v>
      </c>
      <c r="E40" s="710">
        <v>0.7801248092905434</v>
      </c>
      <c r="F40" s="708">
        <v>0.56960972886661143</v>
      </c>
      <c r="G40" s="711">
        <v>0.25874705546131105</v>
      </c>
      <c r="H40" s="710">
        <v>0.314</v>
      </c>
      <c r="I40" s="708">
        <v>0.39400000000000002</v>
      </c>
      <c r="J40" s="570">
        <v>3.109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1610</v>
      </c>
      <c r="L40" s="320"/>
      <c r="M40" s="168">
        <f t="shared" si="1"/>
        <v>3.109</v>
      </c>
      <c r="N40" s="632">
        <f t="shared" si="2"/>
        <v>1.3188293286426045</v>
      </c>
      <c r="O40" s="629">
        <f t="shared" si="3"/>
        <v>-1.8890940764405488</v>
      </c>
      <c r="P40" s="633">
        <f t="shared" si="4"/>
        <v>-4.2900129386790289E-2</v>
      </c>
      <c r="Q40" s="585">
        <f t="shared" si="113"/>
        <v>304.91996896939571</v>
      </c>
      <c r="R40" s="629">
        <f t="shared" si="79"/>
        <v>2.3039069485833568</v>
      </c>
      <c r="S40" s="634">
        <f t="shared" si="80"/>
        <v>-4.2900129386790289E-2</v>
      </c>
      <c r="T40" s="635">
        <f t="shared" si="81"/>
        <v>-1.8821628395462511</v>
      </c>
      <c r="U40" s="629">
        <f t="shared" si="82"/>
        <v>-1.3287024772919884</v>
      </c>
      <c r="V40" s="636">
        <f t="shared" si="114"/>
        <v>-4.2900129386790289E-2</v>
      </c>
      <c r="W40" s="585">
        <f t="shared" si="224"/>
        <v>215.21996892608107</v>
      </c>
      <c r="X40" s="629">
        <f t="shared" si="83"/>
        <v>2.3039069485833568</v>
      </c>
      <c r="Y40" s="630">
        <f t="shared" si="223"/>
        <v>-4.2900129386790289E-2</v>
      </c>
      <c r="Z40" s="632">
        <f t="shared" si="6"/>
        <v>-0.7801248092905434</v>
      </c>
      <c r="AA40" s="629">
        <f t="shared" si="7"/>
        <v>-0.56960972886661143</v>
      </c>
      <c r="AB40" s="629">
        <f t="shared" si="8"/>
        <v>-0.25874705546131105</v>
      </c>
      <c r="AC40" s="636">
        <f t="shared" si="84"/>
        <v>1</v>
      </c>
      <c r="AD40" s="637">
        <f t="shared" si="115"/>
        <v>-0.7801248092905434</v>
      </c>
      <c r="AE40" s="629">
        <f t="shared" si="85"/>
        <v>-0.56960972886661143</v>
      </c>
      <c r="AF40" s="633">
        <f t="shared" si="86"/>
        <v>-0.25874705546131105</v>
      </c>
      <c r="AG40" s="602">
        <f t="shared" si="87"/>
        <v>-65.569923298021038</v>
      </c>
      <c r="AH40" s="603">
        <f t="shared" si="88"/>
        <v>141.27200424340904</v>
      </c>
      <c r="AI40" s="585">
        <f t="shared" si="89"/>
        <v>-75.004270163730126</v>
      </c>
      <c r="AJ40" s="586">
        <f t="shared" si="90"/>
        <v>-53.864873033124141</v>
      </c>
      <c r="AK40" s="635">
        <f t="shared" si="211"/>
        <v>0.96572787967527063</v>
      </c>
      <c r="AL40" s="629">
        <f t="shared" si="91"/>
        <v>2.0484718890125486E-2</v>
      </c>
      <c r="AM40" s="634">
        <f t="shared" si="92"/>
        <v>-0.25874705546131105</v>
      </c>
      <c r="AN40" s="581">
        <f t="shared" si="93"/>
        <v>4.5266022514448441</v>
      </c>
      <c r="AO40" s="582">
        <f t="shared" si="94"/>
        <v>15.043757856566913</v>
      </c>
      <c r="AP40" s="585">
        <f t="shared" si="95"/>
        <v>1.215157997480161</v>
      </c>
      <c r="AQ40" s="586">
        <f t="shared" si="9"/>
        <v>0.98940628912342465</v>
      </c>
      <c r="AS40" s="52">
        <f t="shared" si="116"/>
        <v>-144.78003107391893</v>
      </c>
      <c r="AT40" s="72">
        <f t="shared" si="10"/>
        <v>5.7849892162240471E-2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3.109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1610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1.7350341018694155</v>
      </c>
      <c r="C41" s="708">
        <v>-2.5511121341397107</v>
      </c>
      <c r="D41" s="709">
        <v>-3.3100099829900947E-2</v>
      </c>
      <c r="E41" s="710">
        <v>0.85103859259950099</v>
      </c>
      <c r="F41" s="708">
        <v>0.46274430758006235</v>
      </c>
      <c r="G41" s="711">
        <v>0.24819552717264898</v>
      </c>
      <c r="H41" s="710">
        <v>0.314</v>
      </c>
      <c r="I41" s="708">
        <v>0.52</v>
      </c>
      <c r="J41" s="570">
        <v>3.1139999999999999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3.1139999999999999</v>
      </c>
      <c r="N41" s="632">
        <f t="shared" ref="N41:N72" si="240">IF(M41="","",B41)</f>
        <v>1.7350341018694155</v>
      </c>
      <c r="O41" s="629">
        <f t="shared" ref="O41:O72" si="241">IF(M41="","",C41)</f>
        <v>-2.5511121341397107</v>
      </c>
      <c r="P41" s="633">
        <f t="shared" ref="P41:P72" si="242">IF(M41="","",D41)</f>
        <v>-3.3100099829900947E-2</v>
      </c>
      <c r="Q41" s="585">
        <f t="shared" si="113"/>
        <v>304.21996907046321</v>
      </c>
      <c r="R41" s="629">
        <f t="shared" si="79"/>
        <v>3.0852093049912641</v>
      </c>
      <c r="S41" s="634">
        <f t="shared" si="80"/>
        <v>-3.3100099829900947E-2</v>
      </c>
      <c r="T41" s="635">
        <f t="shared" si="81"/>
        <v>-2.5419925896438587</v>
      </c>
      <c r="U41" s="629">
        <f t="shared" si="82"/>
        <v>-1.748367847393788</v>
      </c>
      <c r="V41" s="636">
        <f t="shared" si="114"/>
        <v>-3.3100099829900947E-2</v>
      </c>
      <c r="W41" s="585">
        <f t="shared" si="224"/>
        <v>214.51996902714856</v>
      </c>
      <c r="X41" s="629">
        <f t="shared" si="83"/>
        <v>3.0852093049912641</v>
      </c>
      <c r="Y41" s="630">
        <f t="shared" si="223"/>
        <v>-3.3100099829900947E-2</v>
      </c>
      <c r="Z41" s="632">
        <f t="shared" ref="Z41:Z72" si="243">IF(M41="","",-E41)</f>
        <v>-0.85103859259950099</v>
      </c>
      <c r="AA41" s="629">
        <f t="shared" ref="AA41:AA72" si="244">IF(M41="","",-F41)</f>
        <v>-0.46274430758006235</v>
      </c>
      <c r="AB41" s="629">
        <f t="shared" ref="AB41:AB72" si="245">IF(M41="","",-G41)</f>
        <v>-0.24819552717264898</v>
      </c>
      <c r="AC41" s="636">
        <f t="shared" si="84"/>
        <v>1</v>
      </c>
      <c r="AD41" s="637">
        <f t="shared" si="115"/>
        <v>-0.85103859259950099</v>
      </c>
      <c r="AE41" s="629">
        <f t="shared" si="85"/>
        <v>-0.46274430758006235</v>
      </c>
      <c r="AF41" s="633">
        <f t="shared" si="86"/>
        <v>-0.24819552717264898</v>
      </c>
      <c r="AG41" s="602">
        <f t="shared" si="87"/>
        <v>-61.792864159614368</v>
      </c>
      <c r="AH41" s="603">
        <f t="shared" si="88"/>
        <v>148.32481275145096</v>
      </c>
      <c r="AI41" s="585">
        <f t="shared" si="89"/>
        <v>-75.629241564157141</v>
      </c>
      <c r="AJ41" s="586">
        <f t="shared" si="90"/>
        <v>-61.465275308632322</v>
      </c>
      <c r="AK41" s="635">
        <f t="shared" si="211"/>
        <v>0.96394498405272633</v>
      </c>
      <c r="AL41" s="629">
        <f t="shared" si="91"/>
        <v>-9.5963784893468906E-2</v>
      </c>
      <c r="AM41" s="634">
        <f t="shared" si="92"/>
        <v>-0.24819552717264898</v>
      </c>
      <c r="AN41" s="581">
        <f t="shared" si="93"/>
        <v>-21.13879010021256</v>
      </c>
      <c r="AO41" s="582">
        <f t="shared" si="94"/>
        <v>15.43242101391438</v>
      </c>
      <c r="AP41" s="585">
        <f t="shared" si="95"/>
        <v>-5.6852443790955265</v>
      </c>
      <c r="AQ41" s="586">
        <f t="shared" ref="AQ41:AQ72" si="246">IF(M41="","",DEGREES(ATAN(($AS$5*SIN(RADIANS(90)))/(($X41*2*PI())-($AS$5*COS(RADIANS(90)))))))</f>
        <v>0.73888026038574184</v>
      </c>
      <c r="AS41" s="52">
        <f t="shared" si="116"/>
        <v>-145.48003097285144</v>
      </c>
      <c r="AT41" s="72">
        <f t="shared" ref="AT41:AT72" si="247">IF(M41="","",Y41+(((AS41-$AS$9)*$AS$6)*-1))</f>
        <v>6.8136032760055157E-2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3.1139999999999999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2.087294541717414</v>
      </c>
      <c r="C42" s="708">
        <v>-3.184869129356827</v>
      </c>
      <c r="D42" s="709">
        <v>-0.32990099498140141</v>
      </c>
      <c r="E42" s="710">
        <v>0.91066443353589832</v>
      </c>
      <c r="F42" s="708">
        <v>0.31642592547430348</v>
      </c>
      <c r="G42" s="711">
        <v>0.26564059023513736</v>
      </c>
      <c r="H42" s="710">
        <v>0.314</v>
      </c>
      <c r="I42" s="708">
        <v>0.52</v>
      </c>
      <c r="J42" s="570">
        <v>3.1190000000000002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3.1190000000000002</v>
      </c>
      <c r="N42" s="632">
        <f t="shared" si="240"/>
        <v>2.087294541717414</v>
      </c>
      <c r="O42" s="629">
        <f t="shared" si="241"/>
        <v>-3.184869129356827</v>
      </c>
      <c r="P42" s="633">
        <f t="shared" si="242"/>
        <v>-0.32990099498140141</v>
      </c>
      <c r="Q42" s="585">
        <f t="shared" si="113"/>
        <v>303.23996921195766</v>
      </c>
      <c r="R42" s="629">
        <f t="shared" ref="R42:R47" si="385">IF(M42="","",SQRT(N42^2+O42^2))</f>
        <v>3.8079114846610369</v>
      </c>
      <c r="S42" s="634">
        <f t="shared" ref="S42:S47" si="386">IF(M42="","",P42)</f>
        <v>-0.32990099498140141</v>
      </c>
      <c r="T42" s="635">
        <f t="shared" ref="T42:T47" si="387">IF(M42="","",X42*COS(RADIANS(W42)))</f>
        <v>-3.1738964748234175</v>
      </c>
      <c r="U42" s="629">
        <f t="shared" ref="U42:U47" si="388">IF(M42="","",X42*SIN(RADIANS(W42)))</f>
        <v>-2.1039417867699917</v>
      </c>
      <c r="V42" s="636">
        <f t="shared" ref="V42:V47" si="389">IF(M42="","",Y42)</f>
        <v>-0.32990099498140141</v>
      </c>
      <c r="W42" s="585">
        <f t="shared" si="224"/>
        <v>213.53996916864301</v>
      </c>
      <c r="X42" s="629">
        <f t="shared" ref="X42:X47" si="390">IF(M42="","",R42)</f>
        <v>3.8079114846610369</v>
      </c>
      <c r="Y42" s="630">
        <f t="shared" si="223"/>
        <v>-0.32990099498140141</v>
      </c>
      <c r="Z42" s="632">
        <f t="shared" si="243"/>
        <v>-0.91066443353589832</v>
      </c>
      <c r="AA42" s="629">
        <f t="shared" si="244"/>
        <v>-0.31642592547430348</v>
      </c>
      <c r="AB42" s="629">
        <f t="shared" si="245"/>
        <v>-0.26564059023513736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-0.91066443353589832</v>
      </c>
      <c r="AE42" s="629">
        <f t="shared" ref="AE42:AE47" si="393">IF(M42="","",AA42*(1/SQRT(Z42^2+AA42^2+AB42^2)))</f>
        <v>-0.31642592547430348</v>
      </c>
      <c r="AF42" s="633">
        <f t="shared" ref="AF42:AF47" si="394">IF(M42="","",AB42*(1/SQRT(Z42^2+AA42^2+AB42^2)))</f>
        <v>-0.26564059023513736</v>
      </c>
      <c r="AG42" s="602">
        <f t="shared" ref="AG42:AG47" si="395">IF(M42="","",DEGREES(ATAN2(-AF42,AE42)))</f>
        <v>-49.986432279880987</v>
      </c>
      <c r="AH42" s="603">
        <f t="shared" ref="AH42:AH47" si="396">IF(M42="","",DEGREES(ACOS(AD42)))</f>
        <v>155.59733339841301</v>
      </c>
      <c r="AI42" s="585">
        <f t="shared" ref="AI42:AI47" si="397">IF(M42="","",DEGREES(-ACOS(-AF42)))</f>
        <v>-74.594979759935185</v>
      </c>
      <c r="AJ42" s="586">
        <f t="shared" ref="AJ42:AJ47" si="398">IF(M42="","",DEGREES(ATAN2(-AE42,AD42)))</f>
        <v>-70.839342832525617</v>
      </c>
      <c r="AK42" s="635">
        <f t="shared" ref="AK42:AK47" si="399">IF(M42="","",(COS(RADIANS((90-$Q$8)-W42))*AD42)+(-SIN(RADIANS((90-$Q$8)-W42))*AE42))</f>
        <v>0.93511132362601856</v>
      </c>
      <c r="AL42" s="629">
        <f t="shared" ref="AL42:AL47" si="400">IF(M42="","",(SIN(RADIANS((90-$Q$8)-W42))*AD42)+(COS(RADIANS((90-$Q$8)-W42))*AE42))</f>
        <v>-0.2345248158424254</v>
      </c>
      <c r="AM42" s="634">
        <f t="shared" ref="AM42:AM47" si="401">IF(M42="","",AF42)</f>
        <v>-0.26564059023513736</v>
      </c>
      <c r="AN42" s="581">
        <f t="shared" ref="AN42:AN47" si="402">IF(M42="","",DEGREES(ATAN2(-AM42,AL42)))</f>
        <v>-41.440161761533751</v>
      </c>
      <c r="AO42" s="582">
        <f t="shared" si="94"/>
        <v>20.753862498720018</v>
      </c>
      <c r="AP42" s="585">
        <f t="shared" ref="AP42:AP47" si="403">IF(M42="","",DEGREES(ATAN2(AK42,AL42)))</f>
        <v>-14.079312044483276</v>
      </c>
      <c r="AQ42" s="586">
        <f t="shared" si="246"/>
        <v>0.598659837301875</v>
      </c>
      <c r="AS42" s="52">
        <f t="shared" si="116"/>
        <v>-146.46003083135699</v>
      </c>
      <c r="AT42" s="72">
        <f t="shared" si="247"/>
        <v>-0.22798430693414978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3.1190000000000002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2.3331574902228089</v>
      </c>
      <c r="C43" s="708">
        <v>-3.6793104664775473</v>
      </c>
      <c r="D43" s="709">
        <v>-0.88600267218405981</v>
      </c>
      <c r="E43" s="710">
        <v>0.9616414590847967</v>
      </c>
      <c r="F43" s="708">
        <v>0.16300792649645773</v>
      </c>
      <c r="G43" s="711">
        <v>0.22062212053325203</v>
      </c>
      <c r="H43" s="710">
        <v>0.314</v>
      </c>
      <c r="I43" s="708">
        <v>0.52</v>
      </c>
      <c r="J43" s="570">
        <v>3.1240000000000001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3.1240000000000001</v>
      </c>
      <c r="N43" s="632">
        <f t="shared" si="240"/>
        <v>2.3331574902228089</v>
      </c>
      <c r="O43" s="629">
        <f t="shared" si="241"/>
        <v>-3.6793104664775473</v>
      </c>
      <c r="P43" s="633">
        <f t="shared" si="242"/>
        <v>-0.88600267218405981</v>
      </c>
      <c r="Q43" s="585">
        <f t="shared" si="113"/>
        <v>302.37996933612629</v>
      </c>
      <c r="R43" s="629">
        <f t="shared" si="385"/>
        <v>4.3567131398468302</v>
      </c>
      <c r="S43" s="634">
        <f t="shared" si="386"/>
        <v>-0.88600267218405981</v>
      </c>
      <c r="T43" s="635">
        <f t="shared" si="387"/>
        <v>-3.6670437049465892</v>
      </c>
      <c r="U43" s="629">
        <f t="shared" si="388"/>
        <v>-2.3523902416320341</v>
      </c>
      <c r="V43" s="636">
        <f t="shared" si="389"/>
        <v>-0.88600267218405981</v>
      </c>
      <c r="W43" s="585">
        <f t="shared" si="224"/>
        <v>212.67996929281165</v>
      </c>
      <c r="X43" s="629">
        <f t="shared" si="390"/>
        <v>4.3567131398468302</v>
      </c>
      <c r="Y43" s="630">
        <f t="shared" si="223"/>
        <v>-0.88600267218405981</v>
      </c>
      <c r="Z43" s="632">
        <f t="shared" si="243"/>
        <v>-0.9616414590847967</v>
      </c>
      <c r="AA43" s="629">
        <f t="shared" si="244"/>
        <v>-0.16300792649645773</v>
      </c>
      <c r="AB43" s="629">
        <f t="shared" si="245"/>
        <v>-0.22062212053325203</v>
      </c>
      <c r="AC43" s="636">
        <f t="shared" si="391"/>
        <v>1</v>
      </c>
      <c r="AD43" s="637">
        <f t="shared" si="392"/>
        <v>-0.9616414590847967</v>
      </c>
      <c r="AE43" s="629">
        <f t="shared" si="393"/>
        <v>-0.16300792649645773</v>
      </c>
      <c r="AF43" s="633">
        <f t="shared" si="394"/>
        <v>-0.22062212053325203</v>
      </c>
      <c r="AG43" s="602">
        <f t="shared" si="395"/>
        <v>-36.459055819722721</v>
      </c>
      <c r="AH43" s="603">
        <f t="shared" si="396"/>
        <v>164.07913063470579</v>
      </c>
      <c r="AI43" s="585">
        <f t="shared" si="397"/>
        <v>-77.254424256517737</v>
      </c>
      <c r="AJ43" s="586">
        <f t="shared" si="398"/>
        <v>-80.379238453771961</v>
      </c>
      <c r="AK43" s="635">
        <f t="shared" si="399"/>
        <v>0.8994167218037441</v>
      </c>
      <c r="AL43" s="629">
        <f t="shared" si="400"/>
        <v>-0.37732670256850054</v>
      </c>
      <c r="AM43" s="634">
        <f t="shared" si="401"/>
        <v>-0.22062212053325203</v>
      </c>
      <c r="AN43" s="581">
        <f t="shared" si="402"/>
        <v>-59.685264511070905</v>
      </c>
      <c r="AO43" s="582">
        <f t="shared" si="94"/>
        <v>25.918496476255136</v>
      </c>
      <c r="AP43" s="585">
        <f t="shared" si="403"/>
        <v>-22.759207789898237</v>
      </c>
      <c r="AQ43" s="586">
        <f t="shared" si="246"/>
        <v>0.52325300754292092</v>
      </c>
      <c r="AS43" s="52">
        <f t="shared" ref="AS43:AS74" si="406">IF(G43="","",IF(AND(W43&lt;(AS42+180),W43&gt;(AS42-180)),W43,IF(W43&gt;(AS42+180),W43-360,IF(W43&lt;(AS42-180),W43+360,"Error"))))</f>
        <v>-147.32003070718835</v>
      </c>
      <c r="AT43" s="72">
        <f t="shared" si="247"/>
        <v>-0.78348876200081419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3.1240000000000001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2.4526989800319261</v>
      </c>
      <c r="C44" s="708">
        <v>-3.9404303849789022</v>
      </c>
      <c r="D44" s="709">
        <v>-1.612604863616268</v>
      </c>
      <c r="E44" s="710">
        <v>0.99254005066582907</v>
      </c>
      <c r="F44" s="708">
        <v>2.9171131542461766E-2</v>
      </c>
      <c r="G44" s="711">
        <v>0.11837775512656888</v>
      </c>
      <c r="H44" s="710">
        <v>0.314</v>
      </c>
      <c r="I44" s="708">
        <v>0.52</v>
      </c>
      <c r="J44" s="570">
        <v>3.129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3.129</v>
      </c>
      <c r="N44" s="632">
        <f t="shared" si="240"/>
        <v>2.4526989800319261</v>
      </c>
      <c r="O44" s="629">
        <f t="shared" si="241"/>
        <v>-3.9404303849789022</v>
      </c>
      <c r="P44" s="633">
        <f t="shared" si="242"/>
        <v>-1.612604863616268</v>
      </c>
      <c r="Q44" s="585">
        <f t="shared" si="113"/>
        <v>301.89996940542972</v>
      </c>
      <c r="R44" s="629">
        <f t="shared" si="385"/>
        <v>4.6414139985046186</v>
      </c>
      <c r="S44" s="634">
        <f t="shared" si="386"/>
        <v>-1.612604863616268</v>
      </c>
      <c r="T44" s="635">
        <f t="shared" si="387"/>
        <v>-3.9275341292551182</v>
      </c>
      <c r="U44" s="629">
        <f t="shared" si="388"/>
        <v>-2.4732973070479973</v>
      </c>
      <c r="V44" s="636">
        <f t="shared" si="389"/>
        <v>-1.612604863616268</v>
      </c>
      <c r="W44" s="585">
        <f t="shared" si="224"/>
        <v>212.19996936211507</v>
      </c>
      <c r="X44" s="629">
        <f t="shared" si="390"/>
        <v>4.6414139985046186</v>
      </c>
      <c r="Y44" s="630">
        <f t="shared" si="223"/>
        <v>-1.612604863616268</v>
      </c>
      <c r="Z44" s="632">
        <f t="shared" si="243"/>
        <v>-0.99254005066582907</v>
      </c>
      <c r="AA44" s="629">
        <f t="shared" si="244"/>
        <v>-2.9171131542461766E-2</v>
      </c>
      <c r="AB44" s="629">
        <f t="shared" si="245"/>
        <v>-0.11837775512656888</v>
      </c>
      <c r="AC44" s="636">
        <f t="shared" si="391"/>
        <v>1</v>
      </c>
      <c r="AD44" s="637">
        <f t="shared" si="392"/>
        <v>-0.99254005066582907</v>
      </c>
      <c r="AE44" s="629">
        <f t="shared" si="393"/>
        <v>-2.9171131542461766E-2</v>
      </c>
      <c r="AF44" s="633">
        <f t="shared" si="394"/>
        <v>-0.11837775512656888</v>
      </c>
      <c r="AG44" s="602">
        <f t="shared" si="395"/>
        <v>-13.84324973288944</v>
      </c>
      <c r="AH44" s="603">
        <f t="shared" si="396"/>
        <v>172.99713226554843</v>
      </c>
      <c r="AI44" s="585">
        <f t="shared" si="397"/>
        <v>-83.201512542179699</v>
      </c>
      <c r="AJ44" s="586">
        <f t="shared" si="398"/>
        <v>-88.316539745300247</v>
      </c>
      <c r="AK44" s="635">
        <f t="shared" si="399"/>
        <v>0.85805381287164295</v>
      </c>
      <c r="AL44" s="629">
        <f t="shared" si="400"/>
        <v>-0.49973028856337071</v>
      </c>
      <c r="AM44" s="634">
        <f t="shared" si="401"/>
        <v>-0.11837775512656888</v>
      </c>
      <c r="AN44" s="581">
        <f t="shared" si="402"/>
        <v>-76.673234354526784</v>
      </c>
      <c r="AO44" s="582">
        <f t="shared" si="94"/>
        <v>30.901237606776011</v>
      </c>
      <c r="AP44" s="585">
        <f t="shared" si="403"/>
        <v>-30.216509150729951</v>
      </c>
      <c r="AQ44" s="586">
        <f t="shared" si="246"/>
        <v>0.49115868365749893</v>
      </c>
      <c r="AS44" s="52">
        <f t="shared" si="406"/>
        <v>-147.80003063788493</v>
      </c>
      <c r="AT44" s="72">
        <f t="shared" si="247"/>
        <v>-1.5097576201478164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3.129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2.474053736063091</v>
      </c>
      <c r="C45" s="708">
        <v>-3.9824807182298145</v>
      </c>
      <c r="D45" s="709">
        <v>-2.3692071455287516</v>
      </c>
      <c r="E45" s="710">
        <v>0.99589965134774583</v>
      </c>
      <c r="F45" s="708">
        <v>-5.0782436666643851E-2</v>
      </c>
      <c r="G45" s="711">
        <v>7.4866738753846349E-2</v>
      </c>
      <c r="H45" s="710">
        <v>0.314</v>
      </c>
      <c r="I45" s="708">
        <v>0.52</v>
      </c>
      <c r="J45" s="570">
        <v>3.1339999999999999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3.1339999999999999</v>
      </c>
      <c r="N45" s="632">
        <f t="shared" si="240"/>
        <v>2.474053736063091</v>
      </c>
      <c r="O45" s="629">
        <f t="shared" si="241"/>
        <v>-3.9824807182298145</v>
      </c>
      <c r="P45" s="633">
        <f t="shared" si="242"/>
        <v>-2.3692071455287516</v>
      </c>
      <c r="Q45" s="585">
        <f t="shared" si="113"/>
        <v>301.84996941264882</v>
      </c>
      <c r="R45" s="629">
        <f t="shared" si="385"/>
        <v>4.6883999999999997</v>
      </c>
      <c r="S45" s="634">
        <f t="shared" si="386"/>
        <v>-2.3692071455287516</v>
      </c>
      <c r="T45" s="635">
        <f t="shared" si="387"/>
        <v>-3.9694720733765694</v>
      </c>
      <c r="U45" s="629">
        <f t="shared" si="388"/>
        <v>-2.494871944345745</v>
      </c>
      <c r="V45" s="636">
        <f t="shared" si="389"/>
        <v>-2.3692071455287516</v>
      </c>
      <c r="W45" s="585">
        <f t="shared" si="224"/>
        <v>212.14996936933417</v>
      </c>
      <c r="X45" s="629">
        <f t="shared" si="390"/>
        <v>4.6883999999999997</v>
      </c>
      <c r="Y45" s="630">
        <f t="shared" si="223"/>
        <v>-2.3692071455287516</v>
      </c>
      <c r="Z45" s="632">
        <f t="shared" si="243"/>
        <v>-0.99589965134774583</v>
      </c>
      <c r="AA45" s="629">
        <f t="shared" si="244"/>
        <v>5.0782436666643851E-2</v>
      </c>
      <c r="AB45" s="629">
        <f t="shared" si="245"/>
        <v>-7.4866738753846349E-2</v>
      </c>
      <c r="AC45" s="636">
        <f t="shared" si="391"/>
        <v>1</v>
      </c>
      <c r="AD45" s="637">
        <f t="shared" si="392"/>
        <v>-0.99589965134774583</v>
      </c>
      <c r="AE45" s="629">
        <f t="shared" si="393"/>
        <v>5.0782436666643851E-2</v>
      </c>
      <c r="AF45" s="633">
        <f t="shared" si="394"/>
        <v>-7.4866738753846349E-2</v>
      </c>
      <c r="AG45" s="602">
        <f t="shared" si="395"/>
        <v>34.149216494060084</v>
      </c>
      <c r="AH45" s="603">
        <f t="shared" si="396"/>
        <v>174.80965134930429</v>
      </c>
      <c r="AI45" s="585">
        <f t="shared" si="397"/>
        <v>-85.706434529172299</v>
      </c>
      <c r="AJ45" s="586">
        <f t="shared" si="398"/>
        <v>-92.919070627560188</v>
      </c>
      <c r="AK45" s="635">
        <f t="shared" si="399"/>
        <v>0.81915209487729224</v>
      </c>
      <c r="AL45" s="629">
        <f t="shared" si="400"/>
        <v>-0.56866933879584802</v>
      </c>
      <c r="AM45" s="634">
        <f t="shared" si="401"/>
        <v>-7.4866738753846349E-2</v>
      </c>
      <c r="AN45" s="581">
        <f t="shared" si="402"/>
        <v>-82.500000000000014</v>
      </c>
      <c r="AO45" s="582">
        <f t="shared" si="94"/>
        <v>34.999994946625925</v>
      </c>
      <c r="AP45" s="585">
        <f t="shared" si="403"/>
        <v>-34.769040040208999</v>
      </c>
      <c r="AQ45" s="586">
        <f t="shared" si="246"/>
        <v>0.48623664862872762</v>
      </c>
      <c r="AS45" s="52">
        <f t="shared" si="406"/>
        <v>-147.85003063066583</v>
      </c>
      <c r="AT45" s="72">
        <f t="shared" si="247"/>
        <v>-2.2663251798430908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3.1339999999999999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2.4906213801915924</v>
      </c>
      <c r="C46" s="708">
        <v>-4.0200985001032654</v>
      </c>
      <c r="D46" s="709">
        <v>-3.1192094075355734</v>
      </c>
      <c r="E46" s="710">
        <v>0.98972632182788034</v>
      </c>
      <c r="F46" s="708">
        <v>-0.14297485051943598</v>
      </c>
      <c r="G46" s="711">
        <v>0</v>
      </c>
      <c r="H46" s="710">
        <v>0.314</v>
      </c>
      <c r="I46" s="708">
        <v>0.52</v>
      </c>
      <c r="J46" s="570">
        <v>3.1389999999999998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3.1389999999999998</v>
      </c>
      <c r="N46" s="632">
        <f t="shared" si="240"/>
        <v>2.4906213801915924</v>
      </c>
      <c r="O46" s="629">
        <f t="shared" si="241"/>
        <v>-4.0200985001032654</v>
      </c>
      <c r="P46" s="633">
        <f t="shared" si="242"/>
        <v>-3.1192094075355734</v>
      </c>
      <c r="Q46" s="585">
        <f t="shared" si="113"/>
        <v>301.77996942275558</v>
      </c>
      <c r="R46" s="629">
        <f t="shared" si="385"/>
        <v>4.7290999999999999</v>
      </c>
      <c r="S46" s="634">
        <f t="shared" si="386"/>
        <v>-3.1192094075355734</v>
      </c>
      <c r="T46" s="635">
        <f t="shared" si="387"/>
        <v>-4.0070025920220171</v>
      </c>
      <c r="U46" s="629">
        <f t="shared" si="388"/>
        <v>-2.511636326686018</v>
      </c>
      <c r="V46" s="636">
        <f t="shared" si="389"/>
        <v>-3.1192094075355734</v>
      </c>
      <c r="W46" s="585">
        <f t="shared" si="224"/>
        <v>212.07996937944094</v>
      </c>
      <c r="X46" s="629">
        <f t="shared" si="390"/>
        <v>4.7290999999999999</v>
      </c>
      <c r="Y46" s="630">
        <f t="shared" si="223"/>
        <v>-3.1192094075355734</v>
      </c>
      <c r="Z46" s="632">
        <f t="shared" si="243"/>
        <v>-0.98972632182788034</v>
      </c>
      <c r="AA46" s="629">
        <f t="shared" si="244"/>
        <v>0.14297485051943598</v>
      </c>
      <c r="AB46" s="629">
        <f t="shared" si="245"/>
        <v>0</v>
      </c>
      <c r="AC46" s="636">
        <f t="shared" si="391"/>
        <v>1</v>
      </c>
      <c r="AD46" s="637">
        <f t="shared" si="392"/>
        <v>-0.98972632182788034</v>
      </c>
      <c r="AE46" s="629">
        <f t="shared" si="393"/>
        <v>0.14297485051943598</v>
      </c>
      <c r="AF46" s="633">
        <f t="shared" si="394"/>
        <v>0</v>
      </c>
      <c r="AG46" s="602">
        <f t="shared" si="395"/>
        <v>90</v>
      </c>
      <c r="AH46" s="603">
        <f t="shared" si="396"/>
        <v>171.77997519804023</v>
      </c>
      <c r="AI46" s="585">
        <f t="shared" si="397"/>
        <v>-90</v>
      </c>
      <c r="AJ46" s="586">
        <f t="shared" si="398"/>
        <v>-98.220024801959809</v>
      </c>
      <c r="AK46" s="635">
        <f t="shared" si="399"/>
        <v>0.76604450791050716</v>
      </c>
      <c r="AL46" s="629">
        <f t="shared" si="400"/>
        <v>-0.64278753247099396</v>
      </c>
      <c r="AM46" s="634">
        <f t="shared" si="401"/>
        <v>0</v>
      </c>
      <c r="AN46" s="581">
        <f t="shared" si="402"/>
        <v>-90</v>
      </c>
      <c r="AO46" s="582">
        <f t="shared" si="94"/>
        <v>39.999994224715394</v>
      </c>
      <c r="AP46" s="585">
        <f t="shared" si="403"/>
        <v>-39.999994224715401</v>
      </c>
      <c r="AQ46" s="586">
        <f t="shared" si="246"/>
        <v>0.48205215397356044</v>
      </c>
      <c r="AS46" s="52">
        <f t="shared" si="406"/>
        <v>-147.92003062055906</v>
      </c>
      <c r="AT46" s="72">
        <f t="shared" si="247"/>
        <v>-3.0162788307458204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3.1389999999999998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9.8177765851169038E-2</v>
      </c>
      <c r="C47" s="708">
        <v>-1.5433084551853089</v>
      </c>
      <c r="D47" s="709">
        <v>-0.25812495409941111</v>
      </c>
      <c r="E47" s="710">
        <v>-0.18947983041647937</v>
      </c>
      <c r="F47" s="708">
        <v>0.24334841083461067</v>
      </c>
      <c r="G47" s="711">
        <v>0.9512512521987091</v>
      </c>
      <c r="H47" s="710">
        <v>0.25700000000000001</v>
      </c>
      <c r="I47" s="708">
        <v>0.45500000000000002</v>
      </c>
      <c r="J47" s="570">
        <v>3.206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320"/>
      <c r="M47" s="168">
        <f t="shared" si="239"/>
        <v>3.206</v>
      </c>
      <c r="N47" s="632">
        <f t="shared" si="240"/>
        <v>9.8177765851169038E-2</v>
      </c>
      <c r="O47" s="629">
        <f t="shared" si="241"/>
        <v>-1.5433084551853089</v>
      </c>
      <c r="P47" s="633">
        <f t="shared" si="242"/>
        <v>-0.25812495409941111</v>
      </c>
      <c r="Q47" s="585">
        <f t="shared" si="113"/>
        <v>273.63997348566829</v>
      </c>
      <c r="R47" s="629">
        <f t="shared" si="385"/>
        <v>1.5464280977640026</v>
      </c>
      <c r="S47" s="634">
        <f t="shared" si="386"/>
        <v>-0.25812495409941111</v>
      </c>
      <c r="T47" s="635">
        <f t="shared" si="387"/>
        <v>-1.5427732447441433</v>
      </c>
      <c r="U47" s="629">
        <f t="shared" si="388"/>
        <v>-0.10625712614041015</v>
      </c>
      <c r="V47" s="636">
        <f t="shared" si="389"/>
        <v>-0.25812495409941111</v>
      </c>
      <c r="W47" s="585">
        <f t="shared" si="224"/>
        <v>183.93997344235365</v>
      </c>
      <c r="X47" s="629">
        <f t="shared" si="390"/>
        <v>1.5464280977640026</v>
      </c>
      <c r="Y47" s="630">
        <f t="shared" si="223"/>
        <v>-0.25812495409941111</v>
      </c>
      <c r="Z47" s="632">
        <f t="shared" si="243"/>
        <v>0.18947983041647937</v>
      </c>
      <c r="AA47" s="629">
        <f t="shared" si="244"/>
        <v>-0.24334841083461067</v>
      </c>
      <c r="AB47" s="629">
        <f t="shared" si="245"/>
        <v>-0.9512512521987091</v>
      </c>
      <c r="AC47" s="636">
        <f t="shared" si="391"/>
        <v>1</v>
      </c>
      <c r="AD47" s="637">
        <f t="shared" si="392"/>
        <v>0.18947983041647937</v>
      </c>
      <c r="AE47" s="629">
        <f t="shared" si="393"/>
        <v>-0.24334841083461067</v>
      </c>
      <c r="AF47" s="633">
        <f t="shared" si="394"/>
        <v>-0.9512512521987091</v>
      </c>
      <c r="AG47" s="602">
        <f t="shared" si="395"/>
        <v>-14.3496185067527</v>
      </c>
      <c r="AH47" s="603">
        <f t="shared" si="396"/>
        <v>79.077570739306509</v>
      </c>
      <c r="AI47" s="585">
        <f t="shared" si="397"/>
        <v>-17.963858339992317</v>
      </c>
      <c r="AJ47" s="586">
        <f t="shared" si="398"/>
        <v>37.905608757044597</v>
      </c>
      <c r="AK47" s="635">
        <f t="shared" si="399"/>
        <v>-0.1736481776669303</v>
      </c>
      <c r="AL47" s="629">
        <f t="shared" si="400"/>
        <v>0.25488696628769081</v>
      </c>
      <c r="AM47" s="634">
        <f t="shared" si="401"/>
        <v>-0.9512512521987091</v>
      </c>
      <c r="AN47" s="581">
        <f t="shared" si="402"/>
        <v>14.999997834268267</v>
      </c>
      <c r="AO47" s="582">
        <f t="shared" si="94"/>
        <v>100</v>
      </c>
      <c r="AP47" s="585">
        <f t="shared" si="403"/>
        <v>124.2656352713763</v>
      </c>
      <c r="AQ47" s="586">
        <f t="shared" si="246"/>
        <v>1.4738633965717274</v>
      </c>
      <c r="AS47" s="52">
        <f t="shared" si="406"/>
        <v>-176.06002655764635</v>
      </c>
      <c r="AT47" s="72">
        <f t="shared" si="247"/>
        <v>-0.13565271346445854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3.206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3.1059999999999999</v>
      </c>
      <c r="II47" s="734" cm="1">
        <f t="array" ref="II47">IFERROR(ROUND(VALUE(IF($IH47&lt;1,$IH47+LARGE((IF($M$9:$M$150="",0,$M$9:$M$150)-MOD(IF($M$9:$M$150="",0,$M$9:$M$150),1)),1),$IH47)),4),"")</f>
        <v>3.1059999999999999</v>
      </c>
      <c r="IJ47" s="533">
        <f t="shared" si="112"/>
        <v>1610</v>
      </c>
      <c r="IK47" s="533" t="str">
        <f t="shared" si="382"/>
        <v>Inactive</v>
      </c>
      <c r="IL47" s="727">
        <f t="shared" si="225"/>
        <v>31.359995472176877</v>
      </c>
      <c r="IM47" s="759">
        <v>0.18940745002739501</v>
      </c>
      <c r="IN47" s="5">
        <f t="shared" si="226"/>
        <v>2.56</v>
      </c>
      <c r="IO47" s="771">
        <v>1280</v>
      </c>
      <c r="IP47" s="9">
        <f t="shared" si="227"/>
        <v>-1.5681047294038639</v>
      </c>
      <c r="IQ47" s="5">
        <f t="shared" si="228"/>
        <v>-0.23780071720696314</v>
      </c>
      <c r="IR47" s="5">
        <f t="shared" si="383"/>
        <v>0.314</v>
      </c>
      <c r="IS47" s="5">
        <f t="shared" si="229"/>
        <v>0.30330071252667312</v>
      </c>
      <c r="IT47" s="727">
        <f t="shared" si="230"/>
        <v>-14.999997834268303</v>
      </c>
      <c r="IU47" s="9">
        <f t="shared" si="231"/>
        <v>-1.5464280977640026</v>
      </c>
      <c r="IV47" s="5">
        <f t="shared" si="232"/>
        <v>-0.25812495409941111</v>
      </c>
      <c r="IW47" s="5">
        <f t="shared" si="384"/>
        <v>0.25700000000000001</v>
      </c>
      <c r="IX47" s="5">
        <f t="shared" si="233"/>
        <v>-4.4627581660401087E-2</v>
      </c>
      <c r="IY47" s="762">
        <f t="shared" si="234"/>
        <v>-14.999997834268267</v>
      </c>
    </row>
    <row r="48" spans="1:267" ht="15" customHeight="1" x14ac:dyDescent="0.25">
      <c r="A48" s="79"/>
      <c r="B48" s="707">
        <v>0.56427567634255404</v>
      </c>
      <c r="C48" s="708">
        <v>-2.2202210697619269</v>
      </c>
      <c r="D48" s="709">
        <v>-3.5394687704006327E-2</v>
      </c>
      <c r="E48" s="710">
        <v>-3.8533021460149246E-2</v>
      </c>
      <c r="F48" s="708">
        <v>0.1516144488539197</v>
      </c>
      <c r="G48" s="711">
        <v>0.98768834414296591</v>
      </c>
      <c r="H48" s="710">
        <v>0.25700000000000001</v>
      </c>
      <c r="I48" s="708">
        <v>0.45500000000000002</v>
      </c>
      <c r="J48" s="570">
        <v>3.2090000000000001</v>
      </c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Inactive</v>
      </c>
      <c r="L48" s="320"/>
      <c r="M48" s="168">
        <f t="shared" si="239"/>
        <v>3.2090000000000001</v>
      </c>
      <c r="N48" s="632">
        <f t="shared" si="240"/>
        <v>0.56427567634255404</v>
      </c>
      <c r="O48" s="629">
        <f t="shared" si="241"/>
        <v>-2.2202210697619269</v>
      </c>
      <c r="P48" s="633">
        <f t="shared" si="242"/>
        <v>-3.5394687704006327E-2</v>
      </c>
      <c r="Q48" s="585">
        <f t="shared" si="113"/>
        <v>284.25997195233026</v>
      </c>
      <c r="R48" s="629">
        <f t="shared" si="79"/>
        <v>2.2908052377988493</v>
      </c>
      <c r="S48" s="634">
        <f t="shared" si="80"/>
        <v>-3.5394687704006327E-2</v>
      </c>
      <c r="T48" s="635">
        <f t="shared" si="81"/>
        <v>-2.2172361089239305</v>
      </c>
      <c r="U48" s="629">
        <f t="shared" si="82"/>
        <v>-0.57589293693403665</v>
      </c>
      <c r="V48" s="636">
        <f t="shared" si="114"/>
        <v>-3.5394687704006327E-2</v>
      </c>
      <c r="W48" s="585">
        <f t="shared" si="224"/>
        <v>194.55997190901562</v>
      </c>
      <c r="X48" s="629">
        <f t="shared" si="83"/>
        <v>2.2908052377988493</v>
      </c>
      <c r="Y48" s="630">
        <f t="shared" si="223"/>
        <v>-3.5394687704006327E-2</v>
      </c>
      <c r="Z48" s="632">
        <f t="shared" si="243"/>
        <v>3.8533021460149246E-2</v>
      </c>
      <c r="AA48" s="629">
        <f t="shared" si="244"/>
        <v>-0.1516144488539197</v>
      </c>
      <c r="AB48" s="629">
        <f t="shared" si="245"/>
        <v>-0.98768834414296591</v>
      </c>
      <c r="AC48" s="636">
        <f t="shared" si="84"/>
        <v>1</v>
      </c>
      <c r="AD48" s="637">
        <f t="shared" si="115"/>
        <v>3.8533021460149246E-2</v>
      </c>
      <c r="AE48" s="629">
        <f t="shared" si="85"/>
        <v>-0.1516144488539197</v>
      </c>
      <c r="AF48" s="633">
        <f t="shared" si="86"/>
        <v>-0.98768834414296591</v>
      </c>
      <c r="AG48" s="602">
        <f t="shared" si="87"/>
        <v>-8.7270296930139164</v>
      </c>
      <c r="AH48" s="603">
        <f t="shared" si="88"/>
        <v>87.79167378354451</v>
      </c>
      <c r="AI48" s="585">
        <f t="shared" si="89"/>
        <v>-8.9999987005702629</v>
      </c>
      <c r="AJ48" s="586">
        <f t="shared" si="90"/>
        <v>14.259888886285598</v>
      </c>
      <c r="AK48" s="635">
        <f t="shared" si="211"/>
        <v>2.2679489676546982E-7</v>
      </c>
      <c r="AL48" s="629">
        <f t="shared" si="91"/>
        <v>0.15643444263995929</v>
      </c>
      <c r="AM48" s="634">
        <f t="shared" si="92"/>
        <v>-0.98768834414296591</v>
      </c>
      <c r="AN48" s="581">
        <f t="shared" si="93"/>
        <v>8.9999987005609601</v>
      </c>
      <c r="AO48" s="582">
        <f t="shared" si="94"/>
        <v>0</v>
      </c>
      <c r="AP48" s="585">
        <f t="shared" si="95"/>
        <v>89.999916933955333</v>
      </c>
      <c r="AQ48" s="586">
        <f t="shared" si="246"/>
        <v>0.99506382641146507</v>
      </c>
      <c r="AS48" s="52">
        <f t="shared" si="406"/>
        <v>-165.44002809098438</v>
      </c>
      <c r="AT48" s="72">
        <f t="shared" si="247"/>
        <v>7.9702553995764341E-2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Nose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3.2090000000000001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3.109</v>
      </c>
      <c r="II48" s="734" cm="1">
        <f t="array" ref="II48">IFERROR(ROUND(VALUE(IF($IH48&lt;1,$IH48+LARGE((IF($M$9:$M$150="",0,$M$9:$M$150)-MOD(IF($M$9:$M$150="",0,$M$9:$M$150),1)),1),$IH48)),4),"")</f>
        <v>3.109</v>
      </c>
      <c r="IJ48" s="533">
        <f t="shared" si="112"/>
        <v>1610</v>
      </c>
      <c r="IK48" s="533" t="str">
        <f t="shared" si="382"/>
        <v>Inactive</v>
      </c>
      <c r="IL48" s="727">
        <f t="shared" si="225"/>
        <v>20.65999701706545</v>
      </c>
      <c r="IM48" s="759">
        <v>3.5204951325477303E-2</v>
      </c>
      <c r="IN48" s="5">
        <f t="shared" si="226"/>
        <v>0.62</v>
      </c>
      <c r="IO48" s="771">
        <v>310</v>
      </c>
      <c r="IP48" s="9">
        <f t="shared" si="227"/>
        <v>-2.3039069485833568</v>
      </c>
      <c r="IQ48" s="5">
        <f t="shared" si="228"/>
        <v>-4.2900129386790289E-2</v>
      </c>
      <c r="IR48" s="5">
        <f t="shared" si="383"/>
        <v>0.314</v>
      </c>
      <c r="IS48" s="5">
        <f t="shared" si="229"/>
        <v>0.30323855421803497</v>
      </c>
      <c r="IT48" s="727">
        <f t="shared" si="230"/>
        <v>-4.5266022514448441</v>
      </c>
      <c r="IU48" s="9">
        <f t="shared" si="231"/>
        <v>-2.2908052377988493</v>
      </c>
      <c r="IV48" s="5">
        <f t="shared" si="232"/>
        <v>-3.5394687704006327E-2</v>
      </c>
      <c r="IW48" s="5">
        <f t="shared" si="384"/>
        <v>0.25700000000000001</v>
      </c>
      <c r="IX48" s="5">
        <f t="shared" si="233"/>
        <v>0.25700000000000001</v>
      </c>
      <c r="IY48" s="762">
        <f t="shared" si="234"/>
        <v>-8.9999987005609601</v>
      </c>
    </row>
    <row r="49" spans="1:259" ht="15" customHeight="1" x14ac:dyDescent="0.25">
      <c r="A49" s="79"/>
      <c r="B49" s="707">
        <v>0.82521495585006188</v>
      </c>
      <c r="C49" s="708">
        <v>-2.9837219830608723</v>
      </c>
      <c r="D49" s="709">
        <v>-2.0609540953819633E-2</v>
      </c>
      <c r="E49" s="710">
        <v>3.3501992145580903E-2</v>
      </c>
      <c r="F49" s="708">
        <v>-0.12113198826017596</v>
      </c>
      <c r="G49" s="711">
        <v>0.9920708936071122</v>
      </c>
      <c r="H49" s="710">
        <v>0.25700000000000001</v>
      </c>
      <c r="I49" s="708">
        <v>0.45500000000000002</v>
      </c>
      <c r="J49" s="570">
        <v>3.214</v>
      </c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Inactive</v>
      </c>
      <c r="L49" s="320"/>
      <c r="M49" s="168">
        <f t="shared" si="239"/>
        <v>3.214</v>
      </c>
      <c r="N49" s="632">
        <f t="shared" si="240"/>
        <v>0.82521495585006188</v>
      </c>
      <c r="O49" s="629">
        <f t="shared" si="241"/>
        <v>-2.9837219830608723</v>
      </c>
      <c r="P49" s="633">
        <f t="shared" si="242"/>
        <v>-2.0609540953819633E-2</v>
      </c>
      <c r="Q49" s="585">
        <f t="shared" si="113"/>
        <v>285.45997177907168</v>
      </c>
      <c r="R49" s="629">
        <f t="shared" si="79"/>
        <v>3.0957352269790972</v>
      </c>
      <c r="S49" s="634">
        <f t="shared" si="80"/>
        <v>-2.0609540953819633E-2</v>
      </c>
      <c r="T49" s="635">
        <f t="shared" si="81"/>
        <v>-2.9793602879118546</v>
      </c>
      <c r="U49" s="629">
        <f t="shared" si="82"/>
        <v>-0.84082630214159715</v>
      </c>
      <c r="V49" s="636">
        <f t="shared" si="114"/>
        <v>-2.0609540953819633E-2</v>
      </c>
      <c r="W49" s="585">
        <f t="shared" si="224"/>
        <v>195.75997173575703</v>
      </c>
      <c r="X49" s="629">
        <f t="shared" si="83"/>
        <v>3.0957352269790972</v>
      </c>
      <c r="Y49" s="630">
        <f t="shared" si="223"/>
        <v>-2.0609540953819633E-2</v>
      </c>
      <c r="Z49" s="632">
        <f t="shared" si="243"/>
        <v>-3.3501992145580903E-2</v>
      </c>
      <c r="AA49" s="629">
        <f t="shared" si="244"/>
        <v>0.12113198826017596</v>
      </c>
      <c r="AB49" s="629">
        <f t="shared" si="245"/>
        <v>-0.9920708936071122</v>
      </c>
      <c r="AC49" s="636">
        <f t="shared" si="84"/>
        <v>1</v>
      </c>
      <c r="AD49" s="637">
        <f t="shared" si="115"/>
        <v>-3.3501992145580903E-2</v>
      </c>
      <c r="AE49" s="629">
        <f t="shared" si="85"/>
        <v>0.12113198826017596</v>
      </c>
      <c r="AF49" s="633">
        <f t="shared" si="86"/>
        <v>-0.9920708936071122</v>
      </c>
      <c r="AG49" s="602">
        <f t="shared" si="87"/>
        <v>6.9613644127427232</v>
      </c>
      <c r="AH49" s="603">
        <f t="shared" si="88"/>
        <v>91.919882010139219</v>
      </c>
      <c r="AI49" s="585">
        <f t="shared" si="89"/>
        <v>-7.2199989575727157</v>
      </c>
      <c r="AJ49" s="586">
        <f t="shared" si="90"/>
        <v>-164.53992482786737</v>
      </c>
      <c r="AK49" s="635">
        <f t="shared" si="211"/>
        <v>2.2679489675853093E-7</v>
      </c>
      <c r="AL49" s="629">
        <f t="shared" si="91"/>
        <v>-0.12567952123370987</v>
      </c>
      <c r="AM49" s="634">
        <f t="shared" si="92"/>
        <v>-0.9920708936071122</v>
      </c>
      <c r="AN49" s="581">
        <f t="shared" si="93"/>
        <v>-7.2199989575611161</v>
      </c>
      <c r="AO49" s="582">
        <f t="shared" si="94"/>
        <v>0</v>
      </c>
      <c r="AP49" s="585">
        <f t="shared" si="95"/>
        <v>-89.999896606939046</v>
      </c>
      <c r="AQ49" s="586">
        <f t="shared" si="246"/>
        <v>0.73636824383564958</v>
      </c>
      <c r="AS49" s="52">
        <f t="shared" si="406"/>
        <v>-164.24002826424297</v>
      </c>
      <c r="AT49" s="72">
        <f t="shared" si="247"/>
        <v>9.3654367532936156E-2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Nose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3.214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3.1139999999999999</v>
      </c>
      <c r="II49" s="734" cm="1">
        <f t="array" ref="II49">IFERROR(ROUND(VALUE(IF($IH49&lt;1,$IH49+LARGE((IF($M$9:$M$150="",0,$M$9:$M$150)-MOD(IF($M$9:$M$150="",0,$M$9:$M$150),1)),1),$IH49)),4),"")</f>
        <v>3.1139999999999999</v>
      </c>
      <c r="IJ49" s="533">
        <f t="shared" si="112"/>
        <v>1613</v>
      </c>
      <c r="IK49" s="533" t="str">
        <f t="shared" si="382"/>
        <v>Inactive</v>
      </c>
      <c r="IL49" s="727">
        <f t="shared" si="225"/>
        <v>18.759997291391528</v>
      </c>
      <c r="IM49" s="759">
        <v>2.9871236917424399E-2</v>
      </c>
      <c r="IN49" s="5">
        <f t="shared" si="226"/>
        <v>0.6</v>
      </c>
      <c r="IO49" s="771">
        <v>300</v>
      </c>
      <c r="IP49" s="9">
        <f t="shared" si="227"/>
        <v>-3.0852093049912641</v>
      </c>
      <c r="IQ49" s="5">
        <f t="shared" si="228"/>
        <v>-3.3100099829900947E-2</v>
      </c>
      <c r="IR49" s="5">
        <f t="shared" si="383"/>
        <v>0.314</v>
      </c>
      <c r="IS49" s="5">
        <f t="shared" si="229"/>
        <v>0.30267872499255605</v>
      </c>
      <c r="IT49" s="727">
        <f t="shared" si="230"/>
        <v>21.13879010021256</v>
      </c>
      <c r="IU49" s="9">
        <f t="shared" si="231"/>
        <v>-3.0957352269790972</v>
      </c>
      <c r="IV49" s="5">
        <f t="shared" si="232"/>
        <v>-2.0609540953819633E-2</v>
      </c>
      <c r="IW49" s="5">
        <f t="shared" si="384"/>
        <v>0.25700000000000001</v>
      </c>
      <c r="IX49" s="5">
        <f t="shared" si="233"/>
        <v>0.25700000000000001</v>
      </c>
      <c r="IY49" s="762">
        <f t="shared" si="234"/>
        <v>7.2199989575611161</v>
      </c>
    </row>
    <row r="50" spans="1:259" ht="15" customHeight="1" x14ac:dyDescent="0.25">
      <c r="A50" s="79"/>
      <c r="B50" s="707">
        <v>1.2763471776384823</v>
      </c>
      <c r="C50" s="708">
        <v>-3.5903531315831274</v>
      </c>
      <c r="D50" s="709">
        <v>-0.36130207294393984</v>
      </c>
      <c r="E50" s="710">
        <v>0.94859129034089251</v>
      </c>
      <c r="F50" s="708">
        <v>6.6345535694974922E-2</v>
      </c>
      <c r="G50" s="711">
        <v>0.30947186266726662</v>
      </c>
      <c r="H50" s="710">
        <v>0.314</v>
      </c>
      <c r="I50" s="708">
        <v>0.39400000000000002</v>
      </c>
      <c r="J50" s="570">
        <v>3.2189999999999999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1610</v>
      </c>
      <c r="L50" s="320"/>
      <c r="M50" s="168">
        <f t="shared" si="239"/>
        <v>3.2189999999999999</v>
      </c>
      <c r="N50" s="632">
        <f t="shared" si="240"/>
        <v>1.2763471776384823</v>
      </c>
      <c r="O50" s="629">
        <f t="shared" si="241"/>
        <v>-3.5903531315831274</v>
      </c>
      <c r="P50" s="633">
        <f t="shared" si="242"/>
        <v>-0.36130207294393984</v>
      </c>
      <c r="Q50" s="585">
        <f t="shared" si="113"/>
        <v>289.56996895784516</v>
      </c>
      <c r="R50" s="629">
        <f t="shared" si="79"/>
        <v>3.810472113444014</v>
      </c>
      <c r="S50" s="634">
        <f t="shared" si="80"/>
        <v>-0.36130207294393984</v>
      </c>
      <c r="T50" s="635">
        <f t="shared" si="81"/>
        <v>-3.5836210092313956</v>
      </c>
      <c r="U50" s="629">
        <f t="shared" si="82"/>
        <v>-1.2951286382170093</v>
      </c>
      <c r="V50" s="636">
        <f t="shared" si="114"/>
        <v>-0.36130207294393984</v>
      </c>
      <c r="W50" s="585">
        <f t="shared" si="224"/>
        <v>199.86996891453052</v>
      </c>
      <c r="X50" s="629">
        <f t="shared" si="83"/>
        <v>3.810472113444014</v>
      </c>
      <c r="Y50" s="630">
        <f t="shared" si="223"/>
        <v>-0.36130207294393984</v>
      </c>
      <c r="Z50" s="632">
        <f t="shared" si="243"/>
        <v>-0.94859129034089251</v>
      </c>
      <c r="AA50" s="629">
        <f t="shared" si="244"/>
        <v>-6.6345535694974922E-2</v>
      </c>
      <c r="AB50" s="629">
        <f t="shared" si="245"/>
        <v>-0.30947186266726662</v>
      </c>
      <c r="AC50" s="636">
        <f t="shared" si="84"/>
        <v>1</v>
      </c>
      <c r="AD50" s="637">
        <f t="shared" si="115"/>
        <v>-0.94859129034089251</v>
      </c>
      <c r="AE50" s="629">
        <f t="shared" si="85"/>
        <v>-6.6345535694974922E-2</v>
      </c>
      <c r="AF50" s="633">
        <f t="shared" si="86"/>
        <v>-0.30947186266726662</v>
      </c>
      <c r="AG50" s="602">
        <f t="shared" si="87"/>
        <v>-12.100091513759741</v>
      </c>
      <c r="AH50" s="603">
        <f t="shared" si="88"/>
        <v>161.54838801407308</v>
      </c>
      <c r="AI50" s="585">
        <f t="shared" si="89"/>
        <v>-71.972594625780189</v>
      </c>
      <c r="AJ50" s="586">
        <f t="shared" si="90"/>
        <v>-85.999184293229405</v>
      </c>
      <c r="AK50" s="635">
        <f t="shared" si="211"/>
        <v>0.91601710842762785</v>
      </c>
      <c r="AL50" s="629">
        <f t="shared" si="91"/>
        <v>-0.2552250443924734</v>
      </c>
      <c r="AM50" s="634">
        <f t="shared" si="92"/>
        <v>-0.30947186266726662</v>
      </c>
      <c r="AN50" s="581">
        <f t="shared" si="93"/>
        <v>-39.512798794711273</v>
      </c>
      <c r="AO50" s="582">
        <f t="shared" si="94"/>
        <v>23.649414652177651</v>
      </c>
      <c r="AP50" s="585">
        <f t="shared" si="95"/>
        <v>-15.569153251074566</v>
      </c>
      <c r="AQ50" s="586">
        <f t="shared" si="246"/>
        <v>0.59825756847295986</v>
      </c>
      <c r="AS50" s="52">
        <f t="shared" si="406"/>
        <v>-160.13003108546948</v>
      </c>
      <c r="AT50" s="72">
        <f t="shared" si="247"/>
        <v>-0.24989232916466564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3.2189999999999999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3.1190000000000002</v>
      </c>
      <c r="II50" s="734" cm="1">
        <f t="array" ref="II50">IFERROR(ROUND(VALUE(IF($IH50&lt;1,$IH50+LARGE((IF($M$9:$M$150="",0,$M$9:$M$150)-MOD(IF($M$9:$M$150="",0,$M$9:$M$150),1)),1),$IH50)),4),"")</f>
        <v>3.1190000000000002</v>
      </c>
      <c r="IJ50" s="533">
        <f t="shared" si="112"/>
        <v>1613</v>
      </c>
      <c r="IK50" s="533">
        <f t="shared" si="382"/>
        <v>1610</v>
      </c>
      <c r="IL50" s="727">
        <f t="shared" si="225"/>
        <v>13.670000254112495</v>
      </c>
      <c r="IM50" s="759">
        <v>5.1322307375457801E-4</v>
      </c>
      <c r="IN50" s="5">
        <f t="shared" si="226"/>
        <v>0</v>
      </c>
      <c r="IO50" s="771">
        <v>0</v>
      </c>
      <c r="IP50" s="9">
        <f t="shared" si="227"/>
        <v>-3.8079114846610369</v>
      </c>
      <c r="IQ50" s="5">
        <f t="shared" si="228"/>
        <v>-0.32990099498140141</v>
      </c>
      <c r="IR50" s="5">
        <f t="shared" si="383"/>
        <v>0.314</v>
      </c>
      <c r="IS50" s="5">
        <f t="shared" si="229"/>
        <v>0.29362495561856983</v>
      </c>
      <c r="IT50" s="727">
        <f t="shared" si="230"/>
        <v>41.440161761533751</v>
      </c>
      <c r="IU50" s="9">
        <f t="shared" si="231"/>
        <v>-3.810472113444014</v>
      </c>
      <c r="IV50" s="5">
        <f t="shared" si="232"/>
        <v>-0.36130207294393984</v>
      </c>
      <c r="IW50" s="5">
        <f t="shared" si="384"/>
        <v>0.314</v>
      </c>
      <c r="IX50" s="5">
        <f t="shared" si="233"/>
        <v>0.28762937204627514</v>
      </c>
      <c r="IY50" s="762">
        <f t="shared" si="234"/>
        <v>39.512798794711273</v>
      </c>
    </row>
    <row r="51" spans="1:259" ht="15" customHeight="1" x14ac:dyDescent="0.25">
      <c r="A51" s="79"/>
      <c r="B51" s="707">
        <v>1.5652974748375141</v>
      </c>
      <c r="C51" s="708">
        <v>-4.4056033447820138</v>
      </c>
      <c r="D51" s="709">
        <v>-2.4080678918153255</v>
      </c>
      <c r="E51" s="710">
        <v>0.30342599620619576</v>
      </c>
      <c r="F51" s="708">
        <v>-0.85400605629836313</v>
      </c>
      <c r="G51" s="711">
        <v>0.42261841019055801</v>
      </c>
      <c r="H51" s="710">
        <v>0.25700000000000001</v>
      </c>
      <c r="I51" s="708">
        <v>0.45500000000000002</v>
      </c>
      <c r="J51" s="570">
        <v>3.234</v>
      </c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Inactive</v>
      </c>
      <c r="L51" s="320"/>
      <c r="M51" s="168">
        <f t="shared" si="239"/>
        <v>3.234</v>
      </c>
      <c r="N51" s="632">
        <f t="shared" si="240"/>
        <v>1.5652974748375141</v>
      </c>
      <c r="O51" s="629">
        <f t="shared" si="241"/>
        <v>-4.4056033447820138</v>
      </c>
      <c r="P51" s="633">
        <f t="shared" si="242"/>
        <v>-2.4080678918153255</v>
      </c>
      <c r="Q51" s="585">
        <f t="shared" si="113"/>
        <v>289.55997118710502</v>
      </c>
      <c r="R51" s="629">
        <f t="shared" si="79"/>
        <v>4.6754141010489292</v>
      </c>
      <c r="S51" s="634">
        <f t="shared" si="80"/>
        <v>-2.4080678918153255</v>
      </c>
      <c r="T51" s="635">
        <f t="shared" si="81"/>
        <v>-4.3973471140985279</v>
      </c>
      <c r="U51" s="629">
        <f t="shared" si="82"/>
        <v>-1.588343594571564</v>
      </c>
      <c r="V51" s="636">
        <f t="shared" si="114"/>
        <v>-2.4080678918153255</v>
      </c>
      <c r="W51" s="585">
        <f t="shared" si="224"/>
        <v>199.85997114379037</v>
      </c>
      <c r="X51" s="629">
        <f t="shared" si="83"/>
        <v>4.6754141010489292</v>
      </c>
      <c r="Y51" s="630">
        <f t="shared" si="223"/>
        <v>-2.4080678918153255</v>
      </c>
      <c r="Z51" s="632">
        <f t="shared" si="243"/>
        <v>-0.30342599620619576</v>
      </c>
      <c r="AA51" s="629">
        <f t="shared" si="244"/>
        <v>0.85400605629836313</v>
      </c>
      <c r="AB51" s="629">
        <f t="shared" si="245"/>
        <v>-0.42261841019055801</v>
      </c>
      <c r="AC51" s="636">
        <f t="shared" si="84"/>
        <v>1</v>
      </c>
      <c r="AD51" s="637">
        <f t="shared" si="115"/>
        <v>-0.30342599620619576</v>
      </c>
      <c r="AE51" s="629">
        <f t="shared" si="85"/>
        <v>0.85400605629836313</v>
      </c>
      <c r="AF51" s="633">
        <f t="shared" si="86"/>
        <v>-0.42261841019055801</v>
      </c>
      <c r="AG51" s="602">
        <f t="shared" si="87"/>
        <v>63.67076510603448</v>
      </c>
      <c r="AH51" s="603">
        <f t="shared" si="88"/>
        <v>107.66349310505565</v>
      </c>
      <c r="AI51" s="585">
        <f t="shared" si="89"/>
        <v>-64.999990615163185</v>
      </c>
      <c r="AJ51" s="586">
        <f t="shared" si="90"/>
        <v>-160.44001447517044</v>
      </c>
      <c r="AK51" s="635">
        <f t="shared" si="211"/>
        <v>2.2679489702914779E-7</v>
      </c>
      <c r="AL51" s="629">
        <f t="shared" si="91"/>
        <v>-0.90630771781330088</v>
      </c>
      <c r="AM51" s="634">
        <f t="shared" si="92"/>
        <v>-0.42261841019055801</v>
      </c>
      <c r="AN51" s="581">
        <f t="shared" si="93"/>
        <v>-64.999990615162488</v>
      </c>
      <c r="AO51" s="582">
        <f t="shared" si="94"/>
        <v>0</v>
      </c>
      <c r="AP51" s="585">
        <f t="shared" si="95"/>
        <v>-89.999985662275449</v>
      </c>
      <c r="AQ51" s="586">
        <f t="shared" si="246"/>
        <v>0.48758709918230875</v>
      </c>
      <c r="AS51" s="52">
        <f t="shared" si="406"/>
        <v>-160.14002885620963</v>
      </c>
      <c r="AT51" s="72">
        <f t="shared" si="247"/>
        <v>-2.2966512051397041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>Gage</v>
      </c>
      <c r="IG51" s="847">
        <f t="shared" si="210"/>
        <v>3.234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3.1339999999999999</v>
      </c>
      <c r="II51" s="734" cm="1">
        <f t="array" ref="II51">IFERROR(ROUND(VALUE(IF($IH51&lt;1,$IH51+LARGE((IF($M$9:$M$150="",0,$M$9:$M$150)-MOD(IF($M$9:$M$150="",0,$M$9:$M$150),1)),1),$IH51)),4),"")</f>
        <v>3.1339999999999999</v>
      </c>
      <c r="IJ51" s="533">
        <f t="shared" si="112"/>
        <v>1613</v>
      </c>
      <c r="IK51" s="533" t="str">
        <f t="shared" si="382"/>
        <v>Inactive</v>
      </c>
      <c r="IL51" s="727">
        <f t="shared" si="225"/>
        <v>12.289998225543798</v>
      </c>
      <c r="IM51" s="759">
        <v>1.17470740108537E-2</v>
      </c>
      <c r="IN51" s="5">
        <f t="shared" si="226"/>
        <v>2.2400000000000002</v>
      </c>
      <c r="IO51" s="771">
        <v>1120</v>
      </c>
      <c r="IP51" s="9">
        <f t="shared" si="227"/>
        <v>-4.6883999999999997</v>
      </c>
      <c r="IQ51" s="5">
        <f t="shared" si="228"/>
        <v>-2.3692071455287516</v>
      </c>
      <c r="IR51" s="5">
        <f t="shared" si="383"/>
        <v>0.314</v>
      </c>
      <c r="IS51" s="5">
        <f t="shared" si="229"/>
        <v>0.25721375779146977</v>
      </c>
      <c r="IT51" s="727">
        <f t="shared" si="230"/>
        <v>82.500000000000014</v>
      </c>
      <c r="IU51" s="9">
        <f t="shared" si="231"/>
        <v>-4.6754141010489292</v>
      </c>
      <c r="IV51" s="5">
        <f t="shared" si="232"/>
        <v>-2.4080678918153255</v>
      </c>
      <c r="IW51" s="5">
        <f t="shared" si="384"/>
        <v>0.25700000000000001</v>
      </c>
      <c r="IX51" s="5">
        <f t="shared" si="233"/>
        <v>0.25700000000000001</v>
      </c>
      <c r="IY51" s="762">
        <f t="shared" si="234"/>
        <v>64.999990615162488</v>
      </c>
    </row>
    <row r="52" spans="1:259" ht="15" customHeight="1" x14ac:dyDescent="0.25">
      <c r="A52" s="79"/>
      <c r="B52" s="707">
        <v>1.5874935541816664</v>
      </c>
      <c r="C52" s="708">
        <v>-4.4582069339994623</v>
      </c>
      <c r="D52" s="709">
        <v>-3.1648166387120882</v>
      </c>
      <c r="E52" s="710">
        <v>0.3040221308292072</v>
      </c>
      <c r="F52" s="708">
        <v>-0.85379401692332901</v>
      </c>
      <c r="G52" s="711">
        <v>0.42261841019055785</v>
      </c>
      <c r="H52" s="710">
        <v>0.25700000000000001</v>
      </c>
      <c r="I52" s="708">
        <v>0.45500000000000002</v>
      </c>
      <c r="J52" s="570">
        <v>3.2389999999999999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Inactive</v>
      </c>
      <c r="L52" s="320"/>
      <c r="M52" s="168">
        <f t="shared" si="239"/>
        <v>3.2389999999999999</v>
      </c>
      <c r="N52" s="632">
        <f t="shared" si="240"/>
        <v>1.5874935541816664</v>
      </c>
      <c r="O52" s="629">
        <f t="shared" si="241"/>
        <v>-4.4582069339994623</v>
      </c>
      <c r="P52" s="633">
        <f t="shared" si="242"/>
        <v>-3.1648166387120882</v>
      </c>
      <c r="Q52" s="585">
        <f t="shared" si="113"/>
        <v>289.59997118132975</v>
      </c>
      <c r="R52" s="629">
        <f t="shared" si="79"/>
        <v>4.7324142729614476</v>
      </c>
      <c r="S52" s="634">
        <f t="shared" si="80"/>
        <v>-3.1648166387120882</v>
      </c>
      <c r="T52" s="635">
        <f t="shared" si="81"/>
        <v>-4.4498337643873329</v>
      </c>
      <c r="U52" s="629">
        <f t="shared" si="82"/>
        <v>-1.610814800108219</v>
      </c>
      <c r="V52" s="636">
        <f t="shared" si="114"/>
        <v>-3.1648166387120882</v>
      </c>
      <c r="W52" s="585">
        <f t="shared" si="224"/>
        <v>199.8999711380151</v>
      </c>
      <c r="X52" s="629">
        <f t="shared" si="83"/>
        <v>4.7324142729614476</v>
      </c>
      <c r="Y52" s="630">
        <f t="shared" si="223"/>
        <v>-3.1648166387120882</v>
      </c>
      <c r="Z52" s="632">
        <f t="shared" si="243"/>
        <v>-0.3040221308292072</v>
      </c>
      <c r="AA52" s="629">
        <f t="shared" si="244"/>
        <v>0.85379401692332901</v>
      </c>
      <c r="AB52" s="629">
        <f t="shared" si="245"/>
        <v>-0.42261841019055785</v>
      </c>
      <c r="AC52" s="636">
        <f t="shared" si="84"/>
        <v>1</v>
      </c>
      <c r="AD52" s="637">
        <f t="shared" si="115"/>
        <v>-0.3040221308292072</v>
      </c>
      <c r="AE52" s="629">
        <f t="shared" si="85"/>
        <v>0.85379401692332901</v>
      </c>
      <c r="AF52" s="633">
        <f t="shared" si="86"/>
        <v>-0.42261841019055785</v>
      </c>
      <c r="AG52" s="602">
        <f t="shared" si="87"/>
        <v>63.665108960909272</v>
      </c>
      <c r="AH52" s="603">
        <f t="shared" si="88"/>
        <v>107.69934263402845</v>
      </c>
      <c r="AI52" s="585">
        <f t="shared" si="89"/>
        <v>-64.999990615163185</v>
      </c>
      <c r="AJ52" s="586">
        <f t="shared" si="90"/>
        <v>-160.40001448094571</v>
      </c>
      <c r="AK52" s="635">
        <f t="shared" si="211"/>
        <v>2.2679489675159203E-7</v>
      </c>
      <c r="AL52" s="629">
        <f t="shared" si="91"/>
        <v>-0.90630771781330099</v>
      </c>
      <c r="AM52" s="634">
        <f t="shared" si="92"/>
        <v>-0.42261841019055785</v>
      </c>
      <c r="AN52" s="581">
        <f t="shared" si="93"/>
        <v>-64.999990615162503</v>
      </c>
      <c r="AO52" s="582">
        <f t="shared" si="94"/>
        <v>0</v>
      </c>
      <c r="AP52" s="585">
        <f t="shared" si="95"/>
        <v>-89.999985662275463</v>
      </c>
      <c r="AQ52" s="586">
        <f t="shared" si="246"/>
        <v>0.48171457213593338</v>
      </c>
      <c r="AS52" s="52">
        <f t="shared" si="406"/>
        <v>-160.1000288619849</v>
      </c>
      <c r="AT52" s="72">
        <f t="shared" si="247"/>
        <v>-3.0534277298102337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>Gage</v>
      </c>
      <c r="IG52" s="847">
        <f t="shared" si="210"/>
        <v>3.2389999999999999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3.1389999999999998</v>
      </c>
      <c r="II52" s="734" cm="1">
        <f t="array" ref="II52">IFERROR(ROUND(VALUE(IF($IH52&lt;1,$IH52+LARGE((IF($M$9:$M$150="",0,$M$9:$M$150)-MOD(IF($M$9:$M$150="",0,$M$9:$M$150),1)),1),$IH52)),4),"")</f>
        <v>3.1389999999999998</v>
      </c>
      <c r="IJ52" s="533">
        <f t="shared" si="112"/>
        <v>1613</v>
      </c>
      <c r="IK52" s="533" t="str">
        <f t="shared" si="382"/>
        <v>Inactive</v>
      </c>
      <c r="IL52" s="727">
        <f t="shared" si="225"/>
        <v>12.179998241425835</v>
      </c>
      <c r="IM52" s="759">
        <v>2.5012986008563003E-4</v>
      </c>
      <c r="IN52" s="5">
        <f t="shared" si="226"/>
        <v>0</v>
      </c>
      <c r="IO52" s="771">
        <v>0</v>
      </c>
      <c r="IP52" s="9">
        <f t="shared" si="227"/>
        <v>-4.7290999999999999</v>
      </c>
      <c r="IQ52" s="5">
        <f t="shared" si="228"/>
        <v>-3.1192094075355734</v>
      </c>
      <c r="IR52" s="5">
        <f t="shared" si="383"/>
        <v>0.314</v>
      </c>
      <c r="IS52" s="5">
        <f t="shared" si="229"/>
        <v>0.24053797548389924</v>
      </c>
      <c r="IT52" s="727">
        <f t="shared" si="230"/>
        <v>90</v>
      </c>
      <c r="IU52" s="9">
        <f t="shared" si="231"/>
        <v>-4.7324142729614476</v>
      </c>
      <c r="IV52" s="5">
        <f t="shared" si="232"/>
        <v>-3.1648166387120882</v>
      </c>
      <c r="IW52" s="5">
        <f t="shared" si="384"/>
        <v>0.25700000000000001</v>
      </c>
      <c r="IX52" s="5">
        <f t="shared" si="233"/>
        <v>0.25700000000000001</v>
      </c>
      <c r="IY52" s="762">
        <f t="shared" si="234"/>
        <v>64.999990615162503</v>
      </c>
    </row>
    <row r="53" spans="1:259" ht="15" customHeight="1" x14ac:dyDescent="0.25">
      <c r="A53" s="79"/>
      <c r="B53" s="707">
        <v>-0.41500236270563973</v>
      </c>
      <c r="C53" s="708">
        <v>-0.41500208034448183</v>
      </c>
      <c r="D53" s="709">
        <v>-0.50070151011575437</v>
      </c>
      <c r="E53" s="710">
        <v>0.71820069776955142</v>
      </c>
      <c r="F53" s="708">
        <v>-0.56351215661847376</v>
      </c>
      <c r="G53" s="711">
        <v>0.40821784266066358</v>
      </c>
      <c r="H53" s="710">
        <v>0.314</v>
      </c>
      <c r="I53" s="708">
        <v>0.39400000000000002</v>
      </c>
      <c r="J53" s="570">
        <v>4.1020000000000003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1610</v>
      </c>
      <c r="L53" s="320"/>
      <c r="M53" s="168">
        <f t="shared" si="239"/>
        <v>4.1020000000000003</v>
      </c>
      <c r="N53" s="632">
        <f t="shared" si="240"/>
        <v>-0.41500236270563973</v>
      </c>
      <c r="O53" s="629">
        <f t="shared" si="241"/>
        <v>-0.41500208034448183</v>
      </c>
      <c r="P53" s="633">
        <f t="shared" si="242"/>
        <v>-0.50070151011575437</v>
      </c>
      <c r="Q53" s="585">
        <f t="shared" si="113"/>
        <v>224.99998050841441</v>
      </c>
      <c r="R53" s="629">
        <f t="shared" ref="R53:R58" si="410">IF(M53="","",SQRT(N53^2+O53^2))</f>
        <v>0.58690177009573852</v>
      </c>
      <c r="S53" s="634">
        <f t="shared" ref="S53:S58" si="411">IF(M53="","",P53)</f>
        <v>-0.50070151011575437</v>
      </c>
      <c r="T53" s="635">
        <f t="shared" ref="T53:T58" si="412">IF(M53="","",X53*COS(RADIANS(W53)))</f>
        <v>-0.41716932864763973</v>
      </c>
      <c r="U53" s="629">
        <f t="shared" ref="U53:U58" si="413">IF(M53="","",X53*SIN(RADIANS(W53)))</f>
        <v>0.41282373838865988</v>
      </c>
      <c r="V53" s="636">
        <f t="shared" ref="V53:V58" si="414">IF(M53="","",Y53)</f>
        <v>-0.50070151011575437</v>
      </c>
      <c r="W53" s="585">
        <f t="shared" si="224"/>
        <v>135.29998046509976</v>
      </c>
      <c r="X53" s="629">
        <f t="shared" ref="X53:X58" si="415">IF(M53="","",R53)</f>
        <v>0.58690177009573852</v>
      </c>
      <c r="Y53" s="630">
        <f t="shared" si="223"/>
        <v>-0.50070151011575437</v>
      </c>
      <c r="Z53" s="632">
        <f t="shared" si="243"/>
        <v>-0.71820069776955142</v>
      </c>
      <c r="AA53" s="629">
        <f t="shared" si="244"/>
        <v>0.56351215661847376</v>
      </c>
      <c r="AB53" s="629">
        <f t="shared" si="245"/>
        <v>-0.40821784266066358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-0.71820069776955142</v>
      </c>
      <c r="AE53" s="629">
        <f t="shared" ref="AE53:AE58" si="418">IF(M53="","",AA53*(1/SQRT(Z53^2+AA53^2+AB53^2)))</f>
        <v>0.56351215661847376</v>
      </c>
      <c r="AF53" s="633">
        <f t="shared" ref="AF53:AF58" si="419">IF(M53="","",AB53*(1/SQRT(Z53^2+AA53^2+AB53^2)))</f>
        <v>-0.40821784266066358</v>
      </c>
      <c r="AG53" s="602">
        <f t="shared" ref="AG53:AG58" si="420">IF(M53="","",DEGREES(ATAN2(-AF53,AE53)))</f>
        <v>54.079785335753478</v>
      </c>
      <c r="AH53" s="603">
        <f t="shared" ref="AH53:AH58" si="421">IF(M53="","",DEGREES(ACOS(AD53)))</f>
        <v>135.90612582719709</v>
      </c>
      <c r="AI53" s="585">
        <f t="shared" ref="AI53:AI58" si="422">IF(M53="","",DEGREES(-ACOS(-AF53)))</f>
        <v>-65.907068471181375</v>
      </c>
      <c r="AJ53" s="586">
        <f t="shared" ref="AJ53:AJ58" si="423">IF(M53="","",DEGREES(ATAN2(-AE53,AD53)))</f>
        <v>-128.11831784262381</v>
      </c>
      <c r="AK53" s="635">
        <f t="shared" ref="AK53:AK58" si="424">IF(M53="","",(COS(RADIANS((90-$Q$8)-W53))*AD53)+(-SIN(RADIANS((90-$Q$8)-W53))*AE53))</f>
        <v>0.90630781366099955</v>
      </c>
      <c r="AL53" s="629">
        <f t="shared" ref="AL53:AL58" si="425">IF(M53="","",(SIN(RADIANS((90-$Q$8)-W53))*AD53)+(COS(RADIANS((90-$Q$8)-W53))*AE53))</f>
        <v>0.10938162473876806</v>
      </c>
      <c r="AM53" s="634">
        <f t="shared" ref="AM53:AM58" si="426">IF(M53="","",AF53)</f>
        <v>-0.40821784266066358</v>
      </c>
      <c r="AN53" s="581">
        <f t="shared" ref="AN53:AN58" si="427">IF(M53="","",DEGREES(ATAN2(-AM53,AL53)))</f>
        <v>14.999997834268264</v>
      </c>
      <c r="AO53" s="582">
        <f t="shared" si="94"/>
        <v>24.999996390447112</v>
      </c>
      <c r="AP53" s="585">
        <f t="shared" ref="AP53:AP58" si="428">IF(M53="","",DEGREES(ATAN2(AK53,AL53)))</f>
        <v>6.8817016489617533</v>
      </c>
      <c r="AQ53" s="586">
        <f t="shared" si="246"/>
        <v>3.8784064572734467</v>
      </c>
      <c r="AS53" s="52">
        <f t="shared" si="406"/>
        <v>-224.70001953490024</v>
      </c>
      <c r="AT53" s="72">
        <f t="shared" si="247"/>
        <v>-0.34445149657993102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4.1020000000000003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1610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-0.93536398941390408</v>
      </c>
      <c r="C54" s="708">
        <v>-0.93536335300678253</v>
      </c>
      <c r="D54" s="709">
        <v>-0.30350091535876073</v>
      </c>
      <c r="E54" s="710">
        <v>0.73037965194951104</v>
      </c>
      <c r="F54" s="708">
        <v>-0.63564579789818654</v>
      </c>
      <c r="G54" s="711">
        <v>0.24999996726497561</v>
      </c>
      <c r="H54" s="710">
        <v>0.314</v>
      </c>
      <c r="I54" s="708">
        <v>0.39400000000000002</v>
      </c>
      <c r="J54" s="570">
        <v>4.1050000000000004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1610</v>
      </c>
      <c r="L54" s="320"/>
      <c r="M54" s="168">
        <f t="shared" si="239"/>
        <v>4.1050000000000004</v>
      </c>
      <c r="N54" s="632">
        <f t="shared" si="240"/>
        <v>-0.93536398941390408</v>
      </c>
      <c r="O54" s="629">
        <f t="shared" si="241"/>
        <v>-0.93536335300678253</v>
      </c>
      <c r="P54" s="633">
        <f t="shared" si="242"/>
        <v>-0.30350091535876073</v>
      </c>
      <c r="Q54" s="585">
        <f t="shared" si="113"/>
        <v>224.99998050841441</v>
      </c>
      <c r="R54" s="629">
        <f t="shared" si="410"/>
        <v>1.3228039895768327</v>
      </c>
      <c r="S54" s="634">
        <f t="shared" si="411"/>
        <v>-0.30350091535876073</v>
      </c>
      <c r="T54" s="635">
        <f t="shared" si="412"/>
        <v>-0.94024806259174987</v>
      </c>
      <c r="U54" s="629">
        <f t="shared" si="413"/>
        <v>0.93045363970100425</v>
      </c>
      <c r="V54" s="636">
        <f t="shared" si="414"/>
        <v>-0.30350091535876073</v>
      </c>
      <c r="W54" s="585">
        <f t="shared" si="224"/>
        <v>135.29998046509976</v>
      </c>
      <c r="X54" s="629">
        <f t="shared" si="415"/>
        <v>1.3228039895768327</v>
      </c>
      <c r="Y54" s="630">
        <f t="shared" si="223"/>
        <v>-0.30350091535876073</v>
      </c>
      <c r="Z54" s="632">
        <f t="shared" si="243"/>
        <v>-0.73037965194951104</v>
      </c>
      <c r="AA54" s="629">
        <f t="shared" si="244"/>
        <v>0.63564579789818654</v>
      </c>
      <c r="AB54" s="629">
        <f t="shared" si="245"/>
        <v>-0.24999996726497561</v>
      </c>
      <c r="AC54" s="636">
        <f t="shared" si="416"/>
        <v>1</v>
      </c>
      <c r="AD54" s="637">
        <f t="shared" si="417"/>
        <v>-0.73037965194951104</v>
      </c>
      <c r="AE54" s="629">
        <f t="shared" si="418"/>
        <v>0.63564579789818654</v>
      </c>
      <c r="AF54" s="633">
        <f t="shared" si="419"/>
        <v>-0.24999996726497561</v>
      </c>
      <c r="AG54" s="602">
        <f t="shared" si="420"/>
        <v>68.530248590376644</v>
      </c>
      <c r="AH54" s="603">
        <f t="shared" si="421"/>
        <v>136.91823106260821</v>
      </c>
      <c r="AI54" s="585">
        <f t="shared" si="422"/>
        <v>-75.522489751159469</v>
      </c>
      <c r="AJ54" s="586">
        <f t="shared" si="423"/>
        <v>-131.03288984649902</v>
      </c>
      <c r="AK54" s="635">
        <f t="shared" si="424"/>
        <v>0.96592583607220728</v>
      </c>
      <c r="AL54" s="629">
        <f t="shared" si="425"/>
        <v>6.6987279208207406E-2</v>
      </c>
      <c r="AM54" s="634">
        <f t="shared" si="426"/>
        <v>-0.24999996726497561</v>
      </c>
      <c r="AN54" s="581">
        <f t="shared" si="427"/>
        <v>14.999997834268312</v>
      </c>
      <c r="AO54" s="582">
        <f t="shared" si="94"/>
        <v>14.99999783426828</v>
      </c>
      <c r="AP54" s="585">
        <f t="shared" si="428"/>
        <v>3.9671296450865841</v>
      </c>
      <c r="AQ54" s="586">
        <f t="shared" si="246"/>
        <v>1.7228852454599006</v>
      </c>
      <c r="AS54" s="52">
        <f t="shared" si="406"/>
        <v>-224.70001953490024</v>
      </c>
      <c r="AT54" s="72">
        <f t="shared" si="247"/>
        <v>-0.1472509018229374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4.1050000000000004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1610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-1.4556549052067305</v>
      </c>
      <c r="C55" s="708">
        <v>-1.455653914801756</v>
      </c>
      <c r="D55" s="709">
        <v>-0.10630032060176681</v>
      </c>
      <c r="E55" s="710">
        <v>0.71815944407708832</v>
      </c>
      <c r="F55" s="708">
        <v>-0.64785401336525339</v>
      </c>
      <c r="G55" s="711">
        <v>0.25403186857050369</v>
      </c>
      <c r="H55" s="710">
        <v>0.314</v>
      </c>
      <c r="I55" s="708">
        <v>0.39400000000000002</v>
      </c>
      <c r="J55" s="570">
        <v>4.1079999999999997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1610</v>
      </c>
      <c r="L55" s="320"/>
      <c r="M55" s="168">
        <f t="shared" si="239"/>
        <v>4.1079999999999997</v>
      </c>
      <c r="N55" s="632">
        <f t="shared" si="240"/>
        <v>-1.4556549052067305</v>
      </c>
      <c r="O55" s="629">
        <f t="shared" si="241"/>
        <v>-1.455653914801756</v>
      </c>
      <c r="P55" s="633">
        <f t="shared" si="242"/>
        <v>-0.10630032060176681</v>
      </c>
      <c r="Q55" s="585">
        <f t="shared" si="113"/>
        <v>224.99998050841441</v>
      </c>
      <c r="R55" s="629">
        <f t="shared" si="410"/>
        <v>2.0586062087563262</v>
      </c>
      <c r="S55" s="634">
        <f t="shared" si="411"/>
        <v>-0.10630032060176681</v>
      </c>
      <c r="T55" s="635">
        <f t="shared" si="412"/>
        <v>-1.4632557163980773</v>
      </c>
      <c r="U55" s="629">
        <f t="shared" si="413"/>
        <v>1.4480132013066886</v>
      </c>
      <c r="V55" s="636">
        <f t="shared" si="414"/>
        <v>-0.10630032060176681</v>
      </c>
      <c r="W55" s="585">
        <f t="shared" si="224"/>
        <v>135.29998046509976</v>
      </c>
      <c r="X55" s="629">
        <f t="shared" si="415"/>
        <v>2.0586062087563262</v>
      </c>
      <c r="Y55" s="630">
        <f t="shared" si="223"/>
        <v>-0.10630032060176681</v>
      </c>
      <c r="Z55" s="632">
        <f t="shared" si="243"/>
        <v>-0.71815944407708832</v>
      </c>
      <c r="AA55" s="629">
        <f t="shared" si="244"/>
        <v>0.64785401336525339</v>
      </c>
      <c r="AB55" s="629">
        <f t="shared" si="245"/>
        <v>-0.25403186857050369</v>
      </c>
      <c r="AC55" s="636">
        <f t="shared" si="416"/>
        <v>1</v>
      </c>
      <c r="AD55" s="637">
        <f t="shared" si="417"/>
        <v>-0.71815944407708832</v>
      </c>
      <c r="AE55" s="629">
        <f t="shared" si="418"/>
        <v>0.64785401336525339</v>
      </c>
      <c r="AF55" s="633">
        <f t="shared" si="419"/>
        <v>-0.25403186857050369</v>
      </c>
      <c r="AG55" s="602">
        <f t="shared" si="420"/>
        <v>68.589217331148319</v>
      </c>
      <c r="AH55" s="603">
        <f t="shared" si="421"/>
        <v>135.90272906401052</v>
      </c>
      <c r="AI55" s="585">
        <f t="shared" si="422"/>
        <v>-75.283773601973181</v>
      </c>
      <c r="AJ55" s="586">
        <f t="shared" si="423"/>
        <v>-132.05372352775251</v>
      </c>
      <c r="AK55" s="635">
        <f t="shared" si="424"/>
        <v>0.96591736203737133</v>
      </c>
      <c r="AL55" s="629">
        <f t="shared" si="425"/>
        <v>4.9713775408274818E-2</v>
      </c>
      <c r="AM55" s="634">
        <f t="shared" si="426"/>
        <v>-0.25403186857050369</v>
      </c>
      <c r="AN55" s="581">
        <f t="shared" si="427"/>
        <v>11.07278500401376</v>
      </c>
      <c r="AO55" s="582">
        <f>IF(ROUND(IF(M55="",0,DEGREES(ACOS(AK55))),4)=90,0,IF(M55="","",DEGREES(ACOS(AK55))))</f>
        <v>15.001873650014003</v>
      </c>
      <c r="AP55" s="585">
        <f t="shared" si="428"/>
        <v>2.946295963833081</v>
      </c>
      <c r="AQ55" s="586">
        <f t="shared" si="246"/>
        <v>1.1072748180679213</v>
      </c>
      <c r="AS55" s="52">
        <f t="shared" si="406"/>
        <v>-224.70001953490024</v>
      </c>
      <c r="AT55" s="72">
        <f t="shared" si="247"/>
        <v>4.9949692934056517E-2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4.1079999999999997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1610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-2.0934838843693506</v>
      </c>
      <c r="C56" s="708">
        <v>-2.0493738448850118</v>
      </c>
      <c r="D56" s="709">
        <v>-9.800029556889139E-3</v>
      </c>
      <c r="E56" s="710">
        <v>0.62308004192155308</v>
      </c>
      <c r="F56" s="708">
        <v>-0.73963837074598449</v>
      </c>
      <c r="G56" s="711">
        <v>0.25437441278411127</v>
      </c>
      <c r="H56" s="710">
        <v>0.314</v>
      </c>
      <c r="I56" s="708">
        <v>0.52</v>
      </c>
      <c r="J56" s="570">
        <v>4.1130000000000004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4.1130000000000004</v>
      </c>
      <c r="N56" s="632">
        <f t="shared" si="240"/>
        <v>-2.0934838843693506</v>
      </c>
      <c r="O56" s="629">
        <f t="shared" si="241"/>
        <v>-2.0493738448850118</v>
      </c>
      <c r="P56" s="633">
        <f t="shared" si="242"/>
        <v>-9.800029556889139E-3</v>
      </c>
      <c r="Q56" s="585">
        <f t="shared" si="113"/>
        <v>224.3899805964875</v>
      </c>
      <c r="R56" s="629">
        <f t="shared" si="410"/>
        <v>2.9296088357002481</v>
      </c>
      <c r="S56" s="634">
        <f t="shared" si="411"/>
        <v>-9.800029556889139E-3</v>
      </c>
      <c r="T56" s="635">
        <f t="shared" si="412"/>
        <v>-2.0603071569011289</v>
      </c>
      <c r="U56" s="629">
        <f t="shared" si="413"/>
        <v>2.0827247416389305</v>
      </c>
      <c r="V56" s="636">
        <f t="shared" si="414"/>
        <v>-9.800029556889139E-3</v>
      </c>
      <c r="W56" s="585">
        <f t="shared" si="224"/>
        <v>134.68998055317286</v>
      </c>
      <c r="X56" s="629">
        <f t="shared" si="415"/>
        <v>2.9296088357002481</v>
      </c>
      <c r="Y56" s="630">
        <f t="shared" si="223"/>
        <v>-9.800029556889139E-3</v>
      </c>
      <c r="Z56" s="632">
        <f t="shared" si="243"/>
        <v>-0.62308004192155308</v>
      </c>
      <c r="AA56" s="629">
        <f t="shared" si="244"/>
        <v>0.73963837074598449</v>
      </c>
      <c r="AB56" s="629">
        <f t="shared" si="245"/>
        <v>-0.25437441278411127</v>
      </c>
      <c r="AC56" s="636">
        <f t="shared" si="416"/>
        <v>1</v>
      </c>
      <c r="AD56" s="637">
        <f t="shared" si="417"/>
        <v>-0.62308004192155308</v>
      </c>
      <c r="AE56" s="629">
        <f t="shared" si="418"/>
        <v>0.73963837074598449</v>
      </c>
      <c r="AF56" s="633">
        <f t="shared" si="419"/>
        <v>-0.25437441278411127</v>
      </c>
      <c r="AG56" s="602">
        <f t="shared" si="420"/>
        <v>71.021021315467408</v>
      </c>
      <c r="AH56" s="603">
        <f t="shared" si="421"/>
        <v>128.54140597403099</v>
      </c>
      <c r="AI56" s="585">
        <f t="shared" si="422"/>
        <v>-75.263480658120926</v>
      </c>
      <c r="AJ56" s="586">
        <f t="shared" si="423"/>
        <v>-139.88882016373464</v>
      </c>
      <c r="AK56" s="635">
        <f t="shared" si="424"/>
        <v>0.96441030494314539</v>
      </c>
      <c r="AL56" s="629">
        <f t="shared" si="425"/>
        <v>-7.2155539220548459E-2</v>
      </c>
      <c r="AM56" s="634">
        <f t="shared" si="426"/>
        <v>-0.25437441278411127</v>
      </c>
      <c r="AN56" s="581">
        <f t="shared" si="427"/>
        <v>-15.83645427219081</v>
      </c>
      <c r="AO56" s="582">
        <f t="shared" ref="AO56:AO119" si="461">IF(ROUND(IF(M56="",0,DEGREES(ACOS(AK56))),4)=90,0,IF(M56="","",DEGREES(ACOS(AK56))))</f>
        <v>15.33191084700962</v>
      </c>
      <c r="AP56" s="585">
        <f t="shared" si="428"/>
        <v>-4.2788007602221576</v>
      </c>
      <c r="AQ56" s="586">
        <f t="shared" si="246"/>
        <v>0.77811974325038979</v>
      </c>
      <c r="AS56" s="52">
        <f t="shared" si="406"/>
        <v>-225.31001944682714</v>
      </c>
      <c r="AT56" s="72">
        <f t="shared" si="247"/>
        <v>0.14687359502888345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4.1130000000000004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-2.6680494983194531</v>
      </c>
      <c r="C57" s="708">
        <v>-2.5256948552931382</v>
      </c>
      <c r="D57" s="709">
        <v>-0.24760074676385238</v>
      </c>
      <c r="E57" s="710">
        <v>0.4978361711226188</v>
      </c>
      <c r="F57" s="708">
        <v>-0.82512021912563194</v>
      </c>
      <c r="G57" s="711">
        <v>0.26708757124216753</v>
      </c>
      <c r="H57" s="710">
        <v>0.314</v>
      </c>
      <c r="I57" s="708">
        <v>0.52</v>
      </c>
      <c r="J57" s="570">
        <v>4.1180000000000003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4.1180000000000003</v>
      </c>
      <c r="N57" s="632">
        <f t="shared" si="240"/>
        <v>-2.6680494983194531</v>
      </c>
      <c r="O57" s="629">
        <f t="shared" si="241"/>
        <v>-2.5256948552931382</v>
      </c>
      <c r="P57" s="633">
        <f t="shared" si="242"/>
        <v>-0.24760074676385238</v>
      </c>
      <c r="Q57" s="585">
        <f t="shared" si="113"/>
        <v>223.42998073509432</v>
      </c>
      <c r="R57" s="629">
        <f t="shared" si="410"/>
        <v>3.6739110805158188</v>
      </c>
      <c r="S57" s="634">
        <f t="shared" si="411"/>
        <v>-0.24760074676385238</v>
      </c>
      <c r="T57" s="635">
        <f t="shared" si="412"/>
        <v>-2.5396300423596485</v>
      </c>
      <c r="U57" s="629">
        <f t="shared" si="413"/>
        <v>2.6547884803654775</v>
      </c>
      <c r="V57" s="636">
        <f t="shared" si="414"/>
        <v>-0.24760074676385238</v>
      </c>
      <c r="W57" s="585">
        <f t="shared" si="224"/>
        <v>133.72998069177967</v>
      </c>
      <c r="X57" s="629">
        <f t="shared" si="415"/>
        <v>3.6739110805158188</v>
      </c>
      <c r="Y57" s="630">
        <f t="shared" si="223"/>
        <v>-0.24760074676385238</v>
      </c>
      <c r="Z57" s="632">
        <f t="shared" si="243"/>
        <v>-0.4978361711226188</v>
      </c>
      <c r="AA57" s="629">
        <f t="shared" si="244"/>
        <v>0.82512021912563194</v>
      </c>
      <c r="AB57" s="629">
        <f t="shared" si="245"/>
        <v>-0.26708757124216753</v>
      </c>
      <c r="AC57" s="636">
        <f t="shared" si="416"/>
        <v>1</v>
      </c>
      <c r="AD57" s="637">
        <f t="shared" si="417"/>
        <v>-0.4978361711226188</v>
      </c>
      <c r="AE57" s="629">
        <f t="shared" si="418"/>
        <v>0.82512021912563194</v>
      </c>
      <c r="AF57" s="633">
        <f t="shared" si="419"/>
        <v>-0.26708757124216753</v>
      </c>
      <c r="AG57" s="602">
        <f t="shared" si="420"/>
        <v>72.063474401193758</v>
      </c>
      <c r="AH57" s="603">
        <f t="shared" si="421"/>
        <v>119.85694519296543</v>
      </c>
      <c r="AI57" s="585">
        <f t="shared" si="422"/>
        <v>-74.508966396975993</v>
      </c>
      <c r="AJ57" s="586">
        <f t="shared" si="423"/>
        <v>-148.89532480119351</v>
      </c>
      <c r="AK57" s="635">
        <f t="shared" si="424"/>
        <v>0.94146095729377022</v>
      </c>
      <c r="AL57" s="629">
        <f t="shared" si="425"/>
        <v>-0.20570730463320486</v>
      </c>
      <c r="AM57" s="634">
        <f t="shared" si="426"/>
        <v>-0.26708757124216753</v>
      </c>
      <c r="AN57" s="581">
        <f t="shared" si="427"/>
        <v>-37.602987325294592</v>
      </c>
      <c r="AO57" s="582">
        <f t="shared" si="461"/>
        <v>19.701629517186166</v>
      </c>
      <c r="AP57" s="585">
        <f t="shared" si="428"/>
        <v>-12.325305536287832</v>
      </c>
      <c r="AQ57" s="586">
        <f t="shared" si="246"/>
        <v>0.62049338106986174</v>
      </c>
      <c r="AS57" s="52">
        <f t="shared" si="406"/>
        <v>-226.27001930822033</v>
      </c>
      <c r="AT57" s="72">
        <f t="shared" si="247"/>
        <v>-9.0260455607667878E-2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4.1180000000000003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-3.1439345240199894</v>
      </c>
      <c r="C58" s="708">
        <v>-2.8829028466951296</v>
      </c>
      <c r="D58" s="709">
        <v>-0.75780228553169315</v>
      </c>
      <c r="E58" s="710">
        <v>0.35529687413149191</v>
      </c>
      <c r="F58" s="708">
        <v>-0.90485653838352409</v>
      </c>
      <c r="G58" s="711">
        <v>0.2345181787772046</v>
      </c>
      <c r="H58" s="710">
        <v>0.314</v>
      </c>
      <c r="I58" s="708">
        <v>0.52</v>
      </c>
      <c r="J58" s="570">
        <v>4.1230000000000002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4.1230000000000002</v>
      </c>
      <c r="N58" s="632">
        <f t="shared" si="240"/>
        <v>-3.1439345240199894</v>
      </c>
      <c r="O58" s="629">
        <f t="shared" si="241"/>
        <v>-2.8829028466951296</v>
      </c>
      <c r="P58" s="633">
        <f t="shared" si="242"/>
        <v>-0.75780228553169315</v>
      </c>
      <c r="Q58" s="585">
        <f t="shared" si="113"/>
        <v>222.51998086648206</v>
      </c>
      <c r="R58" s="629">
        <f t="shared" si="410"/>
        <v>4.2656128650884009</v>
      </c>
      <c r="S58" s="634">
        <f t="shared" si="411"/>
        <v>-0.75780228553169315</v>
      </c>
      <c r="T58" s="635">
        <f t="shared" si="412"/>
        <v>-2.8993248536670158</v>
      </c>
      <c r="U58" s="629">
        <f t="shared" si="413"/>
        <v>3.1287966549004764</v>
      </c>
      <c r="V58" s="636">
        <f t="shared" si="414"/>
        <v>-0.75780228553169315</v>
      </c>
      <c r="W58" s="585">
        <f t="shared" si="224"/>
        <v>132.81998082316741</v>
      </c>
      <c r="X58" s="629">
        <f t="shared" si="415"/>
        <v>4.2656128650884009</v>
      </c>
      <c r="Y58" s="630">
        <f t="shared" si="223"/>
        <v>-0.75780228553169315</v>
      </c>
      <c r="Z58" s="632">
        <f t="shared" si="243"/>
        <v>-0.35529687413149191</v>
      </c>
      <c r="AA58" s="629">
        <f t="shared" si="244"/>
        <v>0.90485653838352409</v>
      </c>
      <c r="AB58" s="629">
        <f t="shared" si="245"/>
        <v>-0.2345181787772046</v>
      </c>
      <c r="AC58" s="636">
        <f t="shared" si="416"/>
        <v>1</v>
      </c>
      <c r="AD58" s="637">
        <f t="shared" si="417"/>
        <v>-0.35529687413149191</v>
      </c>
      <c r="AE58" s="629">
        <f t="shared" si="418"/>
        <v>0.90485653838352409</v>
      </c>
      <c r="AF58" s="633">
        <f t="shared" si="419"/>
        <v>-0.2345181787772046</v>
      </c>
      <c r="AG58" s="602">
        <f t="shared" si="420"/>
        <v>75.469950848281073</v>
      </c>
      <c r="AH58" s="603">
        <f t="shared" si="421"/>
        <v>110.81164020251074</v>
      </c>
      <c r="AI58" s="585">
        <f t="shared" si="422"/>
        <v>-76.436777227179277</v>
      </c>
      <c r="AJ58" s="586">
        <f t="shared" si="423"/>
        <v>-158.56227417862996</v>
      </c>
      <c r="AK58" s="635">
        <f t="shared" si="424"/>
        <v>0.90704341967623803</v>
      </c>
      <c r="AL58" s="629">
        <f t="shared" si="425"/>
        <v>-0.34967621973056601</v>
      </c>
      <c r="AM58" s="634">
        <f t="shared" si="426"/>
        <v>-0.2345181787772046</v>
      </c>
      <c r="AN58" s="581">
        <f t="shared" si="427"/>
        <v>-56.151334654947654</v>
      </c>
      <c r="AO58" s="582">
        <f t="shared" si="461"/>
        <v>24.900080916848463</v>
      </c>
      <c r="AP58" s="585">
        <f t="shared" si="428"/>
        <v>-21.082255045112046</v>
      </c>
      <c r="AQ58" s="586">
        <f t="shared" si="246"/>
        <v>0.53442742921684605</v>
      </c>
      <c r="AS58" s="52">
        <f t="shared" si="406"/>
        <v>-227.18001917683259</v>
      </c>
      <c r="AT58" s="72">
        <f t="shared" si="247"/>
        <v>-0.59983005002230572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4.1230000000000002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-3.4283591414408976</v>
      </c>
      <c r="C59" s="708">
        <v>-3.0825752177023782</v>
      </c>
      <c r="D59" s="709">
        <v>-1.4589044000556703</v>
      </c>
      <c r="E59" s="710">
        <v>0.22414188236791796</v>
      </c>
      <c r="F59" s="708">
        <v>-0.96403722860968144</v>
      </c>
      <c r="G59" s="711">
        <v>0.14280279557183531</v>
      </c>
      <c r="H59" s="710">
        <v>0.314</v>
      </c>
      <c r="I59" s="708">
        <v>0.52</v>
      </c>
      <c r="J59" s="570">
        <v>4.1280000000000001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4.1280000000000001</v>
      </c>
      <c r="N59" s="632">
        <f t="shared" si="240"/>
        <v>-3.4283591414408976</v>
      </c>
      <c r="O59" s="629">
        <f t="shared" si="241"/>
        <v>-3.0825752177023782</v>
      </c>
      <c r="P59" s="633">
        <f t="shared" si="242"/>
        <v>-1.4589044000556703</v>
      </c>
      <c r="Q59" s="585">
        <f t="shared" si="113"/>
        <v>221.95998094733602</v>
      </c>
      <c r="R59" s="629">
        <f t="shared" si="79"/>
        <v>4.6104139050083379</v>
      </c>
      <c r="S59" s="634">
        <f t="shared" si="80"/>
        <v>-1.4589044000556703</v>
      </c>
      <c r="T59" s="635">
        <f t="shared" si="81"/>
        <v>-3.1004837244101617</v>
      </c>
      <c r="U59" s="629">
        <f t="shared" si="82"/>
        <v>3.4121718963384486</v>
      </c>
      <c r="V59" s="636">
        <f t="shared" si="114"/>
        <v>-1.4589044000556703</v>
      </c>
      <c r="W59" s="585">
        <f t="shared" si="224"/>
        <v>132.25998090402138</v>
      </c>
      <c r="X59" s="629">
        <f t="shared" si="83"/>
        <v>4.6104139050083379</v>
      </c>
      <c r="Y59" s="630">
        <f t="shared" si="223"/>
        <v>-1.4589044000556703</v>
      </c>
      <c r="Z59" s="632">
        <f t="shared" si="243"/>
        <v>-0.22414188236791796</v>
      </c>
      <c r="AA59" s="629">
        <f t="shared" si="244"/>
        <v>0.96403722860968144</v>
      </c>
      <c r="AB59" s="629">
        <f t="shared" si="245"/>
        <v>-0.14280279557183531</v>
      </c>
      <c r="AC59" s="636">
        <f t="shared" si="84"/>
        <v>1</v>
      </c>
      <c r="AD59" s="637">
        <f t="shared" si="115"/>
        <v>-0.22414188236791796</v>
      </c>
      <c r="AE59" s="629">
        <f t="shared" si="85"/>
        <v>0.96403722860968144</v>
      </c>
      <c r="AF59" s="633">
        <f t="shared" si="86"/>
        <v>-0.14280279557183531</v>
      </c>
      <c r="AG59" s="602">
        <f t="shared" si="87"/>
        <v>81.574050736015508</v>
      </c>
      <c r="AH59" s="603">
        <f t="shared" si="88"/>
        <v>102.95242290115181</v>
      </c>
      <c r="AI59" s="585">
        <f t="shared" si="89"/>
        <v>-81.789935424817571</v>
      </c>
      <c r="AJ59" s="586">
        <f t="shared" si="90"/>
        <v>-166.91108527143993</v>
      </c>
      <c r="AK59" s="635">
        <f t="shared" si="211"/>
        <v>0.86673347329812667</v>
      </c>
      <c r="AL59" s="629">
        <f t="shared" si="91"/>
        <v>-0.47789166956689522</v>
      </c>
      <c r="AM59" s="634">
        <f t="shared" si="92"/>
        <v>-0.14280279557183531</v>
      </c>
      <c r="AN59" s="581">
        <f t="shared" si="93"/>
        <v>-73.362889811916915</v>
      </c>
      <c r="AO59" s="582">
        <f t="shared" si="461"/>
        <v>29.918761428811269</v>
      </c>
      <c r="AP59" s="585">
        <f t="shared" si="95"/>
        <v>-28.871066218775937</v>
      </c>
      <c r="AQ59" s="586">
        <f t="shared" si="246"/>
        <v>0.49446103611011705</v>
      </c>
      <c r="AS59" s="52">
        <f t="shared" si="406"/>
        <v>-227.74001909597862</v>
      </c>
      <c r="AT59" s="72">
        <f t="shared" si="247"/>
        <v>-1.3005432757135427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4.1280000000000001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-3.4893827571095937</v>
      </c>
      <c r="C60" s="708">
        <v>-3.1253497939248733</v>
      </c>
      <c r="D60" s="709">
        <v>-2.2192066931273864</v>
      </c>
      <c r="E60" s="710">
        <v>0.14014342049516532</v>
      </c>
      <c r="F60" s="708">
        <v>-0.98743728011045118</v>
      </c>
      <c r="G60" s="711">
        <v>7.2989311135191137E-2</v>
      </c>
      <c r="H60" s="710">
        <v>0.314</v>
      </c>
      <c r="I60" s="708">
        <v>0.52</v>
      </c>
      <c r="J60" s="570">
        <v>4.133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4.133</v>
      </c>
      <c r="N60" s="632">
        <f t="shared" si="240"/>
        <v>-3.4893827571095937</v>
      </c>
      <c r="O60" s="629">
        <f t="shared" si="241"/>
        <v>-3.1253497939248733</v>
      </c>
      <c r="P60" s="633">
        <f t="shared" si="242"/>
        <v>-2.2192066931273864</v>
      </c>
      <c r="Q60" s="585">
        <f t="shared" si="113"/>
        <v>221.84998096321809</v>
      </c>
      <c r="R60" s="629">
        <f t="shared" si="79"/>
        <v>4.6844000000000001</v>
      </c>
      <c r="S60" s="634">
        <f t="shared" si="80"/>
        <v>-2.2192066931273864</v>
      </c>
      <c r="T60" s="635">
        <f t="shared" si="81"/>
        <v>-3.1435772316878929</v>
      </c>
      <c r="U60" s="629">
        <f t="shared" si="82"/>
        <v>3.4729707094090911</v>
      </c>
      <c r="V60" s="636">
        <f t="shared" si="114"/>
        <v>-2.2192066931273864</v>
      </c>
      <c r="W60" s="585">
        <f t="shared" si="224"/>
        <v>132.14998091990344</v>
      </c>
      <c r="X60" s="629">
        <f t="shared" si="83"/>
        <v>4.6844000000000001</v>
      </c>
      <c r="Y60" s="630">
        <f t="shared" si="223"/>
        <v>-2.2192066931273864</v>
      </c>
      <c r="Z60" s="632">
        <f t="shared" si="243"/>
        <v>-0.14014342049516532</v>
      </c>
      <c r="AA60" s="629">
        <f t="shared" si="244"/>
        <v>0.98743728011045118</v>
      </c>
      <c r="AB60" s="629">
        <f t="shared" si="245"/>
        <v>-7.2989311135191137E-2</v>
      </c>
      <c r="AC60" s="636">
        <f t="shared" si="84"/>
        <v>1</v>
      </c>
      <c r="AD60" s="637">
        <f t="shared" si="115"/>
        <v>-0.14014342049516532</v>
      </c>
      <c r="AE60" s="629">
        <f t="shared" si="85"/>
        <v>0.98743728011045118</v>
      </c>
      <c r="AF60" s="633">
        <f t="shared" si="86"/>
        <v>-7.2989311135191137E-2</v>
      </c>
      <c r="AG60" s="602">
        <f t="shared" si="87"/>
        <v>85.772503376133642</v>
      </c>
      <c r="AH60" s="603">
        <f t="shared" si="88"/>
        <v>98.056145455277971</v>
      </c>
      <c r="AI60" s="585">
        <f t="shared" si="89"/>
        <v>-85.814298385068611</v>
      </c>
      <c r="AJ60" s="586">
        <f t="shared" si="90"/>
        <v>-171.92216540720312</v>
      </c>
      <c r="AK60" s="635">
        <f t="shared" si="211"/>
        <v>0.82903762046560825</v>
      </c>
      <c r="AL60" s="629">
        <f t="shared" si="91"/>
        <v>-0.55440886024010516</v>
      </c>
      <c r="AM60" s="634">
        <f t="shared" si="92"/>
        <v>-7.2989311135191137E-2</v>
      </c>
      <c r="AN60" s="581">
        <f t="shared" si="93"/>
        <v>-82.500000000000014</v>
      </c>
      <c r="AO60" s="582">
        <f t="shared" si="461"/>
        <v>33.999995091008103</v>
      </c>
      <c r="AP60" s="585">
        <f t="shared" si="95"/>
        <v>-33.772146370421204</v>
      </c>
      <c r="AQ60" s="586">
        <f t="shared" si="246"/>
        <v>0.48665182519210864</v>
      </c>
      <c r="AS60" s="52">
        <f t="shared" si="406"/>
        <v>-227.85001908009656</v>
      </c>
      <c r="AT60" s="72">
        <f t="shared" si="247"/>
        <v>-2.0607691799073988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4.133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-3.5265316716455102</v>
      </c>
      <c r="C61" s="708">
        <v>-3.1508667345479902</v>
      </c>
      <c r="D61" s="709">
        <v>-2.9692089551342087</v>
      </c>
      <c r="E61" s="710">
        <v>3.1061632395292083E-2</v>
      </c>
      <c r="F61" s="708">
        <v>-0.99951747107939037</v>
      </c>
      <c r="G61" s="711">
        <v>0</v>
      </c>
      <c r="H61" s="710">
        <v>0.314</v>
      </c>
      <c r="I61" s="708">
        <v>0.52</v>
      </c>
      <c r="J61" s="570">
        <v>4.1379999999999999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4.1379999999999999</v>
      </c>
      <c r="N61" s="632">
        <f t="shared" si="240"/>
        <v>-3.5265316716455102</v>
      </c>
      <c r="O61" s="629">
        <f t="shared" si="241"/>
        <v>-3.1508667345479902</v>
      </c>
      <c r="P61" s="633">
        <f t="shared" si="242"/>
        <v>-2.9692089551342087</v>
      </c>
      <c r="Q61" s="585">
        <f t="shared" si="113"/>
        <v>221.77998097332483</v>
      </c>
      <c r="R61" s="629">
        <f t="shared" si="79"/>
        <v>4.729099999999999</v>
      </c>
      <c r="S61" s="634">
        <f t="shared" si="80"/>
        <v>-2.9692089551342087</v>
      </c>
      <c r="T61" s="635">
        <f t="shared" si="81"/>
        <v>-3.169288332876004</v>
      </c>
      <c r="U61" s="629">
        <f t="shared" si="82"/>
        <v>3.5099855089581258</v>
      </c>
      <c r="V61" s="636">
        <f t="shared" si="114"/>
        <v>-2.9692089551342087</v>
      </c>
      <c r="W61" s="585">
        <f t="shared" si="224"/>
        <v>132.07998093001018</v>
      </c>
      <c r="X61" s="629">
        <f t="shared" si="83"/>
        <v>4.729099999999999</v>
      </c>
      <c r="Y61" s="630">
        <f t="shared" si="223"/>
        <v>-2.9692089551342087</v>
      </c>
      <c r="Z61" s="632">
        <f t="shared" si="243"/>
        <v>-3.1061632395292083E-2</v>
      </c>
      <c r="AA61" s="629">
        <f t="shared" si="244"/>
        <v>0.99951747107939037</v>
      </c>
      <c r="AB61" s="629">
        <f t="shared" si="245"/>
        <v>0</v>
      </c>
      <c r="AC61" s="636">
        <f t="shared" si="84"/>
        <v>1</v>
      </c>
      <c r="AD61" s="637">
        <f t="shared" si="115"/>
        <v>-3.1061632395292083E-2</v>
      </c>
      <c r="AE61" s="629">
        <f t="shared" si="85"/>
        <v>0.99951747107939037</v>
      </c>
      <c r="AF61" s="633">
        <f t="shared" si="86"/>
        <v>0</v>
      </c>
      <c r="AG61" s="602">
        <f t="shared" si="87"/>
        <v>90</v>
      </c>
      <c r="AH61" s="603">
        <f t="shared" si="88"/>
        <v>91.779986748609446</v>
      </c>
      <c r="AI61" s="585">
        <f t="shared" si="89"/>
        <v>-90</v>
      </c>
      <c r="AJ61" s="586">
        <f t="shared" si="90"/>
        <v>-178.22001325139055</v>
      </c>
      <c r="AK61" s="635">
        <f t="shared" si="211"/>
        <v>0.76604450791050738</v>
      </c>
      <c r="AL61" s="629">
        <f t="shared" si="91"/>
        <v>-0.64278753247099385</v>
      </c>
      <c r="AM61" s="634">
        <f t="shared" si="92"/>
        <v>0</v>
      </c>
      <c r="AN61" s="581">
        <f t="shared" si="93"/>
        <v>-90</v>
      </c>
      <c r="AO61" s="582">
        <f t="shared" si="461"/>
        <v>39.999994224715365</v>
      </c>
      <c r="AP61" s="585">
        <f t="shared" si="95"/>
        <v>-39.99999422471538</v>
      </c>
      <c r="AQ61" s="586">
        <f t="shared" si="246"/>
        <v>0.48205215397356055</v>
      </c>
      <c r="AS61" s="52">
        <f t="shared" si="406"/>
        <v>-227.92001906998982</v>
      </c>
      <c r="AT61" s="72">
        <f t="shared" si="247"/>
        <v>-2.8107228308101289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4.1379999999999999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-1.2916764741091589</v>
      </c>
      <c r="C62" s="708">
        <v>-0.15653845471632441</v>
      </c>
      <c r="D62" s="709">
        <v>-0.34018284047488523</v>
      </c>
      <c r="E62" s="710">
        <v>0.23214397781436028</v>
      </c>
      <c r="F62" s="708">
        <v>0.20305228084144739</v>
      </c>
      <c r="G62" s="711">
        <v>0.9512512521987091</v>
      </c>
      <c r="H62" s="710">
        <v>0.25700000000000001</v>
      </c>
      <c r="I62" s="708">
        <v>0.45500000000000002</v>
      </c>
      <c r="J62" s="570">
        <v>4.2050000000000001</v>
      </c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Inactive</v>
      </c>
      <c r="L62" s="320"/>
      <c r="M62" s="168">
        <f t="shared" si="239"/>
        <v>4.2050000000000001</v>
      </c>
      <c r="N62" s="632">
        <f t="shared" si="240"/>
        <v>-1.2916764741091589</v>
      </c>
      <c r="O62" s="629">
        <f t="shared" si="241"/>
        <v>-0.15653845471632441</v>
      </c>
      <c r="P62" s="633">
        <f t="shared" si="242"/>
        <v>-0.34018284047488523</v>
      </c>
      <c r="Q62" s="585">
        <f t="shared" si="113"/>
        <v>186.90998600792921</v>
      </c>
      <c r="R62" s="629">
        <f t="shared" si="79"/>
        <v>1.3011273579369713</v>
      </c>
      <c r="S62" s="634">
        <f t="shared" si="80"/>
        <v>-0.34018284047488523</v>
      </c>
      <c r="T62" s="635">
        <f t="shared" si="81"/>
        <v>-0.16329947925039787</v>
      </c>
      <c r="U62" s="629">
        <f t="shared" si="82"/>
        <v>1.2908391385639779</v>
      </c>
      <c r="V62" s="636">
        <f t="shared" si="114"/>
        <v>-0.34018284047488523</v>
      </c>
      <c r="W62" s="585">
        <f t="shared" si="224"/>
        <v>97.20998596461456</v>
      </c>
      <c r="X62" s="629">
        <f t="shared" si="83"/>
        <v>1.3011273579369713</v>
      </c>
      <c r="Y62" s="630">
        <f t="shared" si="223"/>
        <v>-0.34018284047488523</v>
      </c>
      <c r="Z62" s="632">
        <f t="shared" si="243"/>
        <v>-0.23214397781436028</v>
      </c>
      <c r="AA62" s="629">
        <f t="shared" si="244"/>
        <v>-0.20305228084144739</v>
      </c>
      <c r="AB62" s="629">
        <f t="shared" si="245"/>
        <v>-0.9512512521987091</v>
      </c>
      <c r="AC62" s="636">
        <f t="shared" si="84"/>
        <v>1</v>
      </c>
      <c r="AD62" s="637">
        <f t="shared" si="115"/>
        <v>-0.23214397781436028</v>
      </c>
      <c r="AE62" s="629">
        <f t="shared" si="85"/>
        <v>-0.20305228084144739</v>
      </c>
      <c r="AF62" s="633">
        <f t="shared" si="86"/>
        <v>-0.9512512521987091</v>
      </c>
      <c r="AG62" s="602">
        <f t="shared" si="87"/>
        <v>-12.049412158641209</v>
      </c>
      <c r="AH62" s="603">
        <f t="shared" si="88"/>
        <v>103.42332961659564</v>
      </c>
      <c r="AI62" s="585">
        <f t="shared" si="89"/>
        <v>-17.963858339992317</v>
      </c>
      <c r="AJ62" s="586">
        <f t="shared" si="90"/>
        <v>-48.824378720694511</v>
      </c>
      <c r="AK62" s="635">
        <f t="shared" si="211"/>
        <v>-0.17364817766693022</v>
      </c>
      <c r="AL62" s="629">
        <f t="shared" si="91"/>
        <v>0.25488696628769086</v>
      </c>
      <c r="AM62" s="634">
        <f t="shared" si="92"/>
        <v>-0.9512512521987091</v>
      </c>
      <c r="AN62" s="581">
        <f t="shared" si="93"/>
        <v>14.999997834268271</v>
      </c>
      <c r="AO62" s="582">
        <f t="shared" si="461"/>
        <v>99.999999999999986</v>
      </c>
      <c r="AP62" s="585">
        <f t="shared" si="95"/>
        <v>124.26563527137627</v>
      </c>
      <c r="AQ62" s="586">
        <f t="shared" si="246"/>
        <v>1.7515705812571936</v>
      </c>
      <c r="AS62" s="52">
        <f t="shared" si="406"/>
        <v>-262.79001403538541</v>
      </c>
      <c r="AT62" s="72">
        <f t="shared" si="247"/>
        <v>-0.15748144186928051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Nose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4.2050000000000001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4.1050000000000004</v>
      </c>
      <c r="II62" s="734" cm="1">
        <f t="array" ref="II62">IFERROR(ROUND(VALUE(IF($IH62&lt;1,$IH62+LARGE((IF($M$9:$M$150="",0,$M$9:$M$150)-MOD(IF($M$9:$M$150="",0,$M$9:$M$150),1)),1),$IH62)),4),"")</f>
        <v>4.1050000000000004</v>
      </c>
      <c r="IJ62" s="533">
        <f t="shared" si="112"/>
        <v>1610</v>
      </c>
      <c r="IK62" s="533" t="str">
        <f t="shared" si="382"/>
        <v>Inactive</v>
      </c>
      <c r="IL62" s="727">
        <f t="shared" si="225"/>
        <v>38.089994500485204</v>
      </c>
      <c r="IM62" s="759">
        <v>0.204663306886429</v>
      </c>
      <c r="IN62" s="5">
        <f t="shared" si="226"/>
        <v>2.2599999999999998</v>
      </c>
      <c r="IO62" s="771">
        <v>1130</v>
      </c>
      <c r="IP62" s="9">
        <f t="shared" si="227"/>
        <v>-1.3228039895768327</v>
      </c>
      <c r="IQ62" s="5">
        <f t="shared" si="228"/>
        <v>-0.30350091535876073</v>
      </c>
      <c r="IR62" s="5">
        <f t="shared" si="383"/>
        <v>0.314</v>
      </c>
      <c r="IS62" s="5">
        <f t="shared" si="229"/>
        <v>0.30330071252667307</v>
      </c>
      <c r="IT62" s="727">
        <f t="shared" si="230"/>
        <v>-14.999997834268312</v>
      </c>
      <c r="IU62" s="9">
        <f t="shared" si="231"/>
        <v>-1.3011273579369713</v>
      </c>
      <c r="IV62" s="5">
        <f t="shared" si="232"/>
        <v>-0.34018284047488523</v>
      </c>
      <c r="IW62" s="5">
        <f t="shared" si="384"/>
        <v>0.25700000000000001</v>
      </c>
      <c r="IX62" s="5">
        <f t="shared" si="233"/>
        <v>-4.4627581660401032E-2</v>
      </c>
      <c r="IY62" s="762">
        <f t="shared" si="234"/>
        <v>-14.999997834268271</v>
      </c>
    </row>
    <row r="63" spans="1:259" ht="15" customHeight="1" x14ac:dyDescent="0.25">
      <c r="A63" s="79"/>
      <c r="B63" s="707">
        <v>-1.8971971734387354</v>
      </c>
      <c r="C63" s="708">
        <v>-0.75306869340355009</v>
      </c>
      <c r="D63" s="709">
        <v>-0.10613214982699445</v>
      </c>
      <c r="E63" s="710">
        <v>0.19324461394678216</v>
      </c>
      <c r="F63" s="708">
        <v>7.6705788959305105E-2</v>
      </c>
      <c r="G63" s="711">
        <v>0.9781476070208881</v>
      </c>
      <c r="H63" s="710">
        <v>0.25700000000000001</v>
      </c>
      <c r="I63" s="708">
        <v>0.45500000000000002</v>
      </c>
      <c r="J63" s="570">
        <v>4.2080000000000002</v>
      </c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Inactive</v>
      </c>
      <c r="L63" s="320"/>
      <c r="M63" s="168">
        <f t="shared" si="239"/>
        <v>4.2080000000000002</v>
      </c>
      <c r="N63" s="632">
        <f t="shared" si="240"/>
        <v>-1.8971971734387354</v>
      </c>
      <c r="O63" s="629">
        <f t="shared" si="241"/>
        <v>-0.75306869340355009</v>
      </c>
      <c r="P63" s="633">
        <f t="shared" si="242"/>
        <v>-0.10613214982699445</v>
      </c>
      <c r="Q63" s="585">
        <f t="shared" si="113"/>
        <v>201.64998387973679</v>
      </c>
      <c r="R63" s="629">
        <f t="shared" si="79"/>
        <v>2.0411931735846212</v>
      </c>
      <c r="S63" s="634">
        <f t="shared" si="80"/>
        <v>-0.10613214982699445</v>
      </c>
      <c r="T63" s="635">
        <f t="shared" si="81"/>
        <v>-0.76299202487417772</v>
      </c>
      <c r="U63" s="629">
        <f t="shared" si="82"/>
        <v>1.8932281272648732</v>
      </c>
      <c r="V63" s="636">
        <f t="shared" si="114"/>
        <v>-0.10613214982699445</v>
      </c>
      <c r="W63" s="585">
        <f t="shared" si="224"/>
        <v>111.94998383642215</v>
      </c>
      <c r="X63" s="629">
        <f t="shared" si="83"/>
        <v>2.0411931735846212</v>
      </c>
      <c r="Y63" s="630">
        <f t="shared" si="223"/>
        <v>-0.10613214982699445</v>
      </c>
      <c r="Z63" s="632">
        <f t="shared" si="243"/>
        <v>-0.19324461394678216</v>
      </c>
      <c r="AA63" s="629">
        <f t="shared" si="244"/>
        <v>-7.6705788959305105E-2</v>
      </c>
      <c r="AB63" s="629">
        <f t="shared" si="245"/>
        <v>-0.9781476070208881</v>
      </c>
      <c r="AC63" s="636">
        <f t="shared" si="84"/>
        <v>1</v>
      </c>
      <c r="AD63" s="637">
        <f t="shared" si="115"/>
        <v>-0.19324461394678216</v>
      </c>
      <c r="AE63" s="629">
        <f t="shared" si="85"/>
        <v>-7.6705788959305105E-2</v>
      </c>
      <c r="AF63" s="633">
        <f t="shared" si="86"/>
        <v>-0.9781476070208881</v>
      </c>
      <c r="AG63" s="602">
        <f t="shared" si="87"/>
        <v>-4.4839265844797431</v>
      </c>
      <c r="AH63" s="603">
        <f t="shared" si="88"/>
        <v>101.1421970366969</v>
      </c>
      <c r="AI63" s="585">
        <f t="shared" si="89"/>
        <v>-11.999998267421542</v>
      </c>
      <c r="AJ63" s="586">
        <f t="shared" si="90"/>
        <v>-68.350078619837859</v>
      </c>
      <c r="AK63" s="635">
        <f t="shared" si="211"/>
        <v>2.2679489659893637E-7</v>
      </c>
      <c r="AL63" s="629">
        <f t="shared" si="91"/>
        <v>0.20791166123923616</v>
      </c>
      <c r="AM63" s="634">
        <f t="shared" si="92"/>
        <v>-0.9781476070208881</v>
      </c>
      <c r="AN63" s="581">
        <f t="shared" si="93"/>
        <v>11.999998267414622</v>
      </c>
      <c r="AO63" s="582">
        <f t="shared" si="461"/>
        <v>0</v>
      </c>
      <c r="AP63" s="585">
        <f t="shared" si="95"/>
        <v>89.999937500425361</v>
      </c>
      <c r="AQ63" s="586">
        <f t="shared" si="246"/>
        <v>1.1167183894463824</v>
      </c>
      <c r="AS63" s="52">
        <f t="shared" si="406"/>
        <v>-248.05001616357785</v>
      </c>
      <c r="AT63" s="72">
        <f t="shared" si="247"/>
        <v>6.6333139145410558E-2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Nose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4.2080000000000002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4.1079999999999997</v>
      </c>
      <c r="II63" s="734" cm="1">
        <f t="array" ref="II63">IFERROR(ROUND(VALUE(IF($IH63&lt;1,$IH63+LARGE((IF($M$9:$M$150="",0,$M$9:$M$150)-MOD(IF($M$9:$M$150="",0,$M$9:$M$150),1)),1),$IH63)),4),"")</f>
        <v>4.1079999999999997</v>
      </c>
      <c r="IJ63" s="533">
        <f t="shared" si="112"/>
        <v>1610</v>
      </c>
      <c r="IK63" s="533" t="str">
        <f t="shared" si="382"/>
        <v>Inactive</v>
      </c>
      <c r="IL63" s="727">
        <f t="shared" si="225"/>
        <v>23.349996628677616</v>
      </c>
      <c r="IM63" s="759">
        <v>3.7113039029310797E-2</v>
      </c>
      <c r="IN63" s="5">
        <f t="shared" si="226"/>
        <v>0.64</v>
      </c>
      <c r="IO63" s="771">
        <v>320</v>
      </c>
      <c r="IP63" s="9">
        <f t="shared" si="227"/>
        <v>-2.0586062087563262</v>
      </c>
      <c r="IQ63" s="5">
        <f t="shared" si="228"/>
        <v>-0.10630032060176681</v>
      </c>
      <c r="IR63" s="5">
        <f t="shared" si="383"/>
        <v>0.314</v>
      </c>
      <c r="IS63" s="5">
        <f t="shared" si="229"/>
        <v>0.30329805167973461</v>
      </c>
      <c r="IT63" s="727">
        <f t="shared" si="230"/>
        <v>-11.07278500401376</v>
      </c>
      <c r="IU63" s="9">
        <f t="shared" si="231"/>
        <v>-2.0411931735846212</v>
      </c>
      <c r="IV63" s="5">
        <f t="shared" si="232"/>
        <v>-0.10613214982699445</v>
      </c>
      <c r="IW63" s="5">
        <f t="shared" si="384"/>
        <v>0.25700000000000001</v>
      </c>
      <c r="IX63" s="5">
        <f t="shared" si="233"/>
        <v>0.25700000000000001</v>
      </c>
      <c r="IY63" s="762">
        <f t="shared" si="234"/>
        <v>-11.999998267414622</v>
      </c>
    </row>
    <row r="64" spans="1:259" ht="15" customHeight="1" x14ac:dyDescent="0.25">
      <c r="A64" s="79"/>
      <c r="B64" s="707">
        <v>-2.6687144720288267</v>
      </c>
      <c r="C64" s="708">
        <v>-1.2212685820802183</v>
      </c>
      <c r="D64" s="709">
        <v>6.6063851053411516E-4</v>
      </c>
      <c r="E64" s="710">
        <v>-5.7254264033758995E-2</v>
      </c>
      <c r="F64" s="708">
        <v>-2.6201191698757034E-2</v>
      </c>
      <c r="G64" s="711">
        <v>0.99801575478722671</v>
      </c>
      <c r="H64" s="710">
        <v>0.25700000000000001</v>
      </c>
      <c r="I64" s="708">
        <v>0.45500000000000002</v>
      </c>
      <c r="J64" s="570">
        <v>4.2130000000000001</v>
      </c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Inactive</v>
      </c>
      <c r="L64" s="320"/>
      <c r="M64" s="168">
        <f t="shared" si="239"/>
        <v>4.2130000000000001</v>
      </c>
      <c r="N64" s="632">
        <f t="shared" si="240"/>
        <v>-2.6687144720288267</v>
      </c>
      <c r="O64" s="629">
        <f t="shared" si="241"/>
        <v>-1.2212685820802183</v>
      </c>
      <c r="P64" s="633">
        <f t="shared" si="242"/>
        <v>6.6063851053411516E-4</v>
      </c>
      <c r="Q64" s="585">
        <f t="shared" si="113"/>
        <v>204.58998345525339</v>
      </c>
      <c r="R64" s="629">
        <f t="shared" si="79"/>
        <v>2.9348822604650304</v>
      </c>
      <c r="S64" s="634">
        <f t="shared" si="80"/>
        <v>6.6063851053411516E-4</v>
      </c>
      <c r="T64" s="635">
        <f t="shared" si="81"/>
        <v>-1.2352251316719569</v>
      </c>
      <c r="U64" s="629">
        <f t="shared" si="82"/>
        <v>2.662283372760744</v>
      </c>
      <c r="V64" s="636">
        <f t="shared" si="114"/>
        <v>6.6063851053411516E-4</v>
      </c>
      <c r="W64" s="585">
        <f t="shared" si="224"/>
        <v>114.88998341193874</v>
      </c>
      <c r="X64" s="629">
        <f t="shared" si="83"/>
        <v>2.9348822604650304</v>
      </c>
      <c r="Y64" s="630">
        <f t="shared" si="223"/>
        <v>6.6063851053411516E-4</v>
      </c>
      <c r="Z64" s="632">
        <f t="shared" si="243"/>
        <v>5.7254264033758995E-2</v>
      </c>
      <c r="AA64" s="629">
        <f t="shared" si="244"/>
        <v>2.6201191698757034E-2</v>
      </c>
      <c r="AB64" s="629">
        <f t="shared" si="245"/>
        <v>-0.99801575478722671</v>
      </c>
      <c r="AC64" s="636">
        <f t="shared" si="84"/>
        <v>1</v>
      </c>
      <c r="AD64" s="637">
        <f t="shared" si="115"/>
        <v>5.7254264033758995E-2</v>
      </c>
      <c r="AE64" s="629">
        <f t="shared" si="85"/>
        <v>2.6201191698757034E-2</v>
      </c>
      <c r="AF64" s="633">
        <f t="shared" si="86"/>
        <v>-0.99801575478722671</v>
      </c>
      <c r="AG64" s="602">
        <f t="shared" si="87"/>
        <v>1.5038569688635142</v>
      </c>
      <c r="AH64" s="603">
        <f t="shared" si="88"/>
        <v>86.717777428060785</v>
      </c>
      <c r="AI64" s="585">
        <f t="shared" si="89"/>
        <v>-3.6099994788038066</v>
      </c>
      <c r="AJ64" s="586">
        <f t="shared" si="90"/>
        <v>114.5901898310609</v>
      </c>
      <c r="AK64" s="635">
        <f t="shared" si="211"/>
        <v>2.2679489672383646E-7</v>
      </c>
      <c r="AL64" s="629">
        <f t="shared" si="91"/>
        <v>-6.2964698017468235E-2</v>
      </c>
      <c r="AM64" s="634">
        <f t="shared" si="92"/>
        <v>-0.99801575478722671</v>
      </c>
      <c r="AN64" s="581">
        <f t="shared" si="93"/>
        <v>-3.6099994787805598</v>
      </c>
      <c r="AO64" s="582">
        <f t="shared" si="461"/>
        <v>0</v>
      </c>
      <c r="AP64" s="585">
        <f t="shared" si="95"/>
        <v>-89.999793624192506</v>
      </c>
      <c r="AQ64" s="586">
        <f t="shared" si="246"/>
        <v>0.77672178162965999</v>
      </c>
      <c r="AS64" s="52">
        <f t="shared" si="406"/>
        <v>-245.11001658806126</v>
      </c>
      <c r="AT64" s="72">
        <f t="shared" si="247"/>
        <v>0.1710842611110526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Nose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4.2130000000000001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4.1130000000000004</v>
      </c>
      <c r="II64" s="734" cm="1">
        <f t="array" ref="II64">IFERROR(ROUND(VALUE(IF($IH64&lt;1,$IH64+LARGE((IF($M$9:$M$150="",0,$M$9:$M$150)-MOD(IF($M$9:$M$150="",0,$M$9:$M$150),1)),1),$IH64)),4),"")</f>
        <v>4.1130000000000004</v>
      </c>
      <c r="IJ64" s="533">
        <f t="shared" si="112"/>
        <v>1613</v>
      </c>
      <c r="IK64" s="533" t="str">
        <f t="shared" si="382"/>
        <v>Inactive</v>
      </c>
      <c r="IL64" s="727">
        <f t="shared" si="225"/>
        <v>19.799997141234115</v>
      </c>
      <c r="IM64" s="759">
        <v>3.4252292892665202E-2</v>
      </c>
      <c r="IN64" s="5">
        <f t="shared" si="226"/>
        <v>0.62</v>
      </c>
      <c r="IO64" s="771">
        <v>310</v>
      </c>
      <c r="IP64" s="9">
        <f t="shared" si="227"/>
        <v>-2.9296088357002481</v>
      </c>
      <c r="IQ64" s="5">
        <f t="shared" si="228"/>
        <v>-9.800029556889139E-3</v>
      </c>
      <c r="IR64" s="5">
        <f t="shared" si="383"/>
        <v>0.314</v>
      </c>
      <c r="IS64" s="5">
        <f t="shared" si="229"/>
        <v>0.30282483575214764</v>
      </c>
      <c r="IT64" s="727">
        <f t="shared" si="230"/>
        <v>15.83645427219081</v>
      </c>
      <c r="IU64" s="9">
        <f t="shared" si="231"/>
        <v>-2.9348822604650304</v>
      </c>
      <c r="IV64" s="5">
        <f t="shared" si="232"/>
        <v>6.6063851053411516E-4</v>
      </c>
      <c r="IW64" s="5">
        <f t="shared" si="384"/>
        <v>0.25700000000000001</v>
      </c>
      <c r="IX64" s="5">
        <f t="shared" si="233"/>
        <v>0.25700000000000001</v>
      </c>
      <c r="IY64" s="762">
        <f t="shared" si="234"/>
        <v>3.6099994787805598</v>
      </c>
    </row>
    <row r="65" spans="1:259" ht="15" customHeight="1" x14ac:dyDescent="0.25">
      <c r="A65" s="79"/>
      <c r="B65" s="707">
        <v>-3.2070057741934845</v>
      </c>
      <c r="C65" s="708">
        <v>-1.7967434433137577</v>
      </c>
      <c r="D65" s="709">
        <v>-0.27956089858142152</v>
      </c>
      <c r="E65" s="710">
        <v>0.25604678018193916</v>
      </c>
      <c r="F65" s="708">
        <v>-0.91477093429615175</v>
      </c>
      <c r="G65" s="711">
        <v>0.3124646926060724</v>
      </c>
      <c r="H65" s="710">
        <v>0.314</v>
      </c>
      <c r="I65" s="708">
        <v>0.39400000000000002</v>
      </c>
      <c r="J65" s="570">
        <v>4.218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1610</v>
      </c>
      <c r="L65" s="320"/>
      <c r="M65" s="168">
        <f t="shared" si="239"/>
        <v>4.218</v>
      </c>
      <c r="N65" s="632">
        <f t="shared" si="240"/>
        <v>-3.2070057741934845</v>
      </c>
      <c r="O65" s="629">
        <f t="shared" si="241"/>
        <v>-1.7967434433137577</v>
      </c>
      <c r="P65" s="633">
        <f t="shared" si="242"/>
        <v>-0.27956089858142152</v>
      </c>
      <c r="Q65" s="585">
        <f t="shared" si="113"/>
        <v>209.2599805084144</v>
      </c>
      <c r="R65" s="629">
        <f t="shared" si="79"/>
        <v>3.6760268003377408</v>
      </c>
      <c r="S65" s="634">
        <f t="shared" si="80"/>
        <v>-0.27956089858142152</v>
      </c>
      <c r="T65" s="635">
        <f t="shared" si="81"/>
        <v>-1.8135105778227321</v>
      </c>
      <c r="U65" s="629">
        <f t="shared" si="82"/>
        <v>3.1975541310392837</v>
      </c>
      <c r="V65" s="636">
        <f t="shared" si="114"/>
        <v>-0.27956089858142152</v>
      </c>
      <c r="W65" s="585">
        <f t="shared" si="224"/>
        <v>119.55998046509976</v>
      </c>
      <c r="X65" s="629">
        <f t="shared" si="83"/>
        <v>3.6760268003377408</v>
      </c>
      <c r="Y65" s="630">
        <f t="shared" si="223"/>
        <v>-0.27956089858142152</v>
      </c>
      <c r="Z65" s="632">
        <f t="shared" si="243"/>
        <v>-0.25604678018193916</v>
      </c>
      <c r="AA65" s="629">
        <f t="shared" si="244"/>
        <v>0.91477093429615175</v>
      </c>
      <c r="AB65" s="629">
        <f t="shared" si="245"/>
        <v>-0.3124646926060724</v>
      </c>
      <c r="AC65" s="636">
        <f t="shared" si="84"/>
        <v>1</v>
      </c>
      <c r="AD65" s="637">
        <f t="shared" si="115"/>
        <v>-0.25604678018193916</v>
      </c>
      <c r="AE65" s="629">
        <f t="shared" si="85"/>
        <v>0.91477093429615175</v>
      </c>
      <c r="AF65" s="633">
        <f t="shared" si="86"/>
        <v>-0.3124646926060724</v>
      </c>
      <c r="AG65" s="602">
        <f t="shared" si="87"/>
        <v>71.141014105553836</v>
      </c>
      <c r="AH65" s="603">
        <f t="shared" si="88"/>
        <v>104.83562064093478</v>
      </c>
      <c r="AI65" s="585">
        <f t="shared" si="89"/>
        <v>-71.792172743538032</v>
      </c>
      <c r="AJ65" s="586">
        <f t="shared" si="90"/>
        <v>-164.36292756766403</v>
      </c>
      <c r="AK65" s="635">
        <f t="shared" si="211"/>
        <v>0.92320492372738461</v>
      </c>
      <c r="AL65" s="629">
        <f t="shared" si="91"/>
        <v>-0.22373753525080828</v>
      </c>
      <c r="AM65" s="634">
        <f t="shared" si="92"/>
        <v>-0.3124646926060724</v>
      </c>
      <c r="AN65" s="581">
        <f t="shared" si="93"/>
        <v>-35.604216997168983</v>
      </c>
      <c r="AO65" s="582">
        <f t="shared" si="461"/>
        <v>22.600789194190774</v>
      </c>
      <c r="AP65" s="585">
        <f t="shared" si="95"/>
        <v>-13.622908076078408</v>
      </c>
      <c r="AQ65" s="586">
        <f t="shared" si="246"/>
        <v>0.62013628693967549</v>
      </c>
      <c r="AS65" s="52">
        <f t="shared" si="406"/>
        <v>-240.44001953490024</v>
      </c>
      <c r="AT65" s="72">
        <f t="shared" si="247"/>
        <v>-0.11238032949004262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Nose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4.218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4.1180000000000003</v>
      </c>
      <c r="II65" s="734" cm="1">
        <f t="array" ref="II65">IFERROR(ROUND(VALUE(IF($IH65&lt;1,$IH65+LARGE((IF($M$9:$M$150="",0,$M$9:$M$150)-MOD(IF($M$9:$M$150="",0,$M$9:$M$150),1)),1),$IH65)),4),"")</f>
        <v>4.1180000000000003</v>
      </c>
      <c r="IJ65" s="533">
        <f t="shared" si="112"/>
        <v>1613</v>
      </c>
      <c r="IK65" s="533">
        <f t="shared" si="382"/>
        <v>1610</v>
      </c>
      <c r="IL65" s="727">
        <f t="shared" si="225"/>
        <v>14.170000226679917</v>
      </c>
      <c r="IM65" s="759">
        <v>4.4490751139345701E-4</v>
      </c>
      <c r="IN65" s="5">
        <f t="shared" si="226"/>
        <v>0</v>
      </c>
      <c r="IO65" s="771">
        <v>0</v>
      </c>
      <c r="IP65" s="9">
        <f t="shared" si="227"/>
        <v>-3.6739110805158188</v>
      </c>
      <c r="IQ65" s="5">
        <f t="shared" si="228"/>
        <v>-0.24760074676385238</v>
      </c>
      <c r="IR65" s="5">
        <f t="shared" si="383"/>
        <v>0.314</v>
      </c>
      <c r="IS65" s="5">
        <f t="shared" si="229"/>
        <v>0.29561874059024384</v>
      </c>
      <c r="IT65" s="727">
        <f t="shared" si="230"/>
        <v>37.602987325294592</v>
      </c>
      <c r="IU65" s="9">
        <f t="shared" si="231"/>
        <v>-3.6760268003377408</v>
      </c>
      <c r="IV65" s="5">
        <f t="shared" si="232"/>
        <v>-0.27956089858142152</v>
      </c>
      <c r="IW65" s="5">
        <f t="shared" si="384"/>
        <v>0.314</v>
      </c>
      <c r="IX65" s="5">
        <f t="shared" si="233"/>
        <v>0.28988634605039876</v>
      </c>
      <c r="IY65" s="762">
        <f t="shared" si="234"/>
        <v>35.604216997168983</v>
      </c>
    </row>
    <row r="66" spans="1:259" ht="15" customHeight="1" x14ac:dyDescent="0.25">
      <c r="A66" s="79"/>
      <c r="B66" s="707">
        <v>-3.6856695148750305</v>
      </c>
      <c r="C66" s="708">
        <v>-2.1563192615888656</v>
      </c>
      <c r="D66" s="709">
        <v>-0.78774932832195166</v>
      </c>
      <c r="E66" s="710">
        <v>0.11904255238824701</v>
      </c>
      <c r="F66" s="708">
        <v>-0.95530164888785818</v>
      </c>
      <c r="G66" s="711">
        <v>0.27060604271344474</v>
      </c>
      <c r="H66" s="710">
        <v>0.314</v>
      </c>
      <c r="I66" s="708">
        <v>0.39400000000000002</v>
      </c>
      <c r="J66" s="570">
        <v>4.2229999999999999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1610</v>
      </c>
      <c r="L66" s="320"/>
      <c r="M66" s="168">
        <f t="shared" si="239"/>
        <v>4.2229999999999999</v>
      </c>
      <c r="N66" s="632">
        <f t="shared" si="240"/>
        <v>-3.6856695148750305</v>
      </c>
      <c r="O66" s="629">
        <f t="shared" si="241"/>
        <v>-2.1563192615888656</v>
      </c>
      <c r="P66" s="633">
        <f t="shared" si="242"/>
        <v>-0.78774932832195166</v>
      </c>
      <c r="Q66" s="585">
        <f t="shared" si="113"/>
        <v>210.32998050841439</v>
      </c>
      <c r="R66" s="629">
        <f t="shared" si="79"/>
        <v>4.2701138779637118</v>
      </c>
      <c r="S66" s="634">
        <f t="shared" si="80"/>
        <v>-0.78774932832195166</v>
      </c>
      <c r="T66" s="635">
        <f t="shared" si="81"/>
        <v>-2.1755877327946789</v>
      </c>
      <c r="U66" s="629">
        <f t="shared" si="82"/>
        <v>3.6743285846112892</v>
      </c>
      <c r="V66" s="636">
        <f t="shared" si="114"/>
        <v>-0.78774932832195166</v>
      </c>
      <c r="W66" s="585">
        <f t="shared" si="224"/>
        <v>120.62998046509975</v>
      </c>
      <c r="X66" s="629">
        <f t="shared" si="83"/>
        <v>4.2701138779637118</v>
      </c>
      <c r="Y66" s="630">
        <f t="shared" si="223"/>
        <v>-0.78774932832195166</v>
      </c>
      <c r="Z66" s="632">
        <f t="shared" si="243"/>
        <v>-0.11904255238824701</v>
      </c>
      <c r="AA66" s="629">
        <f t="shared" si="244"/>
        <v>0.95530164888785818</v>
      </c>
      <c r="AB66" s="629">
        <f t="shared" si="245"/>
        <v>-0.27060604271344474</v>
      </c>
      <c r="AC66" s="636">
        <f t="shared" si="84"/>
        <v>1</v>
      </c>
      <c r="AD66" s="637">
        <f t="shared" si="115"/>
        <v>-0.11904255238824701</v>
      </c>
      <c r="AE66" s="629">
        <f t="shared" si="85"/>
        <v>0.95530164888785818</v>
      </c>
      <c r="AF66" s="633">
        <f t="shared" si="86"/>
        <v>-0.27060604271344474</v>
      </c>
      <c r="AG66" s="602">
        <f t="shared" si="87"/>
        <v>74.184290403430794</v>
      </c>
      <c r="AH66" s="603">
        <f t="shared" si="88"/>
        <v>96.836848790798641</v>
      </c>
      <c r="AI66" s="585">
        <f t="shared" si="89"/>
        <v>-74.299666903029305</v>
      </c>
      <c r="AJ66" s="586">
        <f t="shared" si="90"/>
        <v>-172.89684372040028</v>
      </c>
      <c r="AK66" s="635">
        <f t="shared" si="211"/>
        <v>0.88466491092287691</v>
      </c>
      <c r="AL66" s="629">
        <f t="shared" si="91"/>
        <v>-0.3796582213370171</v>
      </c>
      <c r="AM66" s="634">
        <f t="shared" si="92"/>
        <v>-0.27060604271344474</v>
      </c>
      <c r="AN66" s="581">
        <f t="shared" si="93"/>
        <v>-54.520163261658503</v>
      </c>
      <c r="AO66" s="582">
        <f t="shared" si="461"/>
        <v>27.789686705222145</v>
      </c>
      <c r="AP66" s="585">
        <f t="shared" si="95"/>
        <v>-23.226824228814689</v>
      </c>
      <c r="AQ66" s="586">
        <f t="shared" si="246"/>
        <v>0.53386413617352768</v>
      </c>
      <c r="AS66" s="52">
        <f t="shared" si="406"/>
        <v>-239.37001953490025</v>
      </c>
      <c r="AT66" s="72">
        <f t="shared" si="247"/>
        <v>-0.62131181478612829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Taper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4.2229999999999999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4.1230000000000002</v>
      </c>
      <c r="II66" s="734" cm="1">
        <f t="array" ref="II66">IFERROR(ROUND(VALUE(IF($IH66&lt;1,$IH66+LARGE((IF($M$9:$M$150="",0,$M$9:$M$150)-MOD(IF($M$9:$M$150="",0,$M$9:$M$150),1)),1),$IH66)),4),"")</f>
        <v>4.1230000000000002</v>
      </c>
      <c r="IJ66" s="533">
        <f t="shared" si="112"/>
        <v>1613</v>
      </c>
      <c r="IK66" s="533">
        <f t="shared" si="382"/>
        <v>1610</v>
      </c>
      <c r="IL66" s="727">
        <f t="shared" si="225"/>
        <v>12.190000358067664</v>
      </c>
      <c r="IM66" s="759">
        <v>1.07878198238207E-3</v>
      </c>
      <c r="IN66" s="5">
        <f t="shared" si="226"/>
        <v>0</v>
      </c>
      <c r="IO66" s="771">
        <v>0</v>
      </c>
      <c r="IP66" s="9">
        <f t="shared" si="227"/>
        <v>-4.2656128650884009</v>
      </c>
      <c r="IQ66" s="5">
        <f t="shared" si="228"/>
        <v>-0.75780228553169315</v>
      </c>
      <c r="IR66" s="5">
        <f t="shared" si="383"/>
        <v>0.314</v>
      </c>
      <c r="IS66" s="5">
        <f t="shared" si="229"/>
        <v>0.28481163377833874</v>
      </c>
      <c r="IT66" s="727">
        <f t="shared" si="230"/>
        <v>56.151334654947654</v>
      </c>
      <c r="IU66" s="9">
        <f t="shared" si="231"/>
        <v>-4.2701138779637118</v>
      </c>
      <c r="IV66" s="5">
        <f t="shared" si="232"/>
        <v>-0.78774932832195166</v>
      </c>
      <c r="IW66" s="5">
        <f t="shared" si="384"/>
        <v>0.314</v>
      </c>
      <c r="IX66" s="5">
        <f t="shared" si="233"/>
        <v>0.27778478202978335</v>
      </c>
      <c r="IY66" s="762">
        <f t="shared" si="234"/>
        <v>54.520163261658503</v>
      </c>
    </row>
    <row r="67" spans="1:259" ht="15" customHeight="1" x14ac:dyDescent="0.25">
      <c r="A67" s="79"/>
      <c r="B67" s="707">
        <v>-3.9674618964691697</v>
      </c>
      <c r="C67" s="708">
        <v>-2.3528958104760842</v>
      </c>
      <c r="D67" s="709">
        <v>-1.4919864391422186</v>
      </c>
      <c r="E67" s="710">
        <v>1.5771857622861339E-2</v>
      </c>
      <c r="F67" s="708">
        <v>-0.9884340681332715</v>
      </c>
      <c r="G67" s="711">
        <v>0.15082884823744944</v>
      </c>
      <c r="H67" s="710">
        <v>0.314</v>
      </c>
      <c r="I67" s="708">
        <v>0.39400000000000002</v>
      </c>
      <c r="J67" s="570">
        <v>4.2279999999999998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1610</v>
      </c>
      <c r="L67" s="320"/>
      <c r="M67" s="168">
        <f t="shared" si="239"/>
        <v>4.2279999999999998</v>
      </c>
      <c r="N67" s="632">
        <f t="shared" si="240"/>
        <v>-3.9674618964691697</v>
      </c>
      <c r="O67" s="629">
        <f t="shared" si="241"/>
        <v>-2.3528958104760842</v>
      </c>
      <c r="P67" s="633">
        <f t="shared" si="242"/>
        <v>-1.4919864391422186</v>
      </c>
      <c r="Q67" s="585">
        <f t="shared" si="113"/>
        <v>210.66998050841443</v>
      </c>
      <c r="R67" s="629">
        <f>IF(M67="","",SQRT(N67^2+O67^2))</f>
        <v>4.6126860498944264</v>
      </c>
      <c r="S67" s="634">
        <f>IF(M67="","",P67)</f>
        <v>-1.4919864391422186</v>
      </c>
      <c r="T67" s="635">
        <f>IF(M67="","",X67*COS(RADIANS(W67)))</f>
        <v>-2.3736370415649528</v>
      </c>
      <c r="U67" s="629">
        <f>IF(M67="","",X67*SIN(RADIANS(W67)))</f>
        <v>3.9550878359148269</v>
      </c>
      <c r="V67" s="636">
        <f>IF(M67="","",Y67)</f>
        <v>-1.4919864391422186</v>
      </c>
      <c r="W67" s="585">
        <f t="shared" si="224"/>
        <v>120.96998046509978</v>
      </c>
      <c r="X67" s="629">
        <f>IF(M67="","",R67)</f>
        <v>4.6126860498944264</v>
      </c>
      <c r="Y67" s="630">
        <f t="shared" si="223"/>
        <v>-1.4919864391422186</v>
      </c>
      <c r="Z67" s="632">
        <f t="shared" si="243"/>
        <v>-1.5771857622861339E-2</v>
      </c>
      <c r="AA67" s="629">
        <f t="shared" si="244"/>
        <v>0.9884340681332715</v>
      </c>
      <c r="AB67" s="629">
        <f t="shared" si="245"/>
        <v>-0.15082884823744944</v>
      </c>
      <c r="AC67" s="636">
        <f>IF(M67="","",SQRT(Z67^2+AA67^2+AB67^2))</f>
        <v>1</v>
      </c>
      <c r="AD67" s="637">
        <f>IF(M67="","",Z67*(1/SQRT(Z67^2+AA67^2+AB67^2)))</f>
        <v>-1.5771857622861339E-2</v>
      </c>
      <c r="AE67" s="629">
        <f>IF(M67="","",AA67*(1/SQRT(Z67^2+AA67^2+AB67^2)))</f>
        <v>0.9884340681332715</v>
      </c>
      <c r="AF67" s="633">
        <f>IF(M67="","",AB67*(1/SQRT(Z67^2+AA67^2+AB67^2)))</f>
        <v>-0.15082884823744944</v>
      </c>
      <c r="AG67" s="602">
        <f>IF(M67="","",DEGREES(ATAN2(-AF67,AE67)))</f>
        <v>81.323949949483236</v>
      </c>
      <c r="AH67" s="603">
        <f>IF(M67="","",DEGREES(ACOS(AD67)))</f>
        <v>90.903698345564209</v>
      </c>
      <c r="AI67" s="585">
        <f>IF(M67="","",DEGREES(-ACOS(-AF67)))</f>
        <v>-81.325037429845082</v>
      </c>
      <c r="AJ67" s="586">
        <f>IF(M67="","",DEGREES(ATAN2(-AE67,AD67)))</f>
        <v>-179.08584272342389</v>
      </c>
      <c r="AK67" s="635">
        <f>IF(M67="","",(COS(RADIANS((90-$Q$8)-W67))*AD67)+(-SIN(RADIANS((90-$Q$8)-W67))*AE67))</f>
        <v>0.85821666538645658</v>
      </c>
      <c r="AL67" s="629">
        <f>IF(M67="","",(SIN(RADIANS((90-$Q$8)-W67))*AD67)+(COS(RADIANS((90-$Q$8)-W67))*AE67))</f>
        <v>-0.49062695991182098</v>
      </c>
      <c r="AM67" s="634">
        <f>IF(M67="","",AF67)</f>
        <v>-0.15082884823744944</v>
      </c>
      <c r="AN67" s="581">
        <f>IF(M67="","",DEGREES(ATAN2(-AM67,AL67)))</f>
        <v>-72.911491947612546</v>
      </c>
      <c r="AO67" s="582">
        <f t="shared" si="461"/>
        <v>30.883063997197848</v>
      </c>
      <c r="AP67" s="585">
        <f>IF(M67="","",DEGREES(ATAN2(AK67,AL67)))</f>
        <v>-29.755823231838299</v>
      </c>
      <c r="AQ67" s="586">
        <f t="shared" si="246"/>
        <v>0.49421748357646483</v>
      </c>
      <c r="AS67" s="52">
        <f t="shared" si="406"/>
        <v>-239.03001953490022</v>
      </c>
      <c r="AT67" s="72">
        <f t="shared" si="247"/>
        <v>-1.3257850367175064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4.2279999999999998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4.1280000000000001</v>
      </c>
      <c r="II67" s="734" cm="1">
        <f t="array" ref="II67">IFERROR(ROUND(VALUE(IF($IH67&lt;1,$IH67+LARGE((IF($M$9:$M$150="",0,$M$9:$M$150)-MOD(IF($M$9:$M$150="",0,$M$9:$M$150),1)),1),$IH67)),4),"")</f>
        <v>4.1280000000000001</v>
      </c>
      <c r="IJ67" s="533">
        <f t="shared" si="112"/>
        <v>1613</v>
      </c>
      <c r="IK67" s="533">
        <f t="shared" si="382"/>
        <v>1610</v>
      </c>
      <c r="IL67" s="727">
        <f t="shared" si="225"/>
        <v>11.290000438921595</v>
      </c>
      <c r="IM67" s="759">
        <v>7.5577432076264796E-4</v>
      </c>
      <c r="IN67" s="5">
        <f t="shared" si="226"/>
        <v>0</v>
      </c>
      <c r="IO67" s="771">
        <v>0</v>
      </c>
      <c r="IP67" s="9">
        <f t="shared" si="227"/>
        <v>-4.6104139050083379</v>
      </c>
      <c r="IQ67" s="5">
        <f t="shared" si="228"/>
        <v>-1.4589044000556703</v>
      </c>
      <c r="IR67" s="5">
        <f t="shared" si="383"/>
        <v>0.314</v>
      </c>
      <c r="IS67" s="5">
        <f t="shared" si="229"/>
        <v>0.27215431061561179</v>
      </c>
      <c r="IT67" s="727">
        <f t="shared" si="230"/>
        <v>73.362889811916915</v>
      </c>
      <c r="IU67" s="9">
        <f t="shared" si="231"/>
        <v>-4.6126860498944264</v>
      </c>
      <c r="IV67" s="5">
        <f t="shared" si="232"/>
        <v>-1.4919864391422186</v>
      </c>
      <c r="IW67" s="5">
        <f t="shared" si="384"/>
        <v>0.314</v>
      </c>
      <c r="IX67" s="5">
        <f t="shared" si="233"/>
        <v>0.26948003293134737</v>
      </c>
      <c r="IY67" s="762">
        <f t="shared" si="234"/>
        <v>72.911491947612546</v>
      </c>
    </row>
    <row r="68" spans="1:259" ht="15" customHeight="1" x14ac:dyDescent="0.25">
      <c r="A68" s="79"/>
      <c r="B68" s="707">
        <v>-4.0668608116371576</v>
      </c>
      <c r="C68" s="708">
        <v>-2.3065429011958836</v>
      </c>
      <c r="D68" s="709">
        <v>-2.2567618714850597</v>
      </c>
      <c r="E68" s="710">
        <v>-0.78834232392808723</v>
      </c>
      <c r="F68" s="708">
        <v>-0.44711302784829238</v>
      </c>
      <c r="G68" s="711">
        <v>0.42261841019055818</v>
      </c>
      <c r="H68" s="710">
        <v>0.25700000000000001</v>
      </c>
      <c r="I68" s="708">
        <v>0.45500000000000002</v>
      </c>
      <c r="J68" s="570">
        <v>4.2329999999999997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Inactive</v>
      </c>
      <c r="L68" s="320"/>
      <c r="M68" s="168">
        <f t="shared" si="239"/>
        <v>4.2329999999999997</v>
      </c>
      <c r="N68" s="632">
        <f t="shared" si="240"/>
        <v>-4.0668608116371576</v>
      </c>
      <c r="O68" s="629">
        <f t="shared" si="241"/>
        <v>-2.3065429011958836</v>
      </c>
      <c r="P68" s="633">
        <f t="shared" si="242"/>
        <v>-2.2567618714850597</v>
      </c>
      <c r="Q68" s="585">
        <f t="shared" si="113"/>
        <v>209.55998273767426</v>
      </c>
      <c r="R68" s="629">
        <f>IF(M68="","",SQRT(N68^2+O68^2))</f>
        <v>4.6754141010489292</v>
      </c>
      <c r="S68" s="634">
        <f>IF(M68="","",P68)</f>
        <v>-2.2567618714850597</v>
      </c>
      <c r="T68" s="635">
        <f>IF(M68="","",X68*COS(RADIANS(W68)))</f>
        <v>-2.3278052167283372</v>
      </c>
      <c r="U68" s="629">
        <f>IF(M68="","",X68*SIN(RADIANS(W68)))</f>
        <v>4.0547280906689052</v>
      </c>
      <c r="V68" s="636">
        <f>IF(M68="","",Y68)</f>
        <v>-2.2567618714850597</v>
      </c>
      <c r="W68" s="585">
        <f t="shared" si="224"/>
        <v>119.85998269435962</v>
      </c>
      <c r="X68" s="629">
        <f>IF(M68="","",R68)</f>
        <v>4.6754141010489292</v>
      </c>
      <c r="Y68" s="630">
        <f t="shared" si="223"/>
        <v>-2.2567618714850597</v>
      </c>
      <c r="Z68" s="632">
        <f t="shared" si="243"/>
        <v>0.78834232392808723</v>
      </c>
      <c r="AA68" s="629">
        <f t="shared" si="244"/>
        <v>0.44711302784829238</v>
      </c>
      <c r="AB68" s="629">
        <f t="shared" si="245"/>
        <v>-0.42261841019055818</v>
      </c>
      <c r="AC68" s="636">
        <f>IF(M68="","",SQRT(Z68^2+AA68^2+AB68^2))</f>
        <v>1</v>
      </c>
      <c r="AD68" s="637">
        <f>IF(M68="","",Z68*(1/SQRT(Z68^2+AA68^2+AB68^2)))</f>
        <v>0.78834232392808723</v>
      </c>
      <c r="AE68" s="629">
        <f>IF(M68="","",AA68*(1/SQRT(Z68^2+AA68^2+AB68^2)))</f>
        <v>0.44711302784829238</v>
      </c>
      <c r="AF68" s="633">
        <f>IF(M68="","",AB68*(1/SQRT(Z68^2+AA68^2+AB68^2)))</f>
        <v>-0.42261841019055818</v>
      </c>
      <c r="AG68" s="602">
        <f>IF(M68="","",DEGREES(ATAN2(-AF68,AE68)))</f>
        <v>46.613219056646678</v>
      </c>
      <c r="AH68" s="603">
        <f>IF(M68="","",DEGREES(ACOS(AD68)))</f>
        <v>37.969132170883825</v>
      </c>
      <c r="AI68" s="585">
        <f>IF(M68="","",DEGREES(-ACOS(-AF68)))</f>
        <v>-64.999990615163171</v>
      </c>
      <c r="AJ68" s="586">
        <f>IF(M68="","",DEGREES(ATAN2(-AE68,AD68)))</f>
        <v>119.5599970753988</v>
      </c>
      <c r="AK68" s="635">
        <f>IF(M68="","",(COS(RADIANS((90-$Q$8)-W68))*AD68)+(-SIN(RADIANS((90-$Q$8)-W68))*AE68))</f>
        <v>2.2679489686261434E-7</v>
      </c>
      <c r="AL68" s="629">
        <f>IF(M68="","",(SIN(RADIANS((90-$Q$8)-W68))*AD68)+(COS(RADIANS((90-$Q$8)-W68))*AE68))</f>
        <v>-0.90630771781330077</v>
      </c>
      <c r="AM68" s="634">
        <f>IF(M68="","",AF68)</f>
        <v>-0.42261841019055818</v>
      </c>
      <c r="AN68" s="581">
        <f>IF(M68="","",DEGREES(ATAN2(-AM68,AL68)))</f>
        <v>-64.999990615162474</v>
      </c>
      <c r="AO68" s="582">
        <f t="shared" si="461"/>
        <v>0</v>
      </c>
      <c r="AP68" s="585">
        <f>IF(M68="","",DEGREES(ATAN2(AK68,AL68)))</f>
        <v>-89.999985662275463</v>
      </c>
      <c r="AQ68" s="586">
        <f t="shared" si="246"/>
        <v>0.48758709918230875</v>
      </c>
      <c r="AS68" s="52">
        <f t="shared" si="406"/>
        <v>-240.14001730564038</v>
      </c>
      <c r="AT68" s="72">
        <f t="shared" si="247"/>
        <v>-2.0897896372751115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>Gage</v>
      </c>
      <c r="IG68" s="847">
        <f t="shared" si="210"/>
        <v>4.2329999999999997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4.133</v>
      </c>
      <c r="II68" s="734" cm="1">
        <f t="array" ref="II68">IFERROR(ROUND(VALUE(IF($IH68&lt;1,$IH68+LARGE((IF($M$9:$M$150="",0,$M$9:$M$150)-MOD(IF($M$9:$M$150="",0,$M$9:$M$150),1)),1),$IH68)),4),"")</f>
        <v>4.133</v>
      </c>
      <c r="IJ68" s="533">
        <f t="shared" si="112"/>
        <v>1613</v>
      </c>
      <c r="IK68" s="533" t="str">
        <f t="shared" si="382"/>
        <v>Inactive</v>
      </c>
      <c r="IL68" s="727">
        <f t="shared" si="225"/>
        <v>12.289998225543826</v>
      </c>
      <c r="IM68" s="759">
        <v>1.0794689094609299E-2</v>
      </c>
      <c r="IN68" s="5">
        <f t="shared" si="226"/>
        <v>2.16</v>
      </c>
      <c r="IO68" s="771">
        <v>1080</v>
      </c>
      <c r="IP68" s="9">
        <f t="shared" si="227"/>
        <v>-4.6844000000000001</v>
      </c>
      <c r="IQ68" s="5">
        <f t="shared" si="228"/>
        <v>-2.2192066931273864</v>
      </c>
      <c r="IR68" s="5">
        <f t="shared" si="383"/>
        <v>0.314</v>
      </c>
      <c r="IS68" s="5">
        <f t="shared" si="229"/>
        <v>0.26031781282620098</v>
      </c>
      <c r="IT68" s="727">
        <f t="shared" si="230"/>
        <v>82.500000000000014</v>
      </c>
      <c r="IU68" s="9">
        <f t="shared" si="231"/>
        <v>-4.6754141010489292</v>
      </c>
      <c r="IV68" s="5">
        <f t="shared" si="232"/>
        <v>-2.2567618714850597</v>
      </c>
      <c r="IW68" s="5">
        <f t="shared" si="384"/>
        <v>0.25700000000000001</v>
      </c>
      <c r="IX68" s="5">
        <f t="shared" si="233"/>
        <v>0.25700000000000001</v>
      </c>
      <c r="IY68" s="762">
        <f t="shared" si="234"/>
        <v>64.999990615162474</v>
      </c>
    </row>
    <row r="69" spans="1:259" ht="15" customHeight="1" x14ac:dyDescent="0.25">
      <c r="A69" s="79"/>
      <c r="B69" s="707">
        <v>-4.1148109191571809</v>
      </c>
      <c r="C69" s="708">
        <v>-2.3375362992933528</v>
      </c>
      <c r="D69" s="709">
        <v>-3.0148161863107217</v>
      </c>
      <c r="E69" s="710">
        <v>-0.7880299881057502</v>
      </c>
      <c r="F69" s="708">
        <v>-0.44766328553283924</v>
      </c>
      <c r="G69" s="711">
        <v>0.42261841019055801</v>
      </c>
      <c r="H69" s="710">
        <v>0.25700000000000001</v>
      </c>
      <c r="I69" s="708">
        <v>0.45500000000000002</v>
      </c>
      <c r="J69" s="570">
        <v>4.2380000000000004</v>
      </c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Inactive</v>
      </c>
      <c r="L69" s="320"/>
      <c r="M69" s="168">
        <f t="shared" si="239"/>
        <v>4.2380000000000004</v>
      </c>
      <c r="N69" s="632">
        <f t="shared" si="240"/>
        <v>-4.1148109191571809</v>
      </c>
      <c r="O69" s="629">
        <f t="shared" si="241"/>
        <v>-2.3375362992933528</v>
      </c>
      <c r="P69" s="633">
        <f t="shared" si="242"/>
        <v>-3.0148161863107217</v>
      </c>
      <c r="Q69" s="585">
        <f t="shared" si="113"/>
        <v>209.59998273189899</v>
      </c>
      <c r="R69" s="629">
        <f t="shared" si="79"/>
        <v>4.7324142729614476</v>
      </c>
      <c r="S69" s="634">
        <f t="shared" si="80"/>
        <v>-3.0148161863107217</v>
      </c>
      <c r="T69" s="635">
        <f t="shared" si="81"/>
        <v>-2.3590492549685358</v>
      </c>
      <c r="U69" s="629">
        <f t="shared" si="82"/>
        <v>4.1025152606128872</v>
      </c>
      <c r="V69" s="636">
        <f t="shared" si="114"/>
        <v>-3.0148161863107217</v>
      </c>
      <c r="W69" s="585">
        <f t="shared" si="224"/>
        <v>119.89998268858434</v>
      </c>
      <c r="X69" s="629">
        <f t="shared" si="83"/>
        <v>4.7324142729614476</v>
      </c>
      <c r="Y69" s="630">
        <f t="shared" si="223"/>
        <v>-3.0148161863107217</v>
      </c>
      <c r="Z69" s="632">
        <f t="shared" si="243"/>
        <v>0.7880299881057502</v>
      </c>
      <c r="AA69" s="629">
        <f t="shared" si="244"/>
        <v>0.44766328553283924</v>
      </c>
      <c r="AB69" s="629">
        <f t="shared" si="245"/>
        <v>-0.42261841019055801</v>
      </c>
      <c r="AC69" s="636">
        <f t="shared" si="84"/>
        <v>1</v>
      </c>
      <c r="AD69" s="637">
        <f t="shared" si="115"/>
        <v>0.7880299881057502</v>
      </c>
      <c r="AE69" s="629">
        <f t="shared" si="85"/>
        <v>0.44766328553283924</v>
      </c>
      <c r="AF69" s="633">
        <f t="shared" si="86"/>
        <v>-0.42261841019055801</v>
      </c>
      <c r="AG69" s="602">
        <f t="shared" si="87"/>
        <v>46.648396983179303</v>
      </c>
      <c r="AH69" s="603">
        <f t="shared" si="88"/>
        <v>37.998209929165519</v>
      </c>
      <c r="AI69" s="585">
        <f t="shared" si="89"/>
        <v>-64.999990615163185</v>
      </c>
      <c r="AJ69" s="586">
        <f t="shared" si="90"/>
        <v>119.59999706962351</v>
      </c>
      <c r="AK69" s="635">
        <f t="shared" si="211"/>
        <v>2.2679489664056973E-7</v>
      </c>
      <c r="AL69" s="629">
        <f t="shared" si="91"/>
        <v>-0.90630771781330088</v>
      </c>
      <c r="AM69" s="634">
        <f t="shared" si="92"/>
        <v>-0.42261841019055801</v>
      </c>
      <c r="AN69" s="581">
        <f t="shared" si="93"/>
        <v>-64.999990615162488</v>
      </c>
      <c r="AO69" s="582">
        <f t="shared" si="461"/>
        <v>0</v>
      </c>
      <c r="AP69" s="585">
        <f t="shared" si="95"/>
        <v>-89.999985662275478</v>
      </c>
      <c r="AQ69" s="586">
        <f t="shared" si="246"/>
        <v>0.48171457213593338</v>
      </c>
      <c r="AS69" s="52">
        <f t="shared" si="406"/>
        <v>-240.10001731141566</v>
      </c>
      <c r="AT69" s="72">
        <f t="shared" si="247"/>
        <v>-2.8478717298745404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>Gage</v>
      </c>
      <c r="IG69" s="847">
        <f t="shared" si="210"/>
        <v>4.2380000000000004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4.1379999999999999</v>
      </c>
      <c r="II69" s="734" cm="1">
        <f t="array" ref="II69">IFERROR(ROUND(VALUE(IF($IH69&lt;1,$IH69+LARGE((IF($M$9:$M$150="",0,$M$9:$M$150)-MOD(IF($M$9:$M$150="",0,$M$9:$M$150),1)),1),$IH69)),4),"")</f>
        <v>4.1379999999999999</v>
      </c>
      <c r="IJ69" s="533">
        <f t="shared" si="112"/>
        <v>1613</v>
      </c>
      <c r="IK69" s="533" t="str">
        <f t="shared" si="382"/>
        <v>Inactive</v>
      </c>
      <c r="IL69" s="727">
        <f t="shared" si="225"/>
        <v>12.179998241425835</v>
      </c>
      <c r="IM69" s="759">
        <v>2.5012986007541597E-4</v>
      </c>
      <c r="IN69" s="5">
        <f t="shared" si="226"/>
        <v>0</v>
      </c>
      <c r="IO69" s="771">
        <v>0</v>
      </c>
      <c r="IP69" s="9">
        <f t="shared" si="227"/>
        <v>-4.729099999999999</v>
      </c>
      <c r="IQ69" s="5">
        <f t="shared" si="228"/>
        <v>-2.9692089551342087</v>
      </c>
      <c r="IR69" s="5">
        <f t="shared" si="383"/>
        <v>0.314</v>
      </c>
      <c r="IS69" s="5">
        <f t="shared" si="229"/>
        <v>0.24053797548389932</v>
      </c>
      <c r="IT69" s="727">
        <f t="shared" si="230"/>
        <v>90</v>
      </c>
      <c r="IU69" s="9">
        <f t="shared" si="231"/>
        <v>-4.7324142729614476</v>
      </c>
      <c r="IV69" s="5">
        <f t="shared" si="232"/>
        <v>-3.0148161863107217</v>
      </c>
      <c r="IW69" s="5">
        <f t="shared" si="384"/>
        <v>0.25700000000000001</v>
      </c>
      <c r="IX69" s="5">
        <f t="shared" si="233"/>
        <v>0.25700000000000001</v>
      </c>
      <c r="IY69" s="762">
        <f t="shared" si="234"/>
        <v>64.999990615162488</v>
      </c>
    </row>
    <row r="70" spans="1:259" ht="15" customHeight="1" x14ac:dyDescent="0.25">
      <c r="A70" s="79"/>
      <c r="B70" s="707">
        <v>-2.5038542201419114</v>
      </c>
      <c r="C70" s="708">
        <v>1.191060748950598</v>
      </c>
      <c r="D70" s="709">
        <v>-8.0000241280727726E-4</v>
      </c>
      <c r="E70" s="710">
        <v>-0.45746890382503397</v>
      </c>
      <c r="F70" s="708">
        <v>-0.85081542523631903</v>
      </c>
      <c r="G70" s="711">
        <v>0.25852526803595743</v>
      </c>
      <c r="H70" s="710">
        <v>0.314</v>
      </c>
      <c r="I70" s="708">
        <v>0.52</v>
      </c>
      <c r="J70" s="570">
        <v>5.1120000000000001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5.1120000000000001</v>
      </c>
      <c r="N70" s="632">
        <f t="shared" si="240"/>
        <v>-2.5038542201419114</v>
      </c>
      <c r="O70" s="629">
        <f t="shared" si="241"/>
        <v>1.191060748950598</v>
      </c>
      <c r="P70" s="633">
        <f t="shared" si="242"/>
        <v>-8.0000241280727726E-4</v>
      </c>
      <c r="Q70" s="585">
        <f t="shared" si="113"/>
        <v>154.55999067869061</v>
      </c>
      <c r="R70" s="629">
        <f t="shared" si="79"/>
        <v>2.7727083624884208</v>
      </c>
      <c r="S70" s="634">
        <f t="shared" si="80"/>
        <v>-8.0000241280727726E-4</v>
      </c>
      <c r="T70" s="635">
        <f t="shared" si="81"/>
        <v>1.177934333946302</v>
      </c>
      <c r="U70" s="629">
        <f t="shared" si="82"/>
        <v>2.5100562480398128</v>
      </c>
      <c r="V70" s="636">
        <f t="shared" si="114"/>
        <v>-8.0000241280727726E-4</v>
      </c>
      <c r="W70" s="585">
        <f t="shared" si="224"/>
        <v>64.859990635375965</v>
      </c>
      <c r="X70" s="629">
        <f t="shared" si="83"/>
        <v>2.7727083624884208</v>
      </c>
      <c r="Y70" s="630">
        <f t="shared" si="223"/>
        <v>-8.0000241280727726E-4</v>
      </c>
      <c r="Z70" s="632">
        <f t="shared" si="243"/>
        <v>0.45746890382503397</v>
      </c>
      <c r="AA70" s="629">
        <f t="shared" si="244"/>
        <v>0.85081542523631903</v>
      </c>
      <c r="AB70" s="629">
        <f t="shared" si="245"/>
        <v>-0.25852526803595743</v>
      </c>
      <c r="AC70" s="636">
        <f t="shared" si="84"/>
        <v>1</v>
      </c>
      <c r="AD70" s="637">
        <f t="shared" si="115"/>
        <v>0.45746890382503397</v>
      </c>
      <c r="AE70" s="629">
        <f t="shared" si="85"/>
        <v>0.85081542523631903</v>
      </c>
      <c r="AF70" s="633">
        <f t="shared" si="86"/>
        <v>-0.25852526803595743</v>
      </c>
      <c r="AG70" s="602">
        <f t="shared" si="87"/>
        <v>73.098287502491416</v>
      </c>
      <c r="AH70" s="603">
        <f t="shared" si="88"/>
        <v>62.77609929059485</v>
      </c>
      <c r="AI70" s="585">
        <f t="shared" si="89"/>
        <v>-75.017425251532273</v>
      </c>
      <c r="AJ70" s="586">
        <f t="shared" si="90"/>
        <v>151.73384061961076</v>
      </c>
      <c r="AK70" s="635">
        <f t="shared" si="211"/>
        <v>0.96482958122950402</v>
      </c>
      <c r="AL70" s="629">
        <f t="shared" si="91"/>
        <v>-4.7629454872344212E-2</v>
      </c>
      <c r="AM70" s="634">
        <f t="shared" si="92"/>
        <v>-0.25852526803595743</v>
      </c>
      <c r="AN70" s="581">
        <f t="shared" si="93"/>
        <v>-10.43884273378691</v>
      </c>
      <c r="AO70" s="582">
        <f t="shared" si="461"/>
        <v>15.240792406446946</v>
      </c>
      <c r="AP70" s="585">
        <f t="shared" si="95"/>
        <v>-2.8261500590798216</v>
      </c>
      <c r="AQ70" s="586">
        <f t="shared" si="246"/>
        <v>0.82214566698474623</v>
      </c>
      <c r="AS70" s="52">
        <f t="shared" si="406"/>
        <v>-295.14000936462401</v>
      </c>
      <c r="AT70" s="72">
        <f t="shared" si="247"/>
        <v>0.20436667072699091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5.1120000000000001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-3.1660081924932455</v>
      </c>
      <c r="C71" s="708">
        <v>1.56955507619379</v>
      </c>
      <c r="D71" s="709">
        <v>-0.17630053172240356</v>
      </c>
      <c r="E71" s="710">
        <v>-0.57958041478879607</v>
      </c>
      <c r="F71" s="708">
        <v>-0.77025760104404384</v>
      </c>
      <c r="G71" s="711">
        <v>0.2660634714257521</v>
      </c>
      <c r="H71" s="710">
        <v>0.314</v>
      </c>
      <c r="I71" s="708">
        <v>0.52</v>
      </c>
      <c r="J71" s="570">
        <v>5.117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5.117</v>
      </c>
      <c r="N71" s="632">
        <f t="shared" si="240"/>
        <v>-3.1660081924932455</v>
      </c>
      <c r="O71" s="629">
        <f t="shared" si="241"/>
        <v>1.56955507619379</v>
      </c>
      <c r="P71" s="633">
        <f t="shared" si="242"/>
        <v>-0.17630053172240356</v>
      </c>
      <c r="Q71" s="585">
        <f t="shared" si="113"/>
        <v>153.62999081296599</v>
      </c>
      <c r="R71" s="629">
        <f t="shared" si="79"/>
        <v>3.5337106576713437</v>
      </c>
      <c r="S71" s="634">
        <f t="shared" si="80"/>
        <v>-0.17630053172240356</v>
      </c>
      <c r="T71" s="635">
        <f t="shared" si="81"/>
        <v>1.5529564591349123</v>
      </c>
      <c r="U71" s="629">
        <f t="shared" si="82"/>
        <v>3.1741829260726604</v>
      </c>
      <c r="V71" s="636">
        <f t="shared" si="114"/>
        <v>-0.17630053172240356</v>
      </c>
      <c r="W71" s="585">
        <f t="shared" si="224"/>
        <v>63.92999076965134</v>
      </c>
      <c r="X71" s="629">
        <f t="shared" si="83"/>
        <v>3.5337106576713437</v>
      </c>
      <c r="Y71" s="630">
        <f t="shared" si="223"/>
        <v>-0.17630053172240356</v>
      </c>
      <c r="Z71" s="632">
        <f t="shared" si="243"/>
        <v>0.57958041478879607</v>
      </c>
      <c r="AA71" s="629">
        <f t="shared" si="244"/>
        <v>0.77025760104404384</v>
      </c>
      <c r="AB71" s="629">
        <f t="shared" si="245"/>
        <v>-0.2660634714257521</v>
      </c>
      <c r="AC71" s="636">
        <f t="shared" si="84"/>
        <v>1</v>
      </c>
      <c r="AD71" s="637">
        <f t="shared" si="115"/>
        <v>0.57958041478879607</v>
      </c>
      <c r="AE71" s="629">
        <f t="shared" si="85"/>
        <v>0.77025760104404384</v>
      </c>
      <c r="AF71" s="633">
        <f t="shared" si="86"/>
        <v>-0.2660634714257521</v>
      </c>
      <c r="AG71" s="602">
        <f t="shared" si="87"/>
        <v>70.943991297474014</v>
      </c>
      <c r="AH71" s="603">
        <f t="shared" si="88"/>
        <v>54.578963339473312</v>
      </c>
      <c r="AI71" s="585">
        <f t="shared" si="89"/>
        <v>-74.569845984351744</v>
      </c>
      <c r="AJ71" s="586">
        <f t="shared" si="90"/>
        <v>143.04036423622267</v>
      </c>
      <c r="AK71" s="635">
        <f t="shared" si="211"/>
        <v>0.94753803627385391</v>
      </c>
      <c r="AL71" s="629">
        <f t="shared" si="91"/>
        <v>-0.17714936914131824</v>
      </c>
      <c r="AM71" s="634">
        <f t="shared" si="92"/>
        <v>-0.2660634714257521</v>
      </c>
      <c r="AN71" s="581">
        <f t="shared" si="93"/>
        <v>-33.65631935542379</v>
      </c>
      <c r="AO71" s="582">
        <f t="shared" si="461"/>
        <v>18.641338533482308</v>
      </c>
      <c r="AP71" s="585">
        <f t="shared" si="95"/>
        <v>-10.589626576743315</v>
      </c>
      <c r="AQ71" s="586">
        <f t="shared" si="246"/>
        <v>0.64510949457821631</v>
      </c>
      <c r="AS71" s="52">
        <f t="shared" si="406"/>
        <v>-296.07000923034866</v>
      </c>
      <c r="AT71" s="72">
        <f t="shared" si="247"/>
        <v>2.9511974657481205E-2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5.117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-3.700323901436172</v>
      </c>
      <c r="C72" s="708">
        <v>1.910698272431546</v>
      </c>
      <c r="D72" s="709">
        <v>-0.63730192210259784</v>
      </c>
      <c r="E72" s="710">
        <v>-0.70517705431419075</v>
      </c>
      <c r="F72" s="708">
        <v>-0.66500805197846102</v>
      </c>
      <c r="G72" s="711">
        <v>0.24594636177950133</v>
      </c>
      <c r="H72" s="710">
        <v>0.314</v>
      </c>
      <c r="I72" s="708">
        <v>0.52</v>
      </c>
      <c r="J72" s="570">
        <v>5.1219999999999999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5.1219999999999999</v>
      </c>
      <c r="N72" s="632">
        <f t="shared" si="240"/>
        <v>-3.700323901436172</v>
      </c>
      <c r="O72" s="629">
        <f t="shared" si="241"/>
        <v>1.910698272431546</v>
      </c>
      <c r="P72" s="633">
        <f t="shared" si="242"/>
        <v>-0.63730192210259784</v>
      </c>
      <c r="Q72" s="585">
        <f t="shared" si="113"/>
        <v>152.68999094868516</v>
      </c>
      <c r="R72" s="629">
        <f t="shared" si="79"/>
        <v>4.1645125601698822</v>
      </c>
      <c r="S72" s="634">
        <f t="shared" si="80"/>
        <v>-0.63730192210259784</v>
      </c>
      <c r="T72" s="635">
        <f t="shared" si="81"/>
        <v>1.8912973217448361</v>
      </c>
      <c r="U72" s="629">
        <f t="shared" si="82"/>
        <v>3.7102775239291086</v>
      </c>
      <c r="V72" s="636">
        <f t="shared" si="114"/>
        <v>-0.63730192210259784</v>
      </c>
      <c r="W72" s="585">
        <f t="shared" si="224"/>
        <v>62.989990905370519</v>
      </c>
      <c r="X72" s="629">
        <f t="shared" si="83"/>
        <v>4.1645125601698822</v>
      </c>
      <c r="Y72" s="630">
        <f t="shared" si="223"/>
        <v>-0.63730192210259784</v>
      </c>
      <c r="Z72" s="632">
        <f t="shared" si="243"/>
        <v>0.70517705431419075</v>
      </c>
      <c r="AA72" s="629">
        <f t="shared" si="244"/>
        <v>0.66500805197846102</v>
      </c>
      <c r="AB72" s="629">
        <f t="shared" si="245"/>
        <v>-0.24594636177950133</v>
      </c>
      <c r="AC72" s="636">
        <f t="shared" si="84"/>
        <v>1</v>
      </c>
      <c r="AD72" s="637">
        <f t="shared" si="115"/>
        <v>0.70517705431419075</v>
      </c>
      <c r="AE72" s="629">
        <f t="shared" si="85"/>
        <v>0.66500805197846102</v>
      </c>
      <c r="AF72" s="633">
        <f t="shared" si="86"/>
        <v>-0.24594636177950133</v>
      </c>
      <c r="AG72" s="602">
        <f t="shared" si="87"/>
        <v>69.703606533037856</v>
      </c>
      <c r="AH72" s="603">
        <f t="shared" si="88"/>
        <v>45.156150225551777</v>
      </c>
      <c r="AI72" s="585">
        <f t="shared" si="89"/>
        <v>-75.762232344013128</v>
      </c>
      <c r="AJ72" s="586">
        <f t="shared" si="90"/>
        <v>133.32077047086969</v>
      </c>
      <c r="AK72" s="635">
        <f t="shared" si="211"/>
        <v>0.91442292796556113</v>
      </c>
      <c r="AL72" s="629">
        <f t="shared" si="91"/>
        <v>-0.32146709930927148</v>
      </c>
      <c r="AM72" s="634">
        <f t="shared" si="92"/>
        <v>-0.24594636177950133</v>
      </c>
      <c r="AN72" s="581">
        <f t="shared" si="93"/>
        <v>-52.581309614421237</v>
      </c>
      <c r="AO72" s="582">
        <f t="shared" si="461"/>
        <v>23.876092345989957</v>
      </c>
      <c r="AP72" s="585">
        <f t="shared" si="95"/>
        <v>-19.369220477815468</v>
      </c>
      <c r="AQ72" s="586">
        <f t="shared" si="246"/>
        <v>0.54740074275904116</v>
      </c>
      <c r="AS72" s="52">
        <f t="shared" si="406"/>
        <v>-297.01000909462948</v>
      </c>
      <c r="AT72" s="72">
        <f t="shared" si="247"/>
        <v>-0.43083663803918471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5.1219999999999999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-4.0313475803727545</v>
      </c>
      <c r="C73" s="708">
        <v>2.1407995262195665</v>
      </c>
      <c r="D73" s="709">
        <v>-1.3085039464479025</v>
      </c>
      <c r="E73" s="710">
        <v>-0.81199264762659673</v>
      </c>
      <c r="F73" s="708">
        <v>-0.55976387294613639</v>
      </c>
      <c r="G73" s="711">
        <v>0.1653249731428722</v>
      </c>
      <c r="H73" s="710">
        <v>0.314</v>
      </c>
      <c r="I73" s="708">
        <v>0.52</v>
      </c>
      <c r="J73" s="570">
        <v>5.1269999999999998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5.1269999999999998</v>
      </c>
      <c r="N73" s="632">
        <f t="shared" ref="N73:N104" si="465">IF(M73="","",B73)</f>
        <v>-4.0313475803727545</v>
      </c>
      <c r="O73" s="629">
        <f t="shared" ref="O73:O104" si="466">IF(M73="","",C73)</f>
        <v>2.1407995262195665</v>
      </c>
      <c r="P73" s="633">
        <f t="shared" ref="P73:P104" si="467">IF(M73="","",D73)</f>
        <v>-1.3085039464479025</v>
      </c>
      <c r="Q73" s="585">
        <f t="shared" si="113"/>
        <v>152.02999104397739</v>
      </c>
      <c r="R73" s="629">
        <f>IF(M73="","",SQRT(N73^2+O73^2))</f>
        <v>4.56451376657352</v>
      </c>
      <c r="S73" s="634">
        <f>IF(M73="","",P73)</f>
        <v>-1.3085039464479025</v>
      </c>
      <c r="T73" s="635">
        <f>IF(M73="","",X73*COS(RADIANS(W73)))</f>
        <v>2.1196621936027009</v>
      </c>
      <c r="U73" s="629">
        <f>IF(M73="","",X73*SIN(RADIANS(W73)))</f>
        <v>4.0425014669447634</v>
      </c>
      <c r="V73" s="636">
        <f>IF(M73="","",Y73)</f>
        <v>-1.3085039464479025</v>
      </c>
      <c r="W73" s="585">
        <f t="shared" si="224"/>
        <v>62.329991000662744</v>
      </c>
      <c r="X73" s="629">
        <f>IF(M73="","",R73)</f>
        <v>4.56451376657352</v>
      </c>
      <c r="Y73" s="630">
        <f t="shared" si="223"/>
        <v>-1.3085039464479025</v>
      </c>
      <c r="Z73" s="632">
        <f t="shared" ref="Z73:Z104" si="468">IF(M73="","",-E73)</f>
        <v>0.81199264762659673</v>
      </c>
      <c r="AA73" s="629">
        <f t="shared" ref="AA73:AA104" si="469">IF(M73="","",-F73)</f>
        <v>0.55976387294613639</v>
      </c>
      <c r="AB73" s="629">
        <f t="shared" ref="AB73:AB104" si="470">IF(M73="","",-G73)</f>
        <v>-0.1653249731428722</v>
      </c>
      <c r="AC73" s="636">
        <f>IF(M73="","",SQRT(Z73^2+AA73^2+AB73^2))</f>
        <v>1</v>
      </c>
      <c r="AD73" s="637">
        <f>IF(M73="","",Z73*(1/SQRT(Z73^2+AA73^2+AB73^2)))</f>
        <v>0.81199264762659673</v>
      </c>
      <c r="AE73" s="629">
        <f>IF(M73="","",AA73*(1/SQRT(Z73^2+AA73^2+AB73^2)))</f>
        <v>0.55976387294613639</v>
      </c>
      <c r="AF73" s="633">
        <f>IF(M73="","",AB73*(1/SQRT(Z73^2+AA73^2+AB73^2)))</f>
        <v>-0.1653249731428722</v>
      </c>
      <c r="AG73" s="602">
        <f>IF(M73="","",DEGREES(ATAN2(-AF73,AE73)))</f>
        <v>73.545615588334144</v>
      </c>
      <c r="AH73" s="603">
        <f>IF(M73="","",DEGREES(ACOS(AD73)))</f>
        <v>35.708922136299755</v>
      </c>
      <c r="AI73" s="585">
        <f>IF(M73="","",DEGREES(-ACOS(-AF73)))</f>
        <v>-80.483886666507743</v>
      </c>
      <c r="AJ73" s="586">
        <f>IF(M73="","",DEGREES(ATAN2(-AE73,AD73)))</f>
        <v>124.58123847564258</v>
      </c>
      <c r="AK73" s="635">
        <f>IF(M73="","",(COS(RADIANS((90-$Q$8)-W73))*AD73)+(-SIN(RADIANS((90-$Q$8)-W73))*AE73))</f>
        <v>0.87521177816781415</v>
      </c>
      <c r="AL73" s="629">
        <f>IF(M73="","",(SIN(RADIANS((90-$Q$8)-W73))*AD73)+(COS(RADIANS((90-$Q$8)-W73))*AE73))</f>
        <v>-0.45461191868630269</v>
      </c>
      <c r="AM73" s="634">
        <f>IF(M73="","",AF73)</f>
        <v>-0.1653249731428722</v>
      </c>
      <c r="AN73" s="581">
        <f>IF(M73="","",DEGREES(ATAN2(-AM73,AL73)))</f>
        <v>-70.015608025419667</v>
      </c>
      <c r="AO73" s="582">
        <f t="shared" si="461"/>
        <v>28.929950582257391</v>
      </c>
      <c r="AP73" s="585">
        <f>IF(M73="","",DEGREES(ATAN2(AK73,AL73)))</f>
        <v>-27.448752568334786</v>
      </c>
      <c r="AQ73" s="586">
        <f t="shared" ref="AQ73:AQ104" si="471">IF(M73="","",DEGREES(ATAN(($AS$5*SIN(RADIANS(90)))/(($X73*2*PI())-($AS$5*COS(RADIANS(90)))))))</f>
        <v>0.49943301938426393</v>
      </c>
      <c r="AS73" s="52">
        <f t="shared" si="406"/>
        <v>-297.67000899933726</v>
      </c>
      <c r="AT73" s="72">
        <f t="shared" ref="AT73:AT104" si="472">IF(M73="","",Y73+(((AS73-$AS$9)*$AS$6)*-1))</f>
        <v>-1.1015803291173312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5.1269999999999998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-4.1273425450488617</v>
      </c>
      <c r="C74" s="708">
        <v>2.2075008212523004</v>
      </c>
      <c r="D74" s="709">
        <v>-2.0692062407260212</v>
      </c>
      <c r="E74" s="710">
        <v>-0.87169304051074292</v>
      </c>
      <c r="F74" s="708">
        <v>-0.48486854378210653</v>
      </c>
      <c r="G74" s="711">
        <v>7.1089650271721136E-2</v>
      </c>
      <c r="H74" s="710">
        <v>0.314</v>
      </c>
      <c r="I74" s="708">
        <v>0.52</v>
      </c>
      <c r="J74" s="570">
        <v>5.1319999999999997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5.1319999999999997</v>
      </c>
      <c r="N74" s="632">
        <f t="shared" si="465"/>
        <v>-4.1273425450488617</v>
      </c>
      <c r="O74" s="629">
        <f t="shared" si="466"/>
        <v>2.2075008212523004</v>
      </c>
      <c r="P74" s="633">
        <f t="shared" si="467"/>
        <v>-2.0692062407260212</v>
      </c>
      <c r="Q74" s="585">
        <f t="shared" ref="Q74:Q129" si="520">IF(M74="","",IF(DEGREES(ATAN2(N74,O74))&lt;0,DEGREES(ATAN2(N74,O74))+360,IF(DEGREES(ATAN2(N74,O74))&gt;360,DEGREES(ATAN2(N74,O74))-360,DEGREES(ATAN2(N74,O74)))))</f>
        <v>151.85999106852233</v>
      </c>
      <c r="R74" s="629">
        <f>IF(M74="","",SQRT(N74^2+O74^2))</f>
        <v>4.6806000000000001</v>
      </c>
      <c r="S74" s="634">
        <f>IF(M74="","",P74)</f>
        <v>-2.0692062407260212</v>
      </c>
      <c r="T74" s="635">
        <f>IF(M74="","",X74*COS(RADIANS(W74)))</f>
        <v>2.1858599482203802</v>
      </c>
      <c r="U74" s="629">
        <f>IF(M74="","",X74*SIN(RADIANS(W74)))</f>
        <v>4.1388443612639021</v>
      </c>
      <c r="V74" s="636">
        <f>IF(M74="","",Y74)</f>
        <v>-2.0692062407260212</v>
      </c>
      <c r="W74" s="585">
        <f t="shared" si="224"/>
        <v>62.159991025207688</v>
      </c>
      <c r="X74" s="629">
        <f>IF(M74="","",R74)</f>
        <v>4.6806000000000001</v>
      </c>
      <c r="Y74" s="630">
        <f t="shared" si="223"/>
        <v>-2.0692062407260212</v>
      </c>
      <c r="Z74" s="632">
        <f t="shared" si="468"/>
        <v>0.87169304051074292</v>
      </c>
      <c r="AA74" s="629">
        <f t="shared" si="469"/>
        <v>0.48486854378210653</v>
      </c>
      <c r="AB74" s="629">
        <f t="shared" si="470"/>
        <v>-7.1089650271721136E-2</v>
      </c>
      <c r="AC74" s="636">
        <f>IF(M74="","",SQRT(Z74^2+AA74^2+AB74^2))</f>
        <v>1</v>
      </c>
      <c r="AD74" s="637">
        <f>IF(M74="","",Z74*(1/SQRT(Z74^2+AA74^2+AB74^2)))</f>
        <v>0.87169304051074292</v>
      </c>
      <c r="AE74" s="629">
        <f>IF(M74="","",AA74*(1/SQRT(Z74^2+AA74^2+AB74^2)))</f>
        <v>0.48486854378210653</v>
      </c>
      <c r="AF74" s="633">
        <f>IF(M74="","",AB74*(1/SQRT(Z74^2+AA74^2+AB74^2)))</f>
        <v>-7.1089650271721136E-2</v>
      </c>
      <c r="AG74" s="602">
        <f>IF(M74="","",DEGREES(ATAN2(-AF74,AE74)))</f>
        <v>81.658931336265738</v>
      </c>
      <c r="AH74" s="603">
        <f>IF(M74="","",DEGREES(ACOS(AD74)))</f>
        <v>29.344018247095899</v>
      </c>
      <c r="AI74" s="585">
        <f>IF(M74="","",DEGREES(-ACOS(-AF74)))</f>
        <v>-85.923424485241085</v>
      </c>
      <c r="AJ74" s="586">
        <f>IF(M74="","",DEGREES(ATAN2(-AE74,AD74)))</f>
        <v>119.08446211713732</v>
      </c>
      <c r="AK74" s="635">
        <f>IF(M74="","",(COS(RADIANS((90-$Q$8)-W74))*AD74)+(-SIN(RADIANS((90-$Q$8)-W74))*AE74))</f>
        <v>0.83867061323658409</v>
      </c>
      <c r="AL74" s="629">
        <f>IF(M74="","",(SIN(RADIANS((90-$Q$8)-W74))*AD74)+(COS(RADIANS((90-$Q$8)-W74))*AE74))</f>
        <v>-0.53997950342361722</v>
      </c>
      <c r="AM74" s="634">
        <f>IF(M74="","",AF74)</f>
        <v>-7.1089650271721136E-2</v>
      </c>
      <c r="AN74" s="581">
        <f>IF(M74="","",DEGREES(ATAN2(-AM74,AL74)))</f>
        <v>-82.499999999999986</v>
      </c>
      <c r="AO74" s="582">
        <f t="shared" si="461"/>
        <v>32.999995235390195</v>
      </c>
      <c r="AP74" s="585">
        <f>IF(M74="","",DEGREES(ATAN2(AK74,AL74)))</f>
        <v>-32.775528951385013</v>
      </c>
      <c r="AQ74" s="586">
        <f t="shared" si="471"/>
        <v>0.48704690015849167</v>
      </c>
      <c r="AS74" s="52">
        <f t="shared" si="406"/>
        <v>-297.84000897479234</v>
      </c>
      <c r="AT74" s="72">
        <f t="shared" si="472"/>
        <v>-1.8621645678569394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5.1319999999999997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-4.1669914817692613</v>
      </c>
      <c r="C75" s="708">
        <v>2.2361951616221729</v>
      </c>
      <c r="D75" s="709">
        <v>-2.8192085027328444</v>
      </c>
      <c r="E75" s="710">
        <v>-0.92861542250551432</v>
      </c>
      <c r="F75" s="708">
        <v>-0.37104365927058386</v>
      </c>
      <c r="G75" s="711">
        <v>0</v>
      </c>
      <c r="H75" s="710">
        <v>0.314</v>
      </c>
      <c r="I75" s="708">
        <v>0.52</v>
      </c>
      <c r="J75" s="570">
        <v>5.1369999999999996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5.1369999999999996</v>
      </c>
      <c r="N75" s="632">
        <f t="shared" si="465"/>
        <v>-4.1669914817692613</v>
      </c>
      <c r="O75" s="629">
        <f t="shared" si="466"/>
        <v>2.2361951616221729</v>
      </c>
      <c r="P75" s="633">
        <f t="shared" si="467"/>
        <v>-2.8192085027328444</v>
      </c>
      <c r="Q75" s="585">
        <f t="shared" si="520"/>
        <v>151.7799910800729</v>
      </c>
      <c r="R75" s="629">
        <f>IF(M75="","",SQRT(N75^2+O75^2))</f>
        <v>4.7290999999999999</v>
      </c>
      <c r="S75" s="634">
        <f>IF(M75="","",P75)</f>
        <v>-2.8192085027328444</v>
      </c>
      <c r="T75" s="635">
        <f>IF(M75="","",X75*COS(RADIANS(W75)))</f>
        <v>2.2143462948867985</v>
      </c>
      <c r="U75" s="629">
        <f>IF(M75="","",X75*SIN(RADIANS(W75)))</f>
        <v>4.178642996993295</v>
      </c>
      <c r="V75" s="636">
        <f>IF(M75="","",Y75)</f>
        <v>-2.8192085027328444</v>
      </c>
      <c r="W75" s="585">
        <f t="shared" si="224"/>
        <v>62.079991036758258</v>
      </c>
      <c r="X75" s="629">
        <f>IF(M75="","",R75)</f>
        <v>4.7290999999999999</v>
      </c>
      <c r="Y75" s="630">
        <f t="shared" si="223"/>
        <v>-2.8192085027328444</v>
      </c>
      <c r="Z75" s="632">
        <f t="shared" si="468"/>
        <v>0.92861542250551432</v>
      </c>
      <c r="AA75" s="629">
        <f t="shared" si="469"/>
        <v>0.37104365927058386</v>
      </c>
      <c r="AB75" s="629">
        <f t="shared" si="470"/>
        <v>0</v>
      </c>
      <c r="AC75" s="636">
        <f>IF(M75="","",SQRT(Z75^2+AA75^2+AB75^2))</f>
        <v>1</v>
      </c>
      <c r="AD75" s="637">
        <f>IF(M75="","",Z75*(1/SQRT(Z75^2+AA75^2+AB75^2)))</f>
        <v>0.92861542250551432</v>
      </c>
      <c r="AE75" s="629">
        <f>IF(M75="","",AA75*(1/SQRT(Z75^2+AA75^2+AB75^2)))</f>
        <v>0.37104365927058386</v>
      </c>
      <c r="AF75" s="633">
        <f>IF(M75="","",AB75*(1/SQRT(Z75^2+AA75^2+AB75^2)))</f>
        <v>0</v>
      </c>
      <c r="AG75" s="602">
        <f>IF(M75="","",DEGREES(ATAN2(-AF75,AE75)))</f>
        <v>90</v>
      </c>
      <c r="AH75" s="603">
        <f>IF(M75="","",DEGREES(ACOS(AD75)))</f>
        <v>21.779996855357528</v>
      </c>
      <c r="AI75" s="585">
        <f>IF(M75="","",DEGREES(-ACOS(-AF75)))</f>
        <v>-90</v>
      </c>
      <c r="AJ75" s="586">
        <f>IF(M75="","",DEGREES(ATAN2(-AE75,AD75)))</f>
        <v>111.77999685535752</v>
      </c>
      <c r="AK75" s="635">
        <f>IF(M75="","",(COS(RADIANS((90-$Q$8)-W75))*AD75)+(-SIN(RADIANS((90-$Q$8)-W75))*AE75))</f>
        <v>0.76604450791050738</v>
      </c>
      <c r="AL75" s="629">
        <f>IF(M75="","",(SIN(RADIANS((90-$Q$8)-W75))*AD75)+(COS(RADIANS((90-$Q$8)-W75))*AE75))</f>
        <v>-0.64278753247099374</v>
      </c>
      <c r="AM75" s="634">
        <f>IF(M75="","",AF75)</f>
        <v>0</v>
      </c>
      <c r="AN75" s="581">
        <f>IF(M75="","",DEGREES(ATAN2(-AM75,AL75)))</f>
        <v>-90</v>
      </c>
      <c r="AO75" s="582">
        <f t="shared" si="461"/>
        <v>39.999994224715365</v>
      </c>
      <c r="AP75" s="585">
        <f>IF(M75="","",DEGREES(ATAN2(AK75,AL75)))</f>
        <v>-39.99999422471538</v>
      </c>
      <c r="AQ75" s="586">
        <f t="shared" si="471"/>
        <v>0.48205215397356044</v>
      </c>
      <c r="AS75" s="52">
        <f t="shared" ref="AS75:AS106" si="543">IF(G75="","",IF(AND(W75&lt;(AS74+180),W75&gt;(AS74-180)),W75,IF(W75&gt;(AS74+180),W75-360,IF(W75&lt;(AS74-180),W75+360,"Error"))))</f>
        <v>-297.92000896324174</v>
      </c>
      <c r="AT75" s="72">
        <f t="shared" si="472"/>
        <v>-2.6121112743162285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5.1369999999999996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-1.911062050144283</v>
      </c>
      <c r="C76" s="708">
        <v>2.0089184911069817</v>
      </c>
      <c r="D76" s="709">
        <v>6.9344805186159972E-3</v>
      </c>
      <c r="E76" s="710">
        <v>-1.6432036903320308E-7</v>
      </c>
      <c r="F76" s="708">
        <v>-1.5631615862883787E-7</v>
      </c>
      <c r="G76" s="711">
        <v>0.99999999999997435</v>
      </c>
      <c r="H76" s="710">
        <v>0.25700000000000001</v>
      </c>
      <c r="I76" s="708">
        <v>0.45500000000000002</v>
      </c>
      <c r="J76" s="570">
        <v>5.2119999999999997</v>
      </c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Inactive</v>
      </c>
      <c r="L76" s="320"/>
      <c r="M76" s="168">
        <f t="shared" si="464"/>
        <v>5.2119999999999997</v>
      </c>
      <c r="N76" s="632">
        <f t="shared" si="465"/>
        <v>-1.911062050144283</v>
      </c>
      <c r="O76" s="629">
        <f t="shared" si="466"/>
        <v>2.0089184911069817</v>
      </c>
      <c r="P76" s="633">
        <f t="shared" si="467"/>
        <v>6.9344805186159972E-3</v>
      </c>
      <c r="Q76" s="585">
        <f t="shared" si="520"/>
        <v>133.56999370927122</v>
      </c>
      <c r="R76" s="629">
        <f t="shared" si="79"/>
        <v>2.7727083624884212</v>
      </c>
      <c r="S76" s="634">
        <f t="shared" si="80"/>
        <v>6.9344805186159972E-3</v>
      </c>
      <c r="T76" s="635">
        <f t="shared" si="81"/>
        <v>1.9988847030278751</v>
      </c>
      <c r="U76" s="629">
        <f t="shared" si="82"/>
        <v>1.9215544768271302</v>
      </c>
      <c r="V76" s="636">
        <f t="shared" si="114"/>
        <v>6.9344805186159972E-3</v>
      </c>
      <c r="W76" s="585">
        <f t="shared" si="224"/>
        <v>43.869993665956571</v>
      </c>
      <c r="X76" s="629">
        <f t="shared" si="83"/>
        <v>2.7727083624884212</v>
      </c>
      <c r="Y76" s="630">
        <f t="shared" ref="Y76:Y129" si="644">IF(M76="","",S76)</f>
        <v>6.9344805186159972E-3</v>
      </c>
      <c r="Z76" s="632">
        <f t="shared" si="468"/>
        <v>1.6432036903320308E-7</v>
      </c>
      <c r="AA76" s="629">
        <f t="shared" si="469"/>
        <v>1.5631615862883787E-7</v>
      </c>
      <c r="AB76" s="629">
        <f t="shared" si="470"/>
        <v>-0.99999999999997435</v>
      </c>
      <c r="AC76" s="636">
        <f t="shared" si="84"/>
        <v>1</v>
      </c>
      <c r="AD76" s="637">
        <f t="shared" si="115"/>
        <v>1.6432036903320308E-7</v>
      </c>
      <c r="AE76" s="629">
        <f t="shared" si="85"/>
        <v>1.5631615862883787E-7</v>
      </c>
      <c r="AF76" s="633">
        <f t="shared" si="86"/>
        <v>-0.99999999999997435</v>
      </c>
      <c r="AG76" s="602">
        <f t="shared" si="87"/>
        <v>8.9562561591300509E-6</v>
      </c>
      <c r="AH76" s="603">
        <f t="shared" si="88"/>
        <v>89.999990585136359</v>
      </c>
      <c r="AI76" s="585">
        <f t="shared" si="89"/>
        <v>-1.2976235990044085E-5</v>
      </c>
      <c r="AJ76" s="586">
        <f t="shared" si="90"/>
        <v>133.56999372778799</v>
      </c>
      <c r="AK76" s="635">
        <f t="shared" si="211"/>
        <v>2.2679489660855257E-7</v>
      </c>
      <c r="AL76" s="629">
        <f t="shared" si="91"/>
        <v>7.3295296173131507E-17</v>
      </c>
      <c r="AM76" s="634">
        <f t="shared" si="92"/>
        <v>-0.99999999999997435</v>
      </c>
      <c r="AN76" s="581">
        <f t="shared" si="93"/>
        <v>4.1995111288819175E-15</v>
      </c>
      <c r="AO76" s="582">
        <f t="shared" si="461"/>
        <v>0</v>
      </c>
      <c r="AP76" s="585">
        <f t="shared" si="95"/>
        <v>1.8516779661625964E-8</v>
      </c>
      <c r="AQ76" s="586">
        <f t="shared" si="471"/>
        <v>0.82214566698474623</v>
      </c>
      <c r="AS76" s="52">
        <f t="shared" si="543"/>
        <v>-316.1300063340434</v>
      </c>
      <c r="AT76" s="72">
        <f t="shared" si="472"/>
        <v>0.22667754044273322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Nose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5.2119999999999997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0.112</v>
      </c>
      <c r="II76" s="734" cm="1">
        <f t="array" ref="II76">IFERROR(ROUND(VALUE(IF($IH76&lt;1,$IH76+LARGE((IF($M$9:$M$150="",0,$M$9:$M$150)-MOD(IF($M$9:$M$150="",0,$M$9:$M$150),1)),1),$IH76)),4),"")</f>
        <v>5.1120000000000001</v>
      </c>
      <c r="IJ76" s="533">
        <f t="shared" si="542"/>
        <v>1613</v>
      </c>
      <c r="IK76" s="533" t="str">
        <f t="shared" si="517"/>
        <v>Inactive</v>
      </c>
      <c r="IL76" s="727">
        <f t="shared" si="225"/>
        <v>20.989996969419394</v>
      </c>
      <c r="IM76" s="759">
        <v>3.8317790157581098E-2</v>
      </c>
      <c r="IN76" s="5">
        <f t="shared" si="226"/>
        <v>0.64</v>
      </c>
      <c r="IO76" s="771">
        <v>320</v>
      </c>
      <c r="IP76" s="9">
        <f t="shared" si="227"/>
        <v>-2.7727083624884208</v>
      </c>
      <c r="IQ76" s="5">
        <f t="shared" si="228"/>
        <v>-8.0000241280727726E-4</v>
      </c>
      <c r="IR76" s="5">
        <f t="shared" si="518"/>
        <v>0.314</v>
      </c>
      <c r="IS76" s="5">
        <f t="shared" si="229"/>
        <v>0.30295648850606427</v>
      </c>
      <c r="IT76" s="727">
        <f t="shared" si="230"/>
        <v>10.43884273378691</v>
      </c>
      <c r="IU76" s="9">
        <f t="shared" si="231"/>
        <v>-2.7727083624884212</v>
      </c>
      <c r="IV76" s="5">
        <f t="shared" si="232"/>
        <v>6.9344805186159972E-3</v>
      </c>
      <c r="IW76" s="5">
        <f t="shared" si="519"/>
        <v>0.25700000000000001</v>
      </c>
      <c r="IX76" s="5">
        <f t="shared" si="233"/>
        <v>0.25700000000000001</v>
      </c>
      <c r="IY76" s="762">
        <f t="shared" si="234"/>
        <v>-4.1995111288819175E-15</v>
      </c>
    </row>
    <row r="77" spans="1:259" ht="15" customHeight="1" x14ac:dyDescent="0.25">
      <c r="A77" s="79"/>
      <c r="B77" s="707">
        <v>-2.6637447759506401</v>
      </c>
      <c r="C77" s="708">
        <v>2.3245522780910366</v>
      </c>
      <c r="D77" s="709">
        <v>-0.20895216623892701</v>
      </c>
      <c r="E77" s="710">
        <v>-0.75652225769067638</v>
      </c>
      <c r="F77" s="708">
        <v>-0.57430334349388223</v>
      </c>
      <c r="G77" s="711">
        <v>0.31280943603150763</v>
      </c>
      <c r="H77" s="710">
        <v>0.314</v>
      </c>
      <c r="I77" s="708">
        <v>0.39400000000000002</v>
      </c>
      <c r="J77" s="570">
        <v>5.2169999999999996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1610</v>
      </c>
      <c r="L77" s="320"/>
      <c r="M77" s="168">
        <f t="shared" si="464"/>
        <v>5.2169999999999996</v>
      </c>
      <c r="N77" s="632">
        <f t="shared" si="465"/>
        <v>-2.6637447759506401</v>
      </c>
      <c r="O77" s="629">
        <f t="shared" si="466"/>
        <v>2.3245522780910366</v>
      </c>
      <c r="P77" s="633">
        <f t="shared" si="467"/>
        <v>-0.20895216623892701</v>
      </c>
      <c r="Q77" s="585">
        <f t="shared" si="520"/>
        <v>138.8899906151625</v>
      </c>
      <c r="R77" s="629">
        <f t="shared" si="79"/>
        <v>3.535403728710846</v>
      </c>
      <c r="S77" s="634">
        <f t="shared" si="80"/>
        <v>-0.20895216623892701</v>
      </c>
      <c r="T77" s="635">
        <f t="shared" si="81"/>
        <v>2.3105731444234743</v>
      </c>
      <c r="U77" s="629">
        <f t="shared" si="82"/>
        <v>2.6758795319019075</v>
      </c>
      <c r="V77" s="636">
        <f t="shared" si="114"/>
        <v>-0.20895216623892701</v>
      </c>
      <c r="W77" s="585">
        <f t="shared" si="224"/>
        <v>49.189990571847858</v>
      </c>
      <c r="X77" s="629">
        <f t="shared" si="83"/>
        <v>3.535403728710846</v>
      </c>
      <c r="Y77" s="630">
        <f t="shared" si="644"/>
        <v>-0.20895216623892701</v>
      </c>
      <c r="Z77" s="632">
        <f t="shared" si="468"/>
        <v>0.75652225769067638</v>
      </c>
      <c r="AA77" s="629">
        <f t="shared" si="469"/>
        <v>0.57430334349388223</v>
      </c>
      <c r="AB77" s="629">
        <f t="shared" si="470"/>
        <v>-0.31280943603150763</v>
      </c>
      <c r="AC77" s="636">
        <f t="shared" si="84"/>
        <v>1</v>
      </c>
      <c r="AD77" s="637">
        <f t="shared" si="115"/>
        <v>0.75652225769067638</v>
      </c>
      <c r="AE77" s="629">
        <f t="shared" si="85"/>
        <v>0.57430334349388223</v>
      </c>
      <c r="AF77" s="633">
        <f t="shared" si="86"/>
        <v>-0.31280943603150763</v>
      </c>
      <c r="AG77" s="602">
        <f t="shared" si="87"/>
        <v>61.423916039628153</v>
      </c>
      <c r="AH77" s="603">
        <f t="shared" si="88"/>
        <v>40.841440360731127</v>
      </c>
      <c r="AI77" s="585">
        <f t="shared" si="89"/>
        <v>-71.771378015661625</v>
      </c>
      <c r="AJ77" s="586">
        <f t="shared" si="90"/>
        <v>127.20344491232497</v>
      </c>
      <c r="AK77" s="635">
        <f t="shared" si="211"/>
        <v>0.930126605309467</v>
      </c>
      <c r="AL77" s="629">
        <f t="shared" si="91"/>
        <v>-0.19239219013550773</v>
      </c>
      <c r="AM77" s="634">
        <f t="shared" si="92"/>
        <v>-0.31280943603150763</v>
      </c>
      <c r="AN77" s="581">
        <f t="shared" si="93"/>
        <v>-31.59342768072597</v>
      </c>
      <c r="AO77" s="582">
        <f t="shared" si="461"/>
        <v>21.545440964497093</v>
      </c>
      <c r="AP77" s="585">
        <f t="shared" si="95"/>
        <v>-11.686545702837529</v>
      </c>
      <c r="AQ77" s="586">
        <f t="shared" si="471"/>
        <v>0.64480058390008932</v>
      </c>
      <c r="AS77" s="52">
        <f t="shared" si="543"/>
        <v>-310.81000942815217</v>
      </c>
      <c r="AT77" s="72">
        <f t="shared" si="472"/>
        <v>7.0964513894324066E-3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Nose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5.2169999999999996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0.11700000000000001</v>
      </c>
      <c r="II77" s="734" cm="1">
        <f t="array" ref="II77">IFERROR(ROUND(VALUE(IF($IH77&lt;1,$IH77+LARGE((IF($M$9:$M$150="",0,$M$9:$M$150)-MOD(IF($M$9:$M$150="",0,$M$9:$M$150),1)),1),$IH77)),4),"")</f>
        <v>5.117</v>
      </c>
      <c r="IJ77" s="533">
        <f t="shared" si="542"/>
        <v>1613</v>
      </c>
      <c r="IK77" s="533">
        <f t="shared" si="517"/>
        <v>1610</v>
      </c>
      <c r="IL77" s="727">
        <f t="shared" si="225"/>
        <v>14.740000197803482</v>
      </c>
      <c r="IM77" s="759">
        <v>5.7842217552101795E-4</v>
      </c>
      <c r="IN77" s="5">
        <f t="shared" si="226"/>
        <v>0</v>
      </c>
      <c r="IO77" s="771">
        <v>0</v>
      </c>
      <c r="IP77" s="9">
        <f t="shared" si="227"/>
        <v>-3.5337106576713437</v>
      </c>
      <c r="IQ77" s="5">
        <f t="shared" si="228"/>
        <v>-0.17630053172240356</v>
      </c>
      <c r="IR77" s="5">
        <f t="shared" si="518"/>
        <v>0.314</v>
      </c>
      <c r="IS77" s="5">
        <f t="shared" si="229"/>
        <v>0.29752694338999014</v>
      </c>
      <c r="IT77" s="727">
        <f t="shared" si="230"/>
        <v>33.65631935542379</v>
      </c>
      <c r="IU77" s="9">
        <f t="shared" si="231"/>
        <v>-3.535403728710846</v>
      </c>
      <c r="IV77" s="5">
        <f t="shared" si="232"/>
        <v>-0.20895216623892701</v>
      </c>
      <c r="IW77" s="5">
        <f t="shared" si="519"/>
        <v>0.314</v>
      </c>
      <c r="IX77" s="5">
        <f t="shared" si="233"/>
        <v>0.29205975406717266</v>
      </c>
      <c r="IY77" s="762">
        <f t="shared" si="234"/>
        <v>31.59342768072597</v>
      </c>
    </row>
    <row r="78" spans="1:259" ht="15" customHeight="1" x14ac:dyDescent="0.25">
      <c r="A78" s="79"/>
      <c r="B78" s="707">
        <v>-3.2025978872269043</v>
      </c>
      <c r="C78" s="708">
        <v>2.668304852305162</v>
      </c>
      <c r="D78" s="709">
        <v>-0.66750135634238439</v>
      </c>
      <c r="E78" s="710">
        <v>-0.83993130150736506</v>
      </c>
      <c r="F78" s="708">
        <v>-0.46233888022996666</v>
      </c>
      <c r="G78" s="711">
        <v>0.28417981732671405</v>
      </c>
      <c r="H78" s="710">
        <v>0.314</v>
      </c>
      <c r="I78" s="708">
        <v>0.39400000000000002</v>
      </c>
      <c r="J78" s="570">
        <v>5.2220000000000004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1610</v>
      </c>
      <c r="L78" s="320"/>
      <c r="M78" s="168">
        <f t="shared" si="464"/>
        <v>5.2220000000000004</v>
      </c>
      <c r="N78" s="632">
        <f t="shared" si="465"/>
        <v>-3.2025978872269043</v>
      </c>
      <c r="O78" s="629">
        <f t="shared" si="466"/>
        <v>2.668304852305162</v>
      </c>
      <c r="P78" s="633">
        <f t="shared" si="467"/>
        <v>-0.66750135634238439</v>
      </c>
      <c r="Q78" s="585">
        <f t="shared" si="520"/>
        <v>140.19999061516251</v>
      </c>
      <c r="R78" s="629">
        <f>IF(M78="","",SQRT(N78^2+O78^2))</f>
        <v>4.1685110065952209</v>
      </c>
      <c r="S78" s="634">
        <f>IF(M78="","",P78)</f>
        <v>-0.66750135634238439</v>
      </c>
      <c r="T78" s="635">
        <f>IF(M78="","",X78*COS(RADIANS(W78)))</f>
        <v>2.6514995915699942</v>
      </c>
      <c r="U78" s="629">
        <f>IF(M78="","",X78*SIN(RADIANS(W78)))</f>
        <v>3.2165251325008573</v>
      </c>
      <c r="V78" s="636">
        <f>IF(M78="","",Y78)</f>
        <v>-0.66750135634238439</v>
      </c>
      <c r="W78" s="585">
        <f t="shared" si="224"/>
        <v>50.49999057184786</v>
      </c>
      <c r="X78" s="629">
        <f>IF(M78="","",R78)</f>
        <v>4.1685110065952209</v>
      </c>
      <c r="Y78" s="630">
        <f t="shared" si="644"/>
        <v>-0.66750135634238439</v>
      </c>
      <c r="Z78" s="632">
        <f t="shared" si="468"/>
        <v>0.83993130150736506</v>
      </c>
      <c r="AA78" s="629">
        <f t="shared" si="469"/>
        <v>0.46233888022996666</v>
      </c>
      <c r="AB78" s="629">
        <f t="shared" si="470"/>
        <v>-0.28417981732671405</v>
      </c>
      <c r="AC78" s="636">
        <f>IF(M78="","",SQRT(Z78^2+AA78^2+AB78^2))</f>
        <v>1</v>
      </c>
      <c r="AD78" s="637">
        <f>IF(M78="","",Z78*(1/SQRT(Z78^2+AA78^2+AB78^2)))</f>
        <v>0.83993130150736506</v>
      </c>
      <c r="AE78" s="629">
        <f>IF(M78="","",AA78*(1/SQRT(Z78^2+AA78^2+AB78^2)))</f>
        <v>0.46233888022996666</v>
      </c>
      <c r="AF78" s="633">
        <f>IF(M78="","",AB78*(1/SQRT(Z78^2+AA78^2+AB78^2)))</f>
        <v>-0.28417981732671405</v>
      </c>
      <c r="AG78" s="602">
        <f>IF(M78="","",DEGREES(ATAN2(-AF78,AE78)))</f>
        <v>58.422746789111429</v>
      </c>
      <c r="AH78" s="603">
        <f>IF(M78="","",DEGREES(ACOS(AD78)))</f>
        <v>32.867134058695164</v>
      </c>
      <c r="AI78" s="585">
        <f>IF(M78="","",DEGREES(-ACOS(-AF78)))</f>
        <v>-73.490171430290715</v>
      </c>
      <c r="AJ78" s="586">
        <f>IF(M78="","",DEGREES(ATAN2(-AE78,AD78)))</f>
        <v>118.83051676508853</v>
      </c>
      <c r="AK78" s="635">
        <f>IF(M78="","",(COS(RADIANS((90-$Q$8)-W78))*AD78)+(-SIN(RADIANS((90-$Q$8)-W78))*AE78))</f>
        <v>0.8928555742167541</v>
      </c>
      <c r="AL78" s="629">
        <f>IF(M78="","",(SIN(RADIANS((90-$Q$8)-W78))*AD78)+(COS(RADIANS((90-$Q$8)-W78))*AE78))</f>
        <v>-0.34935763196791031</v>
      </c>
      <c r="AM78" s="634">
        <f>IF(M78="","",AF78)</f>
        <v>-0.28417981732671405</v>
      </c>
      <c r="AN78" s="581">
        <f>IF(M78="","",DEGREES(ATAN2(-AM78,AL78)))</f>
        <v>-50.87387781679179</v>
      </c>
      <c r="AO78" s="582">
        <f t="shared" si="461"/>
        <v>26.765700150771266</v>
      </c>
      <c r="AP78" s="585">
        <f>IF(M78="","",DEGREES(ATAN2(AK78,AL78)))</f>
        <v>-21.369473850073991</v>
      </c>
      <c r="AQ78" s="586">
        <f t="shared" si="471"/>
        <v>0.54687570647057848</v>
      </c>
      <c r="AS78" s="52">
        <f t="shared" si="543"/>
        <v>-309.50000942815211</v>
      </c>
      <c r="AT78" s="72">
        <f t="shared" si="472"/>
        <v>-0.45236246093624721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Taper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5.2220000000000004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0.122</v>
      </c>
      <c r="II78" s="734" cm="1">
        <f t="array" ref="II78">IFERROR(ROUND(VALUE(IF($IH78&lt;1,$IH78+LARGE((IF($M$9:$M$150="",0,$M$9:$M$150)-MOD(IF($M$9:$M$150="",0,$M$9:$M$150),1)),1),$IH78)),4),"")</f>
        <v>5.1219999999999999</v>
      </c>
      <c r="IJ78" s="533">
        <f t="shared" si="542"/>
        <v>1613</v>
      </c>
      <c r="IK78" s="533">
        <f t="shared" si="517"/>
        <v>1610</v>
      </c>
      <c r="IL78" s="727">
        <f t="shared" si="225"/>
        <v>12.490000333522659</v>
      </c>
      <c r="IM78" s="759">
        <v>9.1791346338800399E-4</v>
      </c>
      <c r="IN78" s="5">
        <f t="shared" si="226"/>
        <v>0</v>
      </c>
      <c r="IO78" s="771">
        <v>0</v>
      </c>
      <c r="IP78" s="9">
        <f t="shared" si="227"/>
        <v>-4.1645125601698822</v>
      </c>
      <c r="IQ78" s="5">
        <f t="shared" si="228"/>
        <v>-0.63730192210259784</v>
      </c>
      <c r="IR78" s="5">
        <f t="shared" si="518"/>
        <v>0.314</v>
      </c>
      <c r="IS78" s="5">
        <f t="shared" si="229"/>
        <v>0.28712879938118618</v>
      </c>
      <c r="IT78" s="727">
        <f t="shared" si="230"/>
        <v>52.581309614421237</v>
      </c>
      <c r="IU78" s="9">
        <f t="shared" si="231"/>
        <v>-4.1685110065952209</v>
      </c>
      <c r="IV78" s="5">
        <f t="shared" si="232"/>
        <v>-0.66750135634238439</v>
      </c>
      <c r="IW78" s="5">
        <f t="shared" si="519"/>
        <v>0.314</v>
      </c>
      <c r="IX78" s="5">
        <f t="shared" si="233"/>
        <v>0.28035665030406076</v>
      </c>
      <c r="IY78" s="762">
        <f t="shared" si="234"/>
        <v>50.87387781679179</v>
      </c>
    </row>
    <row r="79" spans="1:259" ht="15" customHeight="1" x14ac:dyDescent="0.25">
      <c r="A79" s="79"/>
      <c r="B79" s="707">
        <v>-3.5324893058779723</v>
      </c>
      <c r="C79" s="708">
        <v>2.8974926811028361</v>
      </c>
      <c r="D79" s="709">
        <v>-1.3400195434226367</v>
      </c>
      <c r="E79" s="710">
        <v>-0.91487812517364031</v>
      </c>
      <c r="F79" s="708">
        <v>-0.35985367116806921</v>
      </c>
      <c r="G79" s="711">
        <v>0.18303920734538853</v>
      </c>
      <c r="H79" s="710">
        <v>0.314</v>
      </c>
      <c r="I79" s="708">
        <v>0.39400000000000002</v>
      </c>
      <c r="J79" s="570">
        <v>5.2270000000000003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1610</v>
      </c>
      <c r="L79" s="320"/>
      <c r="M79" s="168">
        <f>IF(J79="","",VALUE(J79))</f>
        <v>5.2270000000000003</v>
      </c>
      <c r="N79" s="632">
        <f t="shared" si="465"/>
        <v>-3.5324893058779723</v>
      </c>
      <c r="O79" s="629">
        <f t="shared" si="466"/>
        <v>2.8974926811028361</v>
      </c>
      <c r="P79" s="633">
        <f t="shared" si="467"/>
        <v>-1.3400195434226367</v>
      </c>
      <c r="Q79" s="585">
        <f t="shared" si="520"/>
        <v>140.6399906151625</v>
      </c>
      <c r="R79" s="629">
        <f>IF(M79="","",SQRT(N79^2+O79^2))</f>
        <v>4.5688012140151972</v>
      </c>
      <c r="S79" s="634">
        <f>IF(M79="","",P79)</f>
        <v>-1.3400195434226367</v>
      </c>
      <c r="T79" s="635">
        <f>IF(M79="","",X79*COS(RADIANS(W79)))</f>
        <v>2.8789569794315617</v>
      </c>
      <c r="U79" s="629">
        <f>IF(M79="","",X79*SIN(RADIANS(W79)))</f>
        <v>3.5476120480922146</v>
      </c>
      <c r="V79" s="636">
        <f>IF(M79="","",Y79)</f>
        <v>-1.3400195434226367</v>
      </c>
      <c r="W79" s="585">
        <f t="shared" ref="W79:W129" si="645">IF(M79="","",IF(Q79-$Q$8&lt;0,360+Q79-$Q$8,Q79-$Q$8))</f>
        <v>50.939990571847858</v>
      </c>
      <c r="X79" s="629">
        <f>IF(M79="","",R79)</f>
        <v>4.5688012140151972</v>
      </c>
      <c r="Y79" s="630">
        <f t="shared" si="644"/>
        <v>-1.3400195434226367</v>
      </c>
      <c r="Z79" s="632">
        <f t="shared" si="468"/>
        <v>0.91487812517364031</v>
      </c>
      <c r="AA79" s="629">
        <f t="shared" si="469"/>
        <v>0.35985367116806921</v>
      </c>
      <c r="AB79" s="629">
        <f t="shared" si="470"/>
        <v>-0.18303920734538853</v>
      </c>
      <c r="AC79" s="636">
        <f>IF(M79="","",SQRT(Z79^2+AA79^2+AB79^2))</f>
        <v>1</v>
      </c>
      <c r="AD79" s="637">
        <f>IF(M79="","",Z79*(1/SQRT(Z79^2+AA79^2+AB79^2)))</f>
        <v>0.91487812517364031</v>
      </c>
      <c r="AE79" s="629">
        <f>IF(M79="","",AA79*(1/SQRT(Z79^2+AA79^2+AB79^2)))</f>
        <v>0.35985367116806921</v>
      </c>
      <c r="AF79" s="633">
        <f>IF(M79="","",AB79*(1/SQRT(Z79^2+AA79^2+AB79^2)))</f>
        <v>-0.18303920734538853</v>
      </c>
      <c r="AG79" s="602">
        <f>IF(M79="","",DEGREES(ATAN2(-AF79,AE79)))</f>
        <v>63.03988125908144</v>
      </c>
      <c r="AH79" s="603">
        <f>IF(M79="","",DEGREES(ACOS(AD79)))</f>
        <v>23.811574862903058</v>
      </c>
      <c r="AI79" s="585">
        <f>IF(M79="","",DEGREES(-ACOS(-AF79)))</f>
        <v>-79.453164666204998</v>
      </c>
      <c r="AJ79" s="586">
        <f>IF(M79="","",DEGREES(ATAN2(-AE79,AD79)))</f>
        <v>111.47145556755645</v>
      </c>
      <c r="AK79" s="635">
        <f>IF(M79="","",(COS(RADIANS((90-$Q$8)-W79))*AD79)+(-SIN(RADIANS((90-$Q$8)-W79))*AE79))</f>
        <v>0.8584378556113722</v>
      </c>
      <c r="AL79" s="629">
        <f>IF(M79="","",(SIN(RADIANS((90-$Q$8)-W79))*AD79)+(COS(RADIANS((90-$Q$8)-W79))*AE79))</f>
        <v>-0.47914621633455579</v>
      </c>
      <c r="AM79" s="634">
        <f>IF(M79="","",AF79)</f>
        <v>-0.18303920734538853</v>
      </c>
      <c r="AN79" s="581">
        <f>IF(M79="","",DEGREES(ATAN2(-AM79,AL79)))</f>
        <v>-69.092584546981527</v>
      </c>
      <c r="AO79" s="582">
        <f t="shared" si="461"/>
        <v>30.858364714016467</v>
      </c>
      <c r="AP79" s="585">
        <f>IF(M79="","",DEGREES(ATAN2(AK79,AL79)))</f>
        <v>-29.168535047606042</v>
      </c>
      <c r="AQ79" s="586">
        <f t="shared" si="471"/>
        <v>0.49896436592154697</v>
      </c>
      <c r="AS79" s="52">
        <f t="shared" si="543"/>
        <v>-309.06000942815217</v>
      </c>
      <c r="AT79" s="72">
        <f t="shared" si="472"/>
        <v>-1.125186203572055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>Taper</v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5.2270000000000003</v>
      </c>
      <c r="IH79" s="731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0.127</v>
      </c>
      <c r="II79" s="734" cm="1">
        <f t="array" ref="II79">IFERROR(ROUND(VALUE(IF($IH79&lt;1,$IH79+LARGE((IF($M$9:$M$150="",0,$M$9:$M$150)-MOD(IF($M$9:$M$150="",0,$M$9:$M$150),1)),1),$IH79)),4),"")</f>
        <v>5.1269999999999998</v>
      </c>
      <c r="IJ79" s="533">
        <f t="shared" si="542"/>
        <v>1613</v>
      </c>
      <c r="IK79" s="533">
        <f t="shared" si="517"/>
        <v>1610</v>
      </c>
      <c r="IL79" s="727">
        <f t="shared" si="225"/>
        <v>11.390000428814886</v>
      </c>
      <c r="IM79" s="759">
        <v>8.2287939604902397E-4</v>
      </c>
      <c r="IN79" s="5">
        <f t="shared" si="226"/>
        <v>0</v>
      </c>
      <c r="IO79" s="771">
        <v>0</v>
      </c>
      <c r="IP79" s="9">
        <f t="shared" si="227"/>
        <v>-4.56451376657352</v>
      </c>
      <c r="IQ79" s="5">
        <f t="shared" si="228"/>
        <v>-1.3085039464479025</v>
      </c>
      <c r="IR79" s="5">
        <f t="shared" si="518"/>
        <v>0.314</v>
      </c>
      <c r="IS79" s="5">
        <f t="shared" si="229"/>
        <v>0.27481649834469363</v>
      </c>
      <c r="IT79" s="727">
        <f t="shared" si="230"/>
        <v>70.015608025419667</v>
      </c>
      <c r="IU79" s="9">
        <f t="shared" si="231"/>
        <v>-4.5688012140151972</v>
      </c>
      <c r="IV79" s="5">
        <f t="shared" si="232"/>
        <v>-1.3400195434226367</v>
      </c>
      <c r="IW79" s="5">
        <f t="shared" si="519"/>
        <v>0.314</v>
      </c>
      <c r="IX79" s="5">
        <f t="shared" si="233"/>
        <v>0.26954948666197087</v>
      </c>
      <c r="IY79" s="762">
        <f t="shared" si="234"/>
        <v>69.092584546981527</v>
      </c>
    </row>
    <row r="80" spans="1:259" ht="15" customHeight="1" x14ac:dyDescent="0.25">
      <c r="A80" s="79"/>
      <c r="B80" s="707">
        <v>-3.558390196420405</v>
      </c>
      <c r="C80" s="708">
        <v>3.0327143331191482</v>
      </c>
      <c r="D80" s="709">
        <v>-2.1055135084482899</v>
      </c>
      <c r="E80" s="710">
        <v>-0.68977787124516021</v>
      </c>
      <c r="F80" s="708">
        <v>0.58787768090692172</v>
      </c>
      <c r="G80" s="711">
        <v>0.42261841019055801</v>
      </c>
      <c r="H80" s="710">
        <v>0.25700000000000001</v>
      </c>
      <c r="I80" s="708">
        <v>0.45500000000000002</v>
      </c>
      <c r="J80" s="570">
        <v>5.2320000000000002</v>
      </c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Inactive</v>
      </c>
      <c r="L80" s="320"/>
      <c r="M80" s="168">
        <f t="shared" si="464"/>
        <v>5.2320000000000002</v>
      </c>
      <c r="N80" s="632">
        <f t="shared" si="465"/>
        <v>-3.558390196420405</v>
      </c>
      <c r="O80" s="629">
        <f t="shared" si="466"/>
        <v>3.0327143331191482</v>
      </c>
      <c r="P80" s="633">
        <f t="shared" si="467"/>
        <v>-2.1055135084482899</v>
      </c>
      <c r="Q80" s="585">
        <f t="shared" si="520"/>
        <v>139.55999284442234</v>
      </c>
      <c r="R80" s="629">
        <f t="shared" si="79"/>
        <v>4.6754141010489292</v>
      </c>
      <c r="S80" s="634">
        <f t="shared" si="80"/>
        <v>-2.1055135084482899</v>
      </c>
      <c r="T80" s="635">
        <f t="shared" si="81"/>
        <v>3.0140411617569614</v>
      </c>
      <c r="U80" s="629">
        <f t="shared" si="82"/>
        <v>3.5742205991687075</v>
      </c>
      <c r="V80" s="636">
        <f t="shared" si="114"/>
        <v>-2.1055135084482899</v>
      </c>
      <c r="W80" s="585">
        <f t="shared" si="645"/>
        <v>49.859992801107694</v>
      </c>
      <c r="X80" s="629">
        <f t="shared" si="83"/>
        <v>4.6754141010489292</v>
      </c>
      <c r="Y80" s="630">
        <f t="shared" si="644"/>
        <v>-2.1055135084482899</v>
      </c>
      <c r="Z80" s="632">
        <f t="shared" si="468"/>
        <v>0.68977787124516021</v>
      </c>
      <c r="AA80" s="629">
        <f t="shared" si="469"/>
        <v>-0.58787768090692172</v>
      </c>
      <c r="AB80" s="629">
        <f t="shared" si="470"/>
        <v>-0.42261841019055801</v>
      </c>
      <c r="AC80" s="636">
        <f t="shared" si="84"/>
        <v>1</v>
      </c>
      <c r="AD80" s="637">
        <f t="shared" si="115"/>
        <v>0.68977787124516021</v>
      </c>
      <c r="AE80" s="629">
        <f t="shared" si="85"/>
        <v>-0.58787768090692172</v>
      </c>
      <c r="AF80" s="633">
        <f t="shared" si="86"/>
        <v>-0.42261841019055801</v>
      </c>
      <c r="AG80" s="602">
        <f t="shared" si="87"/>
        <v>-54.288082584463538</v>
      </c>
      <c r="AH80" s="603">
        <f t="shared" si="88"/>
        <v>46.387471975681692</v>
      </c>
      <c r="AI80" s="585">
        <f t="shared" si="89"/>
        <v>-64.999990615163185</v>
      </c>
      <c r="AJ80" s="586">
        <f t="shared" si="90"/>
        <v>49.56000718214689</v>
      </c>
      <c r="AK80" s="635">
        <f t="shared" si="211"/>
        <v>2.2679489708465894E-7</v>
      </c>
      <c r="AL80" s="629">
        <f t="shared" si="91"/>
        <v>-0.90630771781330099</v>
      </c>
      <c r="AM80" s="634">
        <f t="shared" si="92"/>
        <v>-0.42261841019055801</v>
      </c>
      <c r="AN80" s="581">
        <f t="shared" si="93"/>
        <v>-64.999990615162488</v>
      </c>
      <c r="AO80" s="582">
        <f t="shared" si="461"/>
        <v>0</v>
      </c>
      <c r="AP80" s="585">
        <f t="shared" si="95"/>
        <v>-89.999985662275449</v>
      </c>
      <c r="AQ80" s="586">
        <f t="shared" si="471"/>
        <v>0.48758709918230875</v>
      </c>
      <c r="AS80" s="52">
        <f t="shared" si="543"/>
        <v>-310.14000719889231</v>
      </c>
      <c r="AT80" s="72">
        <f t="shared" si="472"/>
        <v>-1.8899301701458053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>Taper</v>
      </c>
      <c r="IF80" s="533" t="str">
        <f>IFERROR(IF((((($IW80*COS(RADIANS(180-$IY80)))*COS(RADIANS($IY80)))-(($IX80*SIN(RADIANS(180-$IY80)))*SIN(RADIANS($IY80))))+$IU80)&lt;(((Settings!$C$19+$IF$8)/2)*-1),"Gage",""),"")</f>
        <v>Gage</v>
      </c>
      <c r="IG80" s="847">
        <f t="shared" si="643"/>
        <v>5.2320000000000002</v>
      </c>
      <c r="IH80" s="731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0.13200000000000001</v>
      </c>
      <c r="II80" s="734" cm="1">
        <f t="array" ref="II80">IFERROR(ROUND(VALUE(IF($IH80&lt;1,$IH80+LARGE((IF($M$9:$M$150="",0,$M$9:$M$150)-MOD(IF($M$9:$M$150="",0,$M$9:$M$150),1)),1),$IH80)),4),"")</f>
        <v>5.1319999999999997</v>
      </c>
      <c r="IJ80" s="533">
        <f t="shared" si="542"/>
        <v>1613</v>
      </c>
      <c r="IK80" s="533" t="str">
        <f t="shared" si="517"/>
        <v>Inactive</v>
      </c>
      <c r="IL80" s="727">
        <f t="shared" si="225"/>
        <v>12.299998224099994</v>
      </c>
      <c r="IM80" s="759">
        <v>9.9522872411537799E-3</v>
      </c>
      <c r="IN80" s="5">
        <f t="shared" si="226"/>
        <v>2.06</v>
      </c>
      <c r="IO80" s="771">
        <v>1030</v>
      </c>
      <c r="IP80" s="9">
        <f t="shared" si="227"/>
        <v>-4.6806000000000001</v>
      </c>
      <c r="IQ80" s="5">
        <f t="shared" si="228"/>
        <v>-2.0692062407260212</v>
      </c>
      <c r="IR80" s="5">
        <f t="shared" si="518"/>
        <v>0.314</v>
      </c>
      <c r="IS80" s="5">
        <f t="shared" si="229"/>
        <v>0.2633425725562874</v>
      </c>
      <c r="IT80" s="727">
        <f t="shared" si="230"/>
        <v>82.499999999999986</v>
      </c>
      <c r="IU80" s="9">
        <f t="shared" si="231"/>
        <v>-4.6754141010489292</v>
      </c>
      <c r="IV80" s="5">
        <f t="shared" si="232"/>
        <v>-2.1055135084482899</v>
      </c>
      <c r="IW80" s="5">
        <f t="shared" si="519"/>
        <v>0.25700000000000001</v>
      </c>
      <c r="IX80" s="5">
        <f t="shared" si="233"/>
        <v>0.25700000000000001</v>
      </c>
      <c r="IY80" s="762">
        <f t="shared" si="234"/>
        <v>64.999990615162488</v>
      </c>
    </row>
    <row r="81" spans="1:259" ht="15" customHeight="1" x14ac:dyDescent="0.25">
      <c r="A81" s="79"/>
      <c r="B81" s="707">
        <v>-3.6039143726304088</v>
      </c>
      <c r="C81" s="708">
        <v>3.0671723208318751</v>
      </c>
      <c r="D81" s="709">
        <v>-2.8648157339093592</v>
      </c>
      <c r="E81" s="710">
        <v>-0.69018811910316835</v>
      </c>
      <c r="F81" s="708">
        <v>0.58739598195496356</v>
      </c>
      <c r="G81" s="711">
        <v>0.42261841019055829</v>
      </c>
      <c r="H81" s="710">
        <v>0.25700000000000001</v>
      </c>
      <c r="I81" s="708">
        <v>0.45500000000000002</v>
      </c>
      <c r="J81" s="570">
        <v>5.2370000000000001</v>
      </c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Inactive</v>
      </c>
      <c r="L81" s="320"/>
      <c r="M81" s="168">
        <f t="shared" si="464"/>
        <v>5.2370000000000001</v>
      </c>
      <c r="N81" s="632">
        <f t="shared" si="465"/>
        <v>-3.6039143726304088</v>
      </c>
      <c r="O81" s="629">
        <f t="shared" si="466"/>
        <v>3.0671723208318751</v>
      </c>
      <c r="P81" s="633">
        <f t="shared" si="467"/>
        <v>-2.8648157339093592</v>
      </c>
      <c r="Q81" s="585">
        <f t="shared" si="520"/>
        <v>139.59999283864707</v>
      </c>
      <c r="R81" s="629">
        <f t="shared" si="79"/>
        <v>4.7324142729614476</v>
      </c>
      <c r="S81" s="634">
        <f t="shared" si="80"/>
        <v>-2.8648157339093592</v>
      </c>
      <c r="T81" s="635">
        <f t="shared" si="81"/>
        <v>3.0482603142225777</v>
      </c>
      <c r="U81" s="629">
        <f t="shared" si="82"/>
        <v>3.6199245720960671</v>
      </c>
      <c r="V81" s="636">
        <f t="shared" si="114"/>
        <v>-2.8648157339093592</v>
      </c>
      <c r="W81" s="585">
        <f t="shared" si="645"/>
        <v>49.899992795332423</v>
      </c>
      <c r="X81" s="629">
        <f t="shared" si="83"/>
        <v>4.7324142729614476</v>
      </c>
      <c r="Y81" s="630">
        <f t="shared" si="644"/>
        <v>-2.8648157339093592</v>
      </c>
      <c r="Z81" s="632">
        <f t="shared" si="468"/>
        <v>0.69018811910316835</v>
      </c>
      <c r="AA81" s="629">
        <f t="shared" si="469"/>
        <v>-0.58739598195496356</v>
      </c>
      <c r="AB81" s="629">
        <f t="shared" si="470"/>
        <v>-0.42261841019055829</v>
      </c>
      <c r="AC81" s="636">
        <f t="shared" si="84"/>
        <v>1</v>
      </c>
      <c r="AD81" s="637">
        <f t="shared" si="115"/>
        <v>0.69018811910316835</v>
      </c>
      <c r="AE81" s="629">
        <f t="shared" si="85"/>
        <v>-0.58739598195496356</v>
      </c>
      <c r="AF81" s="633">
        <f t="shared" si="86"/>
        <v>-0.42261841019055829</v>
      </c>
      <c r="AG81" s="602">
        <f t="shared" si="87"/>
        <v>-54.265819824480253</v>
      </c>
      <c r="AH81" s="603">
        <f t="shared" si="88"/>
        <v>46.354998030677251</v>
      </c>
      <c r="AI81" s="585">
        <f t="shared" si="89"/>
        <v>-64.999990615163156</v>
      </c>
      <c r="AJ81" s="586">
        <f t="shared" si="90"/>
        <v>49.600007176371598</v>
      </c>
      <c r="AK81" s="635">
        <f t="shared" si="211"/>
        <v>2.2679489669608088E-7</v>
      </c>
      <c r="AL81" s="629">
        <f t="shared" si="91"/>
        <v>-0.90630771781330077</v>
      </c>
      <c r="AM81" s="634">
        <f t="shared" si="92"/>
        <v>-0.42261841019055829</v>
      </c>
      <c r="AN81" s="581">
        <f t="shared" si="93"/>
        <v>-64.999990615162474</v>
      </c>
      <c r="AO81" s="582">
        <f t="shared" si="461"/>
        <v>0</v>
      </c>
      <c r="AP81" s="585">
        <f t="shared" si="95"/>
        <v>-89.999985662275478</v>
      </c>
      <c r="AQ81" s="586">
        <f t="shared" si="471"/>
        <v>0.48171457213593338</v>
      </c>
      <c r="AS81" s="52">
        <f t="shared" si="543"/>
        <v>-310.10000720466758</v>
      </c>
      <c r="AT81" s="72">
        <f t="shared" si="472"/>
        <v>-2.6492601733806418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>Taper</v>
      </c>
      <c r="IF81" s="533" t="str">
        <f>IFERROR(IF((((($IW81*COS(RADIANS(180-$IY81)))*COS(RADIANS($IY81)))-(($IX81*SIN(RADIANS(180-$IY81)))*SIN(RADIANS($IY81))))+$IU81)&lt;(((Settings!$C$19+$IF$8)/2)*-1),"Gage",""),"")</f>
        <v>Gage</v>
      </c>
      <c r="IG81" s="847">
        <f t="shared" si="643"/>
        <v>5.2370000000000001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0.13700000000000001</v>
      </c>
      <c r="II81" s="734" cm="1">
        <f t="array" ref="II81">IFERROR(ROUND(VALUE(IF($IH81&lt;1,$IH81+LARGE((IF($M$9:$M$150="",0,$M$9:$M$150)-MOD(IF($M$9:$M$150="",0,$M$9:$M$150),1)),1),$IH81)),4),"")</f>
        <v>5.1369999999999996</v>
      </c>
      <c r="IJ81" s="533">
        <f t="shared" si="542"/>
        <v>1613</v>
      </c>
      <c r="IK81" s="533" t="str">
        <f t="shared" si="517"/>
        <v>Inactive</v>
      </c>
      <c r="IL81" s="727">
        <f t="shared" ref="IL81:IL144" si="647">IF(ISNUMBER($II81),IFERROR(IF(INDEX($W$9:$W$150,MATCH($II81,$M$9:$M$150,0))&lt;$W81,((INDEX($W$9:$W$150,MATCH($II81,$M$9:$M$150,0))+360)-$W81),INDEX($W$9:$W$150,MATCH($II81,$M$9:$M$150,0))-$W81),""),"")</f>
        <v>12.179998241425835</v>
      </c>
      <c r="IM81" s="759">
        <v>2.5012986008563003E-4</v>
      </c>
      <c r="IN81" s="5">
        <f t="shared" ref="IN81:IN144" si="648">IF(ISNUMBER($II81),(($IO81*12)/60)/$AS$3,"")</f>
        <v>0</v>
      </c>
      <c r="IO81" s="771">
        <v>0</v>
      </c>
      <c r="IP81" s="9">
        <f t="shared" ref="IP81:IP144" si="649">IF(ISNUMBER($II81),(INDEX($X$9:$X$150,MATCH($II81,$M$9:$M$150,0))*-1),"")</f>
        <v>-4.7290999999999999</v>
      </c>
      <c r="IQ81" s="5">
        <f t="shared" ref="IQ81:IQ144" si="650">IF(ISNUMBER($II81),INDEX($Y$9:$Y$150,MATCH($II81,$M$9:$M$150,0)),"")</f>
        <v>-2.8192085027328444</v>
      </c>
      <c r="IR81" s="5">
        <f t="shared" si="518"/>
        <v>0.314</v>
      </c>
      <c r="IS81" s="5">
        <f t="shared" ref="IS81:IS144" si="651">IF(ISNUMBER($II81),$IR81*COS(RADIANS(INDEX($AO$9:$AO$150,MATCH($II81,$M$9:$M$150,0)))),"")</f>
        <v>0.24053797548389932</v>
      </c>
      <c r="IT81" s="727">
        <f t="shared" ref="IT81:IT144" si="652">IF(ISNUMBER($II81),(-1*INDEX($AN$9:$AN$150,MATCH($II81,$M$9:$M$150,0))),"")</f>
        <v>90</v>
      </c>
      <c r="IU81" s="9">
        <f t="shared" ref="IU81:IU144" si="653">IF(ISNUMBER($II81),-$X81,"")</f>
        <v>-4.7324142729614476</v>
      </c>
      <c r="IV81" s="5">
        <f t="shared" ref="IV81:IV144" si="654">IF(ISNUMBER($II81),$Y81,"")</f>
        <v>-2.8648157339093592</v>
      </c>
      <c r="IW81" s="5">
        <f t="shared" si="519"/>
        <v>0.25700000000000001</v>
      </c>
      <c r="IX81" s="5">
        <f t="shared" ref="IX81:IX144" si="655">IF(ISNUMBER($II81),$IW81*COS(RADIANS($AO81)),"")</f>
        <v>0.25700000000000001</v>
      </c>
      <c r="IY81" s="762">
        <f t="shared" ref="IY81:IY144" si="656">IF(ISNUMBER($II81),(-1*$AN81),"")</f>
        <v>64.999990615162474</v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0.86602544158358563</v>
      </c>
      <c r="F154" s="170">
        <f t="shared" si="929"/>
        <v>0.12940948735077987</v>
      </c>
      <c r="G154" s="170">
        <f t="shared" si="929"/>
        <v>-0.4829628547968921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6.6987279208207184E-2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6.6987279208207184E-2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0.96504850314925805</v>
      </c>
      <c r="F157" s="170">
        <f t="shared" si="929"/>
        <v>-3.0375779519678237E-2</v>
      </c>
      <c r="G157" s="170">
        <f t="shared" si="929"/>
        <v>-0.26030501068544315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0.95007282306891505</v>
      </c>
      <c r="F158" s="170">
        <f t="shared" si="929"/>
        <v>-0.16860040907041612</v>
      </c>
      <c r="G158" s="170">
        <f t="shared" si="929"/>
        <v>-0.26255577107949968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0.91001539860371139</v>
      </c>
      <c r="F159" s="170">
        <f t="shared" si="929"/>
        <v>-0.32681852294412489</v>
      </c>
      <c r="G159" s="170">
        <f t="shared" si="929"/>
        <v>-0.25507180825161563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0.86087089778490211</v>
      </c>
      <c r="F160" s="170">
        <f t="shared" si="929"/>
        <v>-0.47361815789748463</v>
      </c>
      <c r="G160" s="170">
        <f t="shared" si="929"/>
        <v>-0.18597617550861201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0.81799646796693537</v>
      </c>
      <c r="F161" s="170">
        <f t="shared" si="929"/>
        <v>-0.57104948984485793</v>
      </c>
      <c r="G161" s="170">
        <f t="shared" si="929"/>
        <v>-6.9168334818370036E-2</v>
      </c>
      <c r="H161" s="139"/>
      <c r="I161" s="86"/>
      <c r="J161" s="79">
        <f t="shared" si="930"/>
        <v>1.131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0.72872970558035144</v>
      </c>
      <c r="F162" s="170">
        <f t="shared" si="929"/>
        <v>-0.68480144290500333</v>
      </c>
      <c r="G162" s="170">
        <f t="shared" si="929"/>
        <v>-2.1066442159928389E-17</v>
      </c>
      <c r="H162" s="139"/>
      <c r="I162" s="86"/>
      <c r="J162" s="79">
        <f t="shared" si="930"/>
        <v>1.1359999999999999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7.9638860250929921E-2</v>
      </c>
      <c r="F163" s="170">
        <f t="shared" si="929"/>
        <v>0.29795755927366757</v>
      </c>
      <c r="G163" s="170">
        <f t="shared" si="929"/>
        <v>-0.95125125219870899</v>
      </c>
      <c r="H163" s="139"/>
      <c r="I163" s="86"/>
      <c r="J163" s="79">
        <f t="shared" si="930"/>
        <v>1.204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0.11645387943306147</v>
      </c>
      <c r="F164" s="170">
        <f t="shared" si="929"/>
        <v>0.23114015915293729</v>
      </c>
      <c r="G164" s="170">
        <f t="shared" si="929"/>
        <v>-0.96592583607218252</v>
      </c>
      <c r="H164" s="139"/>
      <c r="I164" s="86"/>
      <c r="J164" s="79">
        <f t="shared" si="930"/>
        <v>1.2070000000000001</v>
      </c>
    </row>
    <row r="165" spans="5:16" x14ac:dyDescent="0.25">
      <c r="E165" s="170">
        <f t="shared" si="929"/>
        <v>2.0146393635575334E-2</v>
      </c>
      <c r="F165" s="170">
        <f t="shared" si="929"/>
        <v>4.8302943483577991E-2</v>
      </c>
      <c r="G165" s="170">
        <f t="shared" si="929"/>
        <v>-0.99862953515019925</v>
      </c>
      <c r="H165" s="139"/>
      <c r="I165" s="86"/>
      <c r="J165" s="79">
        <f t="shared" si="930"/>
        <v>1.2110000000000001</v>
      </c>
    </row>
    <row r="166" spans="5:16" x14ac:dyDescent="0.25">
      <c r="E166" s="170">
        <f t="shared" si="929"/>
        <v>0.85186931990772008</v>
      </c>
      <c r="F166" s="170">
        <f t="shared" si="929"/>
        <v>-0.42180252134047341</v>
      </c>
      <c r="G166" s="170">
        <f t="shared" si="929"/>
        <v>-0.31048557903834806</v>
      </c>
      <c r="H166" s="139"/>
      <c r="I166" s="86"/>
      <c r="J166" s="79">
        <f t="shared" si="930"/>
        <v>1.216</v>
      </c>
    </row>
    <row r="167" spans="5:16" x14ac:dyDescent="0.25">
      <c r="E167" s="170">
        <f t="shared" si="929"/>
        <v>0.78805309380813582</v>
      </c>
      <c r="F167" s="170">
        <f t="shared" si="929"/>
        <v>-0.540146719389619</v>
      </c>
      <c r="G167" s="170">
        <f t="shared" si="929"/>
        <v>-0.29531989921449225</v>
      </c>
      <c r="H167" s="139"/>
      <c r="I167" s="86"/>
      <c r="J167" s="79">
        <f t="shared" si="930"/>
        <v>1.2210000000000001</v>
      </c>
    </row>
    <row r="168" spans="5:16" x14ac:dyDescent="0.25">
      <c r="E168" s="170">
        <f t="shared" si="929"/>
        <v>0.71596068770640164</v>
      </c>
      <c r="F168" s="170">
        <f t="shared" si="929"/>
        <v>-0.66422369376960766</v>
      </c>
      <c r="G168" s="170">
        <f t="shared" si="929"/>
        <v>-0.21495855017662138</v>
      </c>
      <c r="H168" s="139"/>
      <c r="I168" s="86"/>
      <c r="J168" s="79">
        <f t="shared" si="930"/>
        <v>1.226</v>
      </c>
    </row>
    <row r="169" spans="5:16" x14ac:dyDescent="0.25">
      <c r="E169" s="170">
        <f t="shared" si="929"/>
        <v>-0.24143772008641151</v>
      </c>
      <c r="F169" s="170">
        <f t="shared" si="929"/>
        <v>-0.87355681365752114</v>
      </c>
      <c r="G169" s="170">
        <f t="shared" si="929"/>
        <v>-0.42261841019055779</v>
      </c>
      <c r="H169" s="139"/>
      <c r="I169" s="86"/>
      <c r="J169" s="79">
        <f t="shared" si="930"/>
        <v>1.2310000000000001</v>
      </c>
    </row>
    <row r="170" spans="5:16" x14ac:dyDescent="0.25">
      <c r="E170" s="170">
        <f t="shared" si="929"/>
        <v>-0.24067530623051958</v>
      </c>
      <c r="F170" s="170">
        <f t="shared" si="929"/>
        <v>-0.87376717513239821</v>
      </c>
      <c r="G170" s="170">
        <f t="shared" si="929"/>
        <v>-0.4226184101905579</v>
      </c>
      <c r="H170" s="139"/>
      <c r="I170" s="86"/>
      <c r="J170" s="79">
        <f t="shared" si="930"/>
        <v>1.236</v>
      </c>
    </row>
    <row r="171" spans="5:16" x14ac:dyDescent="0.25">
      <c r="E171" s="170">
        <f t="shared" si="929"/>
        <v>0.32488719741133415</v>
      </c>
      <c r="F171" s="170">
        <f t="shared" si="929"/>
        <v>-0.90919588513458016</v>
      </c>
      <c r="G171" s="170">
        <f t="shared" si="929"/>
        <v>-0.26040574381636844</v>
      </c>
      <c r="H171" s="139"/>
      <c r="I171" s="86"/>
      <c r="J171" s="79">
        <f t="shared" si="930"/>
        <v>2.11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Inactive</v>
      </c>
    </row>
    <row r="172" spans="5:16" x14ac:dyDescent="0.25">
      <c r="E172" s="170">
        <f t="shared" si="929"/>
        <v>0.19724291680718509</v>
      </c>
      <c r="F172" s="170">
        <f t="shared" si="929"/>
        <v>-0.9461869052245907</v>
      </c>
      <c r="G172" s="170">
        <f t="shared" si="929"/>
        <v>-0.25656494723735235</v>
      </c>
      <c r="H172" s="139"/>
      <c r="I172" s="86"/>
      <c r="J172" s="79">
        <f t="shared" si="930"/>
        <v>2.1150000000000002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3.6781930622160355E-2</v>
      </c>
      <c r="F173" s="170">
        <f t="shared" si="929"/>
        <v>-0.96448909700941154</v>
      </c>
      <c r="G173" s="170">
        <f t="shared" si="929"/>
        <v>-0.26154898457015041</v>
      </c>
      <c r="H173" s="139"/>
      <c r="I173" s="86"/>
      <c r="J173" s="79">
        <f t="shared" si="930"/>
        <v>2.12</v>
      </c>
      <c r="O173" t="str">
        <f>IF($J24="","",IFERROR(INDEX(Settings!$AK$14:$AK$32,MATCH((((ROUND($H24,6)*2)*1000000)+ROUND($I24,6)),Settings!$AI$14:$AI$32,0)),"Undefined"))</f>
        <v>CPS-31837r1</v>
      </c>
    </row>
    <row r="174" spans="5:16" x14ac:dyDescent="0.25">
      <c r="E174" s="170">
        <f t="shared" ref="E174:G193" si="933">E29*-1</f>
        <v>-0.12172256983752197</v>
      </c>
      <c r="F174" s="170">
        <f t="shared" si="933"/>
        <v>-0.97128179946544491</v>
      </c>
      <c r="G174" s="170">
        <f t="shared" si="933"/>
        <v>-0.2044389444780936</v>
      </c>
      <c r="H174" s="139"/>
      <c r="I174" s="86"/>
      <c r="J174" s="79">
        <f t="shared" si="930"/>
        <v>2.125</v>
      </c>
    </row>
    <row r="175" spans="5:16" x14ac:dyDescent="0.25">
      <c r="E175" s="170">
        <f t="shared" si="933"/>
        <v>-0.23990682377583247</v>
      </c>
      <c r="F175" s="170">
        <f t="shared" si="933"/>
        <v>-0.96846548082461748</v>
      </c>
      <c r="G175" s="170">
        <f t="shared" si="933"/>
        <v>-6.7225950026268619E-2</v>
      </c>
      <c r="H175" s="139"/>
      <c r="I175" s="86"/>
      <c r="J175" s="79">
        <f t="shared" si="930"/>
        <v>2.13</v>
      </c>
    </row>
    <row r="176" spans="5:16" x14ac:dyDescent="0.25">
      <c r="E176" s="170">
        <f t="shared" si="933"/>
        <v>-0.39426329584149566</v>
      </c>
      <c r="F176" s="170">
        <f t="shared" si="933"/>
        <v>-0.91899752641244969</v>
      </c>
      <c r="G176" s="170">
        <f t="shared" si="933"/>
        <v>0</v>
      </c>
      <c r="H176" s="139"/>
      <c r="I176" s="86"/>
      <c r="J176" s="79">
        <f t="shared" si="930"/>
        <v>2.1349999999999998</v>
      </c>
    </row>
    <row r="177" spans="5:10" x14ac:dyDescent="0.25">
      <c r="E177" s="170">
        <f t="shared" si="933"/>
        <v>0.10426610831566922</v>
      </c>
      <c r="F177" s="170">
        <f t="shared" si="933"/>
        <v>-7.4010233278501243E-3</v>
      </c>
      <c r="G177" s="170">
        <f t="shared" si="933"/>
        <v>-0.99452189694868243</v>
      </c>
      <c r="H177" s="139"/>
      <c r="I177" s="86"/>
      <c r="J177" s="79">
        <f t="shared" si="930"/>
        <v>2.21</v>
      </c>
    </row>
    <row r="178" spans="5:10" x14ac:dyDescent="0.25">
      <c r="E178" s="170">
        <f t="shared" si="933"/>
        <v>-8.3363738659811587E-2</v>
      </c>
      <c r="F178" s="170">
        <f t="shared" si="933"/>
        <v>-0.94854218259951306</v>
      </c>
      <c r="G178" s="170">
        <f t="shared" si="933"/>
        <v>-0.30548030199345255</v>
      </c>
      <c r="H178" s="139"/>
      <c r="I178" s="86"/>
      <c r="J178" s="79">
        <f t="shared" si="930"/>
        <v>2.2149999999999999</v>
      </c>
    </row>
    <row r="179" spans="5:10" x14ac:dyDescent="0.25">
      <c r="E179" s="170">
        <f t="shared" si="933"/>
        <v>-0.20959486846970513</v>
      </c>
      <c r="F179" s="170">
        <f t="shared" si="933"/>
        <v>-0.92943900545918345</v>
      </c>
      <c r="G179" s="170">
        <f t="shared" si="933"/>
        <v>-0.3036661427327898</v>
      </c>
      <c r="H179" s="139"/>
      <c r="I179" s="86"/>
      <c r="J179" s="79">
        <f t="shared" si="930"/>
        <v>2.2200000000000002</v>
      </c>
    </row>
    <row r="180" spans="5:10" x14ac:dyDescent="0.25">
      <c r="E180" s="170">
        <f t="shared" si="933"/>
        <v>-0.3522881038330527</v>
      </c>
      <c r="F180" s="170">
        <f t="shared" si="933"/>
        <v>-0.90567584397819223</v>
      </c>
      <c r="G180" s="170">
        <f t="shared" si="933"/>
        <v>-0.23589056261771374</v>
      </c>
      <c r="H180" s="139"/>
      <c r="I180" s="86"/>
      <c r="J180" s="79">
        <f t="shared" si="930"/>
        <v>2.2250000000000001</v>
      </c>
    </row>
    <row r="181" spans="5:10" x14ac:dyDescent="0.25">
      <c r="E181" s="170">
        <f t="shared" si="933"/>
        <v>-0.90345150780014616</v>
      </c>
      <c r="F181" s="170">
        <f t="shared" si="933"/>
        <v>-7.1896122438198942E-2</v>
      </c>
      <c r="G181" s="170">
        <f t="shared" si="933"/>
        <v>-0.42261841019055735</v>
      </c>
      <c r="H181" s="139"/>
      <c r="I181" s="86"/>
      <c r="J181" s="79">
        <f t="shared" si="930"/>
        <v>2.23</v>
      </c>
    </row>
    <row r="182" spans="5:10" x14ac:dyDescent="0.25">
      <c r="E182" s="170">
        <f t="shared" si="933"/>
        <v>-0.90338842260565688</v>
      </c>
      <c r="F182" s="170">
        <f t="shared" si="933"/>
        <v>-7.2684505020455009E-2</v>
      </c>
      <c r="G182" s="170">
        <f t="shared" si="933"/>
        <v>-0.42261841019055796</v>
      </c>
      <c r="H182" s="139"/>
      <c r="I182" s="86"/>
      <c r="J182" s="79">
        <f t="shared" si="930"/>
        <v>2.2349999999999999</v>
      </c>
    </row>
    <row r="183" spans="5:10" x14ac:dyDescent="0.25">
      <c r="E183" s="170">
        <f t="shared" si="933"/>
        <v>-0.71897774371020229</v>
      </c>
      <c r="F183" s="170">
        <f t="shared" si="933"/>
        <v>-0.61149757067390431</v>
      </c>
      <c r="G183" s="170">
        <f t="shared" si="933"/>
        <v>-0.33036604714967338</v>
      </c>
      <c r="H183" s="139"/>
      <c r="I183" s="86"/>
      <c r="J183" s="79">
        <f t="shared" si="930"/>
        <v>3.1030000000000002</v>
      </c>
    </row>
    <row r="184" spans="5:10" x14ac:dyDescent="0.25">
      <c r="E184" s="170">
        <f t="shared" si="933"/>
        <v>-0.75281812825823691</v>
      </c>
      <c r="F184" s="170">
        <f t="shared" si="933"/>
        <v>-0.60890465767086721</v>
      </c>
      <c r="G184" s="170">
        <f t="shared" si="933"/>
        <v>-0.24999996726497564</v>
      </c>
      <c r="H184" s="139"/>
      <c r="I184" s="86"/>
      <c r="J184" s="79">
        <f t="shared" si="930"/>
        <v>3.1059999999999999</v>
      </c>
    </row>
    <row r="185" spans="5:10" x14ac:dyDescent="0.25">
      <c r="E185" s="170">
        <f t="shared" si="933"/>
        <v>-0.7801248092905434</v>
      </c>
      <c r="F185" s="170">
        <f t="shared" si="933"/>
        <v>-0.56960972886661143</v>
      </c>
      <c r="G185" s="170">
        <f t="shared" si="933"/>
        <v>-0.25874705546131105</v>
      </c>
      <c r="H185" s="139"/>
      <c r="I185" s="86"/>
      <c r="J185" s="79">
        <f t="shared" si="930"/>
        <v>3.109</v>
      </c>
    </row>
    <row r="186" spans="5:10" x14ac:dyDescent="0.25">
      <c r="E186" s="170">
        <f t="shared" si="933"/>
        <v>-0.85103859259950099</v>
      </c>
      <c r="F186" s="170">
        <f t="shared" si="933"/>
        <v>-0.46274430758006235</v>
      </c>
      <c r="G186" s="170">
        <f t="shared" si="933"/>
        <v>-0.24819552717264898</v>
      </c>
      <c r="H186" s="139"/>
      <c r="I186" s="86"/>
      <c r="J186" s="79">
        <f t="shared" si="930"/>
        <v>3.1139999999999999</v>
      </c>
    </row>
    <row r="187" spans="5:10" x14ac:dyDescent="0.25">
      <c r="E187" s="170">
        <f t="shared" si="933"/>
        <v>-0.91066443353589832</v>
      </c>
      <c r="F187" s="170">
        <f t="shared" si="933"/>
        <v>-0.31642592547430348</v>
      </c>
      <c r="G187" s="170">
        <f t="shared" si="933"/>
        <v>-0.26564059023513736</v>
      </c>
      <c r="H187" s="139"/>
      <c r="I187" s="86"/>
      <c r="J187" s="79">
        <f t="shared" si="930"/>
        <v>3.1190000000000002</v>
      </c>
    </row>
    <row r="188" spans="5:10" x14ac:dyDescent="0.25">
      <c r="E188" s="170">
        <f t="shared" si="933"/>
        <v>-0.9616414590847967</v>
      </c>
      <c r="F188" s="170">
        <f t="shared" si="933"/>
        <v>-0.16300792649645773</v>
      </c>
      <c r="G188" s="170">
        <f t="shared" si="933"/>
        <v>-0.22062212053325203</v>
      </c>
      <c r="H188" s="139"/>
      <c r="I188" s="86"/>
      <c r="J188" s="79">
        <f t="shared" si="930"/>
        <v>3.1240000000000001</v>
      </c>
    </row>
    <row r="189" spans="5:10" x14ac:dyDescent="0.25">
      <c r="E189" s="170">
        <f t="shared" si="933"/>
        <v>-0.99254005066582907</v>
      </c>
      <c r="F189" s="170">
        <f t="shared" si="933"/>
        <v>-2.9171131542461766E-2</v>
      </c>
      <c r="G189" s="170">
        <f t="shared" si="933"/>
        <v>-0.11837775512656888</v>
      </c>
      <c r="H189" s="139"/>
      <c r="I189" s="86"/>
      <c r="J189" s="79">
        <f t="shared" si="930"/>
        <v>3.129</v>
      </c>
    </row>
    <row r="190" spans="5:10" x14ac:dyDescent="0.25">
      <c r="E190" s="170">
        <f t="shared" si="933"/>
        <v>-0.99589965134774583</v>
      </c>
      <c r="F190" s="170">
        <f t="shared" si="933"/>
        <v>5.0782436666643851E-2</v>
      </c>
      <c r="G190" s="170">
        <f t="shared" si="933"/>
        <v>-7.4866738753846349E-2</v>
      </c>
      <c r="H190" s="139"/>
      <c r="I190" s="86"/>
      <c r="J190" s="79">
        <f t="shared" si="930"/>
        <v>3.1339999999999999</v>
      </c>
    </row>
    <row r="191" spans="5:10" x14ac:dyDescent="0.25">
      <c r="E191" s="170">
        <f t="shared" si="933"/>
        <v>-0.98972632182788034</v>
      </c>
      <c r="F191" s="170">
        <f t="shared" si="933"/>
        <v>0.14297485051943598</v>
      </c>
      <c r="G191" s="170">
        <f t="shared" si="933"/>
        <v>0</v>
      </c>
      <c r="H191" s="139"/>
      <c r="I191" s="86"/>
      <c r="J191" s="79">
        <f t="shared" si="930"/>
        <v>3.1389999999999998</v>
      </c>
    </row>
    <row r="192" spans="5:10" x14ac:dyDescent="0.25">
      <c r="E192" s="170">
        <f t="shared" si="933"/>
        <v>0.18947983041647937</v>
      </c>
      <c r="F192" s="170">
        <f t="shared" si="933"/>
        <v>-0.24334841083461067</v>
      </c>
      <c r="G192" s="170">
        <f t="shared" si="933"/>
        <v>-0.9512512521987091</v>
      </c>
      <c r="H192" s="139"/>
      <c r="I192" s="86"/>
      <c r="J192" s="79">
        <f t="shared" si="930"/>
        <v>3.206</v>
      </c>
    </row>
    <row r="193" spans="5:10" x14ac:dyDescent="0.25">
      <c r="E193" s="170">
        <f t="shared" si="933"/>
        <v>3.8533021460149246E-2</v>
      </c>
      <c r="F193" s="170">
        <f t="shared" si="933"/>
        <v>-0.1516144488539197</v>
      </c>
      <c r="G193" s="170">
        <f t="shared" si="933"/>
        <v>-0.98768834414296591</v>
      </c>
      <c r="H193" s="139"/>
      <c r="I193" s="86"/>
      <c r="J193" s="79">
        <f t="shared" si="930"/>
        <v>3.2090000000000001</v>
      </c>
    </row>
    <row r="194" spans="5:10" x14ac:dyDescent="0.25">
      <c r="E194" s="170">
        <f t="shared" ref="E194:G213" si="934">E49*-1</f>
        <v>-3.3501992145580903E-2</v>
      </c>
      <c r="F194" s="170">
        <f t="shared" si="934"/>
        <v>0.12113198826017596</v>
      </c>
      <c r="G194" s="170">
        <f t="shared" si="934"/>
        <v>-0.9920708936071122</v>
      </c>
      <c r="H194" s="139"/>
      <c r="I194" s="86"/>
      <c r="J194" s="79">
        <f t="shared" si="930"/>
        <v>3.214</v>
      </c>
    </row>
    <row r="195" spans="5:10" x14ac:dyDescent="0.25">
      <c r="E195" s="170">
        <f t="shared" si="934"/>
        <v>-0.94859129034089251</v>
      </c>
      <c r="F195" s="170">
        <f t="shared" si="934"/>
        <v>-6.6345535694974922E-2</v>
      </c>
      <c r="G195" s="170">
        <f t="shared" si="934"/>
        <v>-0.30947186266726662</v>
      </c>
      <c r="H195" s="139"/>
      <c r="I195" s="86"/>
      <c r="J195" s="79">
        <f t="shared" si="930"/>
        <v>3.2189999999999999</v>
      </c>
    </row>
    <row r="196" spans="5:10" x14ac:dyDescent="0.25">
      <c r="E196" s="170">
        <f t="shared" si="934"/>
        <v>-0.30342599620619576</v>
      </c>
      <c r="F196" s="170">
        <f t="shared" si="934"/>
        <v>0.85400605629836313</v>
      </c>
      <c r="G196" s="170">
        <f t="shared" si="934"/>
        <v>-0.42261841019055801</v>
      </c>
      <c r="H196" s="139"/>
      <c r="I196" s="86"/>
      <c r="J196" s="79">
        <f t="shared" si="930"/>
        <v>3.234</v>
      </c>
    </row>
    <row r="197" spans="5:10" x14ac:dyDescent="0.25">
      <c r="E197" s="170">
        <f t="shared" si="934"/>
        <v>-0.3040221308292072</v>
      </c>
      <c r="F197" s="170">
        <f t="shared" si="934"/>
        <v>0.85379401692332901</v>
      </c>
      <c r="G197" s="170">
        <f t="shared" si="934"/>
        <v>-0.42261841019055785</v>
      </c>
      <c r="H197" s="139"/>
      <c r="I197" s="86"/>
      <c r="J197" s="79">
        <f t="shared" si="930"/>
        <v>3.2389999999999999</v>
      </c>
    </row>
    <row r="198" spans="5:10" x14ac:dyDescent="0.25">
      <c r="E198" s="170">
        <f t="shared" si="934"/>
        <v>-0.71820069776955142</v>
      </c>
      <c r="F198" s="170">
        <f t="shared" si="934"/>
        <v>0.56351215661847376</v>
      </c>
      <c r="G198" s="170">
        <f t="shared" si="934"/>
        <v>-0.40821784266066358</v>
      </c>
      <c r="H198" s="139"/>
      <c r="I198" s="86"/>
      <c r="J198" s="79">
        <f t="shared" si="930"/>
        <v>4.1020000000000003</v>
      </c>
    </row>
    <row r="199" spans="5:10" x14ac:dyDescent="0.25">
      <c r="E199" s="170">
        <f t="shared" si="934"/>
        <v>-0.73037965194951104</v>
      </c>
      <c r="F199" s="170">
        <f t="shared" si="934"/>
        <v>0.63564579789818654</v>
      </c>
      <c r="G199" s="170">
        <f t="shared" si="934"/>
        <v>-0.24999996726497561</v>
      </c>
      <c r="H199" s="139"/>
      <c r="I199" s="86"/>
      <c r="J199" s="79">
        <f t="shared" si="930"/>
        <v>4.1050000000000004</v>
      </c>
    </row>
    <row r="200" spans="5:10" x14ac:dyDescent="0.25">
      <c r="E200" s="170">
        <f t="shared" si="934"/>
        <v>-0.71815944407708832</v>
      </c>
      <c r="F200" s="170">
        <f t="shared" si="934"/>
        <v>0.64785401336525339</v>
      </c>
      <c r="G200" s="170">
        <f t="shared" si="934"/>
        <v>-0.25403186857050369</v>
      </c>
      <c r="H200" s="139"/>
      <c r="I200" s="86"/>
      <c r="J200" s="79">
        <f t="shared" si="930"/>
        <v>4.1079999999999997</v>
      </c>
    </row>
    <row r="201" spans="5:10" x14ac:dyDescent="0.25">
      <c r="E201" s="170">
        <f t="shared" si="934"/>
        <v>-0.62308004192155308</v>
      </c>
      <c r="F201" s="170">
        <f t="shared" si="934"/>
        <v>0.73963837074598449</v>
      </c>
      <c r="G201" s="170">
        <f t="shared" si="934"/>
        <v>-0.25437441278411127</v>
      </c>
      <c r="H201" s="139"/>
      <c r="I201" s="86"/>
      <c r="J201" s="79">
        <f t="shared" si="930"/>
        <v>4.1130000000000004</v>
      </c>
    </row>
    <row r="202" spans="5:10" x14ac:dyDescent="0.25">
      <c r="E202" s="170">
        <f t="shared" si="934"/>
        <v>-0.4978361711226188</v>
      </c>
      <c r="F202" s="170">
        <f t="shared" si="934"/>
        <v>0.82512021912563194</v>
      </c>
      <c r="G202" s="170">
        <f t="shared" si="934"/>
        <v>-0.26708757124216753</v>
      </c>
      <c r="H202" s="139"/>
      <c r="I202" s="86"/>
      <c r="J202" s="79">
        <f t="shared" si="930"/>
        <v>4.1180000000000003</v>
      </c>
    </row>
    <row r="203" spans="5:10" x14ac:dyDescent="0.25">
      <c r="E203" s="170">
        <f t="shared" si="934"/>
        <v>-0.35529687413149191</v>
      </c>
      <c r="F203" s="170">
        <f t="shared" si="934"/>
        <v>0.90485653838352409</v>
      </c>
      <c r="G203" s="170">
        <f t="shared" si="934"/>
        <v>-0.2345181787772046</v>
      </c>
      <c r="H203" s="139"/>
      <c r="I203" s="86"/>
      <c r="J203" s="79">
        <f t="shared" si="930"/>
        <v>4.1230000000000002</v>
      </c>
    </row>
    <row r="204" spans="5:10" x14ac:dyDescent="0.25">
      <c r="E204" s="170">
        <f t="shared" si="934"/>
        <v>-0.22414188236791796</v>
      </c>
      <c r="F204" s="170">
        <f t="shared" si="934"/>
        <v>0.96403722860968144</v>
      </c>
      <c r="G204" s="170">
        <f t="shared" si="934"/>
        <v>-0.14280279557183531</v>
      </c>
      <c r="H204" s="139"/>
      <c r="I204" s="86"/>
      <c r="J204" s="79">
        <f t="shared" si="930"/>
        <v>4.1280000000000001</v>
      </c>
    </row>
    <row r="205" spans="5:10" x14ac:dyDescent="0.25">
      <c r="E205" s="170">
        <f t="shared" si="934"/>
        <v>-0.14014342049516532</v>
      </c>
      <c r="F205" s="170">
        <f t="shared" si="934"/>
        <v>0.98743728011045118</v>
      </c>
      <c r="G205" s="170">
        <f t="shared" si="934"/>
        <v>-7.2989311135191137E-2</v>
      </c>
      <c r="H205" s="139"/>
      <c r="I205" s="86"/>
      <c r="J205" s="79">
        <f t="shared" si="930"/>
        <v>4.133</v>
      </c>
    </row>
    <row r="206" spans="5:10" x14ac:dyDescent="0.25">
      <c r="E206" s="170">
        <f t="shared" si="934"/>
        <v>-3.1061632395292083E-2</v>
      </c>
      <c r="F206" s="170">
        <f t="shared" si="934"/>
        <v>0.99951747107939037</v>
      </c>
      <c r="G206" s="170">
        <f t="shared" si="934"/>
        <v>0</v>
      </c>
      <c r="H206" s="139"/>
      <c r="I206" s="86"/>
      <c r="J206" s="79">
        <f t="shared" si="930"/>
        <v>4.1379999999999999</v>
      </c>
    </row>
    <row r="207" spans="5:10" x14ac:dyDescent="0.25">
      <c r="E207" s="170">
        <f t="shared" si="934"/>
        <v>-0.23214397781436028</v>
      </c>
      <c r="F207" s="170">
        <f t="shared" si="934"/>
        <v>-0.20305228084144739</v>
      </c>
      <c r="G207" s="170">
        <f t="shared" si="934"/>
        <v>-0.9512512521987091</v>
      </c>
      <c r="H207" s="139"/>
      <c r="I207" s="86"/>
      <c r="J207" s="79">
        <f t="shared" si="930"/>
        <v>4.2050000000000001</v>
      </c>
    </row>
    <row r="208" spans="5:10" x14ac:dyDescent="0.25">
      <c r="E208" s="170">
        <f t="shared" si="934"/>
        <v>-0.19324461394678216</v>
      </c>
      <c r="F208" s="170">
        <f t="shared" si="934"/>
        <v>-7.6705788959305105E-2</v>
      </c>
      <c r="G208" s="170">
        <f t="shared" si="934"/>
        <v>-0.9781476070208881</v>
      </c>
      <c r="H208" s="139"/>
      <c r="I208" s="86"/>
      <c r="J208" s="79">
        <f t="shared" si="930"/>
        <v>4.2080000000000002</v>
      </c>
    </row>
    <row r="209" spans="5:10" x14ac:dyDescent="0.25">
      <c r="E209" s="170">
        <f t="shared" si="934"/>
        <v>5.7254264033758995E-2</v>
      </c>
      <c r="F209" s="170">
        <f t="shared" si="934"/>
        <v>2.6201191698757034E-2</v>
      </c>
      <c r="G209" s="170">
        <f t="shared" si="934"/>
        <v>-0.99801575478722671</v>
      </c>
      <c r="H209" s="139"/>
      <c r="I209" s="86"/>
      <c r="J209" s="79">
        <f t="shared" si="930"/>
        <v>4.2130000000000001</v>
      </c>
    </row>
    <row r="210" spans="5:10" x14ac:dyDescent="0.25">
      <c r="E210" s="170">
        <f t="shared" si="934"/>
        <v>-0.25604678018193916</v>
      </c>
      <c r="F210" s="170">
        <f t="shared" si="934"/>
        <v>0.91477093429615175</v>
      </c>
      <c r="G210" s="170">
        <f t="shared" si="934"/>
        <v>-0.3124646926060724</v>
      </c>
      <c r="H210" s="139"/>
      <c r="I210" s="86"/>
      <c r="J210" s="79">
        <f t="shared" si="930"/>
        <v>4.218</v>
      </c>
    </row>
    <row r="211" spans="5:10" x14ac:dyDescent="0.25">
      <c r="E211" s="170">
        <f t="shared" si="934"/>
        <v>-0.11904255238824701</v>
      </c>
      <c r="F211" s="170">
        <f t="shared" si="934"/>
        <v>0.95530164888785818</v>
      </c>
      <c r="G211" s="170">
        <f t="shared" si="934"/>
        <v>-0.27060604271344474</v>
      </c>
      <c r="H211" s="139"/>
      <c r="I211" s="86"/>
      <c r="J211" s="79">
        <f t="shared" si="930"/>
        <v>4.2229999999999999</v>
      </c>
    </row>
    <row r="212" spans="5:10" x14ac:dyDescent="0.25">
      <c r="E212" s="170">
        <f t="shared" si="934"/>
        <v>-1.5771857622861339E-2</v>
      </c>
      <c r="F212" s="170">
        <f t="shared" si="934"/>
        <v>0.9884340681332715</v>
      </c>
      <c r="G212" s="170">
        <f t="shared" si="934"/>
        <v>-0.15082884823744944</v>
      </c>
      <c r="H212" s="139"/>
      <c r="I212" s="86"/>
      <c r="J212" s="79">
        <f t="shared" si="930"/>
        <v>4.2279999999999998</v>
      </c>
    </row>
    <row r="213" spans="5:10" x14ac:dyDescent="0.25">
      <c r="E213" s="170">
        <f t="shared" si="934"/>
        <v>0.78834232392808723</v>
      </c>
      <c r="F213" s="170">
        <f t="shared" si="934"/>
        <v>0.44711302784829238</v>
      </c>
      <c r="G213" s="170">
        <f t="shared" si="934"/>
        <v>-0.42261841019055818</v>
      </c>
      <c r="H213" s="139"/>
      <c r="I213" s="86"/>
      <c r="J213" s="79">
        <f t="shared" si="930"/>
        <v>4.2329999999999997</v>
      </c>
    </row>
    <row r="214" spans="5:10" x14ac:dyDescent="0.25">
      <c r="E214" s="170">
        <f t="shared" ref="E214:G233" si="935">E69*-1</f>
        <v>0.7880299881057502</v>
      </c>
      <c r="F214" s="170">
        <f t="shared" si="935"/>
        <v>0.44766328553283924</v>
      </c>
      <c r="G214" s="170">
        <f t="shared" si="935"/>
        <v>-0.42261841019055801</v>
      </c>
      <c r="H214" s="139"/>
      <c r="I214" s="86"/>
      <c r="J214" s="79">
        <f t="shared" si="930"/>
        <v>4.2380000000000004</v>
      </c>
    </row>
    <row r="215" spans="5:10" x14ac:dyDescent="0.25">
      <c r="E215" s="170">
        <f t="shared" si="935"/>
        <v>0.45746890382503397</v>
      </c>
      <c r="F215" s="170">
        <f t="shared" si="935"/>
        <v>0.85081542523631903</v>
      </c>
      <c r="G215" s="170">
        <f t="shared" si="935"/>
        <v>-0.25852526803595743</v>
      </c>
      <c r="H215" s="139"/>
      <c r="I215" s="86"/>
      <c r="J215" s="79">
        <f t="shared" si="930"/>
        <v>5.1120000000000001</v>
      </c>
    </row>
    <row r="216" spans="5:10" x14ac:dyDescent="0.25">
      <c r="E216" s="170">
        <f t="shared" si="935"/>
        <v>0.57958041478879607</v>
      </c>
      <c r="F216" s="170">
        <f t="shared" si="935"/>
        <v>0.77025760104404384</v>
      </c>
      <c r="G216" s="170">
        <f t="shared" si="935"/>
        <v>-0.2660634714257521</v>
      </c>
      <c r="H216" s="139"/>
      <c r="I216" s="86"/>
      <c r="J216" s="79">
        <f t="shared" si="930"/>
        <v>5.117</v>
      </c>
    </row>
    <row r="217" spans="5:10" x14ac:dyDescent="0.25">
      <c r="E217" s="170">
        <f t="shared" si="935"/>
        <v>0.70517705431419075</v>
      </c>
      <c r="F217" s="170">
        <f t="shared" si="935"/>
        <v>0.66500805197846102</v>
      </c>
      <c r="G217" s="170">
        <f t="shared" si="935"/>
        <v>-0.24594636177950133</v>
      </c>
      <c r="H217" s="139"/>
      <c r="I217" s="86"/>
      <c r="J217" s="79">
        <f t="shared" si="930"/>
        <v>5.1219999999999999</v>
      </c>
    </row>
    <row r="218" spans="5:10" x14ac:dyDescent="0.25">
      <c r="E218" s="170">
        <f t="shared" si="935"/>
        <v>0.81199264762659673</v>
      </c>
      <c r="F218" s="170">
        <f t="shared" si="935"/>
        <v>0.55976387294613639</v>
      </c>
      <c r="G218" s="170">
        <f t="shared" si="935"/>
        <v>-0.1653249731428722</v>
      </c>
      <c r="H218" s="139"/>
      <c r="I218" s="86"/>
      <c r="J218" s="79">
        <f t="shared" si="930"/>
        <v>5.1269999999999998</v>
      </c>
    </row>
    <row r="219" spans="5:10" x14ac:dyDescent="0.25">
      <c r="E219" s="170">
        <f t="shared" si="935"/>
        <v>0.87169304051074292</v>
      </c>
      <c r="F219" s="170">
        <f t="shared" si="935"/>
        <v>0.48486854378210653</v>
      </c>
      <c r="G219" s="170">
        <f t="shared" si="935"/>
        <v>-7.1089650271721136E-2</v>
      </c>
      <c r="H219" s="139"/>
      <c r="I219" s="86"/>
      <c r="J219" s="79">
        <f t="shared" ref="J219:J282" si="936">J74</f>
        <v>5.1319999999999997</v>
      </c>
    </row>
    <row r="220" spans="5:10" x14ac:dyDescent="0.25">
      <c r="E220" s="170">
        <f t="shared" si="935"/>
        <v>0.92861542250551432</v>
      </c>
      <c r="F220" s="170">
        <f t="shared" si="935"/>
        <v>0.37104365927058386</v>
      </c>
      <c r="G220" s="170">
        <f t="shared" si="935"/>
        <v>0</v>
      </c>
      <c r="H220" s="139"/>
      <c r="I220" s="86"/>
      <c r="J220" s="79">
        <f t="shared" si="936"/>
        <v>5.1369999999999996</v>
      </c>
    </row>
    <row r="221" spans="5:10" x14ac:dyDescent="0.25">
      <c r="E221" s="170">
        <f t="shared" si="935"/>
        <v>1.6432036903320308E-7</v>
      </c>
      <c r="F221" s="170">
        <f t="shared" si="935"/>
        <v>1.5631615862883787E-7</v>
      </c>
      <c r="G221" s="170">
        <f t="shared" si="935"/>
        <v>-0.99999999999997435</v>
      </c>
      <c r="H221" s="139"/>
      <c r="I221" s="86"/>
      <c r="J221" s="79">
        <f t="shared" si="936"/>
        <v>5.2119999999999997</v>
      </c>
    </row>
    <row r="222" spans="5:10" x14ac:dyDescent="0.25">
      <c r="E222" s="170">
        <f t="shared" si="935"/>
        <v>0.75652225769067638</v>
      </c>
      <c r="F222" s="170">
        <f t="shared" si="935"/>
        <v>0.57430334349388223</v>
      </c>
      <c r="G222" s="170">
        <f t="shared" si="935"/>
        <v>-0.31280943603150763</v>
      </c>
      <c r="H222" s="139"/>
      <c r="I222" s="86"/>
      <c r="J222" s="79">
        <f t="shared" si="936"/>
        <v>5.2169999999999996</v>
      </c>
    </row>
    <row r="223" spans="5:10" x14ac:dyDescent="0.25">
      <c r="E223" s="170">
        <f t="shared" si="935"/>
        <v>0.83993130150736506</v>
      </c>
      <c r="F223" s="170">
        <f t="shared" si="935"/>
        <v>0.46233888022996666</v>
      </c>
      <c r="G223" s="170">
        <f t="shared" si="935"/>
        <v>-0.28417981732671405</v>
      </c>
      <c r="H223" s="139"/>
      <c r="I223" s="86"/>
      <c r="J223" s="79">
        <f t="shared" si="936"/>
        <v>5.2220000000000004</v>
      </c>
    </row>
    <row r="224" spans="5:10" x14ac:dyDescent="0.25">
      <c r="E224" s="170">
        <f t="shared" si="935"/>
        <v>0.91487812517364031</v>
      </c>
      <c r="F224" s="170">
        <f t="shared" si="935"/>
        <v>0.35985367116806921</v>
      </c>
      <c r="G224" s="170">
        <f t="shared" si="935"/>
        <v>-0.18303920734538853</v>
      </c>
      <c r="H224" s="139"/>
      <c r="I224" s="86"/>
      <c r="J224" s="79">
        <f t="shared" si="936"/>
        <v>5.2270000000000003</v>
      </c>
    </row>
    <row r="225" spans="5:10" x14ac:dyDescent="0.25">
      <c r="E225" s="170">
        <f t="shared" si="935"/>
        <v>0.68977787124516021</v>
      </c>
      <c r="F225" s="170">
        <f t="shared" si="935"/>
        <v>-0.58787768090692172</v>
      </c>
      <c r="G225" s="170">
        <f t="shared" si="935"/>
        <v>-0.42261841019055801</v>
      </c>
      <c r="H225" s="139"/>
      <c r="I225" s="86"/>
      <c r="J225" s="79">
        <f t="shared" si="936"/>
        <v>5.2320000000000002</v>
      </c>
    </row>
    <row r="226" spans="5:10" x14ac:dyDescent="0.25">
      <c r="E226" s="170">
        <f t="shared" si="935"/>
        <v>0.69018811910316835</v>
      </c>
      <c r="F226" s="170">
        <f t="shared" si="935"/>
        <v>-0.58739598195496356</v>
      </c>
      <c r="G226" s="170">
        <f t="shared" si="935"/>
        <v>-0.42261841019055829</v>
      </c>
      <c r="H226" s="139"/>
      <c r="I226" s="86"/>
      <c r="J226" s="79">
        <f t="shared" si="936"/>
        <v>5.2370000000000001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3044767-93F0-4CCA-84F2-017BCAAF30C8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CA7F96F-A670-4882-A1C4-A6317F960C32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9.875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1610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1610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1610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1.1359999999999999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1.204</v>
      </c>
      <c r="N173" s="869" t="str">
        <f>Assy.Model!K18</f>
        <v>Inactive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1.2070000000000001</v>
      </c>
      <c r="N174" s="869" t="str">
        <f>Assy.Model!K19</f>
        <v>Inactive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1.2110000000000001</v>
      </c>
      <c r="N175" s="869" t="str">
        <f>Assy.Model!K20</f>
        <v>Inactive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1.216</v>
      </c>
      <c r="N176" s="869">
        <f>Assy.Model!K21</f>
        <v>1610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1.2210000000000001</v>
      </c>
      <c r="N177" s="869">
        <f>Assy.Model!K22</f>
        <v>1610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1.226</v>
      </c>
      <c r="N178" s="869">
        <f>Assy.Model!K23</f>
        <v>1610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1.2310000000000001</v>
      </c>
      <c r="N179" s="869" t="str">
        <f>Assy.Model!K24</f>
        <v>Inactive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1.236</v>
      </c>
      <c r="N180" s="869" t="str">
        <f>Assy.Model!K25</f>
        <v>Inactive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2.1150000000000002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2.125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2.13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2.1349999999999998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2.21</v>
      </c>
      <c r="N187" s="869" t="str">
        <f>Assy.Model!K32</f>
        <v>Inactive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2.2149999999999999</v>
      </c>
      <c r="N188" s="869">
        <f>Assy.Model!K33</f>
        <v>1610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2.2200000000000002</v>
      </c>
      <c r="N189" s="869">
        <f>Assy.Model!K34</f>
        <v>1610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2.2250000000000001</v>
      </c>
      <c r="N190" s="869">
        <f>Assy.Model!K35</f>
        <v>1610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2.23</v>
      </c>
      <c r="N191" s="869" t="str">
        <f>Assy.Model!K36</f>
        <v>Inactive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2.2349999999999999</v>
      </c>
      <c r="N192" s="869" t="str">
        <f>Assy.Model!K37</f>
        <v>Inactive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3.1030000000000002</v>
      </c>
      <c r="N193" s="869">
        <f>Assy.Model!K38</f>
        <v>1610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3.1059999999999999</v>
      </c>
      <c r="N194" s="869">
        <f>Assy.Model!K39</f>
        <v>1610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3.109</v>
      </c>
      <c r="N195" s="869">
        <f>Assy.Model!K40</f>
        <v>1610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3.1139999999999999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3.1190000000000002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3.1240000000000001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3.129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3.1339999999999999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3.1389999999999998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3.206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3.2090000000000001</v>
      </c>
      <c r="N203" s="869" t="str">
        <f>Assy.Model!K48</f>
        <v>Inactive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3.214</v>
      </c>
      <c r="N204" s="869" t="str">
        <f>Assy.Model!K49</f>
        <v>Inactive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3.2189999999999999</v>
      </c>
      <c r="N205" s="869">
        <f>Assy.Model!K50</f>
        <v>1610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3.234</v>
      </c>
      <c r="N206" s="869" t="str">
        <f>Assy.Model!K51</f>
        <v>Inactive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3.2389999999999999</v>
      </c>
      <c r="N207" s="869" t="str">
        <f>Assy.Model!K52</f>
        <v>Inactive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4.1020000000000003</v>
      </c>
      <c r="N208" s="869">
        <f>Assy.Model!K53</f>
        <v>1610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4.1050000000000004</v>
      </c>
      <c r="N209" s="869">
        <f>Assy.Model!K54</f>
        <v>1610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4.1079999999999997</v>
      </c>
      <c r="N210" s="869">
        <f>Assy.Model!K55</f>
        <v>1610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4.1130000000000004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4.1180000000000003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4.1230000000000002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4.1280000000000001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4.133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4.1379999999999999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4.2050000000000001</v>
      </c>
      <c r="N217" s="869" t="str">
        <f>Assy.Model!K62</f>
        <v>Inactive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4.2080000000000002</v>
      </c>
      <c r="N218" s="869" t="str">
        <f>Assy.Model!K63</f>
        <v>Inactive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4.2130000000000001</v>
      </c>
      <c r="N219" s="869" t="str">
        <f>Assy.Model!K64</f>
        <v>Inactive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4.218</v>
      </c>
      <c r="N220" s="869">
        <f>Assy.Model!K65</f>
        <v>1610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4.2229999999999999</v>
      </c>
      <c r="N221" s="869">
        <f>Assy.Model!K66</f>
        <v>1610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4.2279999999999998</v>
      </c>
      <c r="N222" s="869">
        <f>Assy.Model!K67</f>
        <v>1610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4.2329999999999997</v>
      </c>
      <c r="N223" s="869" t="str">
        <f>Assy.Model!K68</f>
        <v>Inactive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4.2380000000000004</v>
      </c>
      <c r="N224" s="869" t="str">
        <f>Assy.Model!K69</f>
        <v>Inactive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5.1120000000000001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5.117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5.1219999999999999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5.1269999999999998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5.1319999999999997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5.1369999999999996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5.2119999999999997</v>
      </c>
      <c r="N231" s="869" t="str">
        <f>Assy.Model!K76</f>
        <v>Inactive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5.2169999999999996</v>
      </c>
      <c r="N232" s="869">
        <f>Assy.Model!K77</f>
        <v>1610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5.2220000000000004</v>
      </c>
      <c r="N233" s="869">
        <f>Assy.Model!K78</f>
        <v>1610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5.2270000000000003</v>
      </c>
      <c r="N234" s="869">
        <f>Assy.Model!K79</f>
        <v>1610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5.2320000000000002</v>
      </c>
      <c r="N235" s="869" t="str">
        <f>Assy.Model!K80</f>
        <v>Inactive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5.2370000000000001</v>
      </c>
      <c r="N236" s="869" t="str">
        <f>Assy.Model!K81</f>
        <v>Inactive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2023-03-28T17:51:17Z</dcterms:modified>
</cp:coreProperties>
</file>