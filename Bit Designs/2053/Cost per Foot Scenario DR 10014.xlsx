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0" windowWidth="20580" windowHeight="11640"/>
  </bookViews>
  <sheets>
    <sheet name="Scenario A" sheetId="1" r:id="rId1"/>
    <sheet name="Scenario B" sheetId="8" r:id="rId2"/>
    <sheet name="Scenario C" sheetId="9" r:id="rId3"/>
  </sheets>
  <definedNames>
    <definedName name="_xlnm.Print_Area" localSheetId="0">'Scenario A'!$B$2:$O$40</definedName>
    <definedName name="_xlnm.Print_Area" localSheetId="1">'Scenario B'!$B$2:$O$40</definedName>
    <definedName name="_xlnm.Print_Area" localSheetId="2">'Scenario C'!$B$2:$O$40</definedName>
  </definedNames>
  <calcPr calcId="145621" calcOnSave="0"/>
</workbook>
</file>

<file path=xl/calcChain.xml><?xml version="1.0" encoding="utf-8"?>
<calcChain xmlns="http://schemas.openxmlformats.org/spreadsheetml/2006/main">
  <c r="K37" i="9" l="1"/>
  <c r="J37" i="9"/>
  <c r="I37" i="9"/>
  <c r="M37" i="9" s="1"/>
  <c r="E37" i="9"/>
  <c r="D37" i="9"/>
  <c r="C37" i="9"/>
  <c r="G37" i="9" s="1"/>
  <c r="K36" i="9"/>
  <c r="J36" i="9"/>
  <c r="I36" i="9"/>
  <c r="M36" i="9" s="1"/>
  <c r="E36" i="9"/>
  <c r="D36" i="9"/>
  <c r="C36" i="9"/>
  <c r="G36" i="9" s="1"/>
  <c r="M35" i="9"/>
  <c r="K35" i="9"/>
  <c r="J35" i="9"/>
  <c r="I35" i="9"/>
  <c r="G35" i="9"/>
  <c r="O35" i="9" s="1"/>
  <c r="E35" i="9"/>
  <c r="D35" i="9"/>
  <c r="C35" i="9"/>
  <c r="K34" i="9"/>
  <c r="K38" i="9" s="1"/>
  <c r="K40" i="9" s="1"/>
  <c r="J34" i="9"/>
  <c r="J38" i="9" s="1"/>
  <c r="J40" i="9" s="1"/>
  <c r="I34" i="9"/>
  <c r="M34" i="9" s="1"/>
  <c r="M38" i="9" s="1"/>
  <c r="E34" i="9"/>
  <c r="E38" i="9" s="1"/>
  <c r="E40" i="9" s="1"/>
  <c r="D34" i="9"/>
  <c r="D38" i="9" s="1"/>
  <c r="D40" i="9" s="1"/>
  <c r="C34" i="9"/>
  <c r="G34" i="9" s="1"/>
  <c r="M30" i="9"/>
  <c r="G30" i="9"/>
  <c r="K29" i="9"/>
  <c r="K31" i="9" s="1"/>
  <c r="J29" i="9"/>
  <c r="J31" i="9" s="1"/>
  <c r="I29" i="9"/>
  <c r="I31" i="9" s="1"/>
  <c r="E29" i="9"/>
  <c r="E31" i="9" s="1"/>
  <c r="D29" i="9"/>
  <c r="D31" i="9" s="1"/>
  <c r="C29" i="9"/>
  <c r="C31" i="9" s="1"/>
  <c r="M28" i="9"/>
  <c r="M29" i="9" s="1"/>
  <c r="G28" i="9"/>
  <c r="G29" i="9" s="1"/>
  <c r="M27" i="9"/>
  <c r="G27" i="9"/>
  <c r="L25" i="9"/>
  <c r="F25" i="9"/>
  <c r="L24" i="9"/>
  <c r="F24" i="9"/>
  <c r="K37" i="8"/>
  <c r="J37" i="8"/>
  <c r="M37" i="8" s="1"/>
  <c r="I37" i="8"/>
  <c r="E37" i="8"/>
  <c r="D37" i="8"/>
  <c r="G37" i="8" s="1"/>
  <c r="O37" i="8" s="1"/>
  <c r="C37" i="8"/>
  <c r="K36" i="8"/>
  <c r="J36" i="8"/>
  <c r="I36" i="8"/>
  <c r="M36" i="8" s="1"/>
  <c r="E36" i="8"/>
  <c r="D36" i="8"/>
  <c r="C36" i="8"/>
  <c r="G36" i="8" s="1"/>
  <c r="M35" i="8"/>
  <c r="K35" i="8"/>
  <c r="J35" i="8"/>
  <c r="I35" i="8"/>
  <c r="G35" i="8"/>
  <c r="O35" i="8" s="1"/>
  <c r="E35" i="8"/>
  <c r="D35" i="8"/>
  <c r="C35" i="8"/>
  <c r="K34" i="8"/>
  <c r="K38" i="8" s="1"/>
  <c r="K40" i="8" s="1"/>
  <c r="J34" i="8"/>
  <c r="J38" i="8" s="1"/>
  <c r="J40" i="8" s="1"/>
  <c r="I34" i="8"/>
  <c r="M34" i="8" s="1"/>
  <c r="M38" i="8" s="1"/>
  <c r="E34" i="8"/>
  <c r="E38" i="8" s="1"/>
  <c r="E40" i="8" s="1"/>
  <c r="D34" i="8"/>
  <c r="D38" i="8" s="1"/>
  <c r="D40" i="8" s="1"/>
  <c r="C34" i="8"/>
  <c r="G34" i="8" s="1"/>
  <c r="M30" i="8"/>
  <c r="G30" i="8"/>
  <c r="K29" i="8"/>
  <c r="K31" i="8" s="1"/>
  <c r="J29" i="8"/>
  <c r="J31" i="8" s="1"/>
  <c r="I29" i="8"/>
  <c r="I31" i="8" s="1"/>
  <c r="E29" i="8"/>
  <c r="E31" i="8" s="1"/>
  <c r="D29" i="8"/>
  <c r="D31" i="8" s="1"/>
  <c r="C29" i="8"/>
  <c r="C31" i="8" s="1"/>
  <c r="M28" i="8"/>
  <c r="M29" i="8" s="1"/>
  <c r="G28" i="8"/>
  <c r="G29" i="8" s="1"/>
  <c r="M27" i="8"/>
  <c r="G27" i="8"/>
  <c r="L25" i="8"/>
  <c r="F25" i="8"/>
  <c r="L24" i="8"/>
  <c r="F24" i="8"/>
  <c r="K37" i="1"/>
  <c r="J37" i="1"/>
  <c r="M37" i="1" s="1"/>
  <c r="I37" i="1"/>
  <c r="E37" i="1"/>
  <c r="D37" i="1"/>
  <c r="C37" i="1"/>
  <c r="K36" i="1"/>
  <c r="J36" i="1"/>
  <c r="I36" i="1"/>
  <c r="E36" i="1"/>
  <c r="D36" i="1"/>
  <c r="C36" i="1"/>
  <c r="G36" i="1" s="1"/>
  <c r="M35" i="1"/>
  <c r="K35" i="1"/>
  <c r="J35" i="1"/>
  <c r="I35" i="1"/>
  <c r="G35" i="1"/>
  <c r="O35" i="1" s="1"/>
  <c r="E35" i="1"/>
  <c r="D35" i="1"/>
  <c r="K34" i="1"/>
  <c r="K38" i="1" s="1"/>
  <c r="K40" i="1" s="1"/>
  <c r="J34" i="1"/>
  <c r="J38" i="1" s="1"/>
  <c r="J40" i="1" s="1"/>
  <c r="I34" i="1"/>
  <c r="M34" i="1" s="1"/>
  <c r="E34" i="1"/>
  <c r="D34" i="1"/>
  <c r="D38" i="1" s="1"/>
  <c r="D40" i="1" s="1"/>
  <c r="C34" i="1"/>
  <c r="G34" i="1" s="1"/>
  <c r="M30" i="1"/>
  <c r="G30" i="1"/>
  <c r="K29" i="1"/>
  <c r="K31" i="1" s="1"/>
  <c r="J29" i="1"/>
  <c r="J31" i="1" s="1"/>
  <c r="I29" i="1"/>
  <c r="I31" i="1" s="1"/>
  <c r="E29" i="1"/>
  <c r="E31" i="1" s="1"/>
  <c r="D29" i="1"/>
  <c r="D31" i="1" s="1"/>
  <c r="C29" i="1"/>
  <c r="C31" i="1" s="1"/>
  <c r="M28" i="1"/>
  <c r="M29" i="1" s="1"/>
  <c r="G28" i="1"/>
  <c r="M27" i="1"/>
  <c r="G27" i="1"/>
  <c r="L25" i="1"/>
  <c r="F25" i="1"/>
  <c r="L24" i="1"/>
  <c r="F24" i="1"/>
  <c r="E38" i="1" l="1"/>
  <c r="E40" i="1" s="1"/>
  <c r="C35" i="1"/>
  <c r="C38" i="1" s="1"/>
  <c r="C40" i="1" s="1"/>
  <c r="G29" i="1"/>
  <c r="G31" i="1" s="1"/>
  <c r="M36" i="1"/>
  <c r="M38" i="1" s="1"/>
  <c r="M40" i="1" s="1"/>
  <c r="G37" i="1"/>
  <c r="O37" i="1" s="1"/>
  <c r="G38" i="1"/>
  <c r="G40" i="1" s="1"/>
  <c r="O34" i="1"/>
  <c r="G31" i="8"/>
  <c r="G38" i="8"/>
  <c r="G40" i="8" s="1"/>
  <c r="O34" i="8"/>
  <c r="O38" i="8" s="1"/>
  <c r="O40" i="8" s="1"/>
  <c r="O36" i="8"/>
  <c r="G31" i="9"/>
  <c r="G38" i="9"/>
  <c r="G40" i="9" s="1"/>
  <c r="O34" i="9"/>
  <c r="O38" i="9" s="1"/>
  <c r="O40" i="9" s="1"/>
  <c r="O36" i="9"/>
  <c r="O37" i="9"/>
  <c r="M31" i="1"/>
  <c r="M31" i="8"/>
  <c r="M40" i="8"/>
  <c r="M31" i="9"/>
  <c r="M40" i="9"/>
  <c r="I38" i="1"/>
  <c r="I40" i="1" s="1"/>
  <c r="C38" i="8"/>
  <c r="C40" i="8" s="1"/>
  <c r="I38" i="8"/>
  <c r="I40" i="8" s="1"/>
  <c r="C38" i="9"/>
  <c r="C40" i="9" s="1"/>
  <c r="I38" i="9"/>
  <c r="I40" i="9" s="1"/>
  <c r="O36" i="1" l="1"/>
  <c r="O38" i="1" s="1"/>
  <c r="O40" i="1" s="1"/>
</calcChain>
</file>

<file path=xl/sharedStrings.xml><?xml version="1.0" encoding="utf-8"?>
<sst xmlns="http://schemas.openxmlformats.org/spreadsheetml/2006/main" count="122" uniqueCount="32">
  <si>
    <t>Bit Type</t>
  </si>
  <si>
    <t>Scenario 1</t>
  </si>
  <si>
    <t>Rig Rate ($/hr)</t>
  </si>
  <si>
    <t>Depth In</t>
  </si>
  <si>
    <t>Depth Out</t>
  </si>
  <si>
    <t>Footage</t>
  </si>
  <si>
    <t>Hours</t>
  </si>
  <si>
    <t>Bit 1</t>
  </si>
  <si>
    <t>Bit 2</t>
  </si>
  <si>
    <t>Bit 3</t>
  </si>
  <si>
    <t>ROP (ft/hr)</t>
  </si>
  <si>
    <t>Bit Cost ($ per foot)</t>
  </si>
  <si>
    <t>Bit Cost ($ thru table)</t>
  </si>
  <si>
    <t>Bit Cost</t>
  </si>
  <si>
    <t>Drilling Time Cost</t>
  </si>
  <si>
    <t>Round Trip Rate (hrs/1000 ft)</t>
  </si>
  <si>
    <t>Scenario 2</t>
  </si>
  <si>
    <t>Probability</t>
  </si>
  <si>
    <t>Aggregate Costs</t>
  </si>
  <si>
    <t>Aggregate</t>
  </si>
  <si>
    <t>Costs</t>
  </si>
  <si>
    <t>Trip Time Cost</t>
  </si>
  <si>
    <t>Total Interval Cost</t>
  </si>
  <si>
    <t>Cost Per Foot</t>
  </si>
  <si>
    <t>Scenario-Based Drilling Cost Calculator</t>
  </si>
  <si>
    <t>Motor Repair Charge</t>
  </si>
  <si>
    <t>Motor Hourly cost</t>
  </si>
  <si>
    <t>Motor Minimum cost</t>
  </si>
  <si>
    <t>Motor Cost</t>
  </si>
  <si>
    <t>Using Motor?  (Y/N)</t>
  </si>
  <si>
    <t>8.5 616yr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</si>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</sst>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"/>
    <numFmt numFmtId="165" formatCode="#,##0.0"/>
    <numFmt numFmtId="166" formatCode="&quot;$&quot;#,##0.00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2E2E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9" fontId="1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166" fontId="0" fillId="0" borderId="1" xfId="0" applyNumberFormat="1" applyBorder="1" applyProtection="1">
      <protection locked="0"/>
    </xf>
    <xf numFmtId="3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166" fontId="0" fillId="0" borderId="1" xfId="0" applyNumberFormat="1" applyBorder="1" applyAlignment="1" applyProtection="1">
      <alignment horizontal="center"/>
      <protection locked="0"/>
    </xf>
    <xf numFmtId="0" fontId="0" fillId="0" borderId="0" xfId="0" applyProtection="1"/>
    <xf numFmtId="0" fontId="2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49" fontId="0" fillId="0" borderId="0" xfId="0" applyNumberFormat="1" applyProtection="1"/>
    <xf numFmtId="0" fontId="0" fillId="0" borderId="0" xfId="0" applyAlignment="1" applyProtection="1">
      <alignment horizontal="right"/>
    </xf>
    <xf numFmtId="164" fontId="0" fillId="0" borderId="0" xfId="0" applyNumberFormat="1" applyProtection="1"/>
    <xf numFmtId="2" fontId="0" fillId="0" borderId="0" xfId="0" applyNumberFormat="1" applyProtection="1"/>
    <xf numFmtId="2" fontId="0" fillId="0" borderId="0" xfId="0" applyNumberFormat="1" applyBorder="1" applyProtection="1"/>
    <xf numFmtId="0" fontId="1" fillId="3" borderId="1" xfId="0" applyFont="1" applyFill="1" applyBorder="1" applyAlignment="1" applyProtection="1">
      <alignment horizontal="center"/>
    </xf>
    <xf numFmtId="0" fontId="0" fillId="0" borderId="0" xfId="0" applyBorder="1" applyProtection="1"/>
    <xf numFmtId="0" fontId="4" fillId="0" borderId="0" xfId="0" applyFont="1" applyProtection="1"/>
    <xf numFmtId="0" fontId="1" fillId="2" borderId="3" xfId="0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9" fontId="1" fillId="2" borderId="9" xfId="0" applyNumberFormat="1" applyFont="1" applyFill="1" applyBorder="1" applyAlignment="1" applyProtection="1">
      <alignment horizontal="center"/>
    </xf>
    <xf numFmtId="166" fontId="0" fillId="0" borderId="0" xfId="0" applyNumberFormat="1" applyProtection="1"/>
    <xf numFmtId="3" fontId="0" fillId="5" borderId="9" xfId="0" applyNumberFormat="1" applyFill="1" applyBorder="1" applyProtection="1"/>
    <xf numFmtId="3" fontId="0" fillId="0" borderId="0" xfId="0" applyNumberFormat="1" applyProtection="1"/>
    <xf numFmtId="3" fontId="0" fillId="5" borderId="7" xfId="0" applyNumberFormat="1" applyFill="1" applyBorder="1" applyProtection="1"/>
    <xf numFmtId="0" fontId="2" fillId="0" borderId="0" xfId="0" applyFont="1" applyBorder="1" applyAlignment="1" applyProtection="1">
      <alignment horizontal="center"/>
    </xf>
    <xf numFmtId="4" fontId="0" fillId="5" borderId="9" xfId="0" applyNumberFormat="1" applyFill="1" applyBorder="1" applyProtection="1"/>
    <xf numFmtId="2" fontId="2" fillId="0" borderId="0" xfId="0" applyNumberFormat="1" applyFont="1" applyAlignment="1" applyProtection="1">
      <alignment horizontal="center"/>
    </xf>
    <xf numFmtId="165" fontId="0" fillId="5" borderId="2" xfId="0" applyNumberFormat="1" applyFill="1" applyBorder="1" applyProtection="1"/>
    <xf numFmtId="165" fontId="0" fillId="5" borderId="9" xfId="0" applyNumberFormat="1" applyFill="1" applyBorder="1" applyProtection="1"/>
    <xf numFmtId="167" fontId="2" fillId="0" borderId="0" xfId="0" applyNumberFormat="1" applyFont="1" applyAlignment="1" applyProtection="1">
      <alignment horizontal="center"/>
    </xf>
    <xf numFmtId="167" fontId="0" fillId="0" borderId="0" xfId="0" applyNumberFormat="1" applyProtection="1"/>
    <xf numFmtId="165" fontId="0" fillId="0" borderId="0" xfId="0" applyNumberFormat="1" applyBorder="1" applyProtection="1"/>
    <xf numFmtId="0" fontId="1" fillId="2" borderId="9" xfId="0" applyFont="1" applyFill="1" applyBorder="1" applyAlignment="1" applyProtection="1">
      <alignment horizontal="center"/>
    </xf>
    <xf numFmtId="0" fontId="0" fillId="4" borderId="1" xfId="0" applyFill="1" applyBorder="1" applyAlignment="1" applyProtection="1">
      <alignment horizontal="center"/>
    </xf>
    <xf numFmtId="164" fontId="0" fillId="5" borderId="12" xfId="0" applyNumberFormat="1" applyFill="1" applyBorder="1" applyProtection="1"/>
    <xf numFmtId="164" fontId="0" fillId="5" borderId="2" xfId="0" applyNumberFormat="1" applyFill="1" applyBorder="1" applyProtection="1"/>
    <xf numFmtId="164" fontId="0" fillId="5" borderId="4" xfId="0" applyNumberFormat="1" applyFill="1" applyBorder="1" applyProtection="1"/>
    <xf numFmtId="164" fontId="0" fillId="5" borderId="9" xfId="0" applyNumberFormat="1" applyFill="1" applyBorder="1" applyProtection="1"/>
    <xf numFmtId="164" fontId="0" fillId="5" borderId="11" xfId="0" applyNumberFormat="1" applyFill="1" applyBorder="1" applyProtection="1"/>
    <xf numFmtId="164" fontId="0" fillId="5" borderId="0" xfId="0" applyNumberFormat="1" applyFill="1" applyBorder="1" applyProtection="1"/>
    <xf numFmtId="164" fontId="0" fillId="5" borderId="10" xfId="0" applyNumberFormat="1" applyFill="1" applyBorder="1" applyProtection="1"/>
    <xf numFmtId="0" fontId="0" fillId="0" borderId="15" xfId="0" applyBorder="1" applyProtection="1"/>
    <xf numFmtId="164" fontId="0" fillId="5" borderId="14" xfId="0" applyNumberFormat="1" applyFill="1" applyBorder="1" applyProtection="1"/>
    <xf numFmtId="164" fontId="0" fillId="5" borderId="13" xfId="0" applyNumberFormat="1" applyFill="1" applyBorder="1" applyProtection="1"/>
    <xf numFmtId="164" fontId="0" fillId="5" borderId="15" xfId="0" applyNumberFormat="1" applyFill="1" applyBorder="1" applyProtection="1"/>
    <xf numFmtId="164" fontId="0" fillId="5" borderId="19" xfId="0" applyNumberFormat="1" applyFill="1" applyBorder="1" applyProtection="1"/>
    <xf numFmtId="0" fontId="7" fillId="0" borderId="0" xfId="0" applyFont="1" applyProtection="1"/>
    <xf numFmtId="164" fontId="7" fillId="5" borderId="17" xfId="0" applyNumberFormat="1" applyFont="1" applyFill="1" applyBorder="1" applyProtection="1"/>
    <xf numFmtId="164" fontId="7" fillId="5" borderId="16" xfId="0" applyNumberFormat="1" applyFont="1" applyFill="1" applyBorder="1" applyProtection="1"/>
    <xf numFmtId="164" fontId="7" fillId="5" borderId="18" xfId="0" applyNumberFormat="1" applyFont="1" applyFill="1" applyBorder="1" applyProtection="1"/>
    <xf numFmtId="0" fontId="8" fillId="0" borderId="0" xfId="0" applyFont="1" applyAlignment="1" applyProtection="1">
      <alignment horizontal="center"/>
    </xf>
    <xf numFmtId="164" fontId="7" fillId="5" borderId="5" xfId="0" applyNumberFormat="1" applyFont="1" applyFill="1" applyBorder="1" applyProtection="1"/>
    <xf numFmtId="0" fontId="0" fillId="0" borderId="0" xfId="0" applyFont="1" applyProtection="1"/>
    <xf numFmtId="49" fontId="0" fillId="0" borderId="0" xfId="0" applyNumberFormat="1" applyFont="1" applyProtection="1"/>
    <xf numFmtId="0" fontId="6" fillId="0" borderId="0" xfId="0" applyFont="1" applyProtection="1"/>
    <xf numFmtId="166" fontId="6" fillId="5" borderId="6" xfId="0" applyNumberFormat="1" applyFont="1" applyFill="1" applyBorder="1" applyProtection="1"/>
    <xf numFmtId="166" fontId="6" fillId="5" borderId="7" xfId="0" applyNumberFormat="1" applyFont="1" applyFill="1" applyBorder="1" applyProtection="1"/>
    <xf numFmtId="166" fontId="6" fillId="5" borderId="8" xfId="0" applyNumberFormat="1" applyFont="1" applyFill="1" applyBorder="1" applyProtection="1"/>
    <xf numFmtId="166" fontId="6" fillId="5" borderId="1" xfId="0" applyNumberFormat="1" applyFont="1" applyFill="1" applyBorder="1" applyProtection="1"/>
    <xf numFmtId="164" fontId="0" fillId="5" borderId="5" xfId="0" applyNumberFormat="1" applyFill="1" applyBorder="1" applyProtection="1"/>
    <xf numFmtId="0" fontId="5" fillId="0" borderId="0" xfId="0" applyFont="1" applyAlignment="1" applyProtection="1">
      <alignment horizontal="center"/>
    </xf>
    <xf numFmtId="0" fontId="1" fillId="2" borderId="6" xfId="0" applyFont="1" applyFill="1" applyBorder="1" applyAlignment="1" applyProtection="1">
      <alignment horizontal="center"/>
    </xf>
    <xf numFmtId="0" fontId="1" fillId="2" borderId="8" xfId="0" applyFont="1" applyFill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4" xfId="0" applyFont="1" applyFill="1" applyBorder="1" applyAlignment="1" applyProtection="1">
      <alignment horizontal="center"/>
    </xf>
    <xf numFmtId="0" fontId="0" fillId="0" borderId="0" xfId="0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2E2E2"/>
      <color rgb="FFB2B2B2"/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3</xdr:row>
      <xdr:rowOff>47625</xdr:rowOff>
    </xdr:from>
    <xdr:to>
      <xdr:col>12</xdr:col>
      <xdr:colOff>319996</xdr:colOff>
      <xdr:row>7</xdr:row>
      <xdr:rowOff>104775</xdr:rowOff>
    </xdr:to>
    <xdr:pic>
      <xdr:nvPicPr>
        <xdr:cNvPr id="2" name="Picture 1" descr="CapRock-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2175" y="857250"/>
          <a:ext cx="1891621" cy="819150"/>
        </a:xfrm>
        <a:prstGeom prst="rect">
          <a:avLst/>
        </a:prstGeom>
      </xdr:spPr>
    </xdr:pic>
    <xdr:clientData/>
  </xdr:twoCellAnchor>
  <xdr:twoCellAnchor editAs="oneCell">
    <xdr:from>
      <xdr:col>12</xdr:col>
      <xdr:colOff>435768</xdr:colOff>
      <xdr:row>1</xdr:row>
      <xdr:rowOff>57150</xdr:rowOff>
    </xdr:from>
    <xdr:to>
      <xdr:col>14</xdr:col>
      <xdr:colOff>1200150</xdr:colOff>
      <xdr:row>13</xdr:row>
      <xdr:rowOff>38100</xdr:rowOff>
    </xdr:to>
    <xdr:pic>
      <xdr:nvPicPr>
        <xdr:cNvPr id="3" name="Picture 2" descr="bit tripping out of rig table resize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27218" y="247650"/>
          <a:ext cx="1878807" cy="2505075"/>
        </a:xfrm>
        <a:prstGeom prst="rect">
          <a:avLst/>
        </a:prstGeom>
      </xdr:spPr>
    </xdr:pic>
    <xdr:clientData/>
  </xdr:twoCellAnchor>
  <xdr:twoCellAnchor>
    <xdr:from>
      <xdr:col>1</xdr:col>
      <xdr:colOff>552450</xdr:colOff>
      <xdr:row>2</xdr:row>
      <xdr:rowOff>95248</xdr:rowOff>
    </xdr:from>
    <xdr:to>
      <xdr:col>8</xdr:col>
      <xdr:colOff>466725</xdr:colOff>
      <xdr:row>10</xdr:row>
      <xdr:rowOff>161925</xdr:rowOff>
    </xdr:to>
    <xdr:sp macro="" textlink="">
      <xdr:nvSpPr>
        <xdr:cNvPr id="4" name="TextBox 3"/>
        <xdr:cNvSpPr txBox="1"/>
      </xdr:nvSpPr>
      <xdr:spPr>
        <a:xfrm>
          <a:off x="552450" y="714373"/>
          <a:ext cx="4962525" cy="1019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50"/>
            <a:t>- Fill in the blank cells.</a:t>
          </a:r>
          <a:r>
            <a:rPr lang="en-US" sz="1050" baseline="0"/>
            <a:t> Colored cells are calculated items.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Bit cost can be a total "through the table" or a cost per foot drilled.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050" baseline="0"/>
            <a:t>- Leave scenario probabilities at 100% to </a:t>
          </a:r>
          <a:r>
            <a:rPr lang="en-US" sz="1050" baseline="0">
              <a:solidFill>
                <a:schemeClr val="dk1"/>
              </a:solidFill>
              <a:latin typeface="+mn-lt"/>
              <a:ea typeface="+mn-ea"/>
              <a:cs typeface="+mn-cs"/>
            </a:rPr>
            <a:t>compare cost per foot scenarios. </a:t>
          </a:r>
          <a:endParaRPr lang="en-US" sz="1050" baseline="0"/>
        </a:p>
        <a:p>
          <a:r>
            <a:rPr lang="en-US" sz="1050" baseline="0"/>
            <a:t>- To calculate probability-based cost for combined scenarios, all scenario</a:t>
          </a:r>
        </a:p>
        <a:p>
          <a:r>
            <a:rPr lang="en-US" sz="1050" baseline="0"/>
            <a:t>         probabilities must add to 100%.</a:t>
          </a:r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To calculate probability-based cost for  multiple combined scenarios </a:t>
          </a:r>
          <a:endParaRPr lang="en-US" sz="1050"/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use  more than one Scenario Worksheets</a:t>
          </a:r>
          <a:endParaRPr lang="en-US" sz="1050"/>
        </a:p>
        <a:p>
          <a:endParaRPr lang="en-US" sz="105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3</xdr:row>
      <xdr:rowOff>47625</xdr:rowOff>
    </xdr:from>
    <xdr:to>
      <xdr:col>12</xdr:col>
      <xdr:colOff>319996</xdr:colOff>
      <xdr:row>7</xdr:row>
      <xdr:rowOff>104775</xdr:rowOff>
    </xdr:to>
    <xdr:pic>
      <xdr:nvPicPr>
        <xdr:cNvPr id="2" name="Picture 1" descr="CapRock-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57950" y="857250"/>
          <a:ext cx="1891621" cy="819150"/>
        </a:xfrm>
        <a:prstGeom prst="rect">
          <a:avLst/>
        </a:prstGeom>
      </xdr:spPr>
    </xdr:pic>
    <xdr:clientData/>
  </xdr:twoCellAnchor>
  <xdr:twoCellAnchor editAs="oneCell">
    <xdr:from>
      <xdr:col>12</xdr:col>
      <xdr:colOff>435768</xdr:colOff>
      <xdr:row>1</xdr:row>
      <xdr:rowOff>57150</xdr:rowOff>
    </xdr:from>
    <xdr:to>
      <xdr:col>14</xdr:col>
      <xdr:colOff>1200150</xdr:colOff>
      <xdr:row>13</xdr:row>
      <xdr:rowOff>38100</xdr:rowOff>
    </xdr:to>
    <xdr:pic>
      <xdr:nvPicPr>
        <xdr:cNvPr id="3" name="Picture 2" descr="bit tripping out of rig table resize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65343" y="247650"/>
          <a:ext cx="1878807" cy="2505075"/>
        </a:xfrm>
        <a:prstGeom prst="rect">
          <a:avLst/>
        </a:prstGeom>
      </xdr:spPr>
    </xdr:pic>
    <xdr:clientData/>
  </xdr:twoCellAnchor>
  <xdr:twoCellAnchor>
    <xdr:from>
      <xdr:col>1</xdr:col>
      <xdr:colOff>552450</xdr:colOff>
      <xdr:row>2</xdr:row>
      <xdr:rowOff>95248</xdr:rowOff>
    </xdr:from>
    <xdr:to>
      <xdr:col>8</xdr:col>
      <xdr:colOff>466725</xdr:colOff>
      <xdr:row>10</xdr:row>
      <xdr:rowOff>161925</xdr:rowOff>
    </xdr:to>
    <xdr:sp macro="" textlink="">
      <xdr:nvSpPr>
        <xdr:cNvPr id="4" name="TextBox 3"/>
        <xdr:cNvSpPr txBox="1"/>
      </xdr:nvSpPr>
      <xdr:spPr>
        <a:xfrm>
          <a:off x="800100" y="714373"/>
          <a:ext cx="5200650" cy="1590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50"/>
            <a:t>- Fill in the blank cells.</a:t>
          </a:r>
          <a:r>
            <a:rPr lang="en-US" sz="1050" baseline="0"/>
            <a:t> Colored cells are calculated items.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Bit cost can be a total "through the table" or a cost per foot drilled.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050" baseline="0"/>
            <a:t>- Leave scenario probabilities at 100% to </a:t>
          </a:r>
          <a:r>
            <a:rPr lang="en-US" sz="1050" baseline="0">
              <a:solidFill>
                <a:schemeClr val="dk1"/>
              </a:solidFill>
              <a:latin typeface="+mn-lt"/>
              <a:ea typeface="+mn-ea"/>
              <a:cs typeface="+mn-cs"/>
            </a:rPr>
            <a:t>compare cost per foot scenarios. </a:t>
          </a:r>
          <a:endParaRPr lang="en-US" sz="1050" baseline="0"/>
        </a:p>
        <a:p>
          <a:r>
            <a:rPr lang="en-US" sz="1050" baseline="0"/>
            <a:t>- To calculate probability-based cost for combined scenarios, all scenario</a:t>
          </a:r>
        </a:p>
        <a:p>
          <a:r>
            <a:rPr lang="en-US" sz="1050" baseline="0"/>
            <a:t>         probabilities must add to 100%.</a:t>
          </a:r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To calculate probability-based cost for  multiple combined scenarios </a:t>
          </a:r>
          <a:endParaRPr lang="en-US" sz="1050"/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use  more than one Scenario Worksheets</a:t>
          </a:r>
          <a:endParaRPr lang="en-US" sz="1050"/>
        </a:p>
        <a:p>
          <a:endParaRPr lang="en-US" sz="105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3</xdr:row>
      <xdr:rowOff>47625</xdr:rowOff>
    </xdr:from>
    <xdr:to>
      <xdr:col>12</xdr:col>
      <xdr:colOff>319996</xdr:colOff>
      <xdr:row>7</xdr:row>
      <xdr:rowOff>104775</xdr:rowOff>
    </xdr:to>
    <xdr:pic>
      <xdr:nvPicPr>
        <xdr:cNvPr id="2" name="Picture 1" descr="CapRock-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57950" y="857250"/>
          <a:ext cx="1891621" cy="819150"/>
        </a:xfrm>
        <a:prstGeom prst="rect">
          <a:avLst/>
        </a:prstGeom>
      </xdr:spPr>
    </xdr:pic>
    <xdr:clientData/>
  </xdr:twoCellAnchor>
  <xdr:twoCellAnchor editAs="oneCell">
    <xdr:from>
      <xdr:col>12</xdr:col>
      <xdr:colOff>435768</xdr:colOff>
      <xdr:row>1</xdr:row>
      <xdr:rowOff>57150</xdr:rowOff>
    </xdr:from>
    <xdr:to>
      <xdr:col>14</xdr:col>
      <xdr:colOff>1200150</xdr:colOff>
      <xdr:row>13</xdr:row>
      <xdr:rowOff>38100</xdr:rowOff>
    </xdr:to>
    <xdr:pic>
      <xdr:nvPicPr>
        <xdr:cNvPr id="3" name="Picture 2" descr="bit tripping out of rig table resize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65343" y="247650"/>
          <a:ext cx="1878807" cy="2505075"/>
        </a:xfrm>
        <a:prstGeom prst="rect">
          <a:avLst/>
        </a:prstGeom>
      </xdr:spPr>
    </xdr:pic>
    <xdr:clientData/>
  </xdr:twoCellAnchor>
  <xdr:twoCellAnchor>
    <xdr:from>
      <xdr:col>1</xdr:col>
      <xdr:colOff>552450</xdr:colOff>
      <xdr:row>2</xdr:row>
      <xdr:rowOff>95248</xdr:rowOff>
    </xdr:from>
    <xdr:to>
      <xdr:col>8</xdr:col>
      <xdr:colOff>466725</xdr:colOff>
      <xdr:row>10</xdr:row>
      <xdr:rowOff>161925</xdr:rowOff>
    </xdr:to>
    <xdr:sp macro="" textlink="">
      <xdr:nvSpPr>
        <xdr:cNvPr id="4" name="TextBox 3"/>
        <xdr:cNvSpPr txBox="1"/>
      </xdr:nvSpPr>
      <xdr:spPr>
        <a:xfrm>
          <a:off x="800100" y="714373"/>
          <a:ext cx="5200650" cy="1590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50"/>
            <a:t>- Fill in the blank cells.</a:t>
          </a:r>
          <a:r>
            <a:rPr lang="en-US" sz="1050" baseline="0"/>
            <a:t> Colored cells are calculated items.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Bit cost can be a total "through the table" or a cost per foot drilled.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050" baseline="0"/>
            <a:t>- Leave scenario probabilities at 100% to </a:t>
          </a:r>
          <a:r>
            <a:rPr lang="en-US" sz="1050" baseline="0">
              <a:solidFill>
                <a:schemeClr val="dk1"/>
              </a:solidFill>
              <a:latin typeface="+mn-lt"/>
              <a:ea typeface="+mn-ea"/>
              <a:cs typeface="+mn-cs"/>
            </a:rPr>
            <a:t>compare cost per foot scenarios. </a:t>
          </a:r>
          <a:endParaRPr lang="en-US" sz="1050" baseline="0"/>
        </a:p>
        <a:p>
          <a:r>
            <a:rPr lang="en-US" sz="1050" baseline="0"/>
            <a:t>- To calculate probability-based cost for combined scenarios, all scenario</a:t>
          </a:r>
        </a:p>
        <a:p>
          <a:r>
            <a:rPr lang="en-US" sz="1050" baseline="0"/>
            <a:t>         probabilities must add to 100%.</a:t>
          </a:r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To calculate probability-based cost for  multiple combined scenarios </a:t>
          </a:r>
          <a:endParaRPr lang="en-US" sz="1050"/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use  more than one Scenario Worksheets</a:t>
          </a:r>
          <a:endParaRPr lang="en-US" sz="1050"/>
        </a:p>
        <a:p>
          <a:endParaRPr lang="en-US" sz="105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40"/>
  <sheetViews>
    <sheetView showGridLines="0" tabSelected="1" topLeftCell="A2" zoomScale="60" zoomScaleNormal="60" workbookViewId="0">
      <selection activeCell="I28" sqref="I28"/>
    </sheetView>
  </sheetViews>
  <sheetFormatPr defaultRowHeight="15" x14ac:dyDescent="0.25"/>
  <cols>
    <col min="1" max="1" width="3.7109375" style="8" customWidth="1"/>
    <col min="2" max="2" width="23.85546875" style="8" customWidth="1"/>
    <col min="3" max="3" width="12.140625" style="8" customWidth="1"/>
    <col min="4" max="5" width="10.85546875" style="8" customWidth="1"/>
    <col min="6" max="6" width="3.5703125" style="8" customWidth="1"/>
    <col min="7" max="7" width="10.85546875" style="8" customWidth="1"/>
    <col min="8" max="8" width="7.140625" style="9" customWidth="1"/>
    <col min="9" max="9" width="12.140625" style="8" customWidth="1"/>
    <col min="10" max="11" width="10.85546875" style="8" customWidth="1"/>
    <col min="12" max="12" width="3.5703125" style="8" customWidth="1"/>
    <col min="13" max="13" width="10.85546875" style="8" customWidth="1"/>
    <col min="14" max="14" width="5.85546875" style="9" customWidth="1"/>
    <col min="15" max="15" width="18.140625" style="10" customWidth="1"/>
    <col min="16" max="16" width="9.140625" style="8"/>
    <col min="17" max="17" width="9.140625" style="11"/>
    <col min="18" max="16384" width="9.140625" style="8"/>
  </cols>
  <sheetData>
    <row r="2" spans="2:10" ht="33.75" x14ac:dyDescent="0.5">
      <c r="B2" s="62" t="s">
        <v>24</v>
      </c>
      <c r="C2" s="62"/>
      <c r="D2" s="62"/>
      <c r="E2" s="62"/>
      <c r="F2" s="62"/>
      <c r="G2" s="62"/>
      <c r="H2" s="62"/>
      <c r="I2" s="62"/>
      <c r="J2" s="62"/>
    </row>
    <row r="12" spans="2:10" x14ac:dyDescent="0.25">
      <c r="C12" s="12" t="s">
        <v>2</v>
      </c>
      <c r="D12" s="3">
        <v>850</v>
      </c>
      <c r="I12" s="12"/>
      <c r="J12" s="13"/>
    </row>
    <row r="13" spans="2:10" x14ac:dyDescent="0.25">
      <c r="B13" s="68" t="s">
        <v>15</v>
      </c>
      <c r="C13" s="68"/>
      <c r="D13" s="6">
        <v>1</v>
      </c>
      <c r="J13" s="14"/>
    </row>
    <row r="14" spans="2:10" x14ac:dyDescent="0.25">
      <c r="B14" s="12"/>
      <c r="C14" s="12" t="s">
        <v>27</v>
      </c>
      <c r="D14" s="3"/>
      <c r="J14" s="14"/>
    </row>
    <row r="15" spans="2:10" x14ac:dyDescent="0.25">
      <c r="B15" s="12"/>
      <c r="C15" s="12" t="s">
        <v>26</v>
      </c>
      <c r="D15" s="3"/>
      <c r="J15" s="14"/>
    </row>
    <row r="16" spans="2:10" x14ac:dyDescent="0.25">
      <c r="B16" s="12"/>
      <c r="C16" s="12" t="s">
        <v>25</v>
      </c>
      <c r="D16" s="3"/>
      <c r="J16" s="14"/>
    </row>
    <row r="17" spans="2:15" x14ac:dyDescent="0.25">
      <c r="B17" s="12"/>
      <c r="C17" s="12"/>
      <c r="D17" s="15"/>
      <c r="J17" s="14"/>
    </row>
    <row r="19" spans="2:15" x14ac:dyDescent="0.25">
      <c r="M19" s="11"/>
    </row>
    <row r="20" spans="2:15" x14ac:dyDescent="0.25">
      <c r="C20" s="65" t="s">
        <v>1</v>
      </c>
      <c r="D20" s="66"/>
      <c r="E20" s="67"/>
      <c r="I20" s="65" t="s">
        <v>16</v>
      </c>
      <c r="J20" s="66"/>
      <c r="K20" s="67"/>
    </row>
    <row r="21" spans="2:15" x14ac:dyDescent="0.25">
      <c r="C21" s="63" t="s">
        <v>17</v>
      </c>
      <c r="D21" s="64"/>
      <c r="E21" s="1">
        <v>1</v>
      </c>
      <c r="I21" s="63" t="s">
        <v>17</v>
      </c>
      <c r="J21" s="64"/>
      <c r="K21" s="1">
        <v>0</v>
      </c>
    </row>
    <row r="22" spans="2:15" x14ac:dyDescent="0.25">
      <c r="C22" s="16" t="s">
        <v>7</v>
      </c>
      <c r="D22" s="16" t="s">
        <v>8</v>
      </c>
      <c r="E22" s="16" t="s">
        <v>9</v>
      </c>
      <c r="I22" s="16" t="s">
        <v>7</v>
      </c>
      <c r="J22" s="16" t="s">
        <v>8</v>
      </c>
      <c r="K22" s="16" t="s">
        <v>9</v>
      </c>
    </row>
    <row r="23" spans="2:15" x14ac:dyDescent="0.25">
      <c r="B23" s="8" t="s">
        <v>0</v>
      </c>
      <c r="C23" s="2" t="s">
        <v>30</v>
      </c>
      <c r="D23" s="2"/>
      <c r="E23" s="2"/>
      <c r="G23" s="17"/>
      <c r="I23" s="2"/>
      <c r="J23" s="2"/>
      <c r="K23" s="2"/>
      <c r="M23" s="17"/>
    </row>
    <row r="24" spans="2:15" x14ac:dyDescent="0.25">
      <c r="B24" s="8" t="s">
        <v>12</v>
      </c>
      <c r="C24" s="3">
        <v>9500</v>
      </c>
      <c r="D24" s="3"/>
      <c r="E24" s="3"/>
      <c r="F24" s="18" t="str">
        <f>IF(OR(OR(AND(C24&gt;0,C25&gt;0),AND(D24&gt;0,D25&gt;0)),AND(E24&gt;0,E25&gt;0)),"ERR","")</f>
        <v/>
      </c>
      <c r="G24" s="19" t="s">
        <v>1</v>
      </c>
      <c r="I24" s="3"/>
      <c r="J24" s="3"/>
      <c r="K24" s="3"/>
      <c r="L24" s="18" t="str">
        <f>IF(OR(OR(AND(I24&gt;0,I25&gt;0),AND(J24&gt;0,J25&gt;0)),AND(K24&gt;0,K25&gt;0)),"ERR","")</f>
        <v/>
      </c>
      <c r="M24" s="19" t="s">
        <v>16</v>
      </c>
      <c r="N24" s="20"/>
      <c r="O24" s="13"/>
    </row>
    <row r="25" spans="2:15" x14ac:dyDescent="0.25">
      <c r="B25" s="8" t="s">
        <v>11</v>
      </c>
      <c r="C25" s="4"/>
      <c r="D25" s="4"/>
      <c r="E25" s="4"/>
      <c r="F25" s="18" t="str">
        <f>IF(OR(OR(AND(C24&gt;0,C25&gt;0),AND(D24&gt;0,D25&gt;0)),AND(E24&gt;0,E25&gt;0)),"ERR","")</f>
        <v/>
      </c>
      <c r="G25" s="21" t="s">
        <v>19</v>
      </c>
      <c r="I25" s="4"/>
      <c r="J25" s="4"/>
      <c r="K25" s="4"/>
      <c r="L25" s="18" t="str">
        <f>IF(OR(OR(AND(I24&gt;0,I25&gt;0),AND(J24&gt;0,J25&gt;0)),AND(K24&gt;0,K25&gt;0)),"ERR","")</f>
        <v/>
      </c>
      <c r="M25" s="21" t="s">
        <v>19</v>
      </c>
      <c r="O25" s="22"/>
    </row>
    <row r="26" spans="2:15" x14ac:dyDescent="0.25">
      <c r="B26" s="8" t="s">
        <v>29</v>
      </c>
      <c r="C26" s="7" t="s">
        <v>31</v>
      </c>
      <c r="D26" s="7"/>
      <c r="E26" s="7"/>
      <c r="F26" s="18"/>
      <c r="G26" s="21"/>
      <c r="I26" s="7"/>
      <c r="J26" s="7"/>
      <c r="K26" s="7"/>
      <c r="L26" s="18"/>
      <c r="M26" s="21"/>
      <c r="O26" s="22"/>
    </row>
    <row r="27" spans="2:15" x14ac:dyDescent="0.25">
      <c r="B27" s="8" t="s">
        <v>3</v>
      </c>
      <c r="C27" s="5">
        <v>10000</v>
      </c>
      <c r="D27" s="5"/>
      <c r="E27" s="5"/>
      <c r="G27" s="23">
        <f>IF(MIN(C27:E27)&gt;0,MIN(C27:E27),"")</f>
        <v>10000</v>
      </c>
      <c r="I27" s="5"/>
      <c r="J27" s="5"/>
      <c r="K27" s="5"/>
      <c r="M27" s="23" t="str">
        <f>IF(MIN(I27:K27)&gt;0,MIN(I27:K27),"")</f>
        <v/>
      </c>
      <c r="O27" s="24"/>
    </row>
    <row r="28" spans="2:15" x14ac:dyDescent="0.25">
      <c r="B28" s="8" t="s">
        <v>4</v>
      </c>
      <c r="C28" s="5">
        <v>16000</v>
      </c>
      <c r="D28" s="5"/>
      <c r="E28" s="5"/>
      <c r="G28" s="23">
        <f>IF(MAX(C28:E28)&gt;0,MAX(C28:E28),"")</f>
        <v>16000</v>
      </c>
      <c r="I28" s="5"/>
      <c r="J28" s="5"/>
      <c r="K28" s="5"/>
      <c r="M28" s="23" t="str">
        <f>IF(MAX(I28:K28)&gt;0,MAX(I28:K28),"")</f>
        <v/>
      </c>
      <c r="O28" s="24"/>
    </row>
    <row r="29" spans="2:15" x14ac:dyDescent="0.25">
      <c r="B29" s="8" t="s">
        <v>5</v>
      </c>
      <c r="C29" s="25">
        <f>IF(AND(C28&gt;0,C27&gt;0),C28-C27,"")</f>
        <v>6000</v>
      </c>
      <c r="D29" s="25" t="str">
        <f t="shared" ref="D29:E29" si="0">IF(AND(D28&gt;0,D27&gt;0),D28-D27,"")</f>
        <v/>
      </c>
      <c r="E29" s="25" t="str">
        <f t="shared" si="0"/>
        <v/>
      </c>
      <c r="G29" s="23">
        <f>IF(OR(G28="",G27=""),"",G28-G27)</f>
        <v>6000</v>
      </c>
      <c r="H29" s="26"/>
      <c r="I29" s="25" t="str">
        <f>IF(AND(I28&gt;0,I27&gt;0),I28-I27,"")</f>
        <v/>
      </c>
      <c r="J29" s="25" t="str">
        <f>IF(AND(J28&gt;0,J27&gt;0),J28-J27,"")</f>
        <v/>
      </c>
      <c r="K29" s="25" t="str">
        <f>IF(AND(K28&gt;0,K27&gt;0),K28-K27,"")</f>
        <v/>
      </c>
      <c r="M29" s="23" t="str">
        <f>IF(OR(M28="",M27=""),"",IF((M28-M27)=G29,G29,"ERR"))</f>
        <v/>
      </c>
      <c r="O29" s="24"/>
    </row>
    <row r="30" spans="2:15" x14ac:dyDescent="0.25">
      <c r="B30" s="8" t="s">
        <v>6</v>
      </c>
      <c r="C30" s="6">
        <v>60</v>
      </c>
      <c r="D30" s="6"/>
      <c r="E30" s="6"/>
      <c r="G30" s="27">
        <f>IF(AND(AND(C30="",D30=""),E30=""),"",SUM(C30:E30))</f>
        <v>60</v>
      </c>
      <c r="H30" s="28"/>
      <c r="I30" s="6"/>
      <c r="J30" s="6"/>
      <c r="K30" s="6"/>
      <c r="M30" s="27" t="str">
        <f>IF(AND(AND(I30="",J30=""),K30=""),"",SUM(I30:K30))</f>
        <v/>
      </c>
      <c r="N30" s="28"/>
      <c r="O30" s="14"/>
    </row>
    <row r="31" spans="2:15" x14ac:dyDescent="0.25">
      <c r="B31" s="8" t="s">
        <v>10</v>
      </c>
      <c r="C31" s="29">
        <f>IF(AND(C30&gt;0,C29&gt;0),C29/C30,"")</f>
        <v>100</v>
      </c>
      <c r="D31" s="29" t="str">
        <f>IF(AND(D30&gt;0,D29&gt;0),D29/D30,"")</f>
        <v/>
      </c>
      <c r="E31" s="29" t="str">
        <f>IF(AND(E30&gt;0,E29&gt;0),E29/E30,"")</f>
        <v/>
      </c>
      <c r="G31" s="30">
        <f>IF(OR(G30="",G29=""),"",G29/G30)</f>
        <v>100</v>
      </c>
      <c r="H31" s="31"/>
      <c r="I31" s="29" t="str">
        <f>IF(AND(I30&gt;0,I29&gt;0),I29/I30,"")</f>
        <v/>
      </c>
      <c r="J31" s="29" t="str">
        <f>IF(AND(J30&gt;0,J29&gt;0),J29/J30,"")</f>
        <v/>
      </c>
      <c r="K31" s="29" t="str">
        <f>IF(AND(K30&gt;0,K29&gt;0),K29/K30,"")</f>
        <v/>
      </c>
      <c r="M31" s="30" t="str">
        <f>IF(OR(M30="",M29=""),"",M29/M30)</f>
        <v/>
      </c>
      <c r="N31" s="31"/>
      <c r="O31" s="32"/>
    </row>
    <row r="32" spans="2:15" x14ac:dyDescent="0.25">
      <c r="C32" s="33"/>
      <c r="D32" s="33"/>
      <c r="E32" s="33"/>
      <c r="G32" s="34" t="s">
        <v>1</v>
      </c>
      <c r="H32" s="31"/>
      <c r="I32" s="33"/>
      <c r="J32" s="33"/>
      <c r="K32" s="33"/>
      <c r="M32" s="34" t="s">
        <v>16</v>
      </c>
      <c r="N32" s="31"/>
      <c r="O32" s="32"/>
    </row>
    <row r="33" spans="2:17" x14ac:dyDescent="0.25">
      <c r="C33" s="33"/>
      <c r="D33" s="33"/>
      <c r="E33" s="33"/>
      <c r="G33" s="21" t="s">
        <v>20</v>
      </c>
      <c r="I33" s="33"/>
      <c r="J33" s="33"/>
      <c r="K33" s="33"/>
      <c r="M33" s="21" t="s">
        <v>20</v>
      </c>
      <c r="O33" s="35" t="s">
        <v>18</v>
      </c>
    </row>
    <row r="34" spans="2:17" x14ac:dyDescent="0.25">
      <c r="B34" s="8" t="s">
        <v>13</v>
      </c>
      <c r="C34" s="36">
        <f>IF(OR(AND(C24=0,C25=0),AND(C24&gt;0,C25&gt;0)),"",IF(C24&gt;0,C24,C29*C25))</f>
        <v>9500</v>
      </c>
      <c r="D34" s="37" t="str">
        <f>IF(OR(AND(D24=0,D25=0),AND(D24&gt;0,D25&gt;0)),"",IF(D24&gt;0,D24,D29*D25))</f>
        <v/>
      </c>
      <c r="E34" s="38" t="str">
        <f>IF(OR(AND(E24=0,E25=0),AND(E24&gt;0,E25&gt;0)),"",IF(E24&gt;0,E24,E29*E25))</f>
        <v/>
      </c>
      <c r="G34" s="39">
        <f>IF(AND(AND(C34="",D34=""),E34=""),0,SUM(C34:E34))</f>
        <v>9500</v>
      </c>
      <c r="I34" s="36" t="str">
        <f>IF(OR(AND(I24=0,I25=0),AND(I24&gt;0,I25&gt;0)),"",IF(I24&gt;0,I24,I29*I25))</f>
        <v/>
      </c>
      <c r="J34" s="37" t="str">
        <f>IF(OR(AND(J24=0,J25=0),AND(J24&gt;0,J25&gt;0)),"",IF(J24&gt;0,J24,J29*J25))</f>
        <v/>
      </c>
      <c r="K34" s="38" t="str">
        <f>IF(OR(AND(K24=0,K25=0),AND(K24&gt;0,K25&gt;0)),"",IF(K24&gt;0,K24,K29*K25))</f>
        <v/>
      </c>
      <c r="M34" s="39">
        <f>IF(AND(AND(I34="",J34=""),K34=""),0,SUM(I34:K34))</f>
        <v>0</v>
      </c>
      <c r="O34" s="39">
        <f>IF(AND($E$21+$K$21=1,(G34+M34&gt;0)),G34*$E$21+M34*$K$21,"ERR")</f>
        <v>9500</v>
      </c>
    </row>
    <row r="35" spans="2:17" x14ac:dyDescent="0.25">
      <c r="B35" s="8" t="s">
        <v>28</v>
      </c>
      <c r="C35" s="40">
        <f>IF(C26="Y",C30/SUMIF($C$26:$E$26,"Y",$C$30:$E$30)*$G$35,"")</f>
        <v>0</v>
      </c>
      <c r="D35" s="41" t="str">
        <f t="shared" ref="D35:E35" si="1">IF(D26="Y",D30/SUMIF($C$26:$E$26,"Y",$C$30:$E$30)*$G$35,"")</f>
        <v/>
      </c>
      <c r="E35" s="42" t="str">
        <f t="shared" si="1"/>
        <v/>
      </c>
      <c r="G35" s="39">
        <f>IF(OR(OR(C26="Y",D26="Y"),E26="Y"),IF(SUMIF(C26:E26,"Y",C30:E30)*$D$15&gt;$D$14,SUMIF(C26:E26,"Y",C30:E30)*$D$15+$D$16,$D$14+$D$16),0)</f>
        <v>0</v>
      </c>
      <c r="I35" s="40" t="str">
        <f t="shared" ref="I35:J35" si="2">IF(I26="Y",I30/SUMIF($I$26:$K$26,"Y",$I$30:$K$30)*$M$35,"")</f>
        <v/>
      </c>
      <c r="J35" s="41" t="str">
        <f t="shared" si="2"/>
        <v/>
      </c>
      <c r="K35" s="42" t="str">
        <f>IF(K26="Y",K30/SUMIF($I$26:$K$26,"Y",$I$30:$K$30)*$M$35,"")</f>
        <v/>
      </c>
      <c r="M35" s="39">
        <f>IF(OR(OR(I26="Y",J26="Y"),K26="Y"),IF(SUMIF(I26:K26,"Y",I30:K30)*$D$15&gt;$D$14,SUMIF(I26:K26,"Y",I30:K30)*$D$15+$D$16,$D$14+$D$16),0)</f>
        <v>0</v>
      </c>
      <c r="O35" s="39">
        <f>IF($E$21+$K$21=1,IF(G35+M35&gt;0,G35*$E$21+M35*$K$21,0),"ERR")</f>
        <v>0</v>
      </c>
      <c r="Q35" s="14"/>
    </row>
    <row r="36" spans="2:17" x14ac:dyDescent="0.25">
      <c r="B36" s="8" t="s">
        <v>14</v>
      </c>
      <c r="C36" s="40">
        <f>IF(OR(AND(C24=0,C25=0),AND(C24&gt;0,C25&gt;0)),"",C30*$D$12)</f>
        <v>51000</v>
      </c>
      <c r="D36" s="41" t="str">
        <f>IF(OR(AND(D24=0,D25=0),AND(D24&gt;0,D25&gt;0)),"",D30*$D$12)</f>
        <v/>
      </c>
      <c r="E36" s="42" t="str">
        <f>IF(OR(AND(E24=0,E25=0),AND(E24&gt;0,E25&gt;0)),"",E30*$D$12)</f>
        <v/>
      </c>
      <c r="G36" s="39">
        <f>IF(AND(AND(C36="",D36=""),E36=""),0,SUM(C36:E36))</f>
        <v>51000</v>
      </c>
      <c r="I36" s="40" t="str">
        <f>IF(OR(AND(I24=0,I25=0),AND(I24&gt;0,I25&gt;0)),"",I30*$D$12)</f>
        <v/>
      </c>
      <c r="J36" s="41" t="str">
        <f>IF(OR(AND(J24=0,J25=0),AND(J24&gt;0,J25&gt;0)),"",J30*$D$12)</f>
        <v/>
      </c>
      <c r="K36" s="42" t="str">
        <f>IF(OR(AND(K24=0,K25=0),AND(K24&gt;0,K25&gt;0)),"",K30*$D$12)</f>
        <v/>
      </c>
      <c r="M36" s="39">
        <f>IF(AND(AND(I36="",J36=""),K36=""),0,SUM(I36:K36))</f>
        <v>0</v>
      </c>
      <c r="O36" s="39">
        <f>IF(AND($E$21+$K$21=1,(G36+M36&gt;0)),G36*$E$21+M36*$K$21,"ERR")</f>
        <v>51000</v>
      </c>
    </row>
    <row r="37" spans="2:17" ht="15.75" thickBot="1" x14ac:dyDescent="0.3">
      <c r="B37" s="43" t="s">
        <v>21</v>
      </c>
      <c r="C37" s="44">
        <f>IF(AND($D$12&gt;0,AND($D$13&gt;0,C28&gt;0)),$D$12*C28/1000*$D$13,"")</f>
        <v>13600</v>
      </c>
      <c r="D37" s="45" t="str">
        <f t="shared" ref="D37:E37" si="3">IF(AND($D$12&gt;0,AND($D$13&gt;0,D28&gt;0)),$D$12*D28/1000*$D$13,"")</f>
        <v/>
      </c>
      <c r="E37" s="46" t="str">
        <f t="shared" si="3"/>
        <v/>
      </c>
      <c r="G37" s="47">
        <f>IF(AND(AND(C37="",D37=""),E37=""),0,SUM(C37:E37))</f>
        <v>13600</v>
      </c>
      <c r="I37" s="44" t="str">
        <f t="shared" ref="I37:K37" si="4">IF(AND($D$12&gt;0,AND($D$13&gt;0,I28&gt;0)),$D$12*I28/1000*$D$13,"")</f>
        <v/>
      </c>
      <c r="J37" s="45" t="str">
        <f t="shared" si="4"/>
        <v/>
      </c>
      <c r="K37" s="46" t="str">
        <f t="shared" si="4"/>
        <v/>
      </c>
      <c r="M37" s="47">
        <f>IF(AND(AND(I37="",J37=""),K37=""),0,SUM(I37:K37))</f>
        <v>0</v>
      </c>
      <c r="O37" s="39">
        <f>IF(AND($E$21+$K$21=1,(G37+M37&gt;0)),G37*$E$21+M37*$K$21,"ERR")</f>
        <v>13600</v>
      </c>
    </row>
    <row r="38" spans="2:17" s="54" customFormat="1" ht="21" customHeight="1" x14ac:dyDescent="0.25">
      <c r="B38" s="48" t="s">
        <v>22</v>
      </c>
      <c r="C38" s="49">
        <f>IF(SUM(C34:C37)&gt;0.5,SUM(C34:C37),"")</f>
        <v>74100</v>
      </c>
      <c r="D38" s="50" t="str">
        <f>IF(SUM(D34:D37)&gt;0.5,SUM(D34:D37),"")</f>
        <v/>
      </c>
      <c r="E38" s="51" t="str">
        <f>IF(SUM(E34:E37)&gt;0.5,SUM(E34:E37),"")</f>
        <v/>
      </c>
      <c r="F38" s="48"/>
      <c r="G38" s="53">
        <f>IF(SUM(G34:G37)&gt;0,SUM(G34:G37),"")</f>
        <v>74100</v>
      </c>
      <c r="H38" s="52"/>
      <c r="I38" s="49" t="str">
        <f>IF(SUM(I34:I37)&gt;0.5,SUM(I34:I37),"")</f>
        <v/>
      </c>
      <c r="J38" s="50" t="str">
        <f>IF(SUM(J34:J37)&gt;0.5,SUM(J34:J37),"")</f>
        <v/>
      </c>
      <c r="K38" s="51" t="str">
        <f>IF(SUM(K34:K37)&gt;0.5,SUM(K34:K37),"")</f>
        <v/>
      </c>
      <c r="L38" s="48"/>
      <c r="M38" s="53">
        <f>SUM(M34:M37)</f>
        <v>0</v>
      </c>
      <c r="N38" s="52"/>
      <c r="O38" s="61">
        <f>IF(SUM(O34:O37)&gt;0,SUM(O34:O37),0)</f>
        <v>74100</v>
      </c>
      <c r="Q38" s="55"/>
    </row>
    <row r="39" spans="2:17" ht="6" customHeight="1" x14ac:dyDescent="0.25"/>
    <row r="40" spans="2:17" x14ac:dyDescent="0.25">
      <c r="B40" s="56" t="s">
        <v>23</v>
      </c>
      <c r="C40" s="57">
        <f t="shared" ref="C40:E40" si="5">IF(OR(C38="",C29=""),"",C38/C29)</f>
        <v>12.35</v>
      </c>
      <c r="D40" s="58" t="str">
        <f t="shared" si="5"/>
        <v/>
      </c>
      <c r="E40" s="59" t="str">
        <f t="shared" si="5"/>
        <v/>
      </c>
      <c r="F40" s="56"/>
      <c r="G40" s="60">
        <f>IF(AND(G38&gt;0,G29&gt;0),G38/G29,0)</f>
        <v>12.35</v>
      </c>
      <c r="I40" s="57" t="str">
        <f>IF(OR(I38="",I29=""),"",I38/I29)</f>
        <v/>
      </c>
      <c r="J40" s="58" t="str">
        <f t="shared" ref="J40:K40" si="6">IF(OR(J38="",J29=""),"",J38/J29)</f>
        <v/>
      </c>
      <c r="K40" s="59" t="str">
        <f t="shared" si="6"/>
        <v/>
      </c>
      <c r="L40" s="56"/>
      <c r="M40" s="60" t="str">
        <f t="shared" ref="M40" si="7">IF(AND(M38&gt;0,M29&gt;0),M38/M29,"")</f>
        <v/>
      </c>
      <c r="N40" s="20"/>
      <c r="O40" s="60">
        <f>IF($E$21+$K$21=1,IF(OR(O38=0,G29=""),"",O38/G29),"")</f>
        <v>12.35</v>
      </c>
    </row>
  </sheetData>
  <sheetProtection password="A9E0" sheet="1" objects="1" scenarios="1" selectLockedCells="1"/>
  <mergeCells count="6">
    <mergeCell ref="B2:J2"/>
    <mergeCell ref="C21:D21"/>
    <mergeCell ref="I21:J21"/>
    <mergeCell ref="C20:E20"/>
    <mergeCell ref="B13:C13"/>
    <mergeCell ref="I20:K20"/>
  </mergeCells>
  <pageMargins left="0.45" right="0.36" top="0.75" bottom="0.75" header="0.3" footer="0.3"/>
  <pageSetup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40"/>
  <sheetViews>
    <sheetView showGridLines="0" zoomScale="90" zoomScaleNormal="90" workbookViewId="0">
      <selection activeCell="D12" sqref="D12"/>
    </sheetView>
  </sheetViews>
  <sheetFormatPr defaultRowHeight="15" x14ac:dyDescent="0.25"/>
  <cols>
    <col min="1" max="1" width="3.7109375" style="8" customWidth="1"/>
    <col min="2" max="2" width="23.85546875" style="8" customWidth="1"/>
    <col min="3" max="3" width="12.140625" style="8" customWidth="1"/>
    <col min="4" max="5" width="10.85546875" style="8" customWidth="1"/>
    <col min="6" max="6" width="3.5703125" style="8" customWidth="1"/>
    <col min="7" max="7" width="10.85546875" style="8" customWidth="1"/>
    <col min="8" max="8" width="7.140625" style="9" customWidth="1"/>
    <col min="9" max="9" width="12.140625" style="8" customWidth="1"/>
    <col min="10" max="11" width="10.85546875" style="8" customWidth="1"/>
    <col min="12" max="12" width="3.5703125" style="8" customWidth="1"/>
    <col min="13" max="13" width="10.85546875" style="8" customWidth="1"/>
    <col min="14" max="14" width="5.85546875" style="9" customWidth="1"/>
    <col min="15" max="15" width="18.140625" style="10" customWidth="1"/>
    <col min="16" max="16" width="9.140625" style="8"/>
    <col min="17" max="17" width="9.140625" style="11"/>
    <col min="18" max="16384" width="9.140625" style="8"/>
  </cols>
  <sheetData>
    <row r="2" spans="2:10" ht="33.75" x14ac:dyDescent="0.5">
      <c r="B2" s="62" t="s">
        <v>24</v>
      </c>
      <c r="C2" s="62"/>
      <c r="D2" s="62"/>
      <c r="E2" s="62"/>
      <c r="F2" s="62"/>
      <c r="G2" s="62"/>
      <c r="H2" s="62"/>
      <c r="I2" s="62"/>
      <c r="J2" s="62"/>
    </row>
    <row r="12" spans="2:10" x14ac:dyDescent="0.25">
      <c r="C12" s="12" t="s">
        <v>2</v>
      </c>
      <c r="D12" s="3">
        <v>650</v>
      </c>
      <c r="I12" s="12"/>
      <c r="J12" s="13"/>
    </row>
    <row r="13" spans="2:10" x14ac:dyDescent="0.25">
      <c r="B13" s="68" t="s">
        <v>15</v>
      </c>
      <c r="C13" s="68"/>
      <c r="D13" s="6">
        <v>1</v>
      </c>
      <c r="J13" s="14"/>
    </row>
    <row r="14" spans="2:10" x14ac:dyDescent="0.25">
      <c r="B14" s="12"/>
      <c r="C14" s="12" t="s">
        <v>27</v>
      </c>
      <c r="D14" s="3"/>
      <c r="J14" s="14"/>
    </row>
    <row r="15" spans="2:10" x14ac:dyDescent="0.25">
      <c r="B15" s="12"/>
      <c r="C15" s="12" t="s">
        <v>26</v>
      </c>
      <c r="D15" s="3"/>
      <c r="J15" s="14"/>
    </row>
    <row r="16" spans="2:10" x14ac:dyDescent="0.25">
      <c r="B16" s="12"/>
      <c r="C16" s="12" t="s">
        <v>25</v>
      </c>
      <c r="D16" s="3"/>
      <c r="J16" s="14"/>
    </row>
    <row r="17" spans="2:15" x14ac:dyDescent="0.25">
      <c r="B17" s="12"/>
      <c r="C17" s="12"/>
      <c r="D17" s="15"/>
      <c r="J17" s="14"/>
    </row>
    <row r="19" spans="2:15" x14ac:dyDescent="0.25">
      <c r="M19" s="11"/>
    </row>
    <row r="20" spans="2:15" x14ac:dyDescent="0.25">
      <c r="C20" s="65" t="s">
        <v>1</v>
      </c>
      <c r="D20" s="66"/>
      <c r="E20" s="67"/>
      <c r="I20" s="65" t="s">
        <v>16</v>
      </c>
      <c r="J20" s="66"/>
      <c r="K20" s="67"/>
    </row>
    <row r="21" spans="2:15" x14ac:dyDescent="0.25">
      <c r="C21" s="63" t="s">
        <v>17</v>
      </c>
      <c r="D21" s="64"/>
      <c r="E21" s="1">
        <v>1</v>
      </c>
      <c r="I21" s="63" t="s">
        <v>17</v>
      </c>
      <c r="J21" s="64"/>
      <c r="K21" s="1">
        <v>0</v>
      </c>
    </row>
    <row r="22" spans="2:15" x14ac:dyDescent="0.25">
      <c r="C22" s="16" t="s">
        <v>7</v>
      </c>
      <c r="D22" s="16" t="s">
        <v>8</v>
      </c>
      <c r="E22" s="16" t="s">
        <v>9</v>
      </c>
      <c r="I22" s="16" t="s">
        <v>7</v>
      </c>
      <c r="J22" s="16" t="s">
        <v>8</v>
      </c>
      <c r="K22" s="16" t="s">
        <v>9</v>
      </c>
    </row>
    <row r="23" spans="2:15" x14ac:dyDescent="0.25">
      <c r="B23" s="8" t="s">
        <v>0</v>
      </c>
      <c r="C23" s="2"/>
      <c r="D23" s="2"/>
      <c r="E23" s="2"/>
      <c r="G23" s="17"/>
      <c r="I23" s="2"/>
      <c r="J23" s="2"/>
      <c r="K23" s="2"/>
      <c r="M23" s="17"/>
    </row>
    <row r="24" spans="2:15" x14ac:dyDescent="0.25">
      <c r="B24" s="8" t="s">
        <v>12</v>
      </c>
      <c r="C24" s="3"/>
      <c r="D24" s="3"/>
      <c r="E24" s="3"/>
      <c r="F24" s="18" t="str">
        <f>IF(OR(OR(AND(C24&gt;0,C25&gt;0),AND(D24&gt;0,D25&gt;0)),AND(E24&gt;0,E25&gt;0)),"ERR","")</f>
        <v/>
      </c>
      <c r="G24" s="19" t="s">
        <v>1</v>
      </c>
      <c r="I24" s="3"/>
      <c r="J24" s="3"/>
      <c r="K24" s="3"/>
      <c r="L24" s="18" t="str">
        <f>IF(OR(OR(AND(I24&gt;0,I25&gt;0),AND(J24&gt;0,J25&gt;0)),AND(K24&gt;0,K25&gt;0)),"ERR","")</f>
        <v/>
      </c>
      <c r="M24" s="19" t="s">
        <v>16</v>
      </c>
      <c r="N24" s="20"/>
      <c r="O24" s="13"/>
    </row>
    <row r="25" spans="2:15" x14ac:dyDescent="0.25">
      <c r="B25" s="8" t="s">
        <v>11</v>
      </c>
      <c r="C25" s="4"/>
      <c r="D25" s="4"/>
      <c r="E25" s="4"/>
      <c r="F25" s="18" t="str">
        <f>IF(OR(OR(AND(C24&gt;0,C25&gt;0),AND(D24&gt;0,D25&gt;0)),AND(E24&gt;0,E25&gt;0)),"ERR","")</f>
        <v/>
      </c>
      <c r="G25" s="21" t="s">
        <v>19</v>
      </c>
      <c r="I25" s="4"/>
      <c r="J25" s="4"/>
      <c r="K25" s="4"/>
      <c r="L25" s="18" t="str">
        <f>IF(OR(OR(AND(I24&gt;0,I25&gt;0),AND(J24&gt;0,J25&gt;0)),AND(K24&gt;0,K25&gt;0)),"ERR","")</f>
        <v/>
      </c>
      <c r="M25" s="21" t="s">
        <v>19</v>
      </c>
      <c r="O25" s="22"/>
    </row>
    <row r="26" spans="2:15" x14ac:dyDescent="0.25">
      <c r="B26" s="8" t="s">
        <v>29</v>
      </c>
      <c r="C26" s="7"/>
      <c r="D26" s="7"/>
      <c r="E26" s="7"/>
      <c r="F26" s="18"/>
      <c r="G26" s="21"/>
      <c r="I26" s="7"/>
      <c r="J26" s="7"/>
      <c r="K26" s="7"/>
      <c r="L26" s="18"/>
      <c r="M26" s="21"/>
      <c r="O26" s="22"/>
    </row>
    <row r="27" spans="2:15" x14ac:dyDescent="0.25">
      <c r="B27" s="8" t="s">
        <v>3</v>
      </c>
      <c r="C27" s="5"/>
      <c r="D27" s="5"/>
      <c r="E27" s="5"/>
      <c r="G27" s="23" t="str">
        <f>IF(MIN(C27:E27)&gt;0,MIN(C27:E27),"")</f>
        <v/>
      </c>
      <c r="I27" s="5"/>
      <c r="J27" s="5"/>
      <c r="K27" s="5"/>
      <c r="M27" s="23" t="str">
        <f>IF(MIN(I27:K27)&gt;0,MIN(I27:K27),"")</f>
        <v/>
      </c>
      <c r="O27" s="24"/>
    </row>
    <row r="28" spans="2:15" x14ac:dyDescent="0.25">
      <c r="B28" s="8" t="s">
        <v>4</v>
      </c>
      <c r="C28" s="5"/>
      <c r="D28" s="5"/>
      <c r="E28" s="5"/>
      <c r="G28" s="23" t="str">
        <f>IF(MAX(C28:E28)&gt;0,MAX(C28:E28),"")</f>
        <v/>
      </c>
      <c r="I28" s="5"/>
      <c r="J28" s="5"/>
      <c r="K28" s="5"/>
      <c r="M28" s="23" t="str">
        <f>IF(MAX(I28:K28)&gt;0,MAX(I28:K28),"")</f>
        <v/>
      </c>
      <c r="O28" s="24"/>
    </row>
    <row r="29" spans="2:15" x14ac:dyDescent="0.25">
      <c r="B29" s="8" t="s">
        <v>5</v>
      </c>
      <c r="C29" s="25" t="str">
        <f>IF(AND(C28&gt;0,C27&gt;0),C28-C27,"")</f>
        <v/>
      </c>
      <c r="D29" s="25" t="str">
        <f t="shared" ref="D29:E29" si="0">IF(AND(D28&gt;0,D27&gt;0),D28-D27,"")</f>
        <v/>
      </c>
      <c r="E29" s="25" t="str">
        <f t="shared" si="0"/>
        <v/>
      </c>
      <c r="G29" s="23" t="str">
        <f>IF(OR(G28="",G27=""),"",G28-G27)</f>
        <v/>
      </c>
      <c r="H29" s="26"/>
      <c r="I29" s="25" t="str">
        <f>IF(AND(I28&gt;0,I27&gt;0),I28-I27,"")</f>
        <v/>
      </c>
      <c r="J29" s="25" t="str">
        <f>IF(AND(J28&gt;0,J27&gt;0),J28-J27,"")</f>
        <v/>
      </c>
      <c r="K29" s="25" t="str">
        <f>IF(AND(K28&gt;0,K27&gt;0),K28-K27,"")</f>
        <v/>
      </c>
      <c r="M29" s="23" t="str">
        <f>IF(OR(M28="",M27=""),"",IF((M28-M27)=G29,G29,"ERR"))</f>
        <v/>
      </c>
      <c r="O29" s="24"/>
    </row>
    <row r="30" spans="2:15" x14ac:dyDescent="0.25">
      <c r="B30" s="8" t="s">
        <v>6</v>
      </c>
      <c r="C30" s="6"/>
      <c r="D30" s="6"/>
      <c r="E30" s="6"/>
      <c r="G30" s="27" t="str">
        <f>IF(AND(AND(C30="",D30=""),E30=""),"",SUM(C30:E30))</f>
        <v/>
      </c>
      <c r="H30" s="28"/>
      <c r="I30" s="6"/>
      <c r="J30" s="6"/>
      <c r="K30" s="6"/>
      <c r="M30" s="27" t="str">
        <f>IF(AND(AND(I30="",J30=""),K30=""),"",SUM(I30:K30))</f>
        <v/>
      </c>
      <c r="N30" s="28"/>
      <c r="O30" s="14"/>
    </row>
    <row r="31" spans="2:15" x14ac:dyDescent="0.25">
      <c r="B31" s="8" t="s">
        <v>10</v>
      </c>
      <c r="C31" s="29" t="str">
        <f>IF(AND(C30&gt;0,C29&gt;0),C29/C30,"")</f>
        <v/>
      </c>
      <c r="D31" s="29" t="str">
        <f>IF(AND(D30&gt;0,D29&gt;0),D29/D30,"")</f>
        <v/>
      </c>
      <c r="E31" s="29" t="str">
        <f>IF(AND(E30&gt;0,E29&gt;0),E29/E30,"")</f>
        <v/>
      </c>
      <c r="G31" s="30" t="str">
        <f>IF(OR(G30="",G29=""),"",G29/G30)</f>
        <v/>
      </c>
      <c r="H31" s="31"/>
      <c r="I31" s="29" t="str">
        <f>IF(AND(I30&gt;0,I29&gt;0),I29/I30,"")</f>
        <v/>
      </c>
      <c r="J31" s="29" t="str">
        <f>IF(AND(J30&gt;0,J29&gt;0),J29/J30,"")</f>
        <v/>
      </c>
      <c r="K31" s="29" t="str">
        <f>IF(AND(K30&gt;0,K29&gt;0),K29/K30,"")</f>
        <v/>
      </c>
      <c r="M31" s="30" t="str">
        <f>IF(OR(M30="",M29=""),"",M29/M30)</f>
        <v/>
      </c>
      <c r="N31" s="31"/>
      <c r="O31" s="32"/>
    </row>
    <row r="32" spans="2:15" x14ac:dyDescent="0.25">
      <c r="C32" s="33"/>
      <c r="D32" s="33"/>
      <c r="E32" s="33"/>
      <c r="G32" s="34" t="s">
        <v>1</v>
      </c>
      <c r="H32" s="31"/>
      <c r="I32" s="33"/>
      <c r="J32" s="33"/>
      <c r="K32" s="33"/>
      <c r="M32" s="34" t="s">
        <v>16</v>
      </c>
      <c r="N32" s="31"/>
      <c r="O32" s="32"/>
    </row>
    <row r="33" spans="2:17" x14ac:dyDescent="0.25">
      <c r="C33" s="33"/>
      <c r="D33" s="33"/>
      <c r="E33" s="33"/>
      <c r="G33" s="21" t="s">
        <v>20</v>
      </c>
      <c r="I33" s="33"/>
      <c r="J33" s="33"/>
      <c r="K33" s="33"/>
      <c r="M33" s="21" t="s">
        <v>20</v>
      </c>
      <c r="O33" s="35" t="s">
        <v>18</v>
      </c>
    </row>
    <row r="34" spans="2:17" x14ac:dyDescent="0.25">
      <c r="B34" s="8" t="s">
        <v>13</v>
      </c>
      <c r="C34" s="36" t="str">
        <f>IF(OR(AND(C24=0,C25=0),AND(C24&gt;0,C25&gt;0)),"",IF(C24&gt;0,C24,C29*C25))</f>
        <v/>
      </c>
      <c r="D34" s="37" t="str">
        <f>IF(OR(AND(D24=0,D25=0),AND(D24&gt;0,D25&gt;0)),"",IF(D24&gt;0,D24,D29*D25))</f>
        <v/>
      </c>
      <c r="E34" s="38" t="str">
        <f>IF(OR(AND(E24=0,E25=0),AND(E24&gt;0,E25&gt;0)),"",IF(E24&gt;0,E24,E29*E25))</f>
        <v/>
      </c>
      <c r="G34" s="39">
        <f>IF(AND(AND(C34="",D34=""),E34=""),0,SUM(C34:E34))</f>
        <v>0</v>
      </c>
      <c r="I34" s="36" t="str">
        <f>IF(OR(AND(I24=0,I25=0),AND(I24&gt;0,I25&gt;0)),"",IF(I24&gt;0,I24,I29*I25))</f>
        <v/>
      </c>
      <c r="J34" s="37" t="str">
        <f>IF(OR(AND(J24=0,J25=0),AND(J24&gt;0,J25&gt;0)),"",IF(J24&gt;0,J24,J29*J25))</f>
        <v/>
      </c>
      <c r="K34" s="38" t="str">
        <f>IF(OR(AND(K24=0,K25=0),AND(K24&gt;0,K25&gt;0)),"",IF(K24&gt;0,K24,K29*K25))</f>
        <v/>
      </c>
      <c r="M34" s="39">
        <f>IF(AND(AND(I34="",J34=""),K34=""),0,SUM(I34:K34))</f>
        <v>0</v>
      </c>
      <c r="O34" s="39">
        <f>IF($E$21+$K$21=1,IF(G34+M34&gt;0,G34*$E$21+M34*$K$21,0),"ERR")</f>
        <v>0</v>
      </c>
    </row>
    <row r="35" spans="2:17" x14ac:dyDescent="0.25">
      <c r="B35" s="8" t="s">
        <v>28</v>
      </c>
      <c r="C35" s="40" t="str">
        <f>IF(C26="Y",C30/SUMIF($C$26:$E$26,"Y",$C$30:$E$30)*$G$35,"")</f>
        <v/>
      </c>
      <c r="D35" s="41" t="str">
        <f t="shared" ref="D35:E35" si="1">IF(D26="Y",D30/SUMIF($C$26:$E$26,"Y",$C$30:$E$30)*$G$35,"")</f>
        <v/>
      </c>
      <c r="E35" s="42" t="str">
        <f t="shared" si="1"/>
        <v/>
      </c>
      <c r="G35" s="39">
        <f>IF(OR(OR(C26="Y",D26="Y"),E26="Y"),IF(SUMIF(C26:E26,"Y",C30:E30)*$D$15&gt;$D$14,SUMIF(C26:E26,"Y",C30:E30)*$D$15+$D$16,$D$14+$D$16),0)</f>
        <v>0</v>
      </c>
      <c r="I35" s="40" t="str">
        <f t="shared" ref="I35:J35" si="2">IF(I26="Y",I30/SUMIF($I$26:$K$26,"Y",$I$30:$K$30)*$M$35,"")</f>
        <v/>
      </c>
      <c r="J35" s="41" t="str">
        <f t="shared" si="2"/>
        <v/>
      </c>
      <c r="K35" s="42" t="str">
        <f>IF(K26="Y",K30/SUMIF($I$26:$K$26,"Y",$I$30:$K$30)*$M$35,"")</f>
        <v/>
      </c>
      <c r="M35" s="39">
        <f>IF(OR(OR(I26="Y",J26="Y"),K26="Y"),IF(SUMIF(I26:K26,"Y",I30:K30)*$D$15&gt;$D$14,SUMIF(I26:K26,"Y",I30:K30)*$D$15+$D$16,$D$14+$D$16),0)</f>
        <v>0</v>
      </c>
      <c r="O35" s="39">
        <f>IF($E$21+$K$21=1,IF(G35+M35&gt;0,G35*$E$21+M35*$K$21,0),"ERR")</f>
        <v>0</v>
      </c>
      <c r="Q35" s="14"/>
    </row>
    <row r="36" spans="2:17" x14ac:dyDescent="0.25">
      <c r="B36" s="8" t="s">
        <v>14</v>
      </c>
      <c r="C36" s="40" t="str">
        <f>IF(OR(AND(C24=0,C25=0),AND(C24&gt;0,C25&gt;0)),"",C30*$D$12)</f>
        <v/>
      </c>
      <c r="D36" s="41" t="str">
        <f>IF(OR(AND(D24=0,D25=0),AND(D24&gt;0,D25&gt;0)),"",D30*$D$12)</f>
        <v/>
      </c>
      <c r="E36" s="42" t="str">
        <f>IF(OR(AND(E24=0,E25=0),AND(E24&gt;0,E25&gt;0)),"",E30*$D$12)</f>
        <v/>
      </c>
      <c r="G36" s="39">
        <f>IF(AND(AND(C36="",D36=""),E36=""),0,SUM(C36:E36))</f>
        <v>0</v>
      </c>
      <c r="I36" s="40" t="str">
        <f>IF(OR(AND(I24=0,I25=0),AND(I24&gt;0,I25&gt;0)),"",I30*$D$12)</f>
        <v/>
      </c>
      <c r="J36" s="41" t="str">
        <f>IF(OR(AND(J24=0,J25=0),AND(J24&gt;0,J25&gt;0)),"",J30*$D$12)</f>
        <v/>
      </c>
      <c r="K36" s="42" t="str">
        <f>IF(OR(AND(K24=0,K25=0),AND(K24&gt;0,K25&gt;0)),"",K30*$D$12)</f>
        <v/>
      </c>
      <c r="M36" s="39">
        <f>IF(AND(AND(I36="",J36=""),K36=""),0,SUM(I36:K36))</f>
        <v>0</v>
      </c>
      <c r="O36" s="39">
        <f>IF($E$21+$K$21=1,IF(G36+M36&gt;0,G36*$E$21+M36*$K$21,0),"ERR")</f>
        <v>0</v>
      </c>
    </row>
    <row r="37" spans="2:17" ht="15.75" thickBot="1" x14ac:dyDescent="0.3">
      <c r="B37" s="43" t="s">
        <v>21</v>
      </c>
      <c r="C37" s="44" t="str">
        <f>IF(AND($D$12&gt;0,AND($D$13&gt;0,C28&gt;0)),$D$12*C28/1000*$D$13,"")</f>
        <v/>
      </c>
      <c r="D37" s="45" t="str">
        <f t="shared" ref="D37:E37" si="3">IF(AND($D$12&gt;0,AND($D$13&gt;0,D28&gt;0)),$D$12*D28/1000*$D$13,"")</f>
        <v/>
      </c>
      <c r="E37" s="46" t="str">
        <f t="shared" si="3"/>
        <v/>
      </c>
      <c r="G37" s="47">
        <f>IF(AND(AND(C37="",D37=""),E37=""),0,SUM(C37:E37))</f>
        <v>0</v>
      </c>
      <c r="I37" s="44" t="str">
        <f t="shared" ref="I37:K37" si="4">IF(AND($D$12&gt;0,AND($D$13&gt;0,I28&gt;0)),$D$12*I28/1000*$D$13,"")</f>
        <v/>
      </c>
      <c r="J37" s="45" t="str">
        <f t="shared" si="4"/>
        <v/>
      </c>
      <c r="K37" s="46" t="str">
        <f t="shared" si="4"/>
        <v/>
      </c>
      <c r="M37" s="47">
        <f>IF(AND(AND(I37="",J37=""),K37=""),0,SUM(I37:K37))</f>
        <v>0</v>
      </c>
      <c r="O37" s="39">
        <f>IF($E$21+$K$21=1,IF(G37+M37&gt;0,G37*$E$21+M37*$K$21,0),"ERR")</f>
        <v>0</v>
      </c>
    </row>
    <row r="38" spans="2:17" s="54" customFormat="1" ht="21" customHeight="1" x14ac:dyDescent="0.25">
      <c r="B38" s="48" t="s">
        <v>22</v>
      </c>
      <c r="C38" s="49" t="str">
        <f>IF(SUM(C34:C37)&gt;0.5,SUM(C34:C37),"")</f>
        <v/>
      </c>
      <c r="D38" s="50" t="str">
        <f>IF(SUM(D34:D37)&gt;0.5,SUM(D34:D37),"")</f>
        <v/>
      </c>
      <c r="E38" s="51" t="str">
        <f>IF(SUM(E34:E37)&gt;0.5,SUM(E34:E37),"")</f>
        <v/>
      </c>
      <c r="F38" s="48"/>
      <c r="G38" s="53">
        <f>IF(SUM(G34:G37)&gt;0,SUM(G34:G37),0)</f>
        <v>0</v>
      </c>
      <c r="H38" s="52"/>
      <c r="I38" s="49" t="str">
        <f>IF(SUM(I34:I37)&gt;0.5,SUM(I34:I37),"")</f>
        <v/>
      </c>
      <c r="J38" s="50" t="str">
        <f>IF(SUM(J34:J37)&gt;0.5,SUM(J34:J37),"")</f>
        <v/>
      </c>
      <c r="K38" s="51" t="str">
        <f>IF(SUM(K34:K37)&gt;0.5,SUM(K34:K37),"")</f>
        <v/>
      </c>
      <c r="L38" s="48"/>
      <c r="M38" s="53">
        <f>SUM(M34:M37)</f>
        <v>0</v>
      </c>
      <c r="N38" s="52"/>
      <c r="O38" s="61">
        <f>IF(SUM(O34:O37)&gt;0,SUM(O34:O37),0)</f>
        <v>0</v>
      </c>
      <c r="Q38" s="55"/>
    </row>
    <row r="39" spans="2:17" ht="6" customHeight="1" x14ac:dyDescent="0.25"/>
    <row r="40" spans="2:17" x14ac:dyDescent="0.25">
      <c r="B40" s="56" t="s">
        <v>23</v>
      </c>
      <c r="C40" s="57" t="str">
        <f t="shared" ref="C40:E40" si="5">IF(OR(C38="",C29=""),"",C38/C29)</f>
        <v/>
      </c>
      <c r="D40" s="58" t="str">
        <f t="shared" si="5"/>
        <v/>
      </c>
      <c r="E40" s="59" t="str">
        <f t="shared" si="5"/>
        <v/>
      </c>
      <c r="F40" s="56"/>
      <c r="G40" s="60" t="str">
        <f t="shared" ref="G40" si="6">IF(AND(G38&gt;0,G29&gt;0),G38/G29,"")</f>
        <v/>
      </c>
      <c r="I40" s="57" t="str">
        <f>IF(OR(I38="",I29=""),"",I38/I29)</f>
        <v/>
      </c>
      <c r="J40" s="58" t="str">
        <f t="shared" ref="J40:K40" si="7">IF(OR(J38="",J29=""),"",J38/J29)</f>
        <v/>
      </c>
      <c r="K40" s="59" t="str">
        <f t="shared" si="7"/>
        <v/>
      </c>
      <c r="L40" s="56"/>
      <c r="M40" s="60" t="str">
        <f t="shared" ref="M40" si="8">IF(AND(M38&gt;0,M29&gt;0),M38/M29,"")</f>
        <v/>
      </c>
      <c r="N40" s="20"/>
      <c r="O40" s="60" t="str">
        <f>IF($E$21+$K$21=1,IF(OR(O38=0,G29=""),"",O38/G29),"")</f>
        <v/>
      </c>
    </row>
  </sheetData>
  <sheetProtection password="A9E0" sheet="1" objects="1" scenarios="1" selectLockedCells="1"/>
  <mergeCells count="6">
    <mergeCell ref="B2:J2"/>
    <mergeCell ref="B13:C13"/>
    <mergeCell ref="C20:E20"/>
    <mergeCell ref="I20:K20"/>
    <mergeCell ref="C21:D21"/>
    <mergeCell ref="I21:J21"/>
  </mergeCells>
  <pageMargins left="0.45" right="0.36" top="0.75" bottom="0.75" header="0.3" footer="0.3"/>
  <pageSetup scale="8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40"/>
  <sheetViews>
    <sheetView showGridLines="0" zoomScale="90" zoomScaleNormal="90" workbookViewId="0">
      <selection activeCell="D12" sqref="D12"/>
    </sheetView>
  </sheetViews>
  <sheetFormatPr defaultRowHeight="15" x14ac:dyDescent="0.25"/>
  <cols>
    <col min="1" max="1" width="3.7109375" style="8" customWidth="1"/>
    <col min="2" max="2" width="23.85546875" style="8" customWidth="1"/>
    <col min="3" max="3" width="12.140625" style="8" customWidth="1"/>
    <col min="4" max="5" width="10.85546875" style="8" customWidth="1"/>
    <col min="6" max="6" width="3.5703125" style="8" customWidth="1"/>
    <col min="7" max="7" width="10.85546875" style="8" customWidth="1"/>
    <col min="8" max="8" width="7.140625" style="9" customWidth="1"/>
    <col min="9" max="9" width="12.140625" style="8" customWidth="1"/>
    <col min="10" max="11" width="10.85546875" style="8" customWidth="1"/>
    <col min="12" max="12" width="3.5703125" style="8" customWidth="1"/>
    <col min="13" max="13" width="10.85546875" style="8" customWidth="1"/>
    <col min="14" max="14" width="5.85546875" style="9" customWidth="1"/>
    <col min="15" max="15" width="18.140625" style="10" customWidth="1"/>
    <col min="16" max="16" width="9.140625" style="8"/>
    <col min="17" max="17" width="9.140625" style="11"/>
    <col min="18" max="16384" width="9.140625" style="8"/>
  </cols>
  <sheetData>
    <row r="2" spans="2:10" ht="33.75" x14ac:dyDescent="0.5">
      <c r="B2" s="62" t="s">
        <v>24</v>
      </c>
      <c r="C2" s="62"/>
      <c r="D2" s="62"/>
      <c r="E2" s="62"/>
      <c r="F2" s="62"/>
      <c r="G2" s="62"/>
      <c r="H2" s="62"/>
      <c r="I2" s="62"/>
      <c r="J2" s="62"/>
    </row>
    <row r="12" spans="2:10" x14ac:dyDescent="0.25">
      <c r="C12" s="12" t="s">
        <v>2</v>
      </c>
      <c r="D12" s="3">
        <v>650</v>
      </c>
      <c r="I12" s="12"/>
      <c r="J12" s="13"/>
    </row>
    <row r="13" spans="2:10" x14ac:dyDescent="0.25">
      <c r="B13" s="68" t="s">
        <v>15</v>
      </c>
      <c r="C13" s="68"/>
      <c r="D13" s="6">
        <v>1</v>
      </c>
      <c r="J13" s="14"/>
    </row>
    <row r="14" spans="2:10" x14ac:dyDescent="0.25">
      <c r="B14" s="12"/>
      <c r="C14" s="12" t="s">
        <v>27</v>
      </c>
      <c r="D14" s="3"/>
      <c r="J14" s="14"/>
    </row>
    <row r="15" spans="2:10" x14ac:dyDescent="0.25">
      <c r="B15" s="12"/>
      <c r="C15" s="12" t="s">
        <v>26</v>
      </c>
      <c r="D15" s="3"/>
      <c r="J15" s="14"/>
    </row>
    <row r="16" spans="2:10" x14ac:dyDescent="0.25">
      <c r="B16" s="12"/>
      <c r="C16" s="12" t="s">
        <v>25</v>
      </c>
      <c r="D16" s="3"/>
      <c r="J16" s="14"/>
    </row>
    <row r="17" spans="2:15" x14ac:dyDescent="0.25">
      <c r="B17" s="12"/>
      <c r="C17" s="12"/>
      <c r="D17" s="15"/>
      <c r="J17" s="14"/>
    </row>
    <row r="19" spans="2:15" x14ac:dyDescent="0.25">
      <c r="M19" s="11"/>
    </row>
    <row r="20" spans="2:15" x14ac:dyDescent="0.25">
      <c r="C20" s="65" t="s">
        <v>1</v>
      </c>
      <c r="D20" s="66"/>
      <c r="E20" s="67"/>
      <c r="I20" s="65" t="s">
        <v>16</v>
      </c>
      <c r="J20" s="66"/>
      <c r="K20" s="67"/>
    </row>
    <row r="21" spans="2:15" x14ac:dyDescent="0.25">
      <c r="C21" s="63" t="s">
        <v>17</v>
      </c>
      <c r="D21" s="64"/>
      <c r="E21" s="1">
        <v>1</v>
      </c>
      <c r="I21" s="63" t="s">
        <v>17</v>
      </c>
      <c r="J21" s="64"/>
      <c r="K21" s="1">
        <v>0</v>
      </c>
    </row>
    <row r="22" spans="2:15" x14ac:dyDescent="0.25">
      <c r="C22" s="16" t="s">
        <v>7</v>
      </c>
      <c r="D22" s="16" t="s">
        <v>8</v>
      </c>
      <c r="E22" s="16" t="s">
        <v>9</v>
      </c>
      <c r="I22" s="16" t="s">
        <v>7</v>
      </c>
      <c r="J22" s="16" t="s">
        <v>8</v>
      </c>
      <c r="K22" s="16" t="s">
        <v>9</v>
      </c>
    </row>
    <row r="23" spans="2:15" x14ac:dyDescent="0.25">
      <c r="B23" s="8" t="s">
        <v>0</v>
      </c>
      <c r="C23" s="2"/>
      <c r="D23" s="2"/>
      <c r="E23" s="2"/>
      <c r="G23" s="17"/>
      <c r="I23" s="2"/>
      <c r="J23" s="2"/>
      <c r="K23" s="2"/>
      <c r="M23" s="17"/>
    </row>
    <row r="24" spans="2:15" x14ac:dyDescent="0.25">
      <c r="B24" s="8" t="s">
        <v>12</v>
      </c>
      <c r="C24" s="3"/>
      <c r="D24" s="3"/>
      <c r="E24" s="3"/>
      <c r="F24" s="18" t="str">
        <f>IF(OR(OR(AND(C24&gt;0,C25&gt;0),AND(D24&gt;0,D25&gt;0)),AND(E24&gt;0,E25&gt;0)),"ERR","")</f>
        <v/>
      </c>
      <c r="G24" s="19" t="s">
        <v>1</v>
      </c>
      <c r="I24" s="3"/>
      <c r="J24" s="3"/>
      <c r="K24" s="3"/>
      <c r="L24" s="18" t="str">
        <f>IF(OR(OR(AND(I24&gt;0,I25&gt;0),AND(J24&gt;0,J25&gt;0)),AND(K24&gt;0,K25&gt;0)),"ERR","")</f>
        <v/>
      </c>
      <c r="M24" s="19" t="s">
        <v>16</v>
      </c>
      <c r="N24" s="20"/>
      <c r="O24" s="13"/>
    </row>
    <row r="25" spans="2:15" x14ac:dyDescent="0.25">
      <c r="B25" s="8" t="s">
        <v>11</v>
      </c>
      <c r="C25" s="4"/>
      <c r="D25" s="4"/>
      <c r="E25" s="4"/>
      <c r="F25" s="18" t="str">
        <f>IF(OR(OR(AND(C24&gt;0,C25&gt;0),AND(D24&gt;0,D25&gt;0)),AND(E24&gt;0,E25&gt;0)),"ERR","")</f>
        <v/>
      </c>
      <c r="G25" s="21" t="s">
        <v>19</v>
      </c>
      <c r="I25" s="4"/>
      <c r="J25" s="4"/>
      <c r="K25" s="4"/>
      <c r="L25" s="18" t="str">
        <f>IF(OR(OR(AND(I24&gt;0,I25&gt;0),AND(J24&gt;0,J25&gt;0)),AND(K24&gt;0,K25&gt;0)),"ERR","")</f>
        <v/>
      </c>
      <c r="M25" s="21" t="s">
        <v>19</v>
      </c>
      <c r="O25" s="22"/>
    </row>
    <row r="26" spans="2:15" x14ac:dyDescent="0.25">
      <c r="B26" s="8" t="s">
        <v>29</v>
      </c>
      <c r="C26" s="7"/>
      <c r="D26" s="7"/>
      <c r="E26" s="7"/>
      <c r="F26" s="18"/>
      <c r="G26" s="21"/>
      <c r="I26" s="7"/>
      <c r="J26" s="7"/>
      <c r="K26" s="7"/>
      <c r="L26" s="18"/>
      <c r="M26" s="21"/>
      <c r="O26" s="22"/>
    </row>
    <row r="27" spans="2:15" x14ac:dyDescent="0.25">
      <c r="B27" s="8" t="s">
        <v>3</v>
      </c>
      <c r="C27" s="5"/>
      <c r="D27" s="5"/>
      <c r="E27" s="5"/>
      <c r="G27" s="23" t="str">
        <f>IF(MIN(C27:E27)&gt;0,MIN(C27:E27),"")</f>
        <v/>
      </c>
      <c r="I27" s="5"/>
      <c r="J27" s="5"/>
      <c r="K27" s="5"/>
      <c r="M27" s="23" t="str">
        <f>IF(MIN(I27:K27)&gt;0,MIN(I27:K27),"")</f>
        <v/>
      </c>
      <c r="O27" s="24"/>
    </row>
    <row r="28" spans="2:15" x14ac:dyDescent="0.25">
      <c r="B28" s="8" t="s">
        <v>4</v>
      </c>
      <c r="C28" s="5"/>
      <c r="D28" s="5"/>
      <c r="E28" s="5"/>
      <c r="G28" s="23" t="str">
        <f>IF(MAX(C28:E28)&gt;0,MAX(C28:E28),"")</f>
        <v/>
      </c>
      <c r="I28" s="5"/>
      <c r="J28" s="5"/>
      <c r="K28" s="5"/>
      <c r="M28" s="23" t="str">
        <f>IF(MAX(I28:K28)&gt;0,MAX(I28:K28),"")</f>
        <v/>
      </c>
      <c r="O28" s="24"/>
    </row>
    <row r="29" spans="2:15" x14ac:dyDescent="0.25">
      <c r="B29" s="8" t="s">
        <v>5</v>
      </c>
      <c r="C29" s="25" t="str">
        <f>IF(AND(C28&gt;0,C27&gt;0),C28-C27,"")</f>
        <v/>
      </c>
      <c r="D29" s="25" t="str">
        <f t="shared" ref="D29:E29" si="0">IF(AND(D28&gt;0,D27&gt;0),D28-D27,"")</f>
        <v/>
      </c>
      <c r="E29" s="25" t="str">
        <f t="shared" si="0"/>
        <v/>
      </c>
      <c r="G29" s="23" t="str">
        <f>IF(OR(G28="",G27=""),"",G28-G27)</f>
        <v/>
      </c>
      <c r="H29" s="26"/>
      <c r="I29" s="25" t="str">
        <f>IF(AND(I28&gt;0,I27&gt;0),I28-I27,"")</f>
        <v/>
      </c>
      <c r="J29" s="25" t="str">
        <f>IF(AND(J28&gt;0,J27&gt;0),J28-J27,"")</f>
        <v/>
      </c>
      <c r="K29" s="25" t="str">
        <f>IF(AND(K28&gt;0,K27&gt;0),K28-K27,"")</f>
        <v/>
      </c>
      <c r="M29" s="23" t="str">
        <f>IF(OR(M28="",M27=""),"",IF((M28-M27)=G29,G29,"ERR"))</f>
        <v/>
      </c>
      <c r="O29" s="24"/>
    </row>
    <row r="30" spans="2:15" x14ac:dyDescent="0.25">
      <c r="B30" s="8" t="s">
        <v>6</v>
      </c>
      <c r="C30" s="6"/>
      <c r="D30" s="6"/>
      <c r="E30" s="6"/>
      <c r="G30" s="27" t="str">
        <f>IF(AND(AND(C30="",D30=""),E30=""),"",SUM(C30:E30))</f>
        <v/>
      </c>
      <c r="H30" s="28"/>
      <c r="I30" s="6"/>
      <c r="J30" s="6"/>
      <c r="K30" s="6"/>
      <c r="M30" s="27" t="str">
        <f>IF(AND(AND(I30="",J30=""),K30=""),"",SUM(I30:K30))</f>
        <v/>
      </c>
      <c r="N30" s="28"/>
      <c r="O30" s="14"/>
    </row>
    <row r="31" spans="2:15" x14ac:dyDescent="0.25">
      <c r="B31" s="8" t="s">
        <v>10</v>
      </c>
      <c r="C31" s="29" t="str">
        <f>IF(AND(C30&gt;0,C29&gt;0),C29/C30,"")</f>
        <v/>
      </c>
      <c r="D31" s="29" t="str">
        <f>IF(AND(D30&gt;0,D29&gt;0),D29/D30,"")</f>
        <v/>
      </c>
      <c r="E31" s="29" t="str">
        <f>IF(AND(E30&gt;0,E29&gt;0),E29/E30,"")</f>
        <v/>
      </c>
      <c r="G31" s="30" t="str">
        <f>IF(OR(G30="",G29=""),"",G29/G30)</f>
        <v/>
      </c>
      <c r="H31" s="31"/>
      <c r="I31" s="29" t="str">
        <f>IF(AND(I30&gt;0,I29&gt;0),I29/I30,"")</f>
        <v/>
      </c>
      <c r="J31" s="29" t="str">
        <f>IF(AND(J30&gt;0,J29&gt;0),J29/J30,"")</f>
        <v/>
      </c>
      <c r="K31" s="29" t="str">
        <f>IF(AND(K30&gt;0,K29&gt;0),K29/K30,"")</f>
        <v/>
      </c>
      <c r="M31" s="30" t="str">
        <f>IF(OR(M30="",M29=""),"",M29/M30)</f>
        <v/>
      </c>
      <c r="N31" s="31"/>
      <c r="O31" s="32"/>
    </row>
    <row r="32" spans="2:15" x14ac:dyDescent="0.25">
      <c r="C32" s="33"/>
      <c r="D32" s="33"/>
      <c r="E32" s="33"/>
      <c r="G32" s="34" t="s">
        <v>1</v>
      </c>
      <c r="H32" s="31"/>
      <c r="I32" s="33"/>
      <c r="J32" s="33"/>
      <c r="K32" s="33"/>
      <c r="M32" s="34" t="s">
        <v>16</v>
      </c>
      <c r="N32" s="31"/>
      <c r="O32" s="32"/>
    </row>
    <row r="33" spans="2:17" x14ac:dyDescent="0.25">
      <c r="C33" s="33"/>
      <c r="D33" s="33"/>
      <c r="E33" s="33"/>
      <c r="G33" s="21" t="s">
        <v>20</v>
      </c>
      <c r="I33" s="33"/>
      <c r="J33" s="33"/>
      <c r="K33" s="33"/>
      <c r="M33" s="21" t="s">
        <v>20</v>
      </c>
      <c r="O33" s="35" t="s">
        <v>18</v>
      </c>
    </row>
    <row r="34" spans="2:17" x14ac:dyDescent="0.25">
      <c r="B34" s="8" t="s">
        <v>13</v>
      </c>
      <c r="C34" s="36" t="str">
        <f>IF(OR(AND(C24=0,C25=0),AND(C24&gt;0,C25&gt;0)),"",IF(C24&gt;0,C24,C29*C25))</f>
        <v/>
      </c>
      <c r="D34" s="37" t="str">
        <f>IF(OR(AND(D24=0,D25=0),AND(D24&gt;0,D25&gt;0)),"",IF(D24&gt;0,D24,D29*D25))</f>
        <v/>
      </c>
      <c r="E34" s="38" t="str">
        <f>IF(OR(AND(E24=0,E25=0),AND(E24&gt;0,E25&gt;0)),"",IF(E24&gt;0,E24,E29*E25))</f>
        <v/>
      </c>
      <c r="G34" s="39">
        <f>IF(AND(AND(C34="",D34=""),E34=""),0,SUM(C34:E34))</f>
        <v>0</v>
      </c>
      <c r="I34" s="36" t="str">
        <f>IF(OR(AND(I24=0,I25=0),AND(I24&gt;0,I25&gt;0)),"",IF(I24&gt;0,I24,I29*I25))</f>
        <v/>
      </c>
      <c r="J34" s="37" t="str">
        <f>IF(OR(AND(J24=0,J25=0),AND(J24&gt;0,J25&gt;0)),"",IF(J24&gt;0,J24,J29*J25))</f>
        <v/>
      </c>
      <c r="K34" s="38" t="str">
        <f>IF(OR(AND(K24=0,K25=0),AND(K24&gt;0,K25&gt;0)),"",IF(K24&gt;0,K24,K29*K25))</f>
        <v/>
      </c>
      <c r="M34" s="39">
        <f>IF(AND(AND(I34="",J34=""),K34=""),0,SUM(I34:K34))</f>
        <v>0</v>
      </c>
      <c r="O34" s="39">
        <f>IF($E$21+$K$21=1,IF(G34+M34&gt;0,G34*$E$21+M34*$K$21,0),"ERR")</f>
        <v>0</v>
      </c>
    </row>
    <row r="35" spans="2:17" x14ac:dyDescent="0.25">
      <c r="B35" s="8" t="s">
        <v>28</v>
      </c>
      <c r="C35" s="40" t="str">
        <f>IF(C26="Y",C30/SUMIF($C$26:$E$26,"Y",$C$30:$E$30)*$G$35,"")</f>
        <v/>
      </c>
      <c r="D35" s="41" t="str">
        <f t="shared" ref="D35:E35" si="1">IF(D26="Y",D30/SUMIF($C$26:$E$26,"Y",$C$30:$E$30)*$G$35,"")</f>
        <v/>
      </c>
      <c r="E35" s="42" t="str">
        <f t="shared" si="1"/>
        <v/>
      </c>
      <c r="G35" s="39">
        <f>IF(OR(OR(C26="Y",D26="Y"),E26="Y"),IF(SUMIF(C26:E26,"Y",C30:E30)*$D$15&gt;$D$14,SUMIF(C26:E26,"Y",C30:E30)*$D$15+$D$16,$D$14+$D$16),0)</f>
        <v>0</v>
      </c>
      <c r="I35" s="40" t="str">
        <f t="shared" ref="I35:J35" si="2">IF(I26="Y",I30/SUMIF($I$26:$K$26,"Y",$I$30:$K$30)*$M$35,"")</f>
        <v/>
      </c>
      <c r="J35" s="41" t="str">
        <f t="shared" si="2"/>
        <v/>
      </c>
      <c r="K35" s="42" t="str">
        <f>IF(K26="Y",K30/SUMIF($I$26:$K$26,"Y",$I$30:$K$30)*$M$35,"")</f>
        <v/>
      </c>
      <c r="M35" s="39">
        <f>IF(OR(OR(I26="Y",J26="Y"),K26="Y"),IF(SUMIF(I26:K26,"Y",I30:K30)*$D$15&gt;$D$14,SUMIF(I26:K26,"Y",I30:K30)*$D$15+$D$16,$D$14+$D$16),0)</f>
        <v>0</v>
      </c>
      <c r="O35" s="39">
        <f>IF($E$21+$K$21=1,IF(G35+M35&gt;0,G35*$E$21+M35*$K$21,0),"ERR")</f>
        <v>0</v>
      </c>
      <c r="Q35" s="14"/>
    </row>
    <row r="36" spans="2:17" x14ac:dyDescent="0.25">
      <c r="B36" s="8" t="s">
        <v>14</v>
      </c>
      <c r="C36" s="40" t="str">
        <f>IF(OR(AND(C24=0,C25=0),AND(C24&gt;0,C25&gt;0)),"",C30*$D$12)</f>
        <v/>
      </c>
      <c r="D36" s="41" t="str">
        <f>IF(OR(AND(D24=0,D25=0),AND(D24&gt;0,D25&gt;0)),"",D30*$D$12)</f>
        <v/>
      </c>
      <c r="E36" s="42" t="str">
        <f>IF(OR(AND(E24=0,E25=0),AND(E24&gt;0,E25&gt;0)),"",E30*$D$12)</f>
        <v/>
      </c>
      <c r="G36" s="39">
        <f>IF(AND(AND(C36="",D36=""),E36=""),0,SUM(C36:E36))</f>
        <v>0</v>
      </c>
      <c r="I36" s="40" t="str">
        <f>IF(OR(AND(I24=0,I25=0),AND(I24&gt;0,I25&gt;0)),"",I30*$D$12)</f>
        <v/>
      </c>
      <c r="J36" s="41" t="str">
        <f>IF(OR(AND(J24=0,J25=0),AND(J24&gt;0,J25&gt;0)),"",J30*$D$12)</f>
        <v/>
      </c>
      <c r="K36" s="42" t="str">
        <f>IF(OR(AND(K24=0,K25=0),AND(K24&gt;0,K25&gt;0)),"",K30*$D$12)</f>
        <v/>
      </c>
      <c r="M36" s="39">
        <f>IF(AND(AND(I36="",J36=""),K36=""),0,SUM(I36:K36))</f>
        <v>0</v>
      </c>
      <c r="O36" s="39">
        <f>IF($E$21+$K$21=1,IF(G36+M36&gt;0,G36*$E$21+M36*$K$21,0),"ERR")</f>
        <v>0</v>
      </c>
    </row>
    <row r="37" spans="2:17" ht="15.75" thickBot="1" x14ac:dyDescent="0.3">
      <c r="B37" s="43" t="s">
        <v>21</v>
      </c>
      <c r="C37" s="44" t="str">
        <f>IF(AND($D$12&gt;0,AND($D$13&gt;0,C28&gt;0)),$D$12*C28/1000*$D$13,"")</f>
        <v/>
      </c>
      <c r="D37" s="45" t="str">
        <f t="shared" ref="D37:E37" si="3">IF(AND($D$12&gt;0,AND($D$13&gt;0,D28&gt;0)),$D$12*D28/1000*$D$13,"")</f>
        <v/>
      </c>
      <c r="E37" s="46" t="str">
        <f t="shared" si="3"/>
        <v/>
      </c>
      <c r="G37" s="47">
        <f>IF(AND(AND(C37="",D37=""),E37=""),0,SUM(C37:E37))</f>
        <v>0</v>
      </c>
      <c r="I37" s="44" t="str">
        <f t="shared" ref="I37:K37" si="4">IF(AND($D$12&gt;0,AND($D$13&gt;0,I28&gt;0)),$D$12*I28/1000*$D$13,"")</f>
        <v/>
      </c>
      <c r="J37" s="45" t="str">
        <f t="shared" si="4"/>
        <v/>
      </c>
      <c r="K37" s="46" t="str">
        <f t="shared" si="4"/>
        <v/>
      </c>
      <c r="M37" s="47">
        <f>IF(AND(AND(I37="",J37=""),K37=""),0,SUM(I37:K37))</f>
        <v>0</v>
      </c>
      <c r="O37" s="39">
        <f>IF($E$21+$K$21=1,IF(G37+M37&gt;0,G37*$E$21+M37*$K$21,0),"ERR")</f>
        <v>0</v>
      </c>
    </row>
    <row r="38" spans="2:17" s="54" customFormat="1" ht="21" customHeight="1" x14ac:dyDescent="0.25">
      <c r="B38" s="48" t="s">
        <v>22</v>
      </c>
      <c r="C38" s="49" t="str">
        <f>IF(SUM(C34:C37)&gt;0.5,SUM(C34:C37),"")</f>
        <v/>
      </c>
      <c r="D38" s="50" t="str">
        <f>IF(SUM(D34:D37)&gt;0.5,SUM(D34:D37),"")</f>
        <v/>
      </c>
      <c r="E38" s="51" t="str">
        <f>IF(SUM(E34:E37)&gt;0.5,SUM(E34:E37),"")</f>
        <v/>
      </c>
      <c r="F38" s="48"/>
      <c r="G38" s="53">
        <f>IF(SUM(G34:G37)&gt;0,SUM(G34:G37),0)</f>
        <v>0</v>
      </c>
      <c r="H38" s="52"/>
      <c r="I38" s="49" t="str">
        <f>IF(SUM(I34:I37)&gt;0.5,SUM(I34:I37),"")</f>
        <v/>
      </c>
      <c r="J38" s="50" t="str">
        <f>IF(SUM(J34:J37)&gt;0.5,SUM(J34:J37),"")</f>
        <v/>
      </c>
      <c r="K38" s="51" t="str">
        <f>IF(SUM(K34:K37)&gt;0.5,SUM(K34:K37),"")</f>
        <v/>
      </c>
      <c r="L38" s="48"/>
      <c r="M38" s="53">
        <f>SUM(M34:M37)</f>
        <v>0</v>
      </c>
      <c r="N38" s="52"/>
      <c r="O38" s="61">
        <f>IF(SUM(O34:O37)&gt;0,SUM(O34:O37),0)</f>
        <v>0</v>
      </c>
      <c r="Q38" s="55"/>
    </row>
    <row r="39" spans="2:17" ht="6" customHeight="1" x14ac:dyDescent="0.25"/>
    <row r="40" spans="2:17" x14ac:dyDescent="0.25">
      <c r="B40" s="56" t="s">
        <v>23</v>
      </c>
      <c r="C40" s="57" t="str">
        <f t="shared" ref="C40:E40" si="5">IF(OR(C38="",C29=""),"",C38/C29)</f>
        <v/>
      </c>
      <c r="D40" s="58" t="str">
        <f t="shared" si="5"/>
        <v/>
      </c>
      <c r="E40" s="59" t="str">
        <f t="shared" si="5"/>
        <v/>
      </c>
      <c r="F40" s="56"/>
      <c r="G40" s="60" t="str">
        <f t="shared" ref="G40" si="6">IF(AND(G38&gt;0,G29&gt;0),G38/G29,"")</f>
        <v/>
      </c>
      <c r="I40" s="57" t="str">
        <f>IF(OR(I38="",I29=""),"",I38/I29)</f>
        <v/>
      </c>
      <c r="J40" s="58" t="str">
        <f t="shared" ref="J40:K40" si="7">IF(OR(J38="",J29=""),"",J38/J29)</f>
        <v/>
      </c>
      <c r="K40" s="59" t="str">
        <f t="shared" si="7"/>
        <v/>
      </c>
      <c r="L40" s="56"/>
      <c r="M40" s="60" t="str">
        <f t="shared" ref="M40" si="8">IF(AND(M38&gt;0,M29&gt;0),M38/M29,"")</f>
        <v/>
      </c>
      <c r="N40" s="20"/>
      <c r="O40" s="60" t="str">
        <f>IF($E$21+$K$21=1,IF(OR(O38=0,G29=""),"",O38/G29),"")</f>
        <v/>
      </c>
    </row>
  </sheetData>
  <sheetProtection password="A9E0" sheet="1" objects="1" scenarios="1" selectLockedCells="1"/>
  <mergeCells count="6">
    <mergeCell ref="B2:J2"/>
    <mergeCell ref="B13:C13"/>
    <mergeCell ref="C20:E20"/>
    <mergeCell ref="I20:K20"/>
    <mergeCell ref="C21:D21"/>
    <mergeCell ref="I21:J21"/>
  </mergeCells>
  <pageMargins left="0.45" right="0.36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Scenario A</vt:lpstr>
      <vt:lpstr>Scenario B</vt:lpstr>
      <vt:lpstr>Scenario C</vt:lpstr>
      <vt:lpstr>'Scenario A'!Print_Area</vt:lpstr>
      <vt:lpstr>'Scenario B'!Print_Area</vt:lpstr>
      <vt:lpstr>'Scenario C'!Print_Area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Pearce</dc:creator>
  <cp:lastModifiedBy>David Pearce</cp:lastModifiedBy>
  <cp:lastPrinted>2013-09-18T20:06:00Z</cp:lastPrinted>
  <dcterms:created xsi:type="dcterms:W3CDTF">2013-09-18T15:47:32Z</dcterms:created>
  <dcterms:modified xsi:type="dcterms:W3CDTF">2014-09-15T20:39:56Z</dcterms:modified>
</cp:coreProperties>
</file>