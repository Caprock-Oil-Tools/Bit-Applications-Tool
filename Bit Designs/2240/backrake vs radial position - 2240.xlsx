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40\"/>
    </mc:Choice>
  </mc:AlternateContent>
  <xr:revisionPtr revIDLastSave="0" documentId="13_ncr:1_{A373B8A4-E4CD-491D-94C0-28344C274E45}" xr6:coauthVersionLast="41" xr6:coauthVersionMax="41" xr10:uidLastSave="{00000000-0000-0000-0000-000000000000}"/>
  <bookViews>
    <workbookView xWindow="28680" yWindow="-120" windowWidth="29040" windowHeight="16440" activeTab="1" xr2:uid="{00000000-000D-0000-FFFF-FFFF00000000}"/>
  </bookViews>
  <sheets>
    <sheet name="Data" sheetId="1" r:id="rId1"/>
    <sheet name="7.875" sheetId="9" r:id="rId2"/>
  </sheets>
  <definedNames>
    <definedName name="_xlnm.Print_Area" localSheetId="0">Data!$AZ$2:$BH$36</definedName>
  </definedNames>
  <calcPr calcId="191029" iterate="1" iterateCount="100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K46" i="1" l="1"/>
  <c r="BK45" i="1"/>
  <c r="BM45" i="1" s="1"/>
  <c r="BK44" i="1"/>
  <c r="BK43" i="1"/>
  <c r="BK42" i="1"/>
  <c r="BK41" i="1"/>
  <c r="BM41" i="1" s="1"/>
  <c r="BK40" i="1"/>
  <c r="BK39" i="1"/>
  <c r="BM39" i="1" s="1"/>
  <c r="BJ46" i="1"/>
  <c r="BM46" i="1"/>
  <c r="BJ36" i="1"/>
  <c r="BJ37" i="1" s="1"/>
  <c r="BJ38" i="1" s="1"/>
  <c r="BJ39" i="1" s="1"/>
  <c r="BJ40" i="1" s="1"/>
  <c r="BJ41" i="1" s="1"/>
  <c r="BJ42" i="1" s="1"/>
  <c r="BJ43" i="1" s="1"/>
  <c r="BJ44" i="1" s="1"/>
  <c r="BJ45" i="1" s="1"/>
  <c r="BM36" i="1"/>
  <c r="BM37" i="1"/>
  <c r="BM38" i="1"/>
  <c r="BM40" i="1"/>
  <c r="BM42" i="1"/>
  <c r="BM43" i="1"/>
  <c r="BM44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BJ6" i="1"/>
  <c r="BJ7" i="1" s="1"/>
  <c r="BJ8" i="1" s="1"/>
  <c r="BJ9" i="1" s="1"/>
  <c r="BJ10" i="1" s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M5" i="1"/>
  <c r="BJ5" i="1"/>
  <c r="BM4" i="1"/>
  <c r="BF31" i="1" l="1"/>
  <c r="BF32" i="1"/>
  <c r="BF33" i="1"/>
  <c r="BF34" i="1"/>
  <c r="BH34" i="1" s="1"/>
  <c r="BF35" i="1"/>
  <c r="BH35" i="1" s="1"/>
  <c r="BF30" i="1"/>
  <c r="BH30" i="1" s="1"/>
  <c r="BE5" i="1"/>
  <c r="BE6" i="1" s="1"/>
  <c r="BE7" i="1" s="1"/>
  <c r="BE8" i="1" s="1"/>
  <c r="BE9" i="1" s="1"/>
  <c r="BE10" i="1" s="1"/>
  <c r="BE11" i="1" s="1"/>
  <c r="BE12" i="1" s="1"/>
  <c r="BE13" i="1" s="1"/>
  <c r="BE14" i="1" s="1"/>
  <c r="BE15" i="1" s="1"/>
  <c r="BE16" i="1" s="1"/>
  <c r="BE17" i="1" s="1"/>
  <c r="BE18" i="1" s="1"/>
  <c r="BE19" i="1" s="1"/>
  <c r="BE20" i="1" s="1"/>
  <c r="BE21" i="1" s="1"/>
  <c r="BE22" i="1" s="1"/>
  <c r="BE23" i="1" s="1"/>
  <c r="BE24" i="1" s="1"/>
  <c r="BE25" i="1" s="1"/>
  <c r="BE26" i="1" s="1"/>
  <c r="BE27" i="1" s="1"/>
  <c r="BE28" i="1" s="1"/>
  <c r="BE29" i="1" s="1"/>
  <c r="BE30" i="1" s="1"/>
  <c r="BE31" i="1" s="1"/>
  <c r="BE32" i="1" s="1"/>
  <c r="BE33" i="1" s="1"/>
  <c r="BE34" i="1" s="1"/>
  <c r="BE35" i="1" s="1"/>
  <c r="BH33" i="1"/>
  <c r="BH32" i="1"/>
  <c r="BH31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C31" i="1" l="1"/>
  <c r="BC32" i="1"/>
  <c r="BC30" i="1"/>
  <c r="BC33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C5" i="1"/>
  <c r="BC4" i="1"/>
  <c r="AU31" i="1" l="1"/>
  <c r="AU36" i="1"/>
  <c r="AW36" i="1" s="1"/>
  <c r="AU35" i="1"/>
  <c r="AU34" i="1"/>
  <c r="AW34" i="1" s="1"/>
  <c r="AU33" i="1"/>
  <c r="AW33" i="1" s="1"/>
  <c r="AU32" i="1"/>
  <c r="AW32" i="1" s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5" i="1"/>
  <c r="AW4" i="1"/>
  <c r="AR5" i="1" l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40" i="1"/>
  <c r="AR4" i="1"/>
  <c r="AP40" i="1"/>
  <c r="AP39" i="1"/>
  <c r="AR39" i="1" s="1"/>
  <c r="AP38" i="1"/>
  <c r="AR38" i="1" s="1"/>
  <c r="AP37" i="1"/>
  <c r="AR37" i="1" s="1"/>
  <c r="AP36" i="1"/>
  <c r="AR36" i="1" s="1"/>
  <c r="AP35" i="1"/>
  <c r="AR35" i="1" s="1"/>
  <c r="AF27" i="1"/>
  <c r="AH27" i="1" s="1"/>
  <c r="AH26" i="1"/>
  <c r="AH25" i="1"/>
  <c r="AH24" i="1"/>
  <c r="AH23" i="1"/>
  <c r="AH22" i="1"/>
  <c r="AH21" i="1"/>
  <c r="AK20" i="1"/>
  <c r="AM20" i="1" s="1"/>
  <c r="AH20" i="1"/>
  <c r="AM19" i="1"/>
  <c r="AH19" i="1"/>
  <c r="AM18" i="1"/>
  <c r="AH18" i="1"/>
  <c r="AM17" i="1"/>
  <c r="AH17" i="1"/>
  <c r="AM16" i="1"/>
  <c r="AH16" i="1"/>
  <c r="AM15" i="1"/>
  <c r="AH15" i="1"/>
  <c r="AM14" i="1"/>
  <c r="AH14" i="1"/>
  <c r="AM13" i="1"/>
  <c r="AH13" i="1"/>
  <c r="AM12" i="1"/>
  <c r="AH12" i="1"/>
  <c r="AM11" i="1"/>
  <c r="AH11" i="1"/>
  <c r="AM10" i="1"/>
  <c r="AH10" i="1"/>
  <c r="AM9" i="1"/>
  <c r="AH9" i="1"/>
  <c r="AM8" i="1"/>
  <c r="AH8" i="1"/>
  <c r="AM7" i="1"/>
  <c r="AH7" i="1"/>
  <c r="AM6" i="1"/>
  <c r="AH6" i="1"/>
  <c r="AM5" i="1"/>
  <c r="AH5" i="1"/>
  <c r="AM4" i="1"/>
  <c r="AH4" i="1"/>
  <c r="AC40" i="1"/>
  <c r="AA40" i="1"/>
  <c r="AA39" i="1"/>
  <c r="AC39" i="1" s="1"/>
  <c r="AC38" i="1"/>
  <c r="AA38" i="1"/>
  <c r="AA37" i="1"/>
  <c r="AC37" i="1" s="1"/>
  <c r="AA36" i="1"/>
  <c r="AC36" i="1" s="1"/>
  <c r="AA35" i="1"/>
  <c r="AC35" i="1" s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K21" i="1" l="1"/>
  <c r="AF28" i="1"/>
  <c r="V21" i="1"/>
  <c r="X21" i="1" s="1"/>
  <c r="V22" i="1"/>
  <c r="X22" i="1" s="1"/>
  <c r="V20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  <c r="AH28" i="1" l="1"/>
  <c r="AF29" i="1"/>
  <c r="AK22" i="1"/>
  <c r="AM21" i="1"/>
  <c r="Q36" i="1"/>
  <c r="S36" i="1" s="1"/>
  <c r="Q35" i="1"/>
  <c r="S35" i="1" s="1"/>
  <c r="Q34" i="1"/>
  <c r="S34" i="1" s="1"/>
  <c r="Q33" i="1"/>
  <c r="Q32" i="1"/>
  <c r="Q31" i="1"/>
  <c r="S27" i="1"/>
  <c r="S26" i="1"/>
  <c r="S28" i="1"/>
  <c r="S29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4" i="1"/>
  <c r="AH29" i="1" l="1"/>
  <c r="AF30" i="1"/>
  <c r="AK23" i="1"/>
  <c r="AM22" i="1"/>
  <c r="S31" i="1"/>
  <c r="S30" i="1"/>
  <c r="AH30" i="1" l="1"/>
  <c r="AF31" i="1"/>
  <c r="AM23" i="1"/>
  <c r="AK24" i="1"/>
  <c r="AM24" i="1" s="1"/>
  <c r="S33" i="1"/>
  <c r="S32" i="1"/>
  <c r="AH31" i="1" l="1"/>
  <c r="AF32" i="1"/>
  <c r="AH32" i="1" l="1"/>
  <c r="AF33" i="1"/>
  <c r="AH33" i="1" s="1"/>
</calcChain>
</file>

<file path=xl/sharedStrings.xml><?xml version="1.0" encoding="utf-8"?>
<sst xmlns="http://schemas.openxmlformats.org/spreadsheetml/2006/main" count="46" uniqueCount="8">
  <si>
    <t>Radius</t>
  </si>
  <si>
    <t>Backrake</t>
  </si>
  <si>
    <t>%Rad</t>
  </si>
  <si>
    <t>7⅞ 616-SRK 2131</t>
  </si>
  <si>
    <t>Position</t>
  </si>
  <si>
    <t>7⅞ 616-SR(K) 2140</t>
  </si>
  <si>
    <t>7⅞ 616-SR(K) 2175</t>
  </si>
  <si>
    <t>7⅞ 616-SR(K) 2240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</si>
</sst>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\°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6" xfId="0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3287921589735131"/>
          <c:y val="1.51548000524140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685844269466317E-2"/>
          <c:y val="8.0945700001002721E-2"/>
          <c:w val="0.89378326055439317"/>
          <c:h val="0.8544578523751097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Data!$D$4:$D$23</c:f>
            </c:numRef>
          </c:xVal>
          <c:yVal>
            <c:numRef>
              <c:f>Data!$C$4:$C$23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2A60-4B63-A8DC-44E86EBC2098}"/>
            </c:ext>
          </c:extLst>
        </c:ser>
        <c:ser>
          <c:idx val="6"/>
          <c:order val="1"/>
          <c:tx>
            <c:strRef>
              <c:f>Data!$AF$2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Data!$AH$4:$AH$33</c:f>
            </c:numRef>
          </c:xVal>
          <c:yVal>
            <c:numRef>
              <c:f>Data!$AG$4:$AG$33</c:f>
            </c:numRef>
          </c:yVal>
          <c:smooth val="0"/>
          <c:extLst>
            <c:ext xmlns:c16="http://schemas.microsoft.com/office/drawing/2014/chart" uri="{C3380CC4-5D6E-409C-BE32-E72D297353CC}">
              <c16:uniqueId val="{00000001-2A60-4B63-A8DC-44E86EBC2098}"/>
            </c:ext>
          </c:extLst>
        </c:ser>
        <c:ser>
          <c:idx val="7"/>
          <c:order val="2"/>
          <c:tx>
            <c:strRef>
              <c:f>Data!$AK$2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Data!$AM$4:$AM$24</c:f>
            </c:numRef>
          </c:xVal>
          <c:yVal>
            <c:numRef>
              <c:f>Data!$AL$4:$AL$24</c:f>
            </c:numRef>
          </c:yVal>
          <c:smooth val="0"/>
          <c:extLst>
            <c:ext xmlns:c16="http://schemas.microsoft.com/office/drawing/2014/chart" uri="{C3380CC4-5D6E-409C-BE32-E72D297353CC}">
              <c16:uniqueId val="{00000002-2A60-4B63-A8DC-44E86EBC2098}"/>
            </c:ext>
          </c:extLst>
        </c:ser>
        <c:ser>
          <c:idx val="4"/>
          <c:order val="3"/>
          <c:tx>
            <c:strRef>
              <c:f>Data!$L$2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Data!$N$4:$N$25</c:f>
            </c:numRef>
          </c:xVal>
          <c:yVal>
            <c:numRef>
              <c:f>Data!$M$4:$M$25</c:f>
            </c:numRef>
          </c:yVal>
          <c:smooth val="0"/>
          <c:extLst>
            <c:ext xmlns:c16="http://schemas.microsoft.com/office/drawing/2014/chart" uri="{C3380CC4-5D6E-409C-BE32-E72D297353CC}">
              <c16:uniqueId val="{00000003-2A60-4B63-A8DC-44E86EBC2098}"/>
            </c:ext>
          </c:extLst>
        </c:ser>
        <c:ser>
          <c:idx val="2"/>
          <c:order val="4"/>
          <c:tx>
            <c:strRef>
              <c:f>Data!$Q$2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Data!$S$4:$S$36</c:f>
            </c:numRef>
          </c:xVal>
          <c:yVal>
            <c:numRef>
              <c:f>Data!$R$4:$R$36</c:f>
            </c:numRef>
          </c:yVal>
          <c:smooth val="0"/>
          <c:extLst>
            <c:ext xmlns:c16="http://schemas.microsoft.com/office/drawing/2014/chart" uri="{C3380CC4-5D6E-409C-BE32-E72D297353CC}">
              <c16:uniqueId val="{00000004-2A60-4B63-A8DC-44E86EBC2098}"/>
            </c:ext>
          </c:extLst>
        </c:ser>
        <c:ser>
          <c:idx val="5"/>
          <c:order val="5"/>
          <c:tx>
            <c:strRef>
              <c:f>Data!$AA$2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Data!$AC$4:$AC$40</c:f>
            </c:numRef>
          </c:xVal>
          <c:yVal>
            <c:numRef>
              <c:f>Data!$AB$4:$AB$40</c:f>
            </c:numRef>
          </c:yVal>
          <c:smooth val="0"/>
          <c:extLst>
            <c:ext xmlns:c16="http://schemas.microsoft.com/office/drawing/2014/chart" uri="{C3380CC4-5D6E-409C-BE32-E72D297353CC}">
              <c16:uniqueId val="{00000005-2A60-4B63-A8DC-44E86EBC2098}"/>
            </c:ext>
          </c:extLst>
        </c:ser>
        <c:ser>
          <c:idx val="3"/>
          <c:order val="6"/>
          <c:tx>
            <c:strRef>
              <c:f>Data!$V$2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Data!$X$4:$X$22</c:f>
            </c:numRef>
          </c:xVal>
          <c:yVal>
            <c:numRef>
              <c:f>Data!$W$4:$W$22</c:f>
            </c:numRef>
          </c:yVal>
          <c:smooth val="0"/>
          <c:extLst>
            <c:ext xmlns:c16="http://schemas.microsoft.com/office/drawing/2014/chart" uri="{C3380CC4-5D6E-409C-BE32-E72D297353CC}">
              <c16:uniqueId val="{00000006-2A60-4B63-A8DC-44E86EBC2098}"/>
            </c:ext>
          </c:extLst>
        </c:ser>
        <c:ser>
          <c:idx val="8"/>
          <c:order val="7"/>
          <c:tx>
            <c:strRef>
              <c:f>Data!$AP$2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Data!$AR$4:$AR$40</c:f>
            </c:numRef>
          </c:xVal>
          <c:yVal>
            <c:numRef>
              <c:f>Data!$AQ$4:$AQ$40</c:f>
            </c:numRef>
          </c:yVal>
          <c:smooth val="0"/>
          <c:extLst>
            <c:ext xmlns:c16="http://schemas.microsoft.com/office/drawing/2014/chart" uri="{C3380CC4-5D6E-409C-BE32-E72D297353CC}">
              <c16:uniqueId val="{00000007-2A60-4B63-A8DC-44E86EBC2098}"/>
            </c:ext>
          </c:extLst>
        </c:ser>
        <c:ser>
          <c:idx val="9"/>
          <c:order val="8"/>
          <c:tx>
            <c:strRef>
              <c:f>Data!$BF$2</c:f>
              <c:strCache>
                <c:ptCount val="1"/>
                <c:pt idx="0">
                  <c:v>7⅞ 616-SR(K) 2175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Data!$BH$4:$BH$36</c:f>
              <c:numCache>
                <c:formatCode>0.00%</c:formatCode>
                <c:ptCount val="33"/>
                <c:pt idx="0">
                  <c:v>7.4996825396825395E-2</c:v>
                </c:pt>
                <c:pt idx="1">
                  <c:v>0.13320634920634919</c:v>
                </c:pt>
                <c:pt idx="2">
                  <c:v>0.19144126984126986</c:v>
                </c:pt>
                <c:pt idx="3">
                  <c:v>0.24982857142857143</c:v>
                </c:pt>
                <c:pt idx="4">
                  <c:v>0.30887619047619047</c:v>
                </c:pt>
                <c:pt idx="5">
                  <c:v>0.36792380952380954</c:v>
                </c:pt>
                <c:pt idx="6">
                  <c:v>0.42697142857142856</c:v>
                </c:pt>
                <c:pt idx="7">
                  <c:v>0.4887111111111111</c:v>
                </c:pt>
                <c:pt idx="8">
                  <c:v>0.55913650793650793</c:v>
                </c:pt>
                <c:pt idx="9">
                  <c:v>0.6003047619047619</c:v>
                </c:pt>
                <c:pt idx="10">
                  <c:v>0.63809523809523816</c:v>
                </c:pt>
                <c:pt idx="11">
                  <c:v>0.67652063492063497</c:v>
                </c:pt>
                <c:pt idx="12">
                  <c:v>0.71408253968253965</c:v>
                </c:pt>
                <c:pt idx="13">
                  <c:v>0.75047619047619052</c:v>
                </c:pt>
                <c:pt idx="14">
                  <c:v>0.78537142857142861</c:v>
                </c:pt>
                <c:pt idx="15">
                  <c:v>0.81853968253968246</c:v>
                </c:pt>
                <c:pt idx="16">
                  <c:v>0.84960000000000002</c:v>
                </c:pt>
                <c:pt idx="17">
                  <c:v>0.87834920634920632</c:v>
                </c:pt>
                <c:pt idx="18">
                  <c:v>0.9045333333333333</c:v>
                </c:pt>
                <c:pt idx="19">
                  <c:v>0.92769523809523813</c:v>
                </c:pt>
                <c:pt idx="20">
                  <c:v>0.94778412698412695</c:v>
                </c:pt>
                <c:pt idx="21">
                  <c:v>0.9646730158730159</c:v>
                </c:pt>
                <c:pt idx="22">
                  <c:v>0.9778539682539682</c:v>
                </c:pt>
                <c:pt idx="23">
                  <c:v>0.9817650793650794</c:v>
                </c:pt>
                <c:pt idx="24">
                  <c:v>0.98453333333333326</c:v>
                </c:pt>
                <c:pt idx="25">
                  <c:v>0.9875301587301587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xVal>
          <c:yVal>
            <c:numRef>
              <c:f>Data!$BG$4:$BG$36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20</c:v>
                </c:pt>
                <c:pt idx="23">
                  <c:v>22</c:v>
                </c:pt>
                <c:pt idx="24">
                  <c:v>24</c:v>
                </c:pt>
                <c:pt idx="25">
                  <c:v>26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A60-4B63-A8DC-44E86EBC2098}"/>
            </c:ext>
          </c:extLst>
        </c:ser>
        <c:ser>
          <c:idx val="1"/>
          <c:order val="9"/>
          <c:tx>
            <c:strRef>
              <c:f>Data!$BA$2</c:f>
              <c:strCache>
                <c:ptCount val="1"/>
                <c:pt idx="0">
                  <c:v>7⅞ 616-SR(K) 2140</c:v>
                </c:pt>
              </c:strCache>
            </c:strRef>
          </c:tx>
          <c:spPr>
            <a:ln w="22225"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Data!$BC$4:$BC$32</c:f>
              <c:numCache>
                <c:formatCode>0.00%</c:formatCode>
                <c:ptCount val="29"/>
                <c:pt idx="0">
                  <c:v>5.2876190476190472E-2</c:v>
                </c:pt>
                <c:pt idx="1">
                  <c:v>0.14885079365079365</c:v>
                </c:pt>
                <c:pt idx="2">
                  <c:v>0.21452698412698412</c:v>
                </c:pt>
                <c:pt idx="3">
                  <c:v>0.27974603174603174</c:v>
                </c:pt>
                <c:pt idx="4">
                  <c:v>0.34402539682539685</c:v>
                </c:pt>
                <c:pt idx="5">
                  <c:v>0.40736507936507937</c:v>
                </c:pt>
                <c:pt idx="6">
                  <c:v>0.47362539682539684</c:v>
                </c:pt>
                <c:pt idx="7">
                  <c:v>0.53874285714285719</c:v>
                </c:pt>
                <c:pt idx="8">
                  <c:v>0.58986666666666665</c:v>
                </c:pt>
                <c:pt idx="9">
                  <c:v>0.63106031746031743</c:v>
                </c:pt>
                <c:pt idx="10">
                  <c:v>0.67177142857142846</c:v>
                </c:pt>
                <c:pt idx="11">
                  <c:v>0.7116190476190476</c:v>
                </c:pt>
                <c:pt idx="12">
                  <c:v>0.75024761904761905</c:v>
                </c:pt>
                <c:pt idx="13">
                  <c:v>0.78727619047619046</c:v>
                </c:pt>
                <c:pt idx="14">
                  <c:v>0.82219682539682537</c:v>
                </c:pt>
                <c:pt idx="15">
                  <c:v>0.85455238095238095</c:v>
                </c:pt>
                <c:pt idx="16">
                  <c:v>0.88426666666666665</c:v>
                </c:pt>
                <c:pt idx="17">
                  <c:v>0.911263492063492</c:v>
                </c:pt>
                <c:pt idx="18">
                  <c:v>0.9357968253968254</c:v>
                </c:pt>
                <c:pt idx="19">
                  <c:v>0.95634285714285716</c:v>
                </c:pt>
                <c:pt idx="20">
                  <c:v>0.97356190476190485</c:v>
                </c:pt>
                <c:pt idx="21">
                  <c:v>0.98692063492063498</c:v>
                </c:pt>
                <c:pt idx="22">
                  <c:v>0.99631746031746038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xVal>
          <c:yVal>
            <c:numRef>
              <c:f>Data!$BB$4:$BB$32</c:f>
              <c:numCache>
                <c:formatCode>General</c:formatCode>
                <c:ptCount val="29"/>
                <c:pt idx="0">
                  <c:v>20</c:v>
                </c:pt>
                <c:pt idx="1">
                  <c:v>17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22</c:v>
                </c:pt>
                <c:pt idx="22">
                  <c:v>24</c:v>
                </c:pt>
                <c:pt idx="23">
                  <c:v>26</c:v>
                </c:pt>
                <c:pt idx="24">
                  <c:v>28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60-4B63-A8DC-44E86EBC2098}"/>
            </c:ext>
          </c:extLst>
        </c:ser>
        <c:ser>
          <c:idx val="10"/>
          <c:order val="10"/>
          <c:tx>
            <c:strRef>
              <c:f>Data!$BK$2</c:f>
              <c:strCache>
                <c:ptCount val="1"/>
                <c:pt idx="0">
                  <c:v>7⅞ 616-SR(K) 2240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Data!$BM$4:$BM$46</c:f>
              <c:numCache>
                <c:formatCode>0.00%</c:formatCode>
                <c:ptCount val="43"/>
                <c:pt idx="0">
                  <c:v>6.704761904761905E-2</c:v>
                </c:pt>
                <c:pt idx="1">
                  <c:v>0.14466031746031746</c:v>
                </c:pt>
                <c:pt idx="2">
                  <c:v>0.20751746031746032</c:v>
                </c:pt>
                <c:pt idx="3">
                  <c:v>0.25561904761904758</c:v>
                </c:pt>
                <c:pt idx="4">
                  <c:v>0.30372063492063489</c:v>
                </c:pt>
                <c:pt idx="5">
                  <c:v>0.35179682539682539</c:v>
                </c:pt>
                <c:pt idx="6">
                  <c:v>0.38887619047619043</c:v>
                </c:pt>
                <c:pt idx="7">
                  <c:v>0.42719999999999997</c:v>
                </c:pt>
                <c:pt idx="8">
                  <c:v>0.45810793650793652</c:v>
                </c:pt>
                <c:pt idx="9">
                  <c:v>0.50346666666666662</c:v>
                </c:pt>
                <c:pt idx="10">
                  <c:v>0.53953015873015875</c:v>
                </c:pt>
                <c:pt idx="11">
                  <c:v>0.57112380952380959</c:v>
                </c:pt>
                <c:pt idx="12">
                  <c:v>0.61358730158730157</c:v>
                </c:pt>
                <c:pt idx="13">
                  <c:v>0.6514793650793651</c:v>
                </c:pt>
                <c:pt idx="14">
                  <c:v>0.68347936507936502</c:v>
                </c:pt>
                <c:pt idx="15">
                  <c:v>0.71123809523809522</c:v>
                </c:pt>
                <c:pt idx="16">
                  <c:v>0.73831111111111103</c:v>
                </c:pt>
                <c:pt idx="17">
                  <c:v>0.76459682539682539</c:v>
                </c:pt>
                <c:pt idx="18">
                  <c:v>0.78996825396825399</c:v>
                </c:pt>
                <c:pt idx="19">
                  <c:v>0.81432380952380945</c:v>
                </c:pt>
                <c:pt idx="20">
                  <c:v>0.83758730158730155</c:v>
                </c:pt>
                <c:pt idx="21">
                  <c:v>0.85945396825396825</c:v>
                </c:pt>
                <c:pt idx="22">
                  <c:v>0.88020317460317465</c:v>
                </c:pt>
                <c:pt idx="23">
                  <c:v>0.89955555555555555</c:v>
                </c:pt>
                <c:pt idx="24">
                  <c:v>0.91720634920634914</c:v>
                </c:pt>
                <c:pt idx="25">
                  <c:v>0.9335619047619047</c:v>
                </c:pt>
                <c:pt idx="26">
                  <c:v>0.94816507936507943</c:v>
                </c:pt>
                <c:pt idx="27">
                  <c:v>0.96106666666666662</c:v>
                </c:pt>
                <c:pt idx="28">
                  <c:v>0.97206349206349207</c:v>
                </c:pt>
                <c:pt idx="29">
                  <c:v>0.98120634920634919</c:v>
                </c:pt>
                <c:pt idx="30">
                  <c:v>0.98742857142857143</c:v>
                </c:pt>
                <c:pt idx="31">
                  <c:v>0.99121269841269832</c:v>
                </c:pt>
                <c:pt idx="32">
                  <c:v>0.99304126984126984</c:v>
                </c:pt>
                <c:pt idx="33">
                  <c:v>0.99486984126984124</c:v>
                </c:pt>
                <c:pt idx="34">
                  <c:v>0.99629206349206345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xVal>
          <c:yVal>
            <c:numRef>
              <c:f>Data!$BL$4:$BL$46</c:f>
              <c:numCache>
                <c:formatCode>General</c:formatCode>
                <c:ptCount val="4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17</c:v>
                </c:pt>
                <c:pt idx="25">
                  <c:v>17</c:v>
                </c:pt>
                <c:pt idx="26">
                  <c:v>17.5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22</c:v>
                </c:pt>
                <c:pt idx="31">
                  <c:v>24</c:v>
                </c:pt>
                <c:pt idx="32">
                  <c:v>26</c:v>
                </c:pt>
                <c:pt idx="33">
                  <c:v>28</c:v>
                </c:pt>
                <c:pt idx="34">
                  <c:v>30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05-470B-B2E7-6C146598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35904"/>
        <c:axId val="116646656"/>
      </c:scatterChart>
      <c:valAx>
        <c:axId val="11663590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16646656"/>
        <c:crosses val="autoZero"/>
        <c:crossBetween val="midCat"/>
        <c:majorUnit val="0.1"/>
      </c:valAx>
      <c:valAx>
        <c:axId val="116646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547E-3"/>
              <c:y val="0.2693935935938479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1166359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259355783393669"/>
          <c:y val="0.12131416250729626"/>
          <c:w val="0.15666063631907984"/>
          <c:h val="0.1093984063403404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tabSelected="1" zoomScale="85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M46"/>
  <sheetViews>
    <sheetView topLeftCell="F8" zoomScaleNormal="100" workbookViewId="0">
      <selection activeCell="BP9" sqref="BP9"/>
    </sheetView>
  </sheetViews>
  <sheetFormatPr defaultRowHeight="15" x14ac:dyDescent="0.25"/>
  <cols>
    <col min="1" max="4" width="0" hidden="1" customWidth="1"/>
    <col min="5" max="5" width="3.28515625" hidden="1" customWidth="1"/>
    <col min="10" max="10" width="3.28515625" customWidth="1"/>
    <col min="11" max="14" width="0" hidden="1" customWidth="1"/>
    <col min="15" max="15" width="3.85546875" hidden="1" customWidth="1"/>
    <col min="16" max="19" width="0" hidden="1" customWidth="1"/>
    <col min="20" max="20" width="3.85546875" hidden="1" customWidth="1"/>
    <col min="21" max="24" width="0" hidden="1" customWidth="1"/>
    <col min="25" max="25" width="3.42578125" hidden="1" customWidth="1"/>
    <col min="26" max="34" width="0" hidden="1" customWidth="1"/>
    <col min="35" max="35" width="3.85546875" hidden="1" customWidth="1"/>
    <col min="36" max="39" width="0" hidden="1" customWidth="1"/>
    <col min="40" max="40" width="4.85546875" hidden="1" customWidth="1"/>
    <col min="41" max="44" width="0" hidden="1" customWidth="1"/>
    <col min="51" max="51" width="2.7109375" customWidth="1"/>
    <col min="56" max="56" width="2.7109375" customWidth="1"/>
  </cols>
  <sheetData>
    <row r="2" spans="1:65" x14ac:dyDescent="0.25">
      <c r="A2" s="2">
        <v>7.875</v>
      </c>
      <c r="B2">
        <v>1992</v>
      </c>
      <c r="F2" s="2">
        <v>7.875</v>
      </c>
      <c r="G2">
        <v>2031</v>
      </c>
      <c r="K2">
        <v>7.875</v>
      </c>
      <c r="L2">
        <v>2072</v>
      </c>
      <c r="P2">
        <v>7.875</v>
      </c>
      <c r="Q2">
        <v>2092</v>
      </c>
      <c r="U2" s="2">
        <v>7.875</v>
      </c>
      <c r="V2">
        <v>2100</v>
      </c>
      <c r="Z2">
        <v>7.875</v>
      </c>
      <c r="AA2">
        <v>2094</v>
      </c>
      <c r="AE2">
        <v>7.875</v>
      </c>
      <c r="AF2">
        <v>2065</v>
      </c>
      <c r="AJ2">
        <v>7.875</v>
      </c>
      <c r="AK2">
        <v>2069</v>
      </c>
      <c r="AO2">
        <v>7.875</v>
      </c>
      <c r="AP2">
        <v>2116</v>
      </c>
      <c r="AT2">
        <v>7.875</v>
      </c>
      <c r="AU2" t="s">
        <v>3</v>
      </c>
      <c r="AZ2" s="19">
        <v>7.875</v>
      </c>
      <c r="BA2" s="23" t="s">
        <v>5</v>
      </c>
      <c r="BB2" s="24"/>
      <c r="BC2" s="25"/>
      <c r="BE2" s="19">
        <v>7.875</v>
      </c>
      <c r="BF2" s="23" t="s">
        <v>6</v>
      </c>
      <c r="BG2" s="24"/>
      <c r="BH2" s="25"/>
      <c r="BJ2" s="19">
        <v>7.875</v>
      </c>
      <c r="BK2" s="23" t="s">
        <v>7</v>
      </c>
      <c r="BL2" s="24"/>
      <c r="BM2" s="25"/>
    </row>
    <row r="3" spans="1:65" ht="15.75" thickBot="1" x14ac:dyDescent="0.3">
      <c r="B3" t="s">
        <v>0</v>
      </c>
      <c r="C3" t="s">
        <v>1</v>
      </c>
      <c r="D3" s="1" t="s">
        <v>2</v>
      </c>
      <c r="G3" t="s">
        <v>0</v>
      </c>
      <c r="H3" t="s">
        <v>1</v>
      </c>
      <c r="I3" s="1" t="s">
        <v>2</v>
      </c>
      <c r="L3" t="s">
        <v>0</v>
      </c>
      <c r="M3" t="s">
        <v>1</v>
      </c>
      <c r="N3" s="1" t="s">
        <v>2</v>
      </c>
      <c r="Q3" t="s">
        <v>0</v>
      </c>
      <c r="R3" t="s">
        <v>1</v>
      </c>
      <c r="S3" s="1" t="s">
        <v>2</v>
      </c>
      <c r="V3" t="s">
        <v>0</v>
      </c>
      <c r="W3" t="s">
        <v>1</v>
      </c>
      <c r="X3" s="1" t="s">
        <v>2</v>
      </c>
      <c r="AA3" t="s">
        <v>0</v>
      </c>
      <c r="AB3" t="s">
        <v>1</v>
      </c>
      <c r="AC3" s="1" t="s">
        <v>2</v>
      </c>
      <c r="AF3" t="s">
        <v>0</v>
      </c>
      <c r="AG3" t="s">
        <v>1</v>
      </c>
      <c r="AH3" s="1" t="s">
        <v>2</v>
      </c>
      <c r="AK3" t="s">
        <v>0</v>
      </c>
      <c r="AL3" t="s">
        <v>1</v>
      </c>
      <c r="AM3" s="1" t="s">
        <v>2</v>
      </c>
      <c r="AP3" t="s">
        <v>0</v>
      </c>
      <c r="AQ3" t="s">
        <v>1</v>
      </c>
      <c r="AR3" s="1" t="s">
        <v>2</v>
      </c>
      <c r="AU3" t="s">
        <v>0</v>
      </c>
      <c r="AV3" t="s">
        <v>1</v>
      </c>
      <c r="AW3" s="1" t="s">
        <v>2</v>
      </c>
      <c r="AZ3" s="15" t="s">
        <v>4</v>
      </c>
      <c r="BA3" s="9" t="s">
        <v>0</v>
      </c>
      <c r="BB3" s="10" t="s">
        <v>1</v>
      </c>
      <c r="BC3" s="11" t="s">
        <v>2</v>
      </c>
      <c r="BE3" s="15" t="s">
        <v>4</v>
      </c>
      <c r="BF3" s="9" t="s">
        <v>0</v>
      </c>
      <c r="BG3" s="10" t="s">
        <v>1</v>
      </c>
      <c r="BH3" s="11" t="s">
        <v>2</v>
      </c>
      <c r="BJ3" s="15" t="s">
        <v>4</v>
      </c>
      <c r="BK3" s="9" t="s">
        <v>0</v>
      </c>
      <c r="BL3" s="10" t="s">
        <v>1</v>
      </c>
      <c r="BM3" s="11" t="s">
        <v>2</v>
      </c>
    </row>
    <row r="4" spans="1:65" x14ac:dyDescent="0.25">
      <c r="B4" s="4">
        <v>0.29320000000000002</v>
      </c>
      <c r="C4" s="5">
        <v>20</v>
      </c>
      <c r="D4" s="3">
        <f>B4/$A$2*2</f>
        <v>7.4463492063492065E-2</v>
      </c>
      <c r="G4" s="4">
        <v>0.30020000000000002</v>
      </c>
      <c r="H4" s="5">
        <v>20</v>
      </c>
      <c r="I4" s="3">
        <f>G4/$F$2*2</f>
        <v>7.6241269841269846E-2</v>
      </c>
      <c r="L4">
        <v>0.25700000000000001</v>
      </c>
      <c r="M4">
        <v>20</v>
      </c>
      <c r="N4" s="3">
        <f>L4/$K$2*2</f>
        <v>6.5269841269841269E-2</v>
      </c>
      <c r="Q4">
        <v>0.2298</v>
      </c>
      <c r="R4">
        <v>20</v>
      </c>
      <c r="S4" s="3">
        <f>Q4/$P$2*2</f>
        <v>5.8361904761904761E-2</v>
      </c>
      <c r="V4" s="4">
        <v>0.23899999999999999</v>
      </c>
      <c r="W4" s="5">
        <v>17.5</v>
      </c>
      <c r="X4" s="3">
        <f>V4/$U$2*2</f>
        <v>6.0698412698412696E-2</v>
      </c>
      <c r="AA4">
        <v>0.2298</v>
      </c>
      <c r="AB4">
        <v>20</v>
      </c>
      <c r="AC4" s="3">
        <f>AA4/$U$2*2</f>
        <v>5.8361904761904761E-2</v>
      </c>
      <c r="AF4">
        <v>0.23649999999999999</v>
      </c>
      <c r="AG4">
        <v>30</v>
      </c>
      <c r="AH4" s="3">
        <f>AF4/$P$2*2</f>
        <v>6.0063492063492062E-2</v>
      </c>
      <c r="AK4">
        <v>0.25259999999999999</v>
      </c>
      <c r="AL4">
        <v>20</v>
      </c>
      <c r="AM4" s="3">
        <f>AK4/$U$2*2</f>
        <v>6.4152380952380947E-2</v>
      </c>
      <c r="AP4">
        <v>0.2298</v>
      </c>
      <c r="AQ4">
        <v>25</v>
      </c>
      <c r="AR4" s="3">
        <f>AP4/$AO$2*2</f>
        <v>5.8361904761904761E-2</v>
      </c>
      <c r="AU4">
        <v>0.23580000000000001</v>
      </c>
      <c r="AV4">
        <v>20</v>
      </c>
      <c r="AW4" s="3">
        <f>AU4/$AT$2*2</f>
        <v>5.9885714285714285E-2</v>
      </c>
      <c r="AZ4" s="16">
        <v>1.101</v>
      </c>
      <c r="BA4" s="12">
        <v>0.2082</v>
      </c>
      <c r="BB4" s="6">
        <v>20</v>
      </c>
      <c r="BC4" s="20">
        <f>BA4/$AT$2*2</f>
        <v>5.2876190476190472E-2</v>
      </c>
      <c r="BE4" s="16">
        <v>1</v>
      </c>
      <c r="BF4" s="12">
        <v>0.29530000000000001</v>
      </c>
      <c r="BG4" s="6">
        <v>20</v>
      </c>
      <c r="BH4" s="20">
        <f>BF4/$AT$2*2</f>
        <v>7.4996825396825395E-2</v>
      </c>
      <c r="BJ4" s="16">
        <v>1</v>
      </c>
      <c r="BK4" s="12">
        <v>0.26400000000000001</v>
      </c>
      <c r="BL4" s="7">
        <v>15</v>
      </c>
      <c r="BM4" s="20">
        <f>BK4/$AT$2*2</f>
        <v>6.704761904761905E-2</v>
      </c>
    </row>
    <row r="5" spans="1:65" x14ac:dyDescent="0.25">
      <c r="B5" s="4">
        <v>0.5272</v>
      </c>
      <c r="C5" s="5">
        <v>15</v>
      </c>
      <c r="D5" s="3">
        <f t="shared" ref="D5:D23" si="0">B5/$A$2*2</f>
        <v>0.13389206349206348</v>
      </c>
      <c r="G5" s="4">
        <v>0.55169999999999997</v>
      </c>
      <c r="H5" s="5">
        <v>15</v>
      </c>
      <c r="I5" s="3">
        <f t="shared" ref="I5:I23" si="1">G5/$F$2*2</f>
        <v>0.14011428571428572</v>
      </c>
      <c r="L5">
        <v>0.49569999999999997</v>
      </c>
      <c r="M5">
        <v>15</v>
      </c>
      <c r="N5" s="3">
        <f t="shared" ref="N5:N25" si="2">L5/$K$2*2</f>
        <v>0.12589206349206347</v>
      </c>
      <c r="Q5">
        <v>0.43940000000000001</v>
      </c>
      <c r="R5">
        <v>17.5</v>
      </c>
      <c r="S5" s="3">
        <f t="shared" ref="S5:S25" si="3">Q5/$P$2*2</f>
        <v>0.1115936507936508</v>
      </c>
      <c r="V5" s="4">
        <v>0.4763</v>
      </c>
      <c r="W5" s="5">
        <v>15</v>
      </c>
      <c r="X5" s="3">
        <f t="shared" ref="X5:X22" si="4">V5/$U$2*2</f>
        <v>0.12096507936507936</v>
      </c>
      <c r="AA5">
        <v>0.46460000000000001</v>
      </c>
      <c r="AB5">
        <v>15</v>
      </c>
      <c r="AC5" s="3">
        <f t="shared" ref="AC5:AC40" si="5">AA5/$U$2*2</f>
        <v>0.1179936507936508</v>
      </c>
      <c r="AF5">
        <v>0.43209999999999998</v>
      </c>
      <c r="AG5">
        <v>25</v>
      </c>
      <c r="AH5" s="3">
        <f t="shared" ref="AH5:AH33" si="6">AF5/$P$2*2</f>
        <v>0.10973968253968254</v>
      </c>
      <c r="AK5">
        <v>0.47699999999999998</v>
      </c>
      <c r="AL5">
        <v>17.5</v>
      </c>
      <c r="AM5" s="3">
        <f t="shared" ref="AM5:AM24" si="7">AK5/$U$2*2</f>
        <v>0.12114285714285714</v>
      </c>
      <c r="AP5">
        <v>0.46460000000000001</v>
      </c>
      <c r="AQ5">
        <v>20</v>
      </c>
      <c r="AR5" s="3">
        <f t="shared" ref="AR5:AR40" si="8">AP5/$AO$2*2</f>
        <v>0.1179936507936508</v>
      </c>
      <c r="AU5">
        <v>0.47360000000000002</v>
      </c>
      <c r="AV5">
        <v>17.5</v>
      </c>
      <c r="AW5" s="3">
        <f t="shared" ref="AW5:AW36" si="9">AU5/$AT$2*2</f>
        <v>0.12027936507936508</v>
      </c>
      <c r="AZ5" s="17">
        <v>5.101</v>
      </c>
      <c r="BA5" s="13">
        <v>0.58609999999999995</v>
      </c>
      <c r="BB5" s="7">
        <v>17</v>
      </c>
      <c r="BC5" s="21">
        <f t="shared" ref="BC5:BC32" si="10">BA5/$AT$2*2</f>
        <v>0.14885079365079365</v>
      </c>
      <c r="BE5" s="17">
        <f>BE4+1</f>
        <v>2</v>
      </c>
      <c r="BF5" s="13">
        <v>0.52449999999999997</v>
      </c>
      <c r="BG5" s="7">
        <v>17.5</v>
      </c>
      <c r="BH5" s="21">
        <f t="shared" ref="BH5:BH32" si="11">BF5/$AT$2*2</f>
        <v>0.13320634920634919</v>
      </c>
      <c r="BJ5" s="17">
        <f>BJ4+1</f>
        <v>2</v>
      </c>
      <c r="BK5" s="13">
        <v>0.5696</v>
      </c>
      <c r="BL5" s="7">
        <v>15</v>
      </c>
      <c r="BM5" s="21">
        <f t="shared" ref="BM5:BM35" si="12">BK5/$AT$2*2</f>
        <v>0.14466031746031746</v>
      </c>
    </row>
    <row r="6" spans="1:65" x14ac:dyDescent="0.25">
      <c r="B6" s="4">
        <v>0.77510000000000001</v>
      </c>
      <c r="C6" s="5">
        <v>15</v>
      </c>
      <c r="D6" s="3">
        <f t="shared" si="0"/>
        <v>0.19685079365079367</v>
      </c>
      <c r="G6" s="4">
        <v>0.79079999999999995</v>
      </c>
      <c r="H6" s="5">
        <v>15</v>
      </c>
      <c r="I6" s="3">
        <f t="shared" si="1"/>
        <v>0.20083809523809523</v>
      </c>
      <c r="L6">
        <v>0.73360000000000003</v>
      </c>
      <c r="M6">
        <v>12.5</v>
      </c>
      <c r="N6" s="3">
        <f t="shared" si="2"/>
        <v>0.18631111111111112</v>
      </c>
      <c r="Q6">
        <v>0.64910000000000001</v>
      </c>
      <c r="R6">
        <v>15</v>
      </c>
      <c r="S6" s="3">
        <f t="shared" si="3"/>
        <v>0.16485079365079366</v>
      </c>
      <c r="V6" s="4">
        <v>0.7137</v>
      </c>
      <c r="W6" s="5">
        <v>12.5</v>
      </c>
      <c r="X6" s="3">
        <f t="shared" si="4"/>
        <v>0.18125714285714287</v>
      </c>
      <c r="AA6">
        <v>0.70009999999999994</v>
      </c>
      <c r="AB6">
        <v>15</v>
      </c>
      <c r="AC6" s="3">
        <f t="shared" si="5"/>
        <v>0.1778031746031746</v>
      </c>
      <c r="AF6">
        <v>0.62819999999999998</v>
      </c>
      <c r="AG6">
        <v>20</v>
      </c>
      <c r="AH6" s="3">
        <f t="shared" si="6"/>
        <v>0.15954285714285713</v>
      </c>
      <c r="AK6">
        <v>0.70109999999999995</v>
      </c>
      <c r="AL6">
        <v>15</v>
      </c>
      <c r="AM6" s="3">
        <f t="shared" si="7"/>
        <v>0.17805714285714283</v>
      </c>
      <c r="AP6">
        <v>0.70009999999999994</v>
      </c>
      <c r="AQ6">
        <v>18</v>
      </c>
      <c r="AR6" s="3">
        <f t="shared" si="8"/>
        <v>0.1778031746031746</v>
      </c>
      <c r="AU6">
        <v>0.7127</v>
      </c>
      <c r="AV6">
        <v>15</v>
      </c>
      <c r="AW6" s="3">
        <f t="shared" si="9"/>
        <v>0.18100317460317461</v>
      </c>
      <c r="AZ6" s="17">
        <v>3.101</v>
      </c>
      <c r="BA6" s="13">
        <v>0.84470000000000001</v>
      </c>
      <c r="BB6" s="7">
        <v>15</v>
      </c>
      <c r="BC6" s="21">
        <f t="shared" si="10"/>
        <v>0.21452698412698412</v>
      </c>
      <c r="BE6" s="17">
        <f t="shared" ref="BE6:BE35" si="13">BE5+1</f>
        <v>3</v>
      </c>
      <c r="BF6" s="13">
        <v>0.75380000000000003</v>
      </c>
      <c r="BG6" s="7">
        <v>15</v>
      </c>
      <c r="BH6" s="21">
        <f t="shared" si="11"/>
        <v>0.19144126984126986</v>
      </c>
      <c r="BJ6" s="17">
        <f t="shared" ref="BJ6:BJ46" si="14">BJ5+1</f>
        <v>3</v>
      </c>
      <c r="BK6" s="13">
        <v>0.81710000000000005</v>
      </c>
      <c r="BL6" s="7">
        <v>15</v>
      </c>
      <c r="BM6" s="21">
        <f t="shared" si="12"/>
        <v>0.20751746031746032</v>
      </c>
    </row>
    <row r="7" spans="1:65" x14ac:dyDescent="0.25">
      <c r="B7" s="4">
        <v>1.0228999999999999</v>
      </c>
      <c r="C7" s="5">
        <v>15</v>
      </c>
      <c r="D7" s="3">
        <f t="shared" si="0"/>
        <v>0.25978412698412695</v>
      </c>
      <c r="G7" s="4">
        <v>1.0299</v>
      </c>
      <c r="H7" s="5">
        <v>15</v>
      </c>
      <c r="I7" s="3">
        <f t="shared" si="1"/>
        <v>0.26156190476190477</v>
      </c>
      <c r="L7">
        <v>0.97189999999999999</v>
      </c>
      <c r="M7">
        <v>12.5</v>
      </c>
      <c r="N7" s="3">
        <f t="shared" si="2"/>
        <v>0.24683174603174604</v>
      </c>
      <c r="Q7">
        <v>0.85970000000000002</v>
      </c>
      <c r="R7">
        <v>15</v>
      </c>
      <c r="S7" s="3">
        <f t="shared" si="3"/>
        <v>0.21833650793650794</v>
      </c>
      <c r="V7" s="4">
        <v>0.95189999999999997</v>
      </c>
      <c r="W7" s="5">
        <v>12.5</v>
      </c>
      <c r="X7" s="3">
        <f t="shared" si="4"/>
        <v>0.24175238095238094</v>
      </c>
      <c r="AA7">
        <v>0.93569999999999998</v>
      </c>
      <c r="AB7">
        <v>15</v>
      </c>
      <c r="AC7" s="3">
        <f t="shared" si="5"/>
        <v>0.23763809523809523</v>
      </c>
      <c r="AF7">
        <v>0.82420000000000004</v>
      </c>
      <c r="AG7">
        <v>20</v>
      </c>
      <c r="AH7" s="3">
        <f t="shared" si="6"/>
        <v>0.20932063492063493</v>
      </c>
      <c r="AK7">
        <v>0.92589999999999995</v>
      </c>
      <c r="AL7">
        <v>15</v>
      </c>
      <c r="AM7" s="3">
        <f t="shared" si="7"/>
        <v>0.23514920634920633</v>
      </c>
      <c r="AP7">
        <v>0.93569999999999998</v>
      </c>
      <c r="AQ7">
        <v>17</v>
      </c>
      <c r="AR7" s="3">
        <f t="shared" si="8"/>
        <v>0.23763809523809523</v>
      </c>
      <c r="AU7">
        <v>0.95179999999999998</v>
      </c>
      <c r="AV7">
        <v>15</v>
      </c>
      <c r="AW7" s="3">
        <f t="shared" si="9"/>
        <v>0.24172698412698412</v>
      </c>
      <c r="AZ7" s="17">
        <v>1.1020000000000001</v>
      </c>
      <c r="BA7" s="13">
        <v>1.1014999999999999</v>
      </c>
      <c r="BB7" s="7">
        <v>15</v>
      </c>
      <c r="BC7" s="21">
        <f t="shared" si="10"/>
        <v>0.27974603174603174</v>
      </c>
      <c r="BE7" s="17">
        <f t="shared" si="13"/>
        <v>4</v>
      </c>
      <c r="BF7" s="13">
        <v>0.98370000000000002</v>
      </c>
      <c r="BG7" s="7">
        <v>15</v>
      </c>
      <c r="BH7" s="21">
        <f t="shared" si="11"/>
        <v>0.24982857142857143</v>
      </c>
      <c r="BJ7" s="17">
        <f t="shared" si="14"/>
        <v>4</v>
      </c>
      <c r="BK7" s="13">
        <v>1.0065</v>
      </c>
      <c r="BL7" s="7">
        <v>15</v>
      </c>
      <c r="BM7" s="21">
        <f t="shared" si="12"/>
        <v>0.25561904761904758</v>
      </c>
    </row>
    <row r="8" spans="1:65" x14ac:dyDescent="0.25">
      <c r="B8" s="4">
        <v>1.2706999999999999</v>
      </c>
      <c r="C8" s="5">
        <v>15</v>
      </c>
      <c r="D8" s="3">
        <f t="shared" si="0"/>
        <v>0.32271746031746029</v>
      </c>
      <c r="G8" s="4">
        <v>1.2808999999999999</v>
      </c>
      <c r="H8" s="5">
        <v>15</v>
      </c>
      <c r="I8" s="3">
        <f t="shared" si="1"/>
        <v>0.32530793650793649</v>
      </c>
      <c r="L8">
        <v>1.2283999999999999</v>
      </c>
      <c r="M8">
        <v>12.5</v>
      </c>
      <c r="N8" s="3">
        <f t="shared" si="2"/>
        <v>0.31197460317460318</v>
      </c>
      <c r="Q8">
        <v>1.0703</v>
      </c>
      <c r="R8">
        <v>15</v>
      </c>
      <c r="S8" s="3">
        <f t="shared" si="3"/>
        <v>0.27182222222222224</v>
      </c>
      <c r="V8" s="4">
        <v>1.2060999999999999</v>
      </c>
      <c r="W8" s="5">
        <v>12.5</v>
      </c>
      <c r="X8" s="3">
        <f t="shared" si="4"/>
        <v>0.30631111111111109</v>
      </c>
      <c r="AA8">
        <v>1.1834</v>
      </c>
      <c r="AB8">
        <v>15</v>
      </c>
      <c r="AC8" s="3">
        <f t="shared" si="5"/>
        <v>0.30054603174603173</v>
      </c>
      <c r="AF8">
        <v>1.0203</v>
      </c>
      <c r="AG8">
        <v>20</v>
      </c>
      <c r="AH8" s="3">
        <f t="shared" si="6"/>
        <v>0.25912380952380953</v>
      </c>
      <c r="AK8">
        <v>1.167</v>
      </c>
      <c r="AL8">
        <v>15</v>
      </c>
      <c r="AM8" s="3">
        <f t="shared" si="7"/>
        <v>0.29638095238095241</v>
      </c>
      <c r="AP8">
        <v>1.1834</v>
      </c>
      <c r="AQ8">
        <v>16</v>
      </c>
      <c r="AR8" s="3">
        <f t="shared" si="8"/>
        <v>0.30054603174603173</v>
      </c>
      <c r="AU8">
        <v>1.2028000000000001</v>
      </c>
      <c r="AV8">
        <v>15</v>
      </c>
      <c r="AW8" s="3">
        <f t="shared" si="9"/>
        <v>0.3054730158730159</v>
      </c>
      <c r="AZ8" s="17">
        <v>5.1020000000000003</v>
      </c>
      <c r="BA8" s="13">
        <v>1.3546</v>
      </c>
      <c r="BB8" s="7">
        <v>15</v>
      </c>
      <c r="BC8" s="21">
        <f t="shared" si="10"/>
        <v>0.34402539682539685</v>
      </c>
      <c r="BE8" s="17">
        <f t="shared" si="13"/>
        <v>5</v>
      </c>
      <c r="BF8" s="13">
        <v>1.2161999999999999</v>
      </c>
      <c r="BG8" s="7">
        <v>15</v>
      </c>
      <c r="BH8" s="21">
        <f t="shared" si="11"/>
        <v>0.30887619047619047</v>
      </c>
      <c r="BJ8" s="17">
        <f t="shared" si="14"/>
        <v>5</v>
      </c>
      <c r="BK8" s="13">
        <v>1.1959</v>
      </c>
      <c r="BL8" s="7">
        <v>15</v>
      </c>
      <c r="BM8" s="21">
        <f t="shared" si="12"/>
        <v>0.30372063492063489</v>
      </c>
    </row>
    <row r="9" spans="1:65" x14ac:dyDescent="0.25">
      <c r="B9" s="4">
        <v>1.5185</v>
      </c>
      <c r="C9" s="5">
        <v>15</v>
      </c>
      <c r="D9" s="3">
        <f t="shared" si="0"/>
        <v>0.38565079365079363</v>
      </c>
      <c r="G9" s="4">
        <v>1.5319</v>
      </c>
      <c r="H9" s="5">
        <v>15</v>
      </c>
      <c r="I9" s="3">
        <f t="shared" si="1"/>
        <v>0.38905396825396826</v>
      </c>
      <c r="L9">
        <v>1.4849000000000001</v>
      </c>
      <c r="M9">
        <v>12.5</v>
      </c>
      <c r="N9" s="3">
        <f t="shared" si="2"/>
        <v>0.37711746031746035</v>
      </c>
      <c r="Q9">
        <v>1.2808999999999999</v>
      </c>
      <c r="R9">
        <v>15</v>
      </c>
      <c r="S9" s="3">
        <f t="shared" si="3"/>
        <v>0.32530793650793649</v>
      </c>
      <c r="V9" s="4">
        <v>1.4603999999999999</v>
      </c>
      <c r="W9" s="5">
        <v>12.5</v>
      </c>
      <c r="X9" s="3">
        <f t="shared" si="4"/>
        <v>0.37089523809523806</v>
      </c>
      <c r="AA9">
        <v>1.4280999999999999</v>
      </c>
      <c r="AB9">
        <v>15</v>
      </c>
      <c r="AC9" s="3">
        <f t="shared" si="5"/>
        <v>0.36269206349206345</v>
      </c>
      <c r="AF9">
        <v>1.2163999999999999</v>
      </c>
      <c r="AG9">
        <v>20</v>
      </c>
      <c r="AH9" s="3">
        <f t="shared" si="6"/>
        <v>0.30892698412698411</v>
      </c>
      <c r="AK9">
        <v>1.4080999999999999</v>
      </c>
      <c r="AL9">
        <v>15</v>
      </c>
      <c r="AM9" s="3">
        <f t="shared" si="7"/>
        <v>0.35761269841269838</v>
      </c>
      <c r="AP9">
        <v>1.4280999999999999</v>
      </c>
      <c r="AQ9">
        <v>15</v>
      </c>
      <c r="AR9" s="3">
        <f t="shared" si="8"/>
        <v>0.36269206349206345</v>
      </c>
      <c r="AU9">
        <v>1.4538</v>
      </c>
      <c r="AV9">
        <v>15</v>
      </c>
      <c r="AW9" s="3">
        <f t="shared" si="9"/>
        <v>0.36921904761904761</v>
      </c>
      <c r="AZ9" s="17">
        <v>3.1019999999999999</v>
      </c>
      <c r="BA9" s="13">
        <v>1.6040000000000001</v>
      </c>
      <c r="BB9" s="7">
        <v>15</v>
      </c>
      <c r="BC9" s="21">
        <f t="shared" si="10"/>
        <v>0.40736507936507937</v>
      </c>
      <c r="BE9" s="17">
        <f t="shared" si="13"/>
        <v>6</v>
      </c>
      <c r="BF9" s="13">
        <v>1.4487000000000001</v>
      </c>
      <c r="BG9" s="7">
        <v>15</v>
      </c>
      <c r="BH9" s="21">
        <f t="shared" si="11"/>
        <v>0.36792380952380954</v>
      </c>
      <c r="BJ9" s="17">
        <f t="shared" si="14"/>
        <v>6</v>
      </c>
      <c r="BK9" s="13">
        <v>1.3852</v>
      </c>
      <c r="BL9" s="7">
        <v>15</v>
      </c>
      <c r="BM9" s="21">
        <f t="shared" si="12"/>
        <v>0.35179682539682539</v>
      </c>
    </row>
    <row r="10" spans="1:65" x14ac:dyDescent="0.25">
      <c r="B10" s="4">
        <v>1.7759</v>
      </c>
      <c r="C10" s="5">
        <v>15</v>
      </c>
      <c r="D10" s="3">
        <f t="shared" si="0"/>
        <v>0.45102222222222221</v>
      </c>
      <c r="G10" s="4">
        <v>1.7828999999999999</v>
      </c>
      <c r="H10" s="5">
        <v>15</v>
      </c>
      <c r="I10" s="3">
        <f t="shared" si="1"/>
        <v>0.45279999999999998</v>
      </c>
      <c r="L10">
        <v>1.768</v>
      </c>
      <c r="M10">
        <v>13</v>
      </c>
      <c r="N10" s="3">
        <f t="shared" si="2"/>
        <v>0.44901587301587303</v>
      </c>
      <c r="Q10">
        <v>1.5132000000000001</v>
      </c>
      <c r="R10">
        <v>15</v>
      </c>
      <c r="S10" s="3">
        <f t="shared" si="3"/>
        <v>0.38430476190476193</v>
      </c>
      <c r="V10" s="4">
        <v>1.7145999999999999</v>
      </c>
      <c r="W10" s="5">
        <v>12.5</v>
      </c>
      <c r="X10" s="3">
        <f t="shared" si="4"/>
        <v>0.4354539682539682</v>
      </c>
      <c r="AA10">
        <v>1.6983999999999999</v>
      </c>
      <c r="AB10">
        <v>15</v>
      </c>
      <c r="AC10" s="3">
        <f t="shared" si="5"/>
        <v>0.43133968253968252</v>
      </c>
      <c r="AF10">
        <v>1.4125000000000001</v>
      </c>
      <c r="AG10">
        <v>20</v>
      </c>
      <c r="AH10" s="3">
        <f t="shared" si="6"/>
        <v>0.35873015873015873</v>
      </c>
      <c r="AK10">
        <v>1.6491</v>
      </c>
      <c r="AL10">
        <v>15</v>
      </c>
      <c r="AM10" s="3">
        <f t="shared" si="7"/>
        <v>0.41881904761904765</v>
      </c>
      <c r="AP10">
        <v>1.6983999999999999</v>
      </c>
      <c r="AQ10">
        <v>15</v>
      </c>
      <c r="AR10" s="3">
        <f t="shared" si="8"/>
        <v>0.43133968253968252</v>
      </c>
      <c r="AU10">
        <v>1.7304999999999999</v>
      </c>
      <c r="AV10">
        <v>15</v>
      </c>
      <c r="AW10" s="3">
        <f t="shared" si="9"/>
        <v>0.43949206349206349</v>
      </c>
      <c r="AZ10" s="17">
        <v>1.103</v>
      </c>
      <c r="BA10" s="13">
        <v>1.8649</v>
      </c>
      <c r="BB10" s="7">
        <v>15</v>
      </c>
      <c r="BC10" s="21">
        <f t="shared" si="10"/>
        <v>0.47362539682539684</v>
      </c>
      <c r="BE10" s="17">
        <f t="shared" si="13"/>
        <v>7</v>
      </c>
      <c r="BF10" s="13">
        <v>1.6812</v>
      </c>
      <c r="BG10" s="7">
        <v>15</v>
      </c>
      <c r="BH10" s="21">
        <f t="shared" si="11"/>
        <v>0.42697142857142856</v>
      </c>
      <c r="BJ10" s="17">
        <f t="shared" si="14"/>
        <v>7</v>
      </c>
      <c r="BK10" s="13">
        <v>1.5311999999999999</v>
      </c>
      <c r="BL10" s="7">
        <v>15</v>
      </c>
      <c r="BM10" s="21">
        <f t="shared" si="12"/>
        <v>0.38887619047619043</v>
      </c>
    </row>
    <row r="11" spans="1:65" x14ac:dyDescent="0.25">
      <c r="B11" s="4">
        <v>2.0263</v>
      </c>
      <c r="C11" s="5">
        <v>15</v>
      </c>
      <c r="D11" s="3">
        <f t="shared" si="0"/>
        <v>0.51461587301587297</v>
      </c>
      <c r="G11" s="4">
        <v>2.0352999999999999</v>
      </c>
      <c r="H11" s="5">
        <v>15</v>
      </c>
      <c r="I11" s="3">
        <f t="shared" si="1"/>
        <v>0.51690158730158731</v>
      </c>
      <c r="L11">
        <v>2.0565000000000002</v>
      </c>
      <c r="M11">
        <v>14</v>
      </c>
      <c r="N11" s="3">
        <f t="shared" si="2"/>
        <v>0.52228571428571435</v>
      </c>
      <c r="Q11">
        <v>1.7543</v>
      </c>
      <c r="R11">
        <v>15</v>
      </c>
      <c r="S11" s="3">
        <f t="shared" si="3"/>
        <v>0.44553650793650795</v>
      </c>
      <c r="V11" s="4">
        <v>2.0030000000000001</v>
      </c>
      <c r="W11" s="5">
        <v>12.5</v>
      </c>
      <c r="X11" s="3">
        <f t="shared" si="4"/>
        <v>0.50869841269841276</v>
      </c>
      <c r="AA11">
        <v>1.8731</v>
      </c>
      <c r="AB11">
        <v>15</v>
      </c>
      <c r="AC11" s="3">
        <f t="shared" si="5"/>
        <v>0.47570793650793652</v>
      </c>
      <c r="AF11">
        <v>1.6085</v>
      </c>
      <c r="AG11">
        <v>20</v>
      </c>
      <c r="AH11" s="3">
        <f t="shared" si="6"/>
        <v>0.40850793650793654</v>
      </c>
      <c r="AK11">
        <v>1.9502999999999999</v>
      </c>
      <c r="AL11">
        <v>15</v>
      </c>
      <c r="AM11" s="3">
        <f t="shared" si="7"/>
        <v>0.49531428571428571</v>
      </c>
      <c r="AP11">
        <v>1.8731</v>
      </c>
      <c r="AQ11">
        <v>15</v>
      </c>
      <c r="AR11" s="3">
        <f t="shared" si="8"/>
        <v>0.47570793650793652</v>
      </c>
      <c r="AU11">
        <v>2.0089000000000001</v>
      </c>
      <c r="AV11">
        <v>15</v>
      </c>
      <c r="AW11" s="3">
        <f t="shared" si="9"/>
        <v>0.51019682539682543</v>
      </c>
      <c r="AZ11" s="17">
        <v>5.1029999999999998</v>
      </c>
      <c r="BA11" s="13">
        <v>2.1213000000000002</v>
      </c>
      <c r="BB11" s="7">
        <v>15</v>
      </c>
      <c r="BC11" s="21">
        <f t="shared" si="10"/>
        <v>0.53874285714285719</v>
      </c>
      <c r="BE11" s="17">
        <f t="shared" si="13"/>
        <v>8</v>
      </c>
      <c r="BF11" s="13">
        <v>1.9242999999999999</v>
      </c>
      <c r="BG11" s="7">
        <v>15</v>
      </c>
      <c r="BH11" s="21">
        <f t="shared" si="11"/>
        <v>0.4887111111111111</v>
      </c>
      <c r="BJ11" s="17">
        <f t="shared" si="14"/>
        <v>8</v>
      </c>
      <c r="BK11" s="13">
        <v>1.6820999999999999</v>
      </c>
      <c r="BL11" s="7">
        <v>15</v>
      </c>
      <c r="BM11" s="21">
        <f t="shared" si="12"/>
        <v>0.42719999999999997</v>
      </c>
    </row>
    <row r="12" spans="1:65" x14ac:dyDescent="0.25">
      <c r="B12" s="4">
        <v>2.3069000000000002</v>
      </c>
      <c r="C12" s="5">
        <v>15</v>
      </c>
      <c r="D12" s="3">
        <f t="shared" si="0"/>
        <v>0.58587936507936511</v>
      </c>
      <c r="G12" s="4">
        <v>2.2940999999999998</v>
      </c>
      <c r="H12" s="5">
        <v>15</v>
      </c>
      <c r="I12" s="3">
        <f t="shared" si="1"/>
        <v>0.58262857142857138</v>
      </c>
      <c r="L12">
        <v>2.3572000000000002</v>
      </c>
      <c r="M12">
        <v>15</v>
      </c>
      <c r="N12" s="3">
        <f t="shared" si="2"/>
        <v>0.59865396825396833</v>
      </c>
      <c r="Q12">
        <v>1.9907999999999999</v>
      </c>
      <c r="R12">
        <v>15</v>
      </c>
      <c r="S12" s="3">
        <f t="shared" si="3"/>
        <v>0.50559999999999994</v>
      </c>
      <c r="V12" s="4">
        <v>2.2985000000000002</v>
      </c>
      <c r="W12" s="5">
        <v>12.5</v>
      </c>
      <c r="X12" s="3">
        <f t="shared" si="4"/>
        <v>0.58374603174603179</v>
      </c>
      <c r="AA12">
        <v>2.0108000000000001</v>
      </c>
      <c r="AB12">
        <v>15</v>
      </c>
      <c r="AC12" s="3">
        <f t="shared" si="5"/>
        <v>0.51067936507936507</v>
      </c>
      <c r="AF12">
        <v>1.8258000000000001</v>
      </c>
      <c r="AG12">
        <v>20</v>
      </c>
      <c r="AH12" s="3">
        <f t="shared" si="6"/>
        <v>0.4636952380952381</v>
      </c>
      <c r="AK12">
        <v>2.2530000000000001</v>
      </c>
      <c r="AL12">
        <v>15</v>
      </c>
      <c r="AM12" s="3">
        <f t="shared" si="7"/>
        <v>0.57219047619047625</v>
      </c>
      <c r="AP12">
        <v>2.0108000000000001</v>
      </c>
      <c r="AQ12">
        <v>15</v>
      </c>
      <c r="AR12" s="3">
        <f t="shared" si="8"/>
        <v>0.51067936507936507</v>
      </c>
      <c r="AU12">
        <v>2.1509999999999998</v>
      </c>
      <c r="AV12">
        <v>15</v>
      </c>
      <c r="AW12" s="3">
        <f t="shared" si="9"/>
        <v>0.54628571428571426</v>
      </c>
      <c r="AZ12" s="17">
        <v>4.101</v>
      </c>
      <c r="BA12" s="13">
        <v>2.3226</v>
      </c>
      <c r="BB12" s="7">
        <v>15</v>
      </c>
      <c r="BC12" s="21">
        <f t="shared" si="10"/>
        <v>0.58986666666666665</v>
      </c>
      <c r="BE12" s="17">
        <f t="shared" si="13"/>
        <v>9</v>
      </c>
      <c r="BF12" s="13">
        <v>2.2016</v>
      </c>
      <c r="BG12" s="7">
        <v>15</v>
      </c>
      <c r="BH12" s="21">
        <f t="shared" si="11"/>
        <v>0.55913650793650793</v>
      </c>
      <c r="BJ12" s="17">
        <f t="shared" si="14"/>
        <v>9</v>
      </c>
      <c r="BK12" s="13">
        <v>1.8038000000000001</v>
      </c>
      <c r="BL12" s="7">
        <v>15</v>
      </c>
      <c r="BM12" s="21">
        <f t="shared" si="12"/>
        <v>0.45810793650793652</v>
      </c>
    </row>
    <row r="13" spans="1:65" x14ac:dyDescent="0.25">
      <c r="B13" s="4">
        <v>2.5933000000000002</v>
      </c>
      <c r="C13" s="5">
        <v>17.5</v>
      </c>
      <c r="D13" s="3">
        <f t="shared" si="0"/>
        <v>0.6586158730158731</v>
      </c>
      <c r="G13" s="4">
        <v>2.5924</v>
      </c>
      <c r="H13" s="5">
        <v>15</v>
      </c>
      <c r="I13" s="3">
        <f t="shared" si="1"/>
        <v>0.65838730158730163</v>
      </c>
      <c r="L13">
        <v>2.6431</v>
      </c>
      <c r="M13">
        <v>15</v>
      </c>
      <c r="N13" s="3">
        <f t="shared" si="2"/>
        <v>0.67126349206349212</v>
      </c>
      <c r="Q13">
        <v>2.1549999999999998</v>
      </c>
      <c r="R13">
        <v>15</v>
      </c>
      <c r="S13" s="3">
        <f t="shared" si="3"/>
        <v>0.54730158730158729</v>
      </c>
      <c r="V13" s="4">
        <v>2.6097999999999999</v>
      </c>
      <c r="W13" s="5">
        <v>12.5</v>
      </c>
      <c r="X13" s="3">
        <f t="shared" si="4"/>
        <v>0.66280634920634918</v>
      </c>
      <c r="AA13">
        <v>2.1261000000000001</v>
      </c>
      <c r="AB13">
        <v>15</v>
      </c>
      <c r="AC13" s="3">
        <f t="shared" si="5"/>
        <v>0.53996190476190475</v>
      </c>
      <c r="AF13">
        <v>2.0131000000000001</v>
      </c>
      <c r="AG13">
        <v>15</v>
      </c>
      <c r="AH13" s="3">
        <f t="shared" si="6"/>
        <v>0.51126349206349209</v>
      </c>
      <c r="AK13">
        <v>2.5467</v>
      </c>
      <c r="AL13">
        <v>15</v>
      </c>
      <c r="AM13" s="3">
        <f t="shared" si="7"/>
        <v>0.64678095238095235</v>
      </c>
      <c r="AP13">
        <v>2.1261000000000001</v>
      </c>
      <c r="AQ13">
        <v>15</v>
      </c>
      <c r="AR13" s="3">
        <f t="shared" si="8"/>
        <v>0.53996190476190475</v>
      </c>
      <c r="AU13">
        <v>2.2940999999999998</v>
      </c>
      <c r="AV13">
        <v>15</v>
      </c>
      <c r="AW13" s="3">
        <f t="shared" si="9"/>
        <v>0.58262857142857138</v>
      </c>
      <c r="AZ13" s="17">
        <v>3.1030000000000002</v>
      </c>
      <c r="BA13" s="13">
        <v>2.4847999999999999</v>
      </c>
      <c r="BB13" s="7">
        <v>15</v>
      </c>
      <c r="BC13" s="21">
        <f t="shared" si="10"/>
        <v>0.63106031746031743</v>
      </c>
      <c r="BE13" s="17">
        <f t="shared" si="13"/>
        <v>10</v>
      </c>
      <c r="BF13" s="13">
        <v>2.3637000000000001</v>
      </c>
      <c r="BG13" s="7">
        <v>15</v>
      </c>
      <c r="BH13" s="21">
        <f t="shared" si="11"/>
        <v>0.6003047619047619</v>
      </c>
      <c r="BJ13" s="17">
        <f t="shared" si="14"/>
        <v>10</v>
      </c>
      <c r="BK13" s="13">
        <v>1.9823999999999999</v>
      </c>
      <c r="BL13" s="7">
        <v>15</v>
      </c>
      <c r="BM13" s="21">
        <f t="shared" si="12"/>
        <v>0.50346666666666662</v>
      </c>
    </row>
    <row r="14" spans="1:65" x14ac:dyDescent="0.25">
      <c r="B14" s="4">
        <v>2.8996</v>
      </c>
      <c r="C14" s="5">
        <v>17.5</v>
      </c>
      <c r="D14" s="3">
        <f t="shared" si="0"/>
        <v>0.73640634920634918</v>
      </c>
      <c r="G14" s="4">
        <v>2.8809</v>
      </c>
      <c r="H14" s="5">
        <v>15</v>
      </c>
      <c r="I14" s="3">
        <f t="shared" si="1"/>
        <v>0.73165714285714289</v>
      </c>
      <c r="L14">
        <v>2.8923999999999999</v>
      </c>
      <c r="M14">
        <v>16</v>
      </c>
      <c r="N14" s="3">
        <f t="shared" si="2"/>
        <v>0.73457777777777777</v>
      </c>
      <c r="Q14">
        <v>2.3125</v>
      </c>
      <c r="R14">
        <v>15</v>
      </c>
      <c r="S14" s="3">
        <f t="shared" si="3"/>
        <v>0.58730158730158732</v>
      </c>
      <c r="V14" s="4">
        <v>2.9091</v>
      </c>
      <c r="W14" s="5">
        <v>13</v>
      </c>
      <c r="X14" s="3">
        <f t="shared" si="4"/>
        <v>0.7388190476190476</v>
      </c>
      <c r="AA14">
        <v>2.2562000000000002</v>
      </c>
      <c r="AB14">
        <v>15</v>
      </c>
      <c r="AC14" s="3">
        <f t="shared" si="5"/>
        <v>0.57300317460317463</v>
      </c>
      <c r="AF14">
        <v>2.2002000000000002</v>
      </c>
      <c r="AG14">
        <v>15</v>
      </c>
      <c r="AH14" s="3">
        <f t="shared" si="6"/>
        <v>0.55878095238095238</v>
      </c>
      <c r="AK14">
        <v>2.8475999999999999</v>
      </c>
      <c r="AL14">
        <v>15</v>
      </c>
      <c r="AM14" s="3">
        <f t="shared" si="7"/>
        <v>0.72319999999999995</v>
      </c>
      <c r="AP14">
        <v>2.2562000000000002</v>
      </c>
      <c r="AQ14">
        <v>15</v>
      </c>
      <c r="AR14" s="3">
        <f t="shared" si="8"/>
        <v>0.57300317460317463</v>
      </c>
      <c r="AU14">
        <v>2.4413</v>
      </c>
      <c r="AV14">
        <v>15</v>
      </c>
      <c r="AW14" s="3">
        <f t="shared" si="9"/>
        <v>0.62001269841269846</v>
      </c>
      <c r="AZ14" s="17">
        <v>2.101</v>
      </c>
      <c r="BA14" s="13">
        <v>2.6450999999999998</v>
      </c>
      <c r="BB14" s="7">
        <v>15</v>
      </c>
      <c r="BC14" s="21">
        <f t="shared" si="10"/>
        <v>0.67177142857142846</v>
      </c>
      <c r="BE14" s="17">
        <f t="shared" si="13"/>
        <v>11</v>
      </c>
      <c r="BF14" s="13">
        <v>2.5125000000000002</v>
      </c>
      <c r="BG14" s="7">
        <v>15</v>
      </c>
      <c r="BH14" s="21">
        <f t="shared" si="11"/>
        <v>0.63809523809523816</v>
      </c>
      <c r="BJ14" s="17">
        <f t="shared" si="14"/>
        <v>11</v>
      </c>
      <c r="BK14" s="13">
        <v>2.1244000000000001</v>
      </c>
      <c r="BL14" s="7">
        <v>15</v>
      </c>
      <c r="BM14" s="21">
        <f t="shared" si="12"/>
        <v>0.53953015873015875</v>
      </c>
    </row>
    <row r="15" spans="1:65" x14ac:dyDescent="0.25">
      <c r="B15" s="4">
        <v>3.1829000000000001</v>
      </c>
      <c r="C15" s="5">
        <v>17.5</v>
      </c>
      <c r="D15" s="3">
        <f t="shared" si="0"/>
        <v>0.8083555555555556</v>
      </c>
      <c r="G15" s="4">
        <v>3.1490999999999998</v>
      </c>
      <c r="H15" s="5">
        <v>15</v>
      </c>
      <c r="I15" s="3">
        <f t="shared" si="1"/>
        <v>0.79977142857142847</v>
      </c>
      <c r="L15">
        <v>3.1288</v>
      </c>
      <c r="M15">
        <v>17</v>
      </c>
      <c r="N15" s="3">
        <f t="shared" si="2"/>
        <v>0.794615873015873</v>
      </c>
      <c r="Q15">
        <v>2.4678</v>
      </c>
      <c r="R15">
        <v>15</v>
      </c>
      <c r="S15" s="3">
        <f t="shared" si="3"/>
        <v>0.62674285714285716</v>
      </c>
      <c r="V15" s="4">
        <v>3.1873999999999998</v>
      </c>
      <c r="W15" s="5">
        <v>13</v>
      </c>
      <c r="X15" s="3">
        <f t="shared" si="4"/>
        <v>0.80949841269841261</v>
      </c>
      <c r="AA15">
        <v>2.3854000000000002</v>
      </c>
      <c r="AB15">
        <v>15</v>
      </c>
      <c r="AC15" s="3">
        <f t="shared" si="5"/>
        <v>0.60581587301587303</v>
      </c>
      <c r="AF15">
        <v>2.3628999999999998</v>
      </c>
      <c r="AG15">
        <v>15</v>
      </c>
      <c r="AH15" s="3">
        <f t="shared" si="6"/>
        <v>0.60010158730158725</v>
      </c>
      <c r="AK15">
        <v>3.1251000000000002</v>
      </c>
      <c r="AL15">
        <v>16</v>
      </c>
      <c r="AM15" s="3">
        <f t="shared" si="7"/>
        <v>0.79367619047619054</v>
      </c>
      <c r="AP15">
        <v>2.3854000000000002</v>
      </c>
      <c r="AQ15">
        <v>15</v>
      </c>
      <c r="AR15" s="3">
        <f t="shared" si="8"/>
        <v>0.60581587301587303</v>
      </c>
      <c r="AU15">
        <v>2.5928</v>
      </c>
      <c r="AV15">
        <v>15</v>
      </c>
      <c r="AW15" s="3">
        <f t="shared" si="9"/>
        <v>0.6584888888888889</v>
      </c>
      <c r="AZ15" s="17">
        <v>1.1040000000000001</v>
      </c>
      <c r="BA15" s="13">
        <v>2.802</v>
      </c>
      <c r="BB15" s="7">
        <v>15</v>
      </c>
      <c r="BC15" s="21">
        <f t="shared" si="10"/>
        <v>0.7116190476190476</v>
      </c>
      <c r="BE15" s="17">
        <f t="shared" si="13"/>
        <v>12</v>
      </c>
      <c r="BF15" s="13">
        <v>2.6638000000000002</v>
      </c>
      <c r="BG15" s="7">
        <v>15</v>
      </c>
      <c r="BH15" s="21">
        <f t="shared" si="11"/>
        <v>0.67652063492063497</v>
      </c>
      <c r="BJ15" s="17">
        <f t="shared" si="14"/>
        <v>12</v>
      </c>
      <c r="BK15" s="13">
        <v>2.2488000000000001</v>
      </c>
      <c r="BL15" s="7">
        <v>15</v>
      </c>
      <c r="BM15" s="21">
        <f t="shared" si="12"/>
        <v>0.57112380952380959</v>
      </c>
    </row>
    <row r="16" spans="1:65" x14ac:dyDescent="0.25">
      <c r="B16" s="4">
        <v>3.4167000000000001</v>
      </c>
      <c r="C16" s="5">
        <v>20</v>
      </c>
      <c r="D16" s="3">
        <f t="shared" si="0"/>
        <v>0.86773333333333336</v>
      </c>
      <c r="G16" s="4">
        <v>3.3875000000000002</v>
      </c>
      <c r="H16" s="5">
        <v>15</v>
      </c>
      <c r="I16" s="3">
        <f t="shared" si="1"/>
        <v>0.86031746031746037</v>
      </c>
      <c r="L16">
        <v>3.3380000000000001</v>
      </c>
      <c r="M16">
        <v>18</v>
      </c>
      <c r="N16" s="3">
        <f t="shared" si="2"/>
        <v>0.8477460317460318</v>
      </c>
      <c r="Q16">
        <v>2.6204000000000001</v>
      </c>
      <c r="R16">
        <v>15</v>
      </c>
      <c r="S16" s="3">
        <f t="shared" si="3"/>
        <v>0.6654984126984127</v>
      </c>
      <c r="V16" s="4">
        <v>3.4350999999999998</v>
      </c>
      <c r="W16" s="5">
        <v>14</v>
      </c>
      <c r="X16" s="3">
        <f t="shared" si="4"/>
        <v>0.87240634920634919</v>
      </c>
      <c r="AA16">
        <v>2.5131999999999999</v>
      </c>
      <c r="AB16">
        <v>15</v>
      </c>
      <c r="AC16" s="3">
        <f t="shared" si="5"/>
        <v>0.63827301587301588</v>
      </c>
      <c r="AF16">
        <v>2.5514999999999999</v>
      </c>
      <c r="AG16">
        <v>15</v>
      </c>
      <c r="AH16" s="3">
        <f t="shared" si="6"/>
        <v>0.64800000000000002</v>
      </c>
      <c r="AK16">
        <v>3.3714</v>
      </c>
      <c r="AL16">
        <v>17</v>
      </c>
      <c r="AM16" s="3">
        <f t="shared" si="7"/>
        <v>0.85622857142857145</v>
      </c>
      <c r="AP16">
        <v>2.5131999999999999</v>
      </c>
      <c r="AQ16">
        <v>15</v>
      </c>
      <c r="AR16" s="3">
        <f t="shared" si="8"/>
        <v>0.63827301587301588</v>
      </c>
      <c r="AU16">
        <v>2.7401</v>
      </c>
      <c r="AV16">
        <v>15</v>
      </c>
      <c r="AW16" s="3">
        <f t="shared" si="9"/>
        <v>0.69589841269841268</v>
      </c>
      <c r="AZ16" s="17">
        <v>6.101</v>
      </c>
      <c r="BA16" s="13">
        <v>2.9540999999999999</v>
      </c>
      <c r="BB16" s="7">
        <v>15</v>
      </c>
      <c r="BC16" s="21">
        <f t="shared" si="10"/>
        <v>0.75024761904761905</v>
      </c>
      <c r="BE16" s="17">
        <f t="shared" si="13"/>
        <v>13</v>
      </c>
      <c r="BF16" s="13">
        <v>2.8117000000000001</v>
      </c>
      <c r="BG16" s="7">
        <v>15</v>
      </c>
      <c r="BH16" s="21">
        <f t="shared" si="11"/>
        <v>0.71408253968253965</v>
      </c>
      <c r="BJ16" s="17">
        <f t="shared" si="14"/>
        <v>13</v>
      </c>
      <c r="BK16" s="13">
        <v>2.4159999999999999</v>
      </c>
      <c r="BL16" s="7">
        <v>15</v>
      </c>
      <c r="BM16" s="21">
        <f t="shared" si="12"/>
        <v>0.61358730158730157</v>
      </c>
    </row>
    <row r="17" spans="2:65" x14ac:dyDescent="0.25">
      <c r="B17" s="4">
        <v>3.6326000000000001</v>
      </c>
      <c r="C17" s="5">
        <v>22.5</v>
      </c>
      <c r="D17" s="3">
        <f t="shared" si="0"/>
        <v>0.92256507936507937</v>
      </c>
      <c r="G17" s="4">
        <v>3.5846</v>
      </c>
      <c r="H17" s="5">
        <v>15</v>
      </c>
      <c r="I17" s="3">
        <f t="shared" si="1"/>
        <v>0.91037460317460317</v>
      </c>
      <c r="L17">
        <v>3.5042</v>
      </c>
      <c r="M17">
        <v>19</v>
      </c>
      <c r="N17" s="3">
        <f t="shared" si="2"/>
        <v>0.8899555555555555</v>
      </c>
      <c r="Q17">
        <v>2.7603</v>
      </c>
      <c r="R17">
        <v>15</v>
      </c>
      <c r="S17" s="3">
        <f t="shared" si="3"/>
        <v>0.70102857142857145</v>
      </c>
      <c r="V17" s="4">
        <v>3.6438000000000001</v>
      </c>
      <c r="W17" s="5">
        <v>15</v>
      </c>
      <c r="X17" s="3">
        <f t="shared" si="4"/>
        <v>0.92540952380952379</v>
      </c>
      <c r="AA17">
        <v>2.6393</v>
      </c>
      <c r="AB17">
        <v>14</v>
      </c>
      <c r="AC17" s="3">
        <f t="shared" si="5"/>
        <v>0.67029841269841273</v>
      </c>
      <c r="AF17">
        <v>2.7370999999999999</v>
      </c>
      <c r="AG17">
        <v>15</v>
      </c>
      <c r="AH17" s="3">
        <f t="shared" si="6"/>
        <v>0.69513650793650794</v>
      </c>
      <c r="AK17">
        <v>3.5796000000000001</v>
      </c>
      <c r="AL17">
        <v>18</v>
      </c>
      <c r="AM17" s="3">
        <f t="shared" si="7"/>
        <v>0.90910476190476197</v>
      </c>
      <c r="AP17">
        <v>2.6393</v>
      </c>
      <c r="AQ17">
        <v>14</v>
      </c>
      <c r="AR17" s="3">
        <f t="shared" si="8"/>
        <v>0.67029841269841273</v>
      </c>
      <c r="AU17">
        <v>2.8837000000000002</v>
      </c>
      <c r="AV17">
        <v>15</v>
      </c>
      <c r="AW17" s="3">
        <f t="shared" si="9"/>
        <v>0.732368253968254</v>
      </c>
      <c r="AZ17" s="17">
        <v>5.1040000000000001</v>
      </c>
      <c r="BA17" s="13">
        <v>3.0998999999999999</v>
      </c>
      <c r="BB17" s="7">
        <v>15</v>
      </c>
      <c r="BC17" s="21">
        <f t="shared" si="10"/>
        <v>0.78727619047619046</v>
      </c>
      <c r="BE17" s="17">
        <f t="shared" si="13"/>
        <v>14</v>
      </c>
      <c r="BF17" s="13">
        <v>2.9550000000000001</v>
      </c>
      <c r="BG17" s="7">
        <v>15</v>
      </c>
      <c r="BH17" s="21">
        <f t="shared" si="11"/>
        <v>0.75047619047619052</v>
      </c>
      <c r="BJ17" s="17">
        <f t="shared" si="14"/>
        <v>14</v>
      </c>
      <c r="BK17" s="13">
        <v>2.5651999999999999</v>
      </c>
      <c r="BL17" s="7">
        <v>15</v>
      </c>
      <c r="BM17" s="21">
        <f t="shared" si="12"/>
        <v>0.6514793650793651</v>
      </c>
    </row>
    <row r="18" spans="2:65" x14ac:dyDescent="0.25">
      <c r="B18" s="4">
        <v>3.8081</v>
      </c>
      <c r="C18" s="5">
        <v>22.5</v>
      </c>
      <c r="D18" s="3">
        <f t="shared" si="0"/>
        <v>0.96713650793650796</v>
      </c>
      <c r="G18" s="4">
        <v>3.7322000000000002</v>
      </c>
      <c r="H18" s="5">
        <v>20</v>
      </c>
      <c r="I18" s="3">
        <f t="shared" si="1"/>
        <v>0.94786031746031751</v>
      </c>
      <c r="L18">
        <v>3.6482999999999999</v>
      </c>
      <c r="M18">
        <v>20</v>
      </c>
      <c r="N18" s="3">
        <f t="shared" si="2"/>
        <v>0.92655238095238091</v>
      </c>
      <c r="Q18">
        <v>2.8961999999999999</v>
      </c>
      <c r="R18">
        <v>15</v>
      </c>
      <c r="S18" s="3">
        <f t="shared" si="3"/>
        <v>0.73554285714285716</v>
      </c>
      <c r="V18" s="4">
        <v>3.8050000000000002</v>
      </c>
      <c r="W18" s="5">
        <v>16</v>
      </c>
      <c r="X18" s="3">
        <f t="shared" si="4"/>
        <v>0.9663492063492064</v>
      </c>
      <c r="AA18">
        <v>2.7625000000000002</v>
      </c>
      <c r="AB18">
        <v>14</v>
      </c>
      <c r="AC18" s="3">
        <f t="shared" si="5"/>
        <v>0.70158730158730165</v>
      </c>
      <c r="AF18">
        <v>2.9171</v>
      </c>
      <c r="AG18">
        <v>15</v>
      </c>
      <c r="AH18" s="3">
        <f t="shared" si="6"/>
        <v>0.74085079365079365</v>
      </c>
      <c r="AK18">
        <v>3.7444000000000002</v>
      </c>
      <c r="AL18">
        <v>19</v>
      </c>
      <c r="AM18" s="3">
        <f t="shared" si="7"/>
        <v>0.95095873015873023</v>
      </c>
      <c r="AP18">
        <v>2.7625000000000002</v>
      </c>
      <c r="AQ18">
        <v>14</v>
      </c>
      <c r="AR18" s="3">
        <f t="shared" si="8"/>
        <v>0.70158730158730165</v>
      </c>
      <c r="AU18">
        <v>3.0222000000000002</v>
      </c>
      <c r="AV18">
        <v>15</v>
      </c>
      <c r="AW18" s="3">
        <f t="shared" si="9"/>
        <v>0.76754285714285719</v>
      </c>
      <c r="AZ18" s="17">
        <v>4.1020000000000003</v>
      </c>
      <c r="BA18" s="13">
        <v>3.2374000000000001</v>
      </c>
      <c r="BB18" s="7">
        <v>15</v>
      </c>
      <c r="BC18" s="21">
        <f t="shared" si="10"/>
        <v>0.82219682539682537</v>
      </c>
      <c r="BE18" s="17">
        <f t="shared" si="13"/>
        <v>15</v>
      </c>
      <c r="BF18" s="13">
        <v>3.0924</v>
      </c>
      <c r="BG18" s="7">
        <v>15</v>
      </c>
      <c r="BH18" s="21">
        <f t="shared" si="11"/>
        <v>0.78537142857142861</v>
      </c>
      <c r="BJ18" s="17">
        <f t="shared" si="14"/>
        <v>15</v>
      </c>
      <c r="BK18" s="13">
        <v>2.6911999999999998</v>
      </c>
      <c r="BL18" s="7">
        <v>15</v>
      </c>
      <c r="BM18" s="21">
        <f t="shared" si="12"/>
        <v>0.68347936507936502</v>
      </c>
    </row>
    <row r="19" spans="2:65" x14ac:dyDescent="0.25">
      <c r="B19" s="4">
        <v>3.9375</v>
      </c>
      <c r="C19" s="5">
        <v>22.5</v>
      </c>
      <c r="D19" s="3">
        <f t="shared" si="0"/>
        <v>1</v>
      </c>
      <c r="G19" s="4">
        <v>3.8370000000000002</v>
      </c>
      <c r="H19" s="5">
        <v>20</v>
      </c>
      <c r="I19" s="3">
        <f t="shared" si="1"/>
        <v>0.9744761904761905</v>
      </c>
      <c r="L19">
        <v>3.7614999999999998</v>
      </c>
      <c r="M19">
        <v>22.5</v>
      </c>
      <c r="N19" s="3">
        <f t="shared" si="2"/>
        <v>0.95530158730158721</v>
      </c>
      <c r="Q19">
        <v>3.0261999999999998</v>
      </c>
      <c r="R19">
        <v>15</v>
      </c>
      <c r="S19" s="3">
        <f t="shared" si="3"/>
        <v>0.76855873015873011</v>
      </c>
      <c r="V19" s="4">
        <v>3.9142999999999999</v>
      </c>
      <c r="W19" s="5">
        <v>17</v>
      </c>
      <c r="X19" s="3">
        <f t="shared" si="4"/>
        <v>0.9941079365079365</v>
      </c>
      <c r="AA19">
        <v>2.8824999999999998</v>
      </c>
      <c r="AB19">
        <v>14</v>
      </c>
      <c r="AC19" s="3">
        <f t="shared" si="5"/>
        <v>0.73206349206349197</v>
      </c>
      <c r="AF19">
        <v>3.0889000000000002</v>
      </c>
      <c r="AG19">
        <v>15</v>
      </c>
      <c r="AH19" s="3">
        <f t="shared" si="6"/>
        <v>0.78448253968253978</v>
      </c>
      <c r="AK19">
        <v>3.8614999999999999</v>
      </c>
      <c r="AL19">
        <v>20</v>
      </c>
      <c r="AM19" s="3">
        <f t="shared" si="7"/>
        <v>0.98069841269841274</v>
      </c>
      <c r="AP19">
        <v>2.8824999999999998</v>
      </c>
      <c r="AQ19">
        <v>14</v>
      </c>
      <c r="AR19" s="3">
        <f t="shared" si="8"/>
        <v>0.73206349206349197</v>
      </c>
      <c r="AU19">
        <v>3.1545999999999998</v>
      </c>
      <c r="AV19">
        <v>15</v>
      </c>
      <c r="AW19" s="3">
        <f t="shared" si="9"/>
        <v>0.80116825396825397</v>
      </c>
      <c r="AZ19" s="17">
        <v>3.1040000000000001</v>
      </c>
      <c r="BA19" s="13">
        <v>3.3647999999999998</v>
      </c>
      <c r="BB19" s="7">
        <v>15</v>
      </c>
      <c r="BC19" s="21">
        <f t="shared" si="10"/>
        <v>0.85455238095238095</v>
      </c>
      <c r="BE19" s="17">
        <f t="shared" si="13"/>
        <v>16</v>
      </c>
      <c r="BF19" s="13">
        <v>3.2229999999999999</v>
      </c>
      <c r="BG19" s="7">
        <v>15</v>
      </c>
      <c r="BH19" s="21">
        <f t="shared" si="11"/>
        <v>0.81853968253968246</v>
      </c>
      <c r="BJ19" s="17">
        <f t="shared" si="14"/>
        <v>16</v>
      </c>
      <c r="BK19" s="13">
        <v>2.8005</v>
      </c>
      <c r="BL19" s="7">
        <v>15</v>
      </c>
      <c r="BM19" s="21">
        <f t="shared" si="12"/>
        <v>0.71123809523809522</v>
      </c>
    </row>
    <row r="20" spans="2:65" x14ac:dyDescent="0.25">
      <c r="B20" s="4">
        <v>3.9375</v>
      </c>
      <c r="C20" s="5">
        <v>22.5</v>
      </c>
      <c r="D20" s="3">
        <f t="shared" si="0"/>
        <v>1</v>
      </c>
      <c r="G20" s="4">
        <v>3.9285999999999999</v>
      </c>
      <c r="H20" s="5">
        <v>20</v>
      </c>
      <c r="I20" s="3">
        <f t="shared" si="1"/>
        <v>0.99773968253968248</v>
      </c>
      <c r="L20">
        <v>3.8420999999999998</v>
      </c>
      <c r="M20">
        <v>25</v>
      </c>
      <c r="N20" s="3">
        <f t="shared" si="2"/>
        <v>0.97577142857142851</v>
      </c>
      <c r="Q20">
        <v>3.1497999999999999</v>
      </c>
      <c r="R20">
        <v>15</v>
      </c>
      <c r="S20" s="3">
        <f t="shared" si="3"/>
        <v>0.7999492063492063</v>
      </c>
      <c r="V20" s="4">
        <f>$U$2/2</f>
        <v>3.9375</v>
      </c>
      <c r="W20" s="5">
        <v>35</v>
      </c>
      <c r="X20" s="3">
        <f t="shared" si="4"/>
        <v>1</v>
      </c>
      <c r="AA20">
        <v>2.9984999999999999</v>
      </c>
      <c r="AB20">
        <v>14</v>
      </c>
      <c r="AC20" s="3">
        <f t="shared" si="5"/>
        <v>0.76152380952380949</v>
      </c>
      <c r="AF20">
        <v>3.2502</v>
      </c>
      <c r="AG20">
        <v>15</v>
      </c>
      <c r="AH20" s="3">
        <f t="shared" si="6"/>
        <v>0.8254476190476191</v>
      </c>
      <c r="AK20" s="4">
        <f>7.875/2</f>
        <v>3.9375</v>
      </c>
      <c r="AL20">
        <v>25</v>
      </c>
      <c r="AM20" s="3">
        <f t="shared" si="7"/>
        <v>1</v>
      </c>
      <c r="AP20">
        <v>2.9984999999999999</v>
      </c>
      <c r="AQ20">
        <v>14</v>
      </c>
      <c r="AR20" s="3">
        <f t="shared" si="8"/>
        <v>0.76152380952380949</v>
      </c>
      <c r="AU20">
        <v>3.2795999999999998</v>
      </c>
      <c r="AV20">
        <v>15</v>
      </c>
      <c r="AW20" s="3">
        <f t="shared" si="9"/>
        <v>0.83291428571428572</v>
      </c>
      <c r="AZ20" s="17">
        <v>2.1019999999999999</v>
      </c>
      <c r="BA20" s="13">
        <v>3.4817999999999998</v>
      </c>
      <c r="BB20" s="7">
        <v>15</v>
      </c>
      <c r="BC20" s="21">
        <f t="shared" si="10"/>
        <v>0.88426666666666665</v>
      </c>
      <c r="BE20" s="17">
        <f t="shared" si="13"/>
        <v>17</v>
      </c>
      <c r="BF20" s="13">
        <v>3.3452999999999999</v>
      </c>
      <c r="BG20" s="7">
        <v>15</v>
      </c>
      <c r="BH20" s="21">
        <f t="shared" si="11"/>
        <v>0.84960000000000002</v>
      </c>
      <c r="BJ20" s="17">
        <f t="shared" si="14"/>
        <v>17</v>
      </c>
      <c r="BK20" s="13">
        <v>2.9070999999999998</v>
      </c>
      <c r="BL20" s="7">
        <v>15</v>
      </c>
      <c r="BM20" s="21">
        <f t="shared" si="12"/>
        <v>0.73831111111111103</v>
      </c>
    </row>
    <row r="21" spans="2:65" x14ac:dyDescent="0.25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3.9375</v>
      </c>
      <c r="M21">
        <v>27.5</v>
      </c>
      <c r="N21" s="3">
        <f t="shared" si="2"/>
        <v>1</v>
      </c>
      <c r="Q21" s="4">
        <v>3.2652999999999999</v>
      </c>
      <c r="R21">
        <v>16</v>
      </c>
      <c r="S21" s="3">
        <f t="shared" si="3"/>
        <v>0.82928253968253962</v>
      </c>
      <c r="V21" s="4">
        <f t="shared" ref="V21:V22" si="15">$U$2/2</f>
        <v>3.9375</v>
      </c>
      <c r="W21" s="5">
        <v>35</v>
      </c>
      <c r="X21" s="3">
        <f t="shared" si="4"/>
        <v>1</v>
      </c>
      <c r="AA21" s="4">
        <v>3.1101999999999999</v>
      </c>
      <c r="AB21">
        <v>14</v>
      </c>
      <c r="AC21" s="3">
        <f t="shared" si="5"/>
        <v>0.78989206349206342</v>
      </c>
      <c r="AF21" s="4">
        <v>3.3967999999999998</v>
      </c>
      <c r="AG21">
        <v>17.5</v>
      </c>
      <c r="AH21" s="3">
        <f t="shared" si="6"/>
        <v>0.86267936507936505</v>
      </c>
      <c r="AK21" s="4">
        <f>AK20</f>
        <v>3.9375</v>
      </c>
      <c r="AL21">
        <v>25</v>
      </c>
      <c r="AM21" s="3">
        <f t="shared" si="7"/>
        <v>1</v>
      </c>
      <c r="AP21" s="4">
        <v>3.1101999999999999</v>
      </c>
      <c r="AQ21">
        <v>14</v>
      </c>
      <c r="AR21" s="3">
        <f t="shared" si="8"/>
        <v>0.78989206349206342</v>
      </c>
      <c r="AU21">
        <v>3.3961999999999999</v>
      </c>
      <c r="AV21">
        <v>15</v>
      </c>
      <c r="AW21" s="3">
        <f t="shared" si="9"/>
        <v>0.86252698412698414</v>
      </c>
      <c r="AY21">
        <v>1</v>
      </c>
      <c r="AZ21" s="17">
        <v>1.105</v>
      </c>
      <c r="BA21" s="13">
        <v>3.5880999999999998</v>
      </c>
      <c r="BB21" s="7">
        <v>16</v>
      </c>
      <c r="BC21" s="21">
        <f t="shared" si="10"/>
        <v>0.911263492063492</v>
      </c>
      <c r="BE21" s="17">
        <f t="shared" si="13"/>
        <v>18</v>
      </c>
      <c r="BF21" s="13">
        <v>3.4584999999999999</v>
      </c>
      <c r="BG21" s="7">
        <v>15</v>
      </c>
      <c r="BH21" s="21">
        <f t="shared" si="11"/>
        <v>0.87834920634920632</v>
      </c>
      <c r="BJ21" s="17">
        <f t="shared" si="14"/>
        <v>18</v>
      </c>
      <c r="BK21" s="13">
        <v>3.0106000000000002</v>
      </c>
      <c r="BL21" s="7">
        <v>15</v>
      </c>
      <c r="BM21" s="21">
        <f t="shared" si="12"/>
        <v>0.76459682539682539</v>
      </c>
    </row>
    <row r="22" spans="2:65" x14ac:dyDescent="0.25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3.9375</v>
      </c>
      <c r="M22">
        <v>30</v>
      </c>
      <c r="N22" s="3">
        <f t="shared" si="2"/>
        <v>1</v>
      </c>
      <c r="Q22" s="4">
        <v>3.3736999999999999</v>
      </c>
      <c r="R22">
        <v>16</v>
      </c>
      <c r="S22" s="3">
        <f t="shared" si="3"/>
        <v>0.85681269841269836</v>
      </c>
      <c r="V22" s="4">
        <f t="shared" si="15"/>
        <v>3.9375</v>
      </c>
      <c r="W22" s="5">
        <v>35</v>
      </c>
      <c r="X22" s="3">
        <f t="shared" si="4"/>
        <v>1</v>
      </c>
      <c r="AA22" s="4">
        <v>3.2168999999999999</v>
      </c>
      <c r="AB22">
        <v>14</v>
      </c>
      <c r="AC22" s="3">
        <f t="shared" si="5"/>
        <v>0.81699047619047616</v>
      </c>
      <c r="AF22" s="4">
        <v>3.5301999999999998</v>
      </c>
      <c r="AG22">
        <v>17.5</v>
      </c>
      <c r="AH22" s="3">
        <f t="shared" si="6"/>
        <v>0.89655873015873011</v>
      </c>
      <c r="AK22" s="4">
        <f t="shared" ref="AK22:AK24" si="16">AK21</f>
        <v>3.9375</v>
      </c>
      <c r="AL22">
        <v>30</v>
      </c>
      <c r="AM22" s="3">
        <f t="shared" si="7"/>
        <v>1</v>
      </c>
      <c r="AP22" s="4">
        <v>3.2168999999999999</v>
      </c>
      <c r="AQ22">
        <v>14</v>
      </c>
      <c r="AR22" s="3">
        <f t="shared" si="8"/>
        <v>0.81699047619047616</v>
      </c>
      <c r="AU22">
        <v>3.5013000000000001</v>
      </c>
      <c r="AV22">
        <v>16</v>
      </c>
      <c r="AW22" s="3">
        <f t="shared" si="9"/>
        <v>0.88921904761904769</v>
      </c>
      <c r="AY22">
        <v>1</v>
      </c>
      <c r="AZ22" s="17">
        <v>6.1020000000000003</v>
      </c>
      <c r="BA22" s="13">
        <v>3.6846999999999999</v>
      </c>
      <c r="BB22" s="7">
        <v>17</v>
      </c>
      <c r="BC22" s="21">
        <f t="shared" si="10"/>
        <v>0.9357968253968254</v>
      </c>
      <c r="BE22" s="17">
        <f t="shared" si="13"/>
        <v>19</v>
      </c>
      <c r="BF22" s="13">
        <v>3.5615999999999999</v>
      </c>
      <c r="BG22" s="7">
        <v>15</v>
      </c>
      <c r="BH22" s="21">
        <f t="shared" si="11"/>
        <v>0.9045333333333333</v>
      </c>
      <c r="BJ22" s="17">
        <f t="shared" si="14"/>
        <v>19</v>
      </c>
      <c r="BK22" s="13">
        <v>3.1105</v>
      </c>
      <c r="BL22" s="7">
        <v>15</v>
      </c>
      <c r="BM22" s="21">
        <f t="shared" si="12"/>
        <v>0.78996825396825399</v>
      </c>
    </row>
    <row r="23" spans="2:65" x14ac:dyDescent="0.25">
      <c r="B23" s="4">
        <v>3.9375</v>
      </c>
      <c r="C23" s="5">
        <v>27.5</v>
      </c>
      <c r="D23" s="3">
        <f t="shared" si="0"/>
        <v>1</v>
      </c>
      <c r="G23" s="4">
        <v>3.9375</v>
      </c>
      <c r="H23" s="5">
        <v>27.5</v>
      </c>
      <c r="I23" s="3">
        <f t="shared" si="1"/>
        <v>1</v>
      </c>
      <c r="L23" s="4">
        <v>3.9375</v>
      </c>
      <c r="M23">
        <v>35</v>
      </c>
      <c r="N23" s="3">
        <f t="shared" si="2"/>
        <v>1</v>
      </c>
      <c r="Q23" s="4">
        <v>3.4727000000000001</v>
      </c>
      <c r="R23">
        <v>17</v>
      </c>
      <c r="S23" s="3">
        <f t="shared" si="3"/>
        <v>0.8819555555555556</v>
      </c>
      <c r="V23" s="4"/>
      <c r="W23" s="5"/>
      <c r="X23" s="3"/>
      <c r="AA23" s="4">
        <v>3.3174000000000001</v>
      </c>
      <c r="AB23">
        <v>15</v>
      </c>
      <c r="AC23" s="3">
        <f t="shared" si="5"/>
        <v>0.84251428571428577</v>
      </c>
      <c r="AF23" s="4">
        <v>3.6444000000000001</v>
      </c>
      <c r="AG23">
        <v>20</v>
      </c>
      <c r="AH23" s="3">
        <f t="shared" si="6"/>
        <v>0.92556190476190481</v>
      </c>
      <c r="AK23" s="4">
        <f t="shared" si="16"/>
        <v>3.9375</v>
      </c>
      <c r="AL23">
        <v>30</v>
      </c>
      <c r="AM23" s="3">
        <f t="shared" si="7"/>
        <v>1</v>
      </c>
      <c r="AP23" s="4">
        <v>3.3174000000000001</v>
      </c>
      <c r="AQ23">
        <v>15</v>
      </c>
      <c r="AR23" s="3">
        <f t="shared" si="8"/>
        <v>0.84251428571428577</v>
      </c>
      <c r="AU23">
        <v>3.5962000000000001</v>
      </c>
      <c r="AV23">
        <v>17</v>
      </c>
      <c r="AW23" s="3">
        <f t="shared" si="9"/>
        <v>0.91332063492063498</v>
      </c>
      <c r="AY23">
        <v>1</v>
      </c>
      <c r="AZ23" s="17">
        <v>5.1050000000000004</v>
      </c>
      <c r="BA23" s="13">
        <v>3.7656000000000001</v>
      </c>
      <c r="BB23" s="7">
        <v>18</v>
      </c>
      <c r="BC23" s="21">
        <f t="shared" si="10"/>
        <v>0.95634285714285716</v>
      </c>
      <c r="BE23" s="17">
        <f t="shared" si="13"/>
        <v>20</v>
      </c>
      <c r="BF23" s="13">
        <v>3.6528</v>
      </c>
      <c r="BG23" s="7">
        <v>16</v>
      </c>
      <c r="BH23" s="21">
        <f t="shared" si="11"/>
        <v>0.92769523809523813</v>
      </c>
      <c r="BJ23" s="17">
        <f t="shared" si="14"/>
        <v>20</v>
      </c>
      <c r="BK23" s="13">
        <v>3.2063999999999999</v>
      </c>
      <c r="BL23" s="7">
        <v>15</v>
      </c>
      <c r="BM23" s="21">
        <f t="shared" si="12"/>
        <v>0.81432380952380945</v>
      </c>
    </row>
    <row r="24" spans="2:65" x14ac:dyDescent="0.25">
      <c r="L24" s="4">
        <v>3.9375</v>
      </c>
      <c r="M24">
        <v>35</v>
      </c>
      <c r="N24" s="3">
        <f t="shared" si="2"/>
        <v>1</v>
      </c>
      <c r="Q24" s="4">
        <v>3.5625</v>
      </c>
      <c r="R24">
        <v>18</v>
      </c>
      <c r="S24" s="3">
        <f t="shared" si="3"/>
        <v>0.90476190476190477</v>
      </c>
      <c r="V24" s="4"/>
      <c r="X24" s="3"/>
      <c r="AA24" s="4">
        <v>3.4125999999999999</v>
      </c>
      <c r="AB24">
        <v>15</v>
      </c>
      <c r="AC24" s="3">
        <f t="shared" si="5"/>
        <v>0.8666920634920634</v>
      </c>
      <c r="AF24" s="4">
        <v>3.7433000000000001</v>
      </c>
      <c r="AG24">
        <v>20</v>
      </c>
      <c r="AH24" s="3">
        <f t="shared" si="6"/>
        <v>0.95067936507936512</v>
      </c>
      <c r="AK24" s="4">
        <f t="shared" si="16"/>
        <v>3.9375</v>
      </c>
      <c r="AL24">
        <v>30</v>
      </c>
      <c r="AM24" s="3">
        <f t="shared" si="7"/>
        <v>1</v>
      </c>
      <c r="AP24" s="4">
        <v>3.4125999999999999</v>
      </c>
      <c r="AQ24">
        <v>16</v>
      </c>
      <c r="AR24" s="3">
        <f t="shared" si="8"/>
        <v>0.8666920634920634</v>
      </c>
      <c r="AU24">
        <v>3.68</v>
      </c>
      <c r="AV24">
        <v>18</v>
      </c>
      <c r="AW24" s="3">
        <f t="shared" si="9"/>
        <v>0.93460317460317466</v>
      </c>
      <c r="AY24">
        <v>1</v>
      </c>
      <c r="AZ24" s="17">
        <v>4.1029999999999998</v>
      </c>
      <c r="BA24" s="13">
        <v>3.8334000000000001</v>
      </c>
      <c r="BB24" s="7">
        <v>20</v>
      </c>
      <c r="BC24" s="21">
        <f t="shared" si="10"/>
        <v>0.97356190476190485</v>
      </c>
      <c r="BE24" s="17">
        <f t="shared" si="13"/>
        <v>21</v>
      </c>
      <c r="BF24" s="13">
        <v>3.7319</v>
      </c>
      <c r="BG24" s="7">
        <v>17</v>
      </c>
      <c r="BH24" s="21">
        <f t="shared" si="11"/>
        <v>0.94778412698412695</v>
      </c>
      <c r="BJ24" s="17">
        <f t="shared" si="14"/>
        <v>21</v>
      </c>
      <c r="BK24" s="13">
        <v>3.298</v>
      </c>
      <c r="BL24" s="7">
        <v>15</v>
      </c>
      <c r="BM24" s="21">
        <f t="shared" si="12"/>
        <v>0.83758730158730155</v>
      </c>
    </row>
    <row r="25" spans="2:65" x14ac:dyDescent="0.25">
      <c r="L25" s="4">
        <v>3.9375</v>
      </c>
      <c r="M25">
        <v>35</v>
      </c>
      <c r="N25" s="3">
        <f t="shared" si="2"/>
        <v>1</v>
      </c>
      <c r="Q25" s="4">
        <v>3.6427</v>
      </c>
      <c r="R25">
        <v>19</v>
      </c>
      <c r="S25" s="3">
        <f t="shared" si="3"/>
        <v>0.92513015873015869</v>
      </c>
      <c r="V25" s="4"/>
      <c r="X25" s="3"/>
      <c r="AA25" s="4">
        <v>3.5013999999999998</v>
      </c>
      <c r="AB25">
        <v>15</v>
      </c>
      <c r="AC25" s="3">
        <f t="shared" si="5"/>
        <v>0.88924444444444439</v>
      </c>
      <c r="AF25" s="4">
        <v>3.8193999999999999</v>
      </c>
      <c r="AG25">
        <v>22.5</v>
      </c>
      <c r="AH25" s="3">
        <f t="shared" si="6"/>
        <v>0.97000634920634921</v>
      </c>
      <c r="AK25" s="4"/>
      <c r="AM25" s="3"/>
      <c r="AP25" s="4">
        <v>3.5013999999999998</v>
      </c>
      <c r="AQ25">
        <v>17</v>
      </c>
      <c r="AR25" s="3">
        <f t="shared" si="8"/>
        <v>0.88924444444444439</v>
      </c>
      <c r="AU25">
        <v>3.7509000000000001</v>
      </c>
      <c r="AV25">
        <v>20</v>
      </c>
      <c r="AW25" s="3">
        <f t="shared" si="9"/>
        <v>0.95260952380952379</v>
      </c>
      <c r="AY25">
        <v>1</v>
      </c>
      <c r="AZ25" s="17">
        <v>3.105</v>
      </c>
      <c r="BA25" s="13">
        <v>3.8860000000000001</v>
      </c>
      <c r="BB25" s="7">
        <v>22</v>
      </c>
      <c r="BC25" s="21">
        <f t="shared" si="10"/>
        <v>0.98692063492063498</v>
      </c>
      <c r="BE25" s="17">
        <f t="shared" si="13"/>
        <v>22</v>
      </c>
      <c r="BF25" s="13">
        <v>3.7984</v>
      </c>
      <c r="BG25" s="7">
        <v>18</v>
      </c>
      <c r="BH25" s="21">
        <f t="shared" si="11"/>
        <v>0.9646730158730159</v>
      </c>
      <c r="BJ25" s="17">
        <f t="shared" si="14"/>
        <v>22</v>
      </c>
      <c r="BK25" s="13">
        <v>3.3841000000000001</v>
      </c>
      <c r="BL25" s="7">
        <v>16</v>
      </c>
      <c r="BM25" s="21">
        <f t="shared" si="12"/>
        <v>0.85945396825396825</v>
      </c>
    </row>
    <row r="26" spans="2:65" x14ac:dyDescent="0.25">
      <c r="Q26" s="4">
        <v>3.7128999999999999</v>
      </c>
      <c r="R26">
        <v>20</v>
      </c>
      <c r="S26" s="3">
        <f t="shared" ref="S26:S33" si="17">Q26/$P$2*2</f>
        <v>0.94295873015873011</v>
      </c>
      <c r="AA26" s="4">
        <v>3.5832999999999999</v>
      </c>
      <c r="AB26">
        <v>15</v>
      </c>
      <c r="AC26" s="3">
        <f t="shared" si="5"/>
        <v>0.91004444444444443</v>
      </c>
      <c r="AF26" s="4">
        <v>3.8792</v>
      </c>
      <c r="AG26">
        <v>22.5</v>
      </c>
      <c r="AH26" s="3">
        <f t="shared" si="6"/>
        <v>0.98519365079365084</v>
      </c>
      <c r="AP26" s="4">
        <v>3.5832999999999999</v>
      </c>
      <c r="AQ26">
        <v>18</v>
      </c>
      <c r="AR26" s="3">
        <f t="shared" si="8"/>
        <v>0.91004444444444443</v>
      </c>
      <c r="AU26">
        <v>3.8089</v>
      </c>
      <c r="AV26">
        <v>22</v>
      </c>
      <c r="AW26" s="3">
        <f t="shared" si="9"/>
        <v>0.9673396825396825</v>
      </c>
      <c r="AY26">
        <v>1</v>
      </c>
      <c r="AZ26" s="17">
        <v>2.1030000000000002</v>
      </c>
      <c r="BA26" s="13">
        <v>3.923</v>
      </c>
      <c r="BB26" s="7">
        <v>24</v>
      </c>
      <c r="BC26" s="21">
        <f t="shared" si="10"/>
        <v>0.99631746031746038</v>
      </c>
      <c r="BE26" s="17">
        <f t="shared" si="13"/>
        <v>23</v>
      </c>
      <c r="BF26" s="13">
        <v>3.8502999999999998</v>
      </c>
      <c r="BG26" s="7">
        <v>20</v>
      </c>
      <c r="BH26" s="21">
        <f t="shared" si="11"/>
        <v>0.9778539682539682</v>
      </c>
      <c r="BJ26" s="17">
        <f t="shared" si="14"/>
        <v>23</v>
      </c>
      <c r="BK26" s="13">
        <v>3.4658000000000002</v>
      </c>
      <c r="BL26" s="7">
        <v>16</v>
      </c>
      <c r="BM26" s="21">
        <f t="shared" si="12"/>
        <v>0.88020317460317465</v>
      </c>
    </row>
    <row r="27" spans="2:65" x14ac:dyDescent="0.25">
      <c r="Q27" s="4">
        <v>3.7728999999999999</v>
      </c>
      <c r="R27">
        <v>21</v>
      </c>
      <c r="S27" s="3">
        <f t="shared" si="17"/>
        <v>0.95819682539682538</v>
      </c>
      <c r="AA27" s="4">
        <v>3.6556000000000002</v>
      </c>
      <c r="AB27">
        <v>15</v>
      </c>
      <c r="AC27" s="3">
        <f t="shared" si="5"/>
        <v>0.92840634920634924</v>
      </c>
      <c r="AF27" s="4">
        <f>7.875/2</f>
        <v>3.9375</v>
      </c>
      <c r="AG27">
        <v>25</v>
      </c>
      <c r="AH27" s="3">
        <f t="shared" si="6"/>
        <v>1</v>
      </c>
      <c r="AP27" s="4">
        <v>3.6556000000000002</v>
      </c>
      <c r="AQ27">
        <v>19</v>
      </c>
      <c r="AR27" s="3">
        <f t="shared" si="8"/>
        <v>0.92840634920634924</v>
      </c>
      <c r="AU27">
        <v>3.8536000000000001</v>
      </c>
      <c r="AV27">
        <v>24</v>
      </c>
      <c r="AW27" s="3">
        <f t="shared" si="9"/>
        <v>0.9786920634920635</v>
      </c>
      <c r="AY27">
        <v>1</v>
      </c>
      <c r="AZ27" s="17">
        <v>1.1060000000000001</v>
      </c>
      <c r="BA27" s="13">
        <v>3.9375</v>
      </c>
      <c r="BB27" s="7">
        <v>26</v>
      </c>
      <c r="BC27" s="21">
        <f t="shared" si="10"/>
        <v>1</v>
      </c>
      <c r="BE27" s="17">
        <f t="shared" si="13"/>
        <v>24</v>
      </c>
      <c r="BF27" s="13">
        <v>3.8656999999999999</v>
      </c>
      <c r="BG27" s="7">
        <v>22</v>
      </c>
      <c r="BH27" s="21">
        <f t="shared" si="11"/>
        <v>0.9817650793650794</v>
      </c>
      <c r="BJ27" s="17">
        <f t="shared" si="14"/>
        <v>24</v>
      </c>
      <c r="BK27" s="13">
        <v>3.5419999999999998</v>
      </c>
      <c r="BL27" s="7">
        <v>16</v>
      </c>
      <c r="BM27" s="21">
        <f t="shared" si="12"/>
        <v>0.89955555555555555</v>
      </c>
    </row>
    <row r="28" spans="2:65" x14ac:dyDescent="0.25">
      <c r="Q28" s="4">
        <v>3.8205</v>
      </c>
      <c r="R28">
        <v>23</v>
      </c>
      <c r="S28" s="3">
        <f t="shared" si="17"/>
        <v>0.97028571428571431</v>
      </c>
      <c r="AA28" s="4">
        <v>3.7225000000000001</v>
      </c>
      <c r="AB28">
        <v>15</v>
      </c>
      <c r="AC28" s="3">
        <f t="shared" si="5"/>
        <v>0.94539682539682546</v>
      </c>
      <c r="AF28" s="4">
        <f>AF27</f>
        <v>3.9375</v>
      </c>
      <c r="AG28">
        <v>25</v>
      </c>
      <c r="AH28" s="3">
        <f t="shared" si="6"/>
        <v>1</v>
      </c>
      <c r="AP28" s="4">
        <v>3.7225000000000001</v>
      </c>
      <c r="AQ28">
        <v>20</v>
      </c>
      <c r="AR28" s="3">
        <f t="shared" si="8"/>
        <v>0.94539682539682546</v>
      </c>
      <c r="AU28">
        <v>3.8833000000000002</v>
      </c>
      <c r="AV28">
        <v>26</v>
      </c>
      <c r="AW28" s="3">
        <f t="shared" si="9"/>
        <v>0.98623492063492069</v>
      </c>
      <c r="AZ28" s="17">
        <v>6.1029999999999998</v>
      </c>
      <c r="BA28" s="13">
        <v>3.9375</v>
      </c>
      <c r="BB28" s="7">
        <v>28</v>
      </c>
      <c r="BC28" s="21">
        <f t="shared" si="10"/>
        <v>1</v>
      </c>
      <c r="BE28" s="17">
        <f t="shared" si="13"/>
        <v>25</v>
      </c>
      <c r="BF28" s="13">
        <v>3.8765999999999998</v>
      </c>
      <c r="BG28" s="7">
        <v>24</v>
      </c>
      <c r="BH28" s="21">
        <f t="shared" si="11"/>
        <v>0.98453333333333326</v>
      </c>
      <c r="BJ28" s="17">
        <f t="shared" si="14"/>
        <v>25</v>
      </c>
      <c r="BK28" s="13">
        <v>3.6114999999999999</v>
      </c>
      <c r="BL28" s="7">
        <v>17</v>
      </c>
      <c r="BM28" s="21">
        <f t="shared" si="12"/>
        <v>0.91720634920634914</v>
      </c>
    </row>
    <row r="29" spans="2:65" x14ac:dyDescent="0.25">
      <c r="Q29" s="4">
        <v>3.8570000000000002</v>
      </c>
      <c r="R29">
        <v>25</v>
      </c>
      <c r="S29" s="3">
        <f t="shared" si="17"/>
        <v>0.97955555555555562</v>
      </c>
      <c r="AA29" s="4">
        <v>3.7814999999999999</v>
      </c>
      <c r="AB29">
        <v>17.5</v>
      </c>
      <c r="AC29" s="3">
        <f t="shared" si="5"/>
        <v>0.96038095238095234</v>
      </c>
      <c r="AF29" s="4">
        <f t="shared" ref="AF29:AF33" si="18">AF28</f>
        <v>3.9375</v>
      </c>
      <c r="AG29">
        <v>30</v>
      </c>
      <c r="AH29" s="3">
        <f t="shared" si="6"/>
        <v>1</v>
      </c>
      <c r="AP29" s="4">
        <v>3.7814999999999999</v>
      </c>
      <c r="AQ29">
        <v>21</v>
      </c>
      <c r="AR29" s="3">
        <f t="shared" si="8"/>
        <v>0.96038095238095234</v>
      </c>
      <c r="AU29">
        <v>3.9005999999999998</v>
      </c>
      <c r="AV29">
        <v>28</v>
      </c>
      <c r="AW29" s="3">
        <f t="shared" si="9"/>
        <v>0.99062857142857141</v>
      </c>
      <c r="AZ29" s="17">
        <v>5.1059999999999999</v>
      </c>
      <c r="BA29" s="13">
        <v>3.9375</v>
      </c>
      <c r="BB29" s="7">
        <v>30</v>
      </c>
      <c r="BC29" s="21">
        <f t="shared" si="10"/>
        <v>1</v>
      </c>
      <c r="BE29" s="17">
        <f t="shared" si="13"/>
        <v>26</v>
      </c>
      <c r="BF29" s="13">
        <v>3.8883999999999999</v>
      </c>
      <c r="BG29" s="7">
        <v>26</v>
      </c>
      <c r="BH29" s="21">
        <f t="shared" si="11"/>
        <v>0.9875301587301587</v>
      </c>
      <c r="BJ29" s="17">
        <f t="shared" si="14"/>
        <v>26</v>
      </c>
      <c r="BK29" s="13">
        <v>3.6758999999999999</v>
      </c>
      <c r="BL29" s="7">
        <v>17</v>
      </c>
      <c r="BM29" s="21">
        <f t="shared" si="12"/>
        <v>0.9335619047619047</v>
      </c>
    </row>
    <row r="30" spans="2:65" x14ac:dyDescent="0.25">
      <c r="Q30" s="4">
        <v>3.8864999999999998</v>
      </c>
      <c r="R30">
        <v>25</v>
      </c>
      <c r="S30" s="3">
        <f t="shared" si="17"/>
        <v>0.98704761904761906</v>
      </c>
      <c r="AA30" s="4">
        <v>3.8290999999999999</v>
      </c>
      <c r="AB30">
        <v>20</v>
      </c>
      <c r="AC30" s="3">
        <f t="shared" si="5"/>
        <v>0.97246984126984126</v>
      </c>
      <c r="AF30" s="4">
        <f t="shared" si="18"/>
        <v>3.9375</v>
      </c>
      <c r="AG30">
        <v>30</v>
      </c>
      <c r="AH30" s="3">
        <f t="shared" si="6"/>
        <v>1</v>
      </c>
      <c r="AP30" s="4">
        <v>3.8290999999999999</v>
      </c>
      <c r="AQ30">
        <v>22</v>
      </c>
      <c r="AR30" s="3">
        <f t="shared" si="8"/>
        <v>0.97246984126984126</v>
      </c>
      <c r="AU30">
        <v>3.9102999999999999</v>
      </c>
      <c r="AV30">
        <v>30</v>
      </c>
      <c r="AW30" s="3">
        <f t="shared" si="9"/>
        <v>0.99309206349206347</v>
      </c>
      <c r="AZ30" s="17">
        <v>4.1040000000000001</v>
      </c>
      <c r="BA30" s="13">
        <v>3.9375</v>
      </c>
      <c r="BB30" s="7">
        <v>30</v>
      </c>
      <c r="BC30" s="21">
        <f>BA30/$AT$2*2</f>
        <v>1</v>
      </c>
      <c r="BE30" s="17">
        <f t="shared" si="13"/>
        <v>27</v>
      </c>
      <c r="BF30" s="13">
        <f>7.875/2</f>
        <v>3.9375</v>
      </c>
      <c r="BG30" s="7">
        <v>30</v>
      </c>
      <c r="BH30" s="21">
        <f t="shared" si="11"/>
        <v>1</v>
      </c>
      <c r="BJ30" s="17">
        <f t="shared" si="14"/>
        <v>27</v>
      </c>
      <c r="BK30" s="13">
        <v>3.7334000000000001</v>
      </c>
      <c r="BL30" s="7">
        <v>17.5</v>
      </c>
      <c r="BM30" s="21">
        <f t="shared" si="12"/>
        <v>0.94816507936507943</v>
      </c>
    </row>
    <row r="31" spans="2:65" x14ac:dyDescent="0.25">
      <c r="Q31" s="4">
        <f>7.875/2</f>
        <v>3.9375</v>
      </c>
      <c r="R31">
        <v>35</v>
      </c>
      <c r="S31" s="3">
        <f t="shared" si="17"/>
        <v>1</v>
      </c>
      <c r="AA31" s="4">
        <v>3.8675999999999999</v>
      </c>
      <c r="AB31">
        <v>22.5</v>
      </c>
      <c r="AC31" s="3">
        <f t="shared" si="5"/>
        <v>0.98224761904761904</v>
      </c>
      <c r="AF31" s="4">
        <f t="shared" si="18"/>
        <v>3.9375</v>
      </c>
      <c r="AG31">
        <v>30</v>
      </c>
      <c r="AH31" s="3">
        <f t="shared" si="6"/>
        <v>1</v>
      </c>
      <c r="AP31" s="4">
        <v>3.8675999999999999</v>
      </c>
      <c r="AQ31">
        <v>24</v>
      </c>
      <c r="AR31" s="3">
        <f t="shared" si="8"/>
        <v>0.98224761904761904</v>
      </c>
      <c r="AU31">
        <f t="shared" ref="AU31:AU36" si="19">7.875/2</f>
        <v>3.9375</v>
      </c>
      <c r="AV31">
        <v>35</v>
      </c>
      <c r="AW31" s="3">
        <f t="shared" si="9"/>
        <v>1</v>
      </c>
      <c r="AZ31" s="17">
        <v>3.1059999999999999</v>
      </c>
      <c r="BA31" s="13">
        <v>3.9375</v>
      </c>
      <c r="BB31" s="7">
        <v>30</v>
      </c>
      <c r="BC31" s="21">
        <f>BA31/$AT$2*2</f>
        <v>1</v>
      </c>
      <c r="BE31" s="17">
        <f t="shared" si="13"/>
        <v>28</v>
      </c>
      <c r="BF31" s="13">
        <f t="shared" ref="BF31:BF35" si="20">7.875/2</f>
        <v>3.9375</v>
      </c>
      <c r="BG31" s="7">
        <v>30</v>
      </c>
      <c r="BH31" s="21">
        <f t="shared" si="11"/>
        <v>1</v>
      </c>
      <c r="BJ31" s="17">
        <f t="shared" si="14"/>
        <v>28</v>
      </c>
      <c r="BK31" s="13">
        <v>3.7841999999999998</v>
      </c>
      <c r="BL31" s="7">
        <v>18</v>
      </c>
      <c r="BM31" s="21">
        <f t="shared" si="12"/>
        <v>0.96106666666666662</v>
      </c>
    </row>
    <row r="32" spans="2:65" x14ac:dyDescent="0.25">
      <c r="Q32" s="4">
        <f t="shared" ref="Q32:Q36" si="21">7.875/2</f>
        <v>3.9375</v>
      </c>
      <c r="R32">
        <v>35</v>
      </c>
      <c r="S32" s="3">
        <f t="shared" si="17"/>
        <v>1</v>
      </c>
      <c r="AA32" s="4">
        <v>3.8967999999999998</v>
      </c>
      <c r="AB32">
        <v>25</v>
      </c>
      <c r="AC32" s="3">
        <f t="shared" si="5"/>
        <v>0.98966349206349202</v>
      </c>
      <c r="AF32" s="4">
        <f t="shared" si="18"/>
        <v>3.9375</v>
      </c>
      <c r="AG32">
        <v>30</v>
      </c>
      <c r="AH32" s="3">
        <f t="shared" si="6"/>
        <v>1</v>
      </c>
      <c r="AP32" s="4">
        <v>3.8967999999999998</v>
      </c>
      <c r="AQ32">
        <v>26</v>
      </c>
      <c r="AR32" s="3">
        <f t="shared" si="8"/>
        <v>0.98966349206349202</v>
      </c>
      <c r="AU32">
        <f t="shared" si="19"/>
        <v>3.9375</v>
      </c>
      <c r="AV32">
        <v>35</v>
      </c>
      <c r="AW32" s="3">
        <f t="shared" si="9"/>
        <v>1</v>
      </c>
      <c r="AZ32" s="17">
        <v>2.1040000000000001</v>
      </c>
      <c r="BA32" s="13">
        <v>3.9375</v>
      </c>
      <c r="BB32" s="7">
        <v>30</v>
      </c>
      <c r="BC32" s="21">
        <f t="shared" si="10"/>
        <v>1</v>
      </c>
      <c r="BE32" s="17">
        <f t="shared" si="13"/>
        <v>29</v>
      </c>
      <c r="BF32" s="13">
        <f t="shared" si="20"/>
        <v>3.9375</v>
      </c>
      <c r="BG32" s="7">
        <v>30</v>
      </c>
      <c r="BH32" s="21">
        <f t="shared" si="11"/>
        <v>1</v>
      </c>
      <c r="BJ32" s="17">
        <f t="shared" si="14"/>
        <v>29</v>
      </c>
      <c r="BK32" s="13">
        <v>3.8275000000000001</v>
      </c>
      <c r="BL32" s="7">
        <v>19</v>
      </c>
      <c r="BM32" s="21">
        <f t="shared" si="12"/>
        <v>0.97206349206349207</v>
      </c>
    </row>
    <row r="33" spans="17:65" x14ac:dyDescent="0.25">
      <c r="Q33" s="4">
        <f t="shared" si="21"/>
        <v>3.9375</v>
      </c>
      <c r="R33">
        <v>35</v>
      </c>
      <c r="S33" s="3">
        <f t="shared" si="17"/>
        <v>1</v>
      </c>
      <c r="AA33" s="4">
        <v>3.9157000000000002</v>
      </c>
      <c r="AB33">
        <v>25</v>
      </c>
      <c r="AC33" s="3">
        <f t="shared" si="5"/>
        <v>0.99446349206349216</v>
      </c>
      <c r="AF33" s="4">
        <f t="shared" si="18"/>
        <v>3.9375</v>
      </c>
      <c r="AG33">
        <v>30</v>
      </c>
      <c r="AH33" s="3">
        <f t="shared" si="6"/>
        <v>1</v>
      </c>
      <c r="AP33" s="4">
        <v>3.9157000000000002</v>
      </c>
      <c r="AQ33">
        <v>28</v>
      </c>
      <c r="AR33" s="3">
        <f t="shared" si="8"/>
        <v>0.99446349206349216</v>
      </c>
      <c r="AU33">
        <f t="shared" si="19"/>
        <v>3.9375</v>
      </c>
      <c r="AV33">
        <v>35</v>
      </c>
      <c r="AW33" s="3">
        <f t="shared" si="9"/>
        <v>1</v>
      </c>
      <c r="AZ33" s="18">
        <v>1.107</v>
      </c>
      <c r="BA33" s="14">
        <v>3.9375</v>
      </c>
      <c r="BB33" s="8">
        <v>30</v>
      </c>
      <c r="BC33" s="22">
        <f>BA33/$AT$2*2</f>
        <v>1</v>
      </c>
      <c r="BE33" s="17">
        <f t="shared" si="13"/>
        <v>30</v>
      </c>
      <c r="BF33" s="13">
        <f t="shared" si="20"/>
        <v>3.9375</v>
      </c>
      <c r="BG33" s="7">
        <v>30</v>
      </c>
      <c r="BH33" s="21">
        <f t="shared" ref="BH33:BH35" si="22">BF33/$AT$2*2</f>
        <v>1</v>
      </c>
      <c r="BJ33" s="17">
        <f t="shared" si="14"/>
        <v>30</v>
      </c>
      <c r="BK33" s="13">
        <v>3.8635000000000002</v>
      </c>
      <c r="BL33" s="7">
        <v>20</v>
      </c>
      <c r="BM33" s="21">
        <f t="shared" si="12"/>
        <v>0.98120634920634919</v>
      </c>
    </row>
    <row r="34" spans="17:65" x14ac:dyDescent="0.25">
      <c r="Q34" s="4">
        <f t="shared" si="21"/>
        <v>3.9375</v>
      </c>
      <c r="R34">
        <v>35</v>
      </c>
      <c r="S34" s="3">
        <f t="shared" ref="S34:S36" si="23">Q34/$P$2*2</f>
        <v>1</v>
      </c>
      <c r="AA34" s="4">
        <v>3.9264999999999999</v>
      </c>
      <c r="AB34">
        <v>25</v>
      </c>
      <c r="AC34" s="3">
        <f t="shared" si="5"/>
        <v>0.99720634920634921</v>
      </c>
      <c r="AP34" s="4">
        <v>3.9264999999999999</v>
      </c>
      <c r="AQ34">
        <v>30</v>
      </c>
      <c r="AR34" s="3">
        <f t="shared" si="8"/>
        <v>0.99720634920634921</v>
      </c>
      <c r="AU34">
        <f t="shared" si="19"/>
        <v>3.9375</v>
      </c>
      <c r="AV34">
        <v>35</v>
      </c>
      <c r="AW34" s="3">
        <f t="shared" si="9"/>
        <v>1</v>
      </c>
      <c r="BE34" s="17">
        <f t="shared" si="13"/>
        <v>31</v>
      </c>
      <c r="BF34" s="13">
        <f t="shared" si="20"/>
        <v>3.9375</v>
      </c>
      <c r="BG34" s="7">
        <v>30</v>
      </c>
      <c r="BH34" s="21">
        <f t="shared" si="22"/>
        <v>1</v>
      </c>
      <c r="BJ34" s="17">
        <f t="shared" si="14"/>
        <v>31</v>
      </c>
      <c r="BK34" s="13">
        <v>3.8879999999999999</v>
      </c>
      <c r="BL34" s="7">
        <v>22</v>
      </c>
      <c r="BM34" s="21">
        <f t="shared" si="12"/>
        <v>0.98742857142857143</v>
      </c>
    </row>
    <row r="35" spans="17:65" x14ac:dyDescent="0.25">
      <c r="Q35" s="4">
        <f t="shared" si="21"/>
        <v>3.9375</v>
      </c>
      <c r="R35">
        <v>35</v>
      </c>
      <c r="S35" s="3">
        <f t="shared" si="23"/>
        <v>1</v>
      </c>
      <c r="AA35" s="4">
        <f>7.875/2</f>
        <v>3.9375</v>
      </c>
      <c r="AB35">
        <v>35</v>
      </c>
      <c r="AC35" s="3">
        <f t="shared" si="5"/>
        <v>1</v>
      </c>
      <c r="AP35" s="4">
        <f>7.875/2</f>
        <v>3.9375</v>
      </c>
      <c r="AQ35">
        <v>35</v>
      </c>
      <c r="AR35" s="3">
        <f t="shared" si="8"/>
        <v>1</v>
      </c>
      <c r="AU35">
        <f t="shared" si="19"/>
        <v>3.9375</v>
      </c>
      <c r="AV35">
        <v>35</v>
      </c>
      <c r="AW35" s="3">
        <f t="shared" si="9"/>
        <v>1</v>
      </c>
      <c r="BE35" s="17">
        <f t="shared" si="13"/>
        <v>32</v>
      </c>
      <c r="BF35" s="13">
        <f t="shared" si="20"/>
        <v>3.9375</v>
      </c>
      <c r="BG35" s="7">
        <v>30</v>
      </c>
      <c r="BH35" s="21">
        <f t="shared" si="22"/>
        <v>1</v>
      </c>
      <c r="BJ35" s="17">
        <f t="shared" si="14"/>
        <v>32</v>
      </c>
      <c r="BK35" s="13">
        <v>3.9028999999999998</v>
      </c>
      <c r="BL35" s="7">
        <v>24</v>
      </c>
      <c r="BM35" s="21">
        <f t="shared" si="12"/>
        <v>0.99121269841269832</v>
      </c>
    </row>
    <row r="36" spans="17:65" x14ac:dyDescent="0.25">
      <c r="Q36" s="4">
        <f t="shared" si="21"/>
        <v>3.9375</v>
      </c>
      <c r="R36">
        <v>35</v>
      </c>
      <c r="S36" s="3">
        <f t="shared" si="23"/>
        <v>1</v>
      </c>
      <c r="AA36" s="4">
        <f t="shared" ref="AA36:AA40" si="24">7.875/2</f>
        <v>3.9375</v>
      </c>
      <c r="AB36">
        <v>35</v>
      </c>
      <c r="AC36" s="3">
        <f t="shared" si="5"/>
        <v>1</v>
      </c>
      <c r="AP36" s="4">
        <f t="shared" ref="AP36:AP40" si="25">7.875/2</f>
        <v>3.9375</v>
      </c>
      <c r="AQ36">
        <v>35</v>
      </c>
      <c r="AR36" s="3">
        <f t="shared" si="8"/>
        <v>1</v>
      </c>
      <c r="AU36">
        <f t="shared" si="19"/>
        <v>3.9375</v>
      </c>
      <c r="AV36">
        <v>35</v>
      </c>
      <c r="AW36" s="3">
        <f t="shared" si="9"/>
        <v>1</v>
      </c>
      <c r="BE36" s="18"/>
      <c r="BF36" s="14"/>
      <c r="BG36" s="8"/>
      <c r="BH36" s="22"/>
      <c r="BJ36" s="17">
        <f t="shared" si="14"/>
        <v>33</v>
      </c>
      <c r="BK36" s="13">
        <v>3.9100999999999999</v>
      </c>
      <c r="BL36" s="7">
        <v>26</v>
      </c>
      <c r="BM36" s="21">
        <f t="shared" ref="BM36:BM46" si="26">BK36/$AT$2*2</f>
        <v>0.99304126984126984</v>
      </c>
    </row>
    <row r="37" spans="17:65" x14ac:dyDescent="0.25">
      <c r="AA37" s="4">
        <f t="shared" si="24"/>
        <v>3.9375</v>
      </c>
      <c r="AB37">
        <v>35</v>
      </c>
      <c r="AC37" s="3">
        <f t="shared" si="5"/>
        <v>1</v>
      </c>
      <c r="AP37" s="4">
        <f t="shared" si="25"/>
        <v>3.9375</v>
      </c>
      <c r="AQ37">
        <v>35</v>
      </c>
      <c r="AR37" s="3">
        <f t="shared" si="8"/>
        <v>1</v>
      </c>
      <c r="AW37" s="3"/>
      <c r="BJ37" s="17">
        <f t="shared" si="14"/>
        <v>34</v>
      </c>
      <c r="BK37" s="13">
        <v>3.9173</v>
      </c>
      <c r="BL37" s="7">
        <v>28</v>
      </c>
      <c r="BM37" s="21">
        <f t="shared" si="26"/>
        <v>0.99486984126984124</v>
      </c>
    </row>
    <row r="38" spans="17:65" x14ac:dyDescent="0.25">
      <c r="AA38" s="4">
        <f t="shared" si="24"/>
        <v>3.9375</v>
      </c>
      <c r="AB38">
        <v>35</v>
      </c>
      <c r="AC38" s="3">
        <f t="shared" si="5"/>
        <v>1</v>
      </c>
      <c r="AP38" s="4">
        <f t="shared" si="25"/>
        <v>3.9375</v>
      </c>
      <c r="AQ38">
        <v>35</v>
      </c>
      <c r="AR38" s="3">
        <f t="shared" si="8"/>
        <v>1</v>
      </c>
      <c r="BJ38" s="17">
        <f t="shared" si="14"/>
        <v>35</v>
      </c>
      <c r="BK38" s="13">
        <v>3.9228999999999998</v>
      </c>
      <c r="BL38" s="7">
        <v>30</v>
      </c>
      <c r="BM38" s="21">
        <f t="shared" si="26"/>
        <v>0.99629206349206345</v>
      </c>
    </row>
    <row r="39" spans="17:65" x14ac:dyDescent="0.25">
      <c r="AA39" s="4">
        <f t="shared" si="24"/>
        <v>3.9375</v>
      </c>
      <c r="AB39">
        <v>35</v>
      </c>
      <c r="AC39" s="3">
        <f t="shared" si="5"/>
        <v>1</v>
      </c>
      <c r="AP39" s="4">
        <f t="shared" si="25"/>
        <v>3.9375</v>
      </c>
      <c r="AQ39">
        <v>35</v>
      </c>
      <c r="AR39" s="3">
        <f t="shared" si="8"/>
        <v>1</v>
      </c>
      <c r="BJ39" s="17">
        <f t="shared" si="14"/>
        <v>36</v>
      </c>
      <c r="BK39" s="13">
        <f>7.875/2</f>
        <v>3.9375</v>
      </c>
      <c r="BL39" s="7">
        <v>35</v>
      </c>
      <c r="BM39" s="21">
        <f t="shared" si="26"/>
        <v>1</v>
      </c>
    </row>
    <row r="40" spans="17:65" x14ac:dyDescent="0.25">
      <c r="AA40" s="4">
        <f t="shared" si="24"/>
        <v>3.9375</v>
      </c>
      <c r="AB40">
        <v>35</v>
      </c>
      <c r="AC40" s="3">
        <f t="shared" si="5"/>
        <v>1</v>
      </c>
      <c r="AP40" s="4">
        <f t="shared" si="25"/>
        <v>3.9375</v>
      </c>
      <c r="AQ40">
        <v>35</v>
      </c>
      <c r="AR40" s="3">
        <f t="shared" si="8"/>
        <v>1</v>
      </c>
      <c r="BJ40" s="17">
        <f t="shared" si="14"/>
        <v>37</v>
      </c>
      <c r="BK40" s="13">
        <f t="shared" ref="BK40:BK46" si="27">7.875/2</f>
        <v>3.9375</v>
      </c>
      <c r="BL40" s="7">
        <v>35</v>
      </c>
      <c r="BM40" s="21">
        <f t="shared" si="26"/>
        <v>1</v>
      </c>
    </row>
    <row r="41" spans="17:65" x14ac:dyDescent="0.25">
      <c r="BJ41" s="17">
        <f t="shared" si="14"/>
        <v>38</v>
      </c>
      <c r="BK41" s="13">
        <f t="shared" si="27"/>
        <v>3.9375</v>
      </c>
      <c r="BL41" s="7">
        <v>35</v>
      </c>
      <c r="BM41" s="21">
        <f t="shared" si="26"/>
        <v>1</v>
      </c>
    </row>
    <row r="42" spans="17:65" x14ac:dyDescent="0.25">
      <c r="BJ42" s="17">
        <f t="shared" si="14"/>
        <v>39</v>
      </c>
      <c r="BK42" s="13">
        <f t="shared" si="27"/>
        <v>3.9375</v>
      </c>
      <c r="BL42" s="7">
        <v>35</v>
      </c>
      <c r="BM42" s="21">
        <f t="shared" si="26"/>
        <v>1</v>
      </c>
    </row>
    <row r="43" spans="17:65" x14ac:dyDescent="0.25">
      <c r="BJ43" s="17">
        <f t="shared" si="14"/>
        <v>40</v>
      </c>
      <c r="BK43" s="13">
        <f t="shared" si="27"/>
        <v>3.9375</v>
      </c>
      <c r="BL43" s="7">
        <v>35</v>
      </c>
      <c r="BM43" s="21">
        <f t="shared" si="26"/>
        <v>1</v>
      </c>
    </row>
    <row r="44" spans="17:65" x14ac:dyDescent="0.25">
      <c r="BJ44" s="17">
        <f t="shared" si="14"/>
        <v>41</v>
      </c>
      <c r="BK44" s="13">
        <f t="shared" si="27"/>
        <v>3.9375</v>
      </c>
      <c r="BL44" s="7">
        <v>35</v>
      </c>
      <c r="BM44" s="21">
        <f t="shared" si="26"/>
        <v>1</v>
      </c>
    </row>
    <row r="45" spans="17:65" x14ac:dyDescent="0.25">
      <c r="BJ45" s="17">
        <f t="shared" si="14"/>
        <v>42</v>
      </c>
      <c r="BK45" s="13">
        <f t="shared" si="27"/>
        <v>3.9375</v>
      </c>
      <c r="BL45" s="7">
        <v>35</v>
      </c>
      <c r="BM45" s="21">
        <f t="shared" si="26"/>
        <v>1</v>
      </c>
    </row>
    <row r="46" spans="17:65" x14ac:dyDescent="0.25">
      <c r="BJ46" s="17">
        <f t="shared" si="14"/>
        <v>43</v>
      </c>
      <c r="BK46" s="13">
        <f t="shared" si="27"/>
        <v>3.9375</v>
      </c>
      <c r="BL46" s="7">
        <v>35</v>
      </c>
      <c r="BM46" s="21">
        <f t="shared" si="26"/>
        <v>1</v>
      </c>
    </row>
  </sheetData>
  <mergeCells count="3">
    <mergeCell ref="BA2:BC2"/>
    <mergeCell ref="BF2:BH2"/>
    <mergeCell ref="BK2:BM2"/>
  </mergeCells>
  <pageMargins left="0.7" right="0.7" top="0.75" bottom="0.75" header="0.3" footer="0.3"/>
  <colBreaks count="1" manualBreakCount="1">
    <brk id="5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7.875</vt:lpstr>
      <vt:lpstr>Data!Print_Area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2016-11-09T15:30:49Z</cp:lastPrinted>
  <dcterms:created xsi:type="dcterms:W3CDTF">2015-03-17T18:24:41Z</dcterms:created>
  <dcterms:modified xsi:type="dcterms:W3CDTF">2019-09-27T19:17:52Z</dcterms:modified>
</cp:coreProperties>
</file>