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4720\"/>
    </mc:Choice>
  </mc:AlternateContent>
  <xr:revisionPtr revIDLastSave="0" documentId="8_{7B8C45E1-E0C0-4E22-BF39-3F96D4404A20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Q16" i="1" s="1"/>
  <c r="N16" i="1"/>
  <c r="IG17" i="1"/>
  <c r="IG16" i="1"/>
  <c r="IH12" i="1" a="1"/>
  <c r="IH12" i="1" s="1"/>
  <c r="IG12" i="1"/>
  <c r="IH117" i="1" a="1"/>
  <c r="IH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X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93" i="1" a="1"/>
  <c r="II93" i="1" s="1"/>
  <c r="II117" i="1" a="1"/>
  <c r="II117" i="1" s="1"/>
  <c r="II63" i="1" a="1"/>
  <c r="II63" i="1" s="1"/>
  <c r="II87" i="1" a="1"/>
  <c r="II87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U75" i="1"/>
  <c r="IN75" i="1"/>
  <c r="L75" i="1"/>
  <c r="IP75" i="1"/>
  <c r="IU107" i="1"/>
  <c r="IN107" i="1"/>
  <c r="L107" i="1"/>
  <c r="IP107" i="1"/>
  <c r="IP104" i="1"/>
  <c r="IU104" i="1"/>
  <c r="IN104" i="1"/>
  <c r="L104" i="1"/>
  <c r="IN60" i="1"/>
  <c r="L60" i="1"/>
  <c r="IN45" i="1"/>
  <c r="L45" i="1"/>
  <c r="IP45" i="1"/>
  <c r="IU45" i="1"/>
  <c r="L119" i="1"/>
  <c r="IP119" i="1"/>
  <c r="IU119" i="1"/>
  <c r="IN119" i="1"/>
  <c r="IU74" i="1"/>
  <c r="IN74" i="1"/>
  <c r="IP74" i="1"/>
  <c r="L74" i="1"/>
  <c r="IU89" i="1"/>
  <c r="L89" i="1"/>
  <c r="IP89" i="1"/>
  <c r="IN89" i="1"/>
  <c r="L103" i="1"/>
  <c r="IP103" i="1"/>
  <c r="IU103" i="1"/>
  <c r="IN103" i="1"/>
  <c r="IU138" i="1"/>
  <c r="IN138" i="1"/>
  <c r="IP138" i="1"/>
  <c r="L138" i="1"/>
  <c r="IN117" i="1"/>
  <c r="L117" i="1"/>
  <c r="IP117" i="1"/>
  <c r="IU117" i="1"/>
  <c r="L16" i="1"/>
  <c r="IN16" i="1"/>
  <c r="IN125" i="1"/>
  <c r="IP125" i="1"/>
  <c r="L125" i="1"/>
  <c r="IU125" i="1"/>
  <c r="IN109" i="1"/>
  <c r="L109" i="1"/>
  <c r="IP109" i="1"/>
  <c r="IU109" i="1"/>
  <c r="L111" i="1"/>
  <c r="IP111" i="1"/>
  <c r="IU111" i="1"/>
  <c r="IN111" i="1"/>
  <c r="IN69" i="1"/>
  <c r="L69" i="1"/>
  <c r="IP69" i="1"/>
  <c r="IU69" i="1"/>
  <c r="IN132" i="1"/>
  <c r="L132" i="1"/>
  <c r="IP132" i="1"/>
  <c r="IU132" i="1"/>
  <c r="IN84" i="1"/>
  <c r="L84" i="1"/>
  <c r="IP84" i="1"/>
  <c r="IU84" i="1"/>
  <c r="IU147" i="1"/>
  <c r="IN147" i="1"/>
  <c r="L147" i="1"/>
  <c r="IP147" i="1"/>
  <c r="IU99" i="1"/>
  <c r="IN99" i="1"/>
  <c r="L99" i="1"/>
  <c r="IP99" i="1"/>
  <c r="IU66" i="1"/>
  <c r="IN66" i="1"/>
  <c r="IP66" i="1"/>
  <c r="L66" i="1"/>
  <c r="IU129" i="1"/>
  <c r="L129" i="1"/>
  <c r="IN129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46" i="1"/>
  <c r="IU123" i="1"/>
  <c r="IN123" i="1"/>
  <c r="L123" i="1"/>
  <c r="IP123" i="1"/>
  <c r="IU73" i="1"/>
  <c r="L73" i="1"/>
  <c r="IN73" i="1"/>
  <c r="IP73" i="1"/>
  <c r="IN108" i="1"/>
  <c r="L108" i="1"/>
  <c r="IP108" i="1"/>
  <c r="IU108" i="1"/>
  <c r="IU106" i="1"/>
  <c r="L106" i="1"/>
  <c r="IN106" i="1"/>
  <c r="IP106" i="1"/>
  <c r="IN102" i="1"/>
  <c r="L102" i="1"/>
  <c r="IP102" i="1"/>
  <c r="IU102" i="1"/>
  <c r="IU27" i="1"/>
  <c r="IN27" i="1"/>
  <c r="L27" i="1"/>
  <c r="IP27" i="1"/>
  <c r="IN149" i="1"/>
  <c r="L149" i="1"/>
  <c r="IP149" i="1"/>
  <c r="IU149" i="1"/>
  <c r="IP64" i="1"/>
  <c r="IU64" i="1"/>
  <c r="IN64" i="1"/>
  <c r="L64" i="1"/>
  <c r="IN133" i="1"/>
  <c r="L133" i="1"/>
  <c r="IP133" i="1"/>
  <c r="IU133" i="1"/>
  <c r="L79" i="1"/>
  <c r="IP79" i="1"/>
  <c r="IU79" i="1"/>
  <c r="IN79" i="1"/>
  <c r="IU83" i="1"/>
  <c r="IN83" i="1"/>
  <c r="L83" i="1"/>
  <c r="IP83" i="1"/>
  <c r="IN118" i="1"/>
  <c r="L118" i="1"/>
  <c r="IP118" i="1"/>
  <c r="IU118" i="1"/>
  <c r="IN38" i="1"/>
  <c r="L38" i="1"/>
  <c r="IP38" i="1"/>
  <c r="IU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U30" i="1"/>
  <c r="IN36" i="1"/>
  <c r="L36" i="1"/>
  <c r="IU139" i="1"/>
  <c r="IN139" i="1"/>
  <c r="L139" i="1"/>
  <c r="IP139" i="1"/>
  <c r="L114" i="1"/>
  <c r="IU114" i="1"/>
  <c r="IN114" i="1"/>
  <c r="IP114" i="1"/>
  <c r="IP128" i="1"/>
  <c r="IU128" i="1"/>
  <c r="IN128" i="1"/>
  <c r="L128" i="1"/>
  <c r="IN12" i="1"/>
  <c r="IP12" i="1"/>
  <c r="L12" i="1"/>
  <c r="IU12" i="1"/>
  <c r="IN18" i="1"/>
  <c r="L18" i="1"/>
  <c r="L55" i="1"/>
  <c r="IP55" i="1"/>
  <c r="IU55" i="1"/>
  <c r="IN55" i="1"/>
  <c r="IN61" i="1"/>
  <c r="L61" i="1"/>
  <c r="IU121" i="1"/>
  <c r="L121" i="1"/>
  <c r="IP121" i="1"/>
  <c r="IN121" i="1"/>
  <c r="IN77" i="1"/>
  <c r="IP77" i="1"/>
  <c r="L77" i="1"/>
  <c r="IU77" i="1"/>
  <c r="IN110" i="1"/>
  <c r="L110" i="1"/>
  <c r="IP110" i="1"/>
  <c r="IU110" i="1"/>
  <c r="L71" i="1"/>
  <c r="IP71" i="1"/>
  <c r="IU71" i="1"/>
  <c r="IN71" i="1"/>
  <c r="IN28" i="1"/>
  <c r="L28" i="1"/>
  <c r="IP28" i="1"/>
  <c r="IU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U67" i="1"/>
  <c r="IN67" i="1"/>
  <c r="L67" i="1"/>
  <c r="IP67" i="1"/>
  <c r="L14" i="1"/>
  <c r="IP14" i="1"/>
  <c r="IU14" i="1"/>
  <c r="IN14" i="1"/>
  <c r="IN94" i="1"/>
  <c r="L94" i="1"/>
  <c r="IP94" i="1"/>
  <c r="IU94" i="1"/>
  <c r="IN85" i="1"/>
  <c r="L85" i="1"/>
  <c r="IP85" i="1"/>
  <c r="IU85" i="1"/>
  <c r="IU50" i="1"/>
  <c r="IN50" i="1"/>
  <c r="IP50" i="1"/>
  <c r="L50" i="1"/>
  <c r="IP48" i="1"/>
  <c r="IU48" i="1"/>
  <c r="IN48" i="1"/>
  <c r="L48" i="1"/>
  <c r="IN22" i="1"/>
  <c r="L22" i="1"/>
  <c r="IP22" i="1"/>
  <c r="IU22" i="1"/>
  <c r="IU122" i="1"/>
  <c r="L122" i="1"/>
  <c r="IN122" i="1"/>
  <c r="IP122" i="1"/>
  <c r="IN76" i="1"/>
  <c r="L76" i="1"/>
  <c r="IP76" i="1"/>
  <c r="IU76" i="1"/>
  <c r="IP112" i="1"/>
  <c r="IU112" i="1"/>
  <c r="IN112" i="1"/>
  <c r="L112" i="1"/>
  <c r="IU105" i="1"/>
  <c r="L105" i="1"/>
  <c r="IN105" i="1"/>
  <c r="IP105" i="1"/>
  <c r="IN101" i="1"/>
  <c r="IP101" i="1"/>
  <c r="L101" i="1"/>
  <c r="IU101" i="1"/>
  <c r="IN116" i="1"/>
  <c r="L116" i="1"/>
  <c r="IP116" i="1"/>
  <c r="IU116" i="1"/>
  <c r="IN150" i="1"/>
  <c r="L150" i="1"/>
  <c r="IP150" i="1"/>
  <c r="IU150" i="1"/>
  <c r="IU57" i="1"/>
  <c r="L57" i="1"/>
  <c r="IP57" i="1"/>
  <c r="IN57" i="1"/>
  <c r="L47" i="1"/>
  <c r="IP47" i="1"/>
  <c r="IU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U81" i="1"/>
  <c r="L81" i="1"/>
  <c r="IP81" i="1"/>
  <c r="IN81" i="1"/>
  <c r="IP88" i="1"/>
  <c r="IU88" i="1"/>
  <c r="IN88" i="1"/>
  <c r="L88" i="1"/>
  <c r="IN29" i="1"/>
  <c r="L29" i="1"/>
  <c r="IP29" i="1"/>
  <c r="IU29" i="1"/>
  <c r="L95" i="1"/>
  <c r="IP95" i="1"/>
  <c r="IU95" i="1"/>
  <c r="IN95" i="1"/>
  <c r="L39" i="1"/>
  <c r="IP39" i="1"/>
  <c r="IU39" i="1"/>
  <c r="IN39" i="1"/>
  <c r="IN141" i="1"/>
  <c r="IP141" i="1"/>
  <c r="L141" i="1"/>
  <c r="IU141" i="1"/>
  <c r="IN142" i="1"/>
  <c r="L142" i="1"/>
  <c r="IP142" i="1"/>
  <c r="IU142" i="1"/>
  <c r="IN86" i="1"/>
  <c r="L86" i="1"/>
  <c r="IP86" i="1"/>
  <c r="IU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U91" i="1"/>
  <c r="IN91" i="1"/>
  <c r="L91" i="1"/>
  <c r="IP91" i="1"/>
  <c r="IU113" i="1"/>
  <c r="L113" i="1"/>
  <c r="IP113" i="1"/>
  <c r="IN113" i="1"/>
  <c r="IN70" i="1"/>
  <c r="L70" i="1"/>
  <c r="IP70" i="1"/>
  <c r="IU70" i="1"/>
  <c r="IN140" i="1"/>
  <c r="L140" i="1"/>
  <c r="IP140" i="1"/>
  <c r="IU140" i="1"/>
  <c r="IN92" i="1"/>
  <c r="L92" i="1"/>
  <c r="IP92" i="1"/>
  <c r="IU92" i="1"/>
  <c r="IN11" i="1"/>
  <c r="L11" i="1"/>
  <c r="IP11" i="1"/>
  <c r="IU11" i="1"/>
  <c r="IU115" i="1"/>
  <c r="IN115" i="1"/>
  <c r="L115" i="1"/>
  <c r="IP115" i="1"/>
  <c r="IU82" i="1"/>
  <c r="L82" i="1"/>
  <c r="IN82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N100" i="1"/>
  <c r="L100" i="1"/>
  <c r="IP100" i="1"/>
  <c r="IU100" i="1"/>
  <c r="IU131" i="1"/>
  <c r="IN131" i="1"/>
  <c r="L131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L87" i="1"/>
  <c r="IP87" i="1"/>
  <c r="IU87" i="1"/>
  <c r="IN87" i="1"/>
  <c r="L63" i="1"/>
  <c r="IP63" i="1"/>
  <c r="IU63" i="1"/>
  <c r="IN63" i="1"/>
  <c r="IN43" i="1"/>
  <c r="L43" i="1"/>
  <c r="IN62" i="1"/>
  <c r="L62" i="1"/>
  <c r="IP62" i="1"/>
  <c r="IU62" i="1"/>
  <c r="IN44" i="1"/>
  <c r="L44" i="1"/>
  <c r="IP44" i="1"/>
  <c r="IU44" i="1"/>
  <c r="IN126" i="1"/>
  <c r="L126" i="1"/>
  <c r="IP126" i="1"/>
  <c r="IU126" i="1"/>
  <c r="IU90" i="1"/>
  <c r="L90" i="1"/>
  <c r="IN90" i="1"/>
  <c r="IP90" i="1"/>
  <c r="IP72" i="1"/>
  <c r="IU72" i="1"/>
  <c r="IN72" i="1"/>
  <c r="L72" i="1"/>
  <c r="IN68" i="1"/>
  <c r="L68" i="1"/>
  <c r="IP68" i="1"/>
  <c r="IU68" i="1"/>
  <c r="IU130" i="1"/>
  <c r="L130" i="1"/>
  <c r="IN130" i="1"/>
  <c r="IP130" i="1"/>
  <c r="IU65" i="1"/>
  <c r="L65" i="1"/>
  <c r="IN65" i="1"/>
  <c r="IP65" i="1"/>
  <c r="IP15" i="1"/>
  <c r="IU15" i="1"/>
  <c r="IN15" i="1"/>
  <c r="L15" i="1"/>
  <c r="IP80" i="1"/>
  <c r="IU80" i="1"/>
  <c r="IN80" i="1"/>
  <c r="L80" i="1"/>
  <c r="IN24" i="1"/>
  <c r="L24" i="1"/>
  <c r="L143" i="1"/>
  <c r="IP143" i="1"/>
  <c r="IU143" i="1"/>
  <c r="IN143" i="1"/>
  <c r="L31" i="1"/>
  <c r="IP31" i="1"/>
  <c r="IU31" i="1"/>
  <c r="IN31" i="1"/>
  <c r="IN134" i="1"/>
  <c r="L134" i="1"/>
  <c r="IP134" i="1"/>
  <c r="IU134" i="1"/>
  <c r="IN78" i="1"/>
  <c r="L78" i="1"/>
  <c r="IP78" i="1"/>
  <c r="IU78" i="1"/>
  <c r="IN59" i="1"/>
  <c r="L59" i="1"/>
  <c r="IU4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U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V84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L83" i="1"/>
  <c r="IO83" i="1"/>
  <c r="IQ83" i="1"/>
  <c r="IT83" i="1"/>
  <c r="IS83" i="1"/>
  <c r="IW83" i="1"/>
  <c r="IR83" i="1"/>
  <c r="IV83" i="1"/>
  <c r="IY83" i="1"/>
  <c r="IX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T84" i="1"/>
  <c r="IS123" i="1"/>
  <c r="IX141" i="1"/>
  <c r="IV123" i="1"/>
  <c r="IT145" i="1"/>
  <c r="IS121" i="1"/>
  <c r="IV121" i="1"/>
  <c r="IQ120" i="1"/>
  <c r="IW134" i="1"/>
  <c r="IV141" i="1"/>
  <c r="IX84" i="1"/>
  <c r="IO123" i="1"/>
  <c r="IO12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O122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S84" i="1"/>
  <c r="IO84" i="1"/>
  <c r="IQ82" i="1"/>
  <c r="IS139" i="1"/>
  <c r="IR115" i="1"/>
  <c r="IQ136" i="1"/>
  <c r="IV136" i="1"/>
  <c r="IT146" i="1"/>
  <c r="IY146" i="1"/>
  <c r="IX148" i="1"/>
  <c r="IL84" i="1"/>
  <c r="IR82" i="1"/>
  <c r="IO139" i="1"/>
  <c r="IW75" i="1"/>
  <c r="IR146" i="1"/>
  <c r="IX139" i="1"/>
  <c r="IQ84" i="1"/>
  <c r="IQ139" i="1"/>
  <c r="IY84" i="1"/>
  <c r="IW82" i="1"/>
  <c r="IW139" i="1"/>
  <c r="IQ96" i="1"/>
  <c r="IW96" i="1"/>
  <c r="IY136" i="1"/>
  <c r="IT120" i="1"/>
  <c r="IR88" i="1"/>
  <c r="IY120" i="1"/>
  <c r="IO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AW152" i="7" l="1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54" i="1" l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AQ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Q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IP41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IP53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J54" i="1" l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AK17" i="1" l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82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T39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AS12" i="1" l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S92" i="1" s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IS82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IS39" i="1" s="1"/>
  <c r="AO17" i="1"/>
  <c r="IX17" i="1" s="1"/>
  <c r="AP17" i="1"/>
  <c r="AO18" i="1"/>
  <c r="IS27" i="1" s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AS13" i="1" l="1"/>
  <c r="IO135" i="1"/>
  <c r="IO134" i="1"/>
  <c r="IX75" i="1"/>
  <c r="IO133" i="1"/>
  <c r="IO132" i="1"/>
  <c r="IO130" i="1"/>
  <c r="IO131" i="1"/>
  <c r="IO129" i="1"/>
  <c r="IX119" i="1"/>
  <c r="IS128" i="1"/>
  <c r="IO128" i="1" s="1"/>
  <c r="IO92" i="1"/>
  <c r="IX77" i="1"/>
  <c r="IS86" i="1"/>
  <c r="IS97" i="1"/>
  <c r="IX88" i="1"/>
  <c r="IO88" i="1" s="1"/>
  <c r="IS96" i="1"/>
  <c r="IX87" i="1"/>
  <c r="IX78" i="1"/>
  <c r="IS87" i="1"/>
  <c r="IS95" i="1"/>
  <c r="IX86" i="1"/>
  <c r="IX76" i="1"/>
  <c r="IS85" i="1"/>
  <c r="IT66" i="1"/>
  <c r="IS47" i="1"/>
  <c r="IS119" i="1"/>
  <c r="IO119" i="1" s="1"/>
  <c r="IS117" i="1"/>
  <c r="IS81" i="1"/>
  <c r="IS80" i="1"/>
  <c r="IX102" i="1"/>
  <c r="IS118" i="1"/>
  <c r="IO118" i="1" s="1"/>
  <c r="IO117" i="1"/>
  <c r="IX109" i="1"/>
  <c r="IS116" i="1"/>
  <c r="IO116" i="1" s="1"/>
  <c r="IX108" i="1"/>
  <c r="IS115" i="1"/>
  <c r="IO115" i="1" s="1"/>
  <c r="IX107" i="1"/>
  <c r="IS114" i="1"/>
  <c r="IO114" i="1" s="1"/>
  <c r="IX90" i="1"/>
  <c r="IS99" i="1"/>
  <c r="IX91" i="1"/>
  <c r="IS100" i="1"/>
  <c r="IO100" i="1" s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O82" i="1"/>
  <c r="IS101" i="1"/>
  <c r="IX94" i="1"/>
  <c r="IO94" i="1" s="1"/>
  <c r="IS91" i="1"/>
  <c r="IX81" i="1"/>
  <c r="IO81" i="1" s="1"/>
  <c r="IS90" i="1"/>
  <c r="IX80" i="1"/>
  <c r="IO80" i="1" s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O110" i="1" s="1"/>
  <c r="IX103" i="1"/>
  <c r="IS109" i="1"/>
  <c r="IO104" i="1"/>
  <c r="IS113" i="1"/>
  <c r="IO113" i="1" s="1"/>
  <c r="IX106" i="1"/>
  <c r="IO106" i="1" s="1"/>
  <c r="IS112" i="1"/>
  <c r="IO112" i="1" s="1"/>
  <c r="IX105" i="1"/>
  <c r="IO105" i="1" s="1"/>
  <c r="IS111" i="1"/>
  <c r="IO111" i="1" s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89" i="1"/>
  <c r="IO109" i="1"/>
  <c r="IO108" i="1"/>
  <c r="IO91" i="1"/>
  <c r="IO86" i="1"/>
  <c r="IO90" i="1"/>
  <c r="IO85" i="1"/>
  <c r="IO87" i="1"/>
  <c r="IO99" i="1"/>
  <c r="IO103" i="1"/>
  <c r="IO101" i="1"/>
  <c r="IO102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L5" i="1" l="1" a="1"/>
  <c r="L5" i="1" s="1"/>
  <c r="L7" i="1" l="1" a="1"/>
  <c r="L7" i="1" s="1"/>
  <c r="L4" i="1" a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<sst xmlns="http://schemas.openxmlformats.org/spreadsheetml/2006/main" count="698" uniqueCount="375">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</sst>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/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t="str" cm="1">
        <f t="array" ref="L4">IFERROR(SMALL(IF($K$9:$K$150="Knuckle",$L$9:$L$150,""),1),"")</f>
        <v/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680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t="str" cm="1">
        <f t="array" ref="L5">IFERROR(SMALL(IF($K$9:$K$150="",$L$9:$L$150,""),1),"")</f>
        <v/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1.114's θ about Z Axis</v>
      </c>
      <c r="U5" s="981"/>
      <c r="V5" s="1034"/>
      <c r="W5" s="981" t="str">
        <f>CONCATENATE("Relative to ",M8,"'s θ about Z Axis")</f>
        <v>Relative to 1.114's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1.36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1.114's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3.7777777777777779E-3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t="str" cm="1">
        <f t="array" ref="L7">IFERROR(SMALL(IF($K$9:$K$150&lt;&gt;"Knuckle",$L$9:$L$150,""),1),"")</f>
        <v/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1.1140000000000001</v>
      </c>
      <c r="N8" s="477"/>
      <c r="O8" s="478"/>
      <c r="P8" s="479"/>
      <c r="Q8" s="643">
        <f>IFERROR(INDEX(Q$9:Q$150,MATCH($M$8,$M$9:$M$150,0)),"")</f>
        <v>89.540100066401337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-5.7100172214119393E-2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0.29520089032588526</v>
      </c>
      <c r="D9" s="767">
        <v>-0.50970153725983647</v>
      </c>
      <c r="E9" s="768">
        <v>-0.93969263802333458</v>
      </c>
      <c r="F9" s="766">
        <v>-8.8521302156295598E-2</v>
      </c>
      <c r="G9" s="769">
        <v>0.33036604714967338</v>
      </c>
      <c r="H9" s="768">
        <v>0.26600000000000001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1313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0.29520089032588526</v>
      </c>
      <c r="P9" s="25">
        <f t="shared" ref="P9:P40" si="6">IF(M9="","",D9)</f>
        <v>-0.50970153725983647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0.29520089032588526</v>
      </c>
      <c r="S9" s="23">
        <f>IF(M9="","",P9)</f>
        <v>-0.50970153725983647</v>
      </c>
      <c r="T9" s="26">
        <f>IF(M9="","",X9*COS(RADIANS(W9)))</f>
        <v>0.29519138062702616</v>
      </c>
      <c r="U9" s="20">
        <f>IF(M9="","",X9*SIN(RADIANS(W9)))</f>
        <v>2.3694836368948792E-3</v>
      </c>
      <c r="V9" s="28">
        <f>IF(M9="","",Y9)</f>
        <v>-0.50970153725983647</v>
      </c>
      <c r="W9" s="620">
        <f t="shared" ref="W9:W14" si="7">IF(M9="","",IF(Q9-$Q$8&lt;0,360+Q9-$Q$8,Q9-$Q$8))</f>
        <v>0.45989993359866332</v>
      </c>
      <c r="X9" s="5">
        <f>IF(M9="","",R9)</f>
        <v>0.29520089032588526</v>
      </c>
      <c r="Y9" s="7">
        <f>IF(M9="","",S9)</f>
        <v>-0.50970153725983647</v>
      </c>
      <c r="Z9" s="24">
        <f t="shared" ref="Z9:Z40" si="8">IF(M9="","",-E9)</f>
        <v>0.93969263802333458</v>
      </c>
      <c r="AA9" s="20">
        <f t="shared" ref="AA9:AA40" si="9">IF(M9="","",-F9)</f>
        <v>8.8521302156295598E-2</v>
      </c>
      <c r="AB9" s="20">
        <f t="shared" ref="AB9:AB40" si="10">IF(M9="","",-G9)</f>
        <v>-0.33036604714967338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8.8521302156295598E-2</v>
      </c>
      <c r="AF9" s="25">
        <f>IF(M9="","",AB9*(1/SQRT(Z9^2+AA9^2+AB9^2)))</f>
        <v>-0.33036604714967338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8.8521302156295598E-2</v>
      </c>
      <c r="AM9" s="23">
        <f>IF(M9="","",AF9)</f>
        <v>-0.33036604714967338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5.3815187622394802</v>
      </c>
      <c r="AQ9" s="641">
        <f t="shared" ref="AQ9:AQ40" si="11">IF(M9="","",DEGREES(ATAN(($AS$5*SIN(RADIANS(90)))/(($X9*2*PI())-($AS$5*COS(RADIANS(90)))))))</f>
        <v>36.250059898262265</v>
      </c>
      <c r="AS9" s="55">
        <f>IF(M9="","",W9)</f>
        <v>0.45989993359866332</v>
      </c>
      <c r="AT9" s="76">
        <f t="shared" ref="AT9:AT40" si="12">IF(M9="","",Y9+(((AS9-$AS$9)*$AS$6)*-1))</f>
        <v>-0.50970153725983647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0</v>
      </c>
      <c r="C10" s="771">
        <v>0.92690279553883137</v>
      </c>
      <c r="D10" s="772">
        <v>-0.34040102664949634</v>
      </c>
      <c r="E10" s="773">
        <v>-0.96592583607220739</v>
      </c>
      <c r="F10" s="771">
        <v>-6.6987279208207212E-2</v>
      </c>
      <c r="G10" s="774">
        <v>0.24999996726497564</v>
      </c>
      <c r="H10" s="773">
        <v>0.26600000000000001</v>
      </c>
      <c r="I10" s="771">
        <v>0.52</v>
      </c>
      <c r="J10" s="601">
        <v>1.1040000000000001</v>
      </c>
      <c r="K10" s="426" t="str">
        <f t="shared" si="1"/>
        <v>1313</v>
      </c>
      <c r="L10" s="327" t="str">
        <f t="shared" si="2"/>
        <v/>
      </c>
      <c r="M10" s="173">
        <f t="shared" si="3"/>
        <v>1.1040000000000001</v>
      </c>
      <c r="N10" s="21">
        <f t="shared" si="4"/>
        <v>0</v>
      </c>
      <c r="O10" s="5">
        <f t="shared" si="5"/>
        <v>0.92690279553883137</v>
      </c>
      <c r="P10" s="10">
        <f t="shared" si="6"/>
        <v>-0.34040102664949634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4">IF(M10="","",SQRT(N10^2+O10^2))</f>
        <v>0.92690279553883137</v>
      </c>
      <c r="S10" s="6">
        <f t="shared" ref="S10:S105" si="85">IF(M10="","",P10)</f>
        <v>-0.34040102664949634</v>
      </c>
      <c r="T10" s="4">
        <f t="shared" ref="T10:T105" si="86">IF(M10="","",X10*COS(RADIANS(W10)))</f>
        <v>0.92687293598641773</v>
      </c>
      <c r="U10" s="5">
        <f t="shared" ref="U10:U105" si="87">IF(M10="","",X10*SIN(RADIANS(W10)))</f>
        <v>7.4399538720794824E-3</v>
      </c>
      <c r="V10" s="8">
        <f>IF(M10="","",Y10)</f>
        <v>-0.34040102664949634</v>
      </c>
      <c r="W10" s="624">
        <f t="shared" si="7"/>
        <v>0.45989993359866332</v>
      </c>
      <c r="X10" s="5">
        <f t="shared" ref="X10:X105" si="88">IF(M10="","",R10)</f>
        <v>0.92690279553883137</v>
      </c>
      <c r="Y10" s="7">
        <f>IF(M10="","",S10)</f>
        <v>-0.34040102664949634</v>
      </c>
      <c r="Z10" s="21">
        <f>IF(M10="","",-E10)</f>
        <v>0.96592583607220739</v>
      </c>
      <c r="AA10" s="5">
        <f>IF(M10="","",-F10)</f>
        <v>6.6987279208207212E-2</v>
      </c>
      <c r="AB10" s="5">
        <f>IF(M10="","",-G10)</f>
        <v>-0.24999996726497564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6.6987279208207212E-2</v>
      </c>
      <c r="AF10" s="10">
        <f t="shared" ref="AF10:AF105" si="91">IF(M10="","",AB10*(1/SQRT(Z10^2+AA10^2+AB10^2)))</f>
        <v>-0.24999996726497564</v>
      </c>
      <c r="AG10" s="622">
        <f t="shared" ref="AG10:AG105" si="92">IF(M10="","",DEGREES(ATAN2(-AF10,AE10)))</f>
        <v>14.999997834268271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6.6987279208207212E-2</v>
      </c>
      <c r="AM10" s="6">
        <f t="shared" ref="AM10:AM105" si="97">IF(M10="","",AF10)</f>
        <v>-0.24999996726497564</v>
      </c>
      <c r="AN10" s="612">
        <f t="shared" ref="AN10:AN105" si="98">IF(M10="","",DEGREES(ATAN2(-AM10,AL10)))</f>
        <v>14.999997834268271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3.9671296450865721</v>
      </c>
      <c r="AQ10" s="625">
        <f t="shared" si="11"/>
        <v>13.144187250128558</v>
      </c>
      <c r="AS10" s="56">
        <f>IF($M10="","",IF(AND($W10&lt;($AS$9+180),$W10&gt;($AS$9-180)),$W10,IF($W10&gt;($AS$9+180),$W10-360,IF($W10&lt;($AS$9-180),$W10+360,"Error"))))</f>
        <v>0.45989993359866332</v>
      </c>
      <c r="AT10" s="77">
        <f t="shared" si="12"/>
        <v>-0.34040102664949634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0</v>
      </c>
      <c r="C11" s="771">
        <v>1.5586047007517776</v>
      </c>
      <c r="D11" s="772">
        <v>-0.17120051634075728</v>
      </c>
      <c r="E11" s="773">
        <v>-0.9659258360722075</v>
      </c>
      <c r="F11" s="771">
        <v>-4.3772284368665593E-2</v>
      </c>
      <c r="G11" s="774">
        <v>0.2550907021617132</v>
      </c>
      <c r="H11" s="773">
        <v>0.26600000000000001</v>
      </c>
      <c r="I11" s="771">
        <v>0.52</v>
      </c>
      <c r="J11" s="601">
        <v>1.1080000000000001</v>
      </c>
      <c r="K11" s="426" t="str">
        <f t="shared" si="1"/>
        <v>1313</v>
      </c>
      <c r="L11" s="327" t="str">
        <f t="shared" si="2"/>
        <v/>
      </c>
      <c r="M11" s="173">
        <f t="shared" si="3"/>
        <v>1.1080000000000001</v>
      </c>
      <c r="N11" s="21">
        <f t="shared" si="4"/>
        <v>0</v>
      </c>
      <c r="O11" s="5">
        <f t="shared" si="5"/>
        <v>1.5586047007517776</v>
      </c>
      <c r="P11" s="10">
        <f t="shared" si="6"/>
        <v>-0.17120051634075728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1.5586047007517776</v>
      </c>
      <c r="S11" s="6">
        <f t="shared" si="85"/>
        <v>-0.17120051634075728</v>
      </c>
      <c r="T11" s="4">
        <f t="shared" si="86"/>
        <v>1.5585544913458094</v>
      </c>
      <c r="U11" s="5">
        <f t="shared" si="87"/>
        <v>1.2510424107264086E-2</v>
      </c>
      <c r="V11" s="8">
        <f t="shared" ref="V11:V105" si="118">IF(M11="","",Y11)</f>
        <v>-0.17120051634075728</v>
      </c>
      <c r="W11" s="624">
        <f t="shared" si="7"/>
        <v>0.45989993359866332</v>
      </c>
      <c r="X11" s="5">
        <f>IF(M11="","",R11)</f>
        <v>1.5586047007517776</v>
      </c>
      <c r="Y11" s="7">
        <f>IF(M11="","",S11)</f>
        <v>-0.17120051634075728</v>
      </c>
      <c r="Z11" s="21">
        <f t="shared" si="8"/>
        <v>0.9659258360722075</v>
      </c>
      <c r="AA11" s="5">
        <f t="shared" si="9"/>
        <v>4.3772284368665593E-2</v>
      </c>
      <c r="AB11" s="5">
        <f t="shared" si="10"/>
        <v>-0.2550907021617132</v>
      </c>
      <c r="AC11" s="8">
        <f t="shared" si="89"/>
        <v>1</v>
      </c>
      <c r="AD11" s="9">
        <f t="shared" ref="AD11:AD105" si="119">IF(M11="","",Z11*(1/SQRT(Z11^2+AA11^2+AB11^2)))</f>
        <v>0.9659258360722075</v>
      </c>
      <c r="AE11" s="5">
        <f t="shared" si="90"/>
        <v>4.3772284368665593E-2</v>
      </c>
      <c r="AF11" s="10">
        <f t="shared" si="91"/>
        <v>-0.2550907021617132</v>
      </c>
      <c r="AG11" s="622">
        <f>IF(M11="","",DEGREES(ATAN2(-AF11,AE11)))</f>
        <v>9.7368406994372965</v>
      </c>
      <c r="AH11" s="623">
        <f t="shared" si="93"/>
        <v>14.99999783426823</v>
      </c>
      <c r="AI11" s="624">
        <f t="shared" si="94"/>
        <v>-75.221040255335481</v>
      </c>
      <c r="AJ11" s="625">
        <f t="shared" si="95"/>
        <v>92.594663487839327</v>
      </c>
      <c r="AK11" s="4">
        <f>IF(M11="","",(COS(RADIANS((90-$Q$8)-W11))*AD11)+(-SIN(RADIANS((90-$Q$8)-W11))*AE11))</f>
        <v>0.9659258360722075</v>
      </c>
      <c r="AL11" s="5">
        <f t="shared" si="96"/>
        <v>4.3772284368665593E-2</v>
      </c>
      <c r="AM11" s="6">
        <f t="shared" si="97"/>
        <v>-0.2550907021617132</v>
      </c>
      <c r="AN11" s="612">
        <f>IF(M11="","",DEGREES(ATAN2(-AM11,AL11)))</f>
        <v>9.7368406994372965</v>
      </c>
      <c r="AO11" s="613">
        <f>IF(ROUND(IF(M11="",0,DEGREES(ACOS(AK11))),4)=90,0,IF(M11="","",DEGREES(ACOS(AK11))))</f>
        <v>14.99999783426823</v>
      </c>
      <c r="AP11" s="624">
        <f t="shared" si="100"/>
        <v>2.5946634878393264</v>
      </c>
      <c r="AQ11" s="625">
        <f t="shared" si="11"/>
        <v>7.9063637661877628</v>
      </c>
      <c r="AS11" s="56">
        <f t="shared" ref="AS11:AS42" si="120">IF(G11="","",IF(AND(W11&lt;(AS10+180),W11&gt;(AS10-180)),W11,IF(W11&gt;(AS10+180),W11-360,IF(W11&lt;(AS10-180),W11+360,"Error"))))</f>
        <v>0.45989993359866332</v>
      </c>
      <c r="AT11" s="77">
        <f t="shared" si="12"/>
        <v>-0.17120051634075728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1.1080000000000001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1.8073734096193152E-2</v>
      </c>
      <c r="C12" s="771">
        <v>2.2516342539223393</v>
      </c>
      <c r="D12" s="772">
        <v>-5.7100172214119393E-2</v>
      </c>
      <c r="E12" s="773">
        <v>-0.96567566817900163</v>
      </c>
      <c r="F12" s="771">
        <v>3.5042685381898454E-2</v>
      </c>
      <c r="G12" s="774">
        <v>0.25737621119338938</v>
      </c>
      <c r="H12" s="773">
        <v>0.26600000000000001</v>
      </c>
      <c r="I12" s="771">
        <v>0.52</v>
      </c>
      <c r="J12" s="601">
        <v>1.1140000000000001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1313</v>
      </c>
      <c r="L12" s="327" t="str">
        <f t="shared" si="2"/>
        <v/>
      </c>
      <c r="M12" s="173">
        <f t="shared" si="3"/>
        <v>1.1140000000000001</v>
      </c>
      <c r="N12" s="21">
        <f t="shared" si="4"/>
        <v>1.8073734096193152E-2</v>
      </c>
      <c r="O12" s="5">
        <f t="shared" si="5"/>
        <v>2.2516342539223393</v>
      </c>
      <c r="P12" s="10">
        <f t="shared" si="6"/>
        <v>-5.7100172214119393E-2</v>
      </c>
      <c r="Q12" s="624">
        <f>IF(M12="","",IF(DEGREES(ATAN2(N12,O12))&lt;0,DEGREES(ATAN2(N12,O12))+360,IF(DEGREES(ATAN2(N12,O12))&gt;360,DEGREES(ATAN2(N12,O12))-360,DEGREES(ATAN2(N12,O12)))))</f>
        <v>89.540100066401337</v>
      </c>
      <c r="R12" s="5">
        <f t="shared" si="84"/>
        <v>2.2517067911476816</v>
      </c>
      <c r="S12" s="6">
        <f t="shared" si="85"/>
        <v>-5.7100172214119393E-2</v>
      </c>
      <c r="T12" s="4">
        <f>IF(M12="","",X12*COS(RADIANS(W12)))</f>
        <v>2.2517067911476816</v>
      </c>
      <c r="U12" s="5">
        <f t="shared" si="87"/>
        <v>0</v>
      </c>
      <c r="V12" s="8">
        <f t="shared" si="118"/>
        <v>-5.7100172214119393E-2</v>
      </c>
      <c r="W12" s="624">
        <f>IF(M12="","",IF(Q12-$Q$8&lt;0,360+Q12-$Q$8,Q12-$Q$8))</f>
        <v>0</v>
      </c>
      <c r="X12" s="5">
        <f t="shared" si="88"/>
        <v>2.2517067911476816</v>
      </c>
      <c r="Y12" s="7">
        <f>IF(M12="","",S12)</f>
        <v>-5.7100172214119393E-2</v>
      </c>
      <c r="Z12" s="21">
        <f t="shared" si="8"/>
        <v>0.96567566817900163</v>
      </c>
      <c r="AA12" s="5">
        <f t="shared" si="9"/>
        <v>-3.5042685381898454E-2</v>
      </c>
      <c r="AB12" s="5">
        <f t="shared" si="10"/>
        <v>-0.25737621119338938</v>
      </c>
      <c r="AC12" s="8">
        <f t="shared" si="89"/>
        <v>1</v>
      </c>
      <c r="AD12" s="9">
        <f t="shared" si="119"/>
        <v>0.96567566817900163</v>
      </c>
      <c r="AE12" s="5">
        <f t="shared" si="90"/>
        <v>-3.5042685381898454E-2</v>
      </c>
      <c r="AF12" s="10">
        <f t="shared" si="91"/>
        <v>-0.25737621119338938</v>
      </c>
      <c r="AG12" s="622">
        <f t="shared" si="92"/>
        <v>-7.7533484863167343</v>
      </c>
      <c r="AH12" s="623">
        <f t="shared" si="93"/>
        <v>15.055278962205012</v>
      </c>
      <c r="AI12" s="624">
        <f t="shared" si="94"/>
        <v>-75.085567426466383</v>
      </c>
      <c r="AJ12" s="625">
        <f t="shared" si="95"/>
        <v>87.92174803358202</v>
      </c>
      <c r="AK12" s="4">
        <f t="shared" ref="AK12:AK105" si="214">IF(M12="","",(COS(RADIANS((90-$Q$8)-W12))*AD12)+(-SIN(RADIANS((90-$Q$8)-W12))*AE12))</f>
        <v>0.9659258360722075</v>
      </c>
      <c r="AL12" s="5">
        <f>IF(M12="","",(SIN(RADIANS((90-$Q$8)-W12))*AD12)+(COS(RADIANS((90-$Q$8)-W12))*AE12))</f>
        <v>-2.7290385118994408E-2</v>
      </c>
      <c r="AM12" s="6">
        <f t="shared" si="97"/>
        <v>-0.25737621119338938</v>
      </c>
      <c r="AN12" s="612">
        <f>IF(M12="","",DEGREES(ATAN2(-AM12,AL12)))</f>
        <v>-6.0526307050556349</v>
      </c>
      <c r="AO12" s="613">
        <f t="shared" si="99"/>
        <v>14.99999783426823</v>
      </c>
      <c r="AP12" s="624">
        <f t="shared" si="100"/>
        <v>-1.6183520328193166</v>
      </c>
      <c r="AQ12" s="625">
        <f t="shared" si="11"/>
        <v>5.4908232622953017</v>
      </c>
      <c r="AS12" s="56">
        <f t="shared" si="120"/>
        <v>0</v>
      </c>
      <c r="AT12" s="77">
        <f>IF(M12="","",Y12+(((AS12-$AS$9)*$AS$6)*-1))</f>
        <v>-5.5362772464968887E-2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1.1140000000000001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6.7146632640643536E-2</v>
      </c>
      <c r="C13" s="771">
        <v>2.908533801585222</v>
      </c>
      <c r="D13" s="772">
        <v>-0.23010069398369307</v>
      </c>
      <c r="E13" s="773">
        <v>-0.96294683926068059</v>
      </c>
      <c r="F13" s="771">
        <v>0.14018691463299643</v>
      </c>
      <c r="G13" s="774">
        <v>0.23039317204193785</v>
      </c>
      <c r="H13" s="773">
        <v>0.26600000000000001</v>
      </c>
      <c r="I13" s="771">
        <v>0.52</v>
      </c>
      <c r="J13" s="601">
        <v>1.1220000000000001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1313</v>
      </c>
      <c r="L13" s="327" t="str">
        <f t="shared" si="2"/>
        <v/>
      </c>
      <c r="M13" s="173">
        <f t="shared" si="3"/>
        <v>1.1220000000000001</v>
      </c>
      <c r="N13" s="21">
        <f t="shared" si="4"/>
        <v>6.7146632640643536E-2</v>
      </c>
      <c r="O13" s="5">
        <f t="shared" si="5"/>
        <v>2.908533801585222</v>
      </c>
      <c r="P13" s="10">
        <f t="shared" si="6"/>
        <v>-0.23010069398369307</v>
      </c>
      <c r="Q13" s="624">
        <f t="shared" si="117"/>
        <v>88.677500190945352</v>
      </c>
      <c r="R13" s="5">
        <f t="shared" si="84"/>
        <v>2.9093087744752641</v>
      </c>
      <c r="S13" s="6">
        <f t="shared" si="85"/>
        <v>-0.23010069398369307</v>
      </c>
      <c r="T13" s="4">
        <f>IF(M13="","",X13*COS(RADIANS(W13)))</f>
        <v>2.9089790697773164</v>
      </c>
      <c r="U13" s="5">
        <f t="shared" si="87"/>
        <v>-4.3798593998691487E-2</v>
      </c>
      <c r="V13" s="8">
        <f t="shared" si="118"/>
        <v>-0.23010069398369307</v>
      </c>
      <c r="W13" s="624">
        <f t="shared" si="7"/>
        <v>359.137400124544</v>
      </c>
      <c r="X13" s="5">
        <f t="shared" si="88"/>
        <v>2.9093087744752641</v>
      </c>
      <c r="Y13" s="7">
        <f>IF(M13="","",S13)</f>
        <v>-0.23010069398369307</v>
      </c>
      <c r="Z13" s="21">
        <f>IF(M13="","",-E13)</f>
        <v>0.96294683926068059</v>
      </c>
      <c r="AA13" s="5">
        <f t="shared" si="9"/>
        <v>-0.14018691463299643</v>
      </c>
      <c r="AB13" s="5">
        <f t="shared" si="10"/>
        <v>-0.23039317204193785</v>
      </c>
      <c r="AC13" s="8">
        <f t="shared" si="89"/>
        <v>1</v>
      </c>
      <c r="AD13" s="9">
        <f>IF(M13="","",Z13*(1/SQRT(Z13^2+AA13^2+AB13^2)))</f>
        <v>0.96294683926068059</v>
      </c>
      <c r="AE13" s="5">
        <f t="shared" si="90"/>
        <v>-0.14018691463299643</v>
      </c>
      <c r="AF13" s="10">
        <f t="shared" si="91"/>
        <v>-0.23039317204193785</v>
      </c>
      <c r="AG13" s="622">
        <f>IF(M13="","",DEGREES(ATAN2(-AF13,AE13)))</f>
        <v>-31.319182269457436</v>
      </c>
      <c r="AH13" s="623">
        <f t="shared" si="93"/>
        <v>15.645896851338422</v>
      </c>
      <c r="AI13" s="624">
        <f t="shared" si="94"/>
        <v>-76.679779473791712</v>
      </c>
      <c r="AJ13" s="625">
        <f t="shared" si="95"/>
        <v>81.717003314294956</v>
      </c>
      <c r="AK13" s="4">
        <f t="shared" si="214"/>
        <v>0.96592583607220739</v>
      </c>
      <c r="AL13" s="5">
        <f t="shared" si="96"/>
        <v>-0.1179248298055216</v>
      </c>
      <c r="AM13" s="6">
        <f t="shared" si="97"/>
        <v>-0.23039317204193785</v>
      </c>
      <c r="AN13" s="612">
        <f t="shared" si="98"/>
        <v>-27.105259244379493</v>
      </c>
      <c r="AO13" s="613">
        <f t="shared" si="99"/>
        <v>14.999997834268255</v>
      </c>
      <c r="AP13" s="624">
        <f t="shared" si="100"/>
        <v>-6.9604968766503914</v>
      </c>
      <c r="AQ13" s="625">
        <f t="shared" si="11"/>
        <v>4.2549303895130306</v>
      </c>
      <c r="AS13" s="56">
        <f t="shared" si="120"/>
        <v>-0.8625998754559987</v>
      </c>
      <c r="AT13" s="77">
        <f t="shared" si="12"/>
        <v>-0.22510458359393101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1.1220000000000001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0.12818592318878827</v>
      </c>
      <c r="C14" s="771">
        <v>3.4280145145327108</v>
      </c>
      <c r="D14" s="772">
        <v>-0.66660201047166356</v>
      </c>
      <c r="E14" s="773">
        <v>-0.92295207988225003</v>
      </c>
      <c r="F14" s="771">
        <v>0.30167815644712354</v>
      </c>
      <c r="G14" s="774">
        <v>0.23906013503655024</v>
      </c>
      <c r="H14" s="773">
        <v>0.26600000000000001</v>
      </c>
      <c r="I14" s="771">
        <v>0.52</v>
      </c>
      <c r="J14" s="601">
        <v>1.1299999999999999</v>
      </c>
      <c r="K14" s="426" t="str">
        <f t="shared" si="226"/>
        <v>1313</v>
      </c>
      <c r="L14" s="327" t="str">
        <f t="shared" si="2"/>
        <v/>
      </c>
      <c r="M14" s="173">
        <f t="shared" si="3"/>
        <v>1.1299999999999999</v>
      </c>
      <c r="N14" s="21">
        <f t="shared" si="4"/>
        <v>0.12818592318878827</v>
      </c>
      <c r="O14" s="5">
        <f t="shared" si="5"/>
        <v>3.4280145145327108</v>
      </c>
      <c r="P14" s="10">
        <f t="shared" si="6"/>
        <v>-0.66660201047166356</v>
      </c>
      <c r="Q14" s="624">
        <f t="shared" si="117"/>
        <v>87.858500309194312</v>
      </c>
      <c r="R14" s="5">
        <f t="shared" si="84"/>
        <v>3.4304103461176041</v>
      </c>
      <c r="S14" s="6">
        <f t="shared" si="85"/>
        <v>-0.66660201047166356</v>
      </c>
      <c r="T14" s="4">
        <f t="shared" si="86"/>
        <v>3.4289329909690753</v>
      </c>
      <c r="U14" s="5">
        <f t="shared" si="87"/>
        <v>-0.10066621178215235</v>
      </c>
      <c r="V14" s="8">
        <f t="shared" si="118"/>
        <v>-0.66660201047166356</v>
      </c>
      <c r="W14" s="624">
        <f t="shared" si="7"/>
        <v>358.31840024279296</v>
      </c>
      <c r="X14" s="5">
        <f t="shared" si="88"/>
        <v>3.4304103461176041</v>
      </c>
      <c r="Y14" s="7">
        <f t="shared" ref="Y14:Y75" si="227">IF(M14="","",S14)</f>
        <v>-0.66660201047166356</v>
      </c>
      <c r="Z14" s="21">
        <f t="shared" si="8"/>
        <v>0.92295207988225003</v>
      </c>
      <c r="AA14" s="5">
        <f t="shared" si="9"/>
        <v>-0.30167815644712354</v>
      </c>
      <c r="AB14" s="5">
        <f t="shared" si="10"/>
        <v>-0.23906013503655024</v>
      </c>
      <c r="AC14" s="8">
        <f t="shared" si="89"/>
        <v>1</v>
      </c>
      <c r="AD14" s="9">
        <f>IF(M14="","",Z14*(1/SQRT(Z14^2+AA14^2+AB14^2)))</f>
        <v>0.92295207988225003</v>
      </c>
      <c r="AE14" s="5">
        <f t="shared" si="90"/>
        <v>-0.30167815644712354</v>
      </c>
      <c r="AF14" s="10">
        <f t="shared" si="91"/>
        <v>-0.23906013503655024</v>
      </c>
      <c r="AG14" s="622">
        <f t="shared" si="92"/>
        <v>-51.605485758464319</v>
      </c>
      <c r="AH14" s="623">
        <f t="shared" si="93"/>
        <v>22.638455479177651</v>
      </c>
      <c r="AI14" s="624">
        <f t="shared" si="94"/>
        <v>-76.168924578433035</v>
      </c>
      <c r="AJ14" s="625">
        <f t="shared" si="95"/>
        <v>71.899387705644529</v>
      </c>
      <c r="AK14" s="4">
        <f>IF(M14="","",(COS(RADIANS((90-$Q$8)-W14))*AD14)+(-SIN(RADIANS((90-$Q$8)-W14))*AE14))</f>
        <v>0.93358044546160546</v>
      </c>
      <c r="AL14" s="5">
        <f t="shared" si="96"/>
        <v>-0.26697903230032261</v>
      </c>
      <c r="AM14" s="6">
        <f t="shared" si="97"/>
        <v>-0.23906013503655024</v>
      </c>
      <c r="AN14" s="612">
        <f t="shared" si="98"/>
        <v>-48.15788778370343</v>
      </c>
      <c r="AO14" s="613">
        <f t="shared" si="99"/>
        <v>20.999996967975584</v>
      </c>
      <c r="AP14" s="624">
        <f>IF(M14="","",DEGREES(ATAN2(AK14,AL14)))</f>
        <v>-15.959112603549803</v>
      </c>
      <c r="AQ14" s="625">
        <f t="shared" si="11"/>
        <v>3.6104408744262755</v>
      </c>
      <c r="AS14" s="56">
        <f t="shared" si="120"/>
        <v>-1.6815997572070387</v>
      </c>
      <c r="AT14" s="77">
        <f t="shared" si="12"/>
        <v>-0.65851190052861985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1.1299999999999999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0.16858837206779159</v>
      </c>
      <c r="C15" s="771">
        <v>3.7034759558323964</v>
      </c>
      <c r="D15" s="772">
        <v>-1.2869038813021059</v>
      </c>
      <c r="E15" s="773">
        <v>-0.85310387022532896</v>
      </c>
      <c r="F15" s="771">
        <v>0.49254808466941546</v>
      </c>
      <c r="G15" s="774">
        <v>0.17207606136547707</v>
      </c>
      <c r="H15" s="773">
        <v>0.26600000000000001</v>
      </c>
      <c r="I15" s="771">
        <v>0.52</v>
      </c>
      <c r="J15" s="601">
        <v>1.1379999999999999</v>
      </c>
      <c r="K15" s="426" t="str">
        <f t="shared" si="226"/>
        <v>1313</v>
      </c>
      <c r="L15" s="327" t="str">
        <f t="shared" si="2"/>
        <v/>
      </c>
      <c r="M15" s="173">
        <f t="shared" si="3"/>
        <v>1.1379999999999999</v>
      </c>
      <c r="N15" s="21">
        <f t="shared" si="4"/>
        <v>0.16858837206779159</v>
      </c>
      <c r="O15" s="5">
        <f t="shared" si="5"/>
        <v>3.7034759558323964</v>
      </c>
      <c r="P15" s="10">
        <f t="shared" si="6"/>
        <v>-1.2869038813021059</v>
      </c>
      <c r="Q15" s="624">
        <f t="shared" si="117"/>
        <v>87.393600376317551</v>
      </c>
      <c r="R15" s="5">
        <f t="shared" si="84"/>
        <v>3.7073111812505233</v>
      </c>
      <c r="S15" s="6">
        <f t="shared" si="85"/>
        <v>-1.2869038813021059</v>
      </c>
      <c r="T15" s="4">
        <f t="shared" si="86"/>
        <v>3.7047098560672884</v>
      </c>
      <c r="U15" s="5">
        <f t="shared" si="87"/>
        <v>-0.13885631776423615</v>
      </c>
      <c r="V15" s="8">
        <f t="shared" si="118"/>
        <v>-1.2869038813021059</v>
      </c>
      <c r="W15" s="624">
        <f t="shared" ref="W15:W78" si="228">IF(M15="","",IF(Q15-$Q$8&lt;0,360+Q15-$Q$8,Q15-$Q$8))</f>
        <v>357.85350030991617</v>
      </c>
      <c r="X15" s="5">
        <f>IF(M15="","",R15)</f>
        <v>3.7073111812505233</v>
      </c>
      <c r="Y15" s="7">
        <f>IF(M15="","",S15)</f>
        <v>-1.2869038813021059</v>
      </c>
      <c r="Z15" s="21">
        <f t="shared" si="8"/>
        <v>0.85310387022532896</v>
      </c>
      <c r="AA15" s="5">
        <f t="shared" si="9"/>
        <v>-0.49254808466941546</v>
      </c>
      <c r="AB15" s="5">
        <f t="shared" si="10"/>
        <v>-0.17207606136547707</v>
      </c>
      <c r="AC15" s="8">
        <f t="shared" si="89"/>
        <v>1</v>
      </c>
      <c r="AD15" s="9">
        <f t="shared" si="119"/>
        <v>0.85310387022532896</v>
      </c>
      <c r="AE15" s="5">
        <f t="shared" si="90"/>
        <v>-0.49254808466941546</v>
      </c>
      <c r="AF15" s="10">
        <f t="shared" si="91"/>
        <v>-0.17207606136547707</v>
      </c>
      <c r="AG15" s="622">
        <f t="shared" si="92"/>
        <v>-70.742683547456352</v>
      </c>
      <c r="AH15" s="623">
        <f t="shared" si="93"/>
        <v>31.449114387748036</v>
      </c>
      <c r="AI15" s="624">
        <f t="shared" si="94"/>
        <v>-80.091452360248908</v>
      </c>
      <c r="AJ15" s="625">
        <f t="shared" si="95"/>
        <v>59.99958013051868</v>
      </c>
      <c r="AK15" s="4">
        <f t="shared" si="214"/>
        <v>0.87461974256848363</v>
      </c>
      <c r="AL15" s="5">
        <f t="shared" si="96"/>
        <v>-0.45324401266247755</v>
      </c>
      <c r="AM15" s="6">
        <f t="shared" si="97"/>
        <v>-0.17207606136547707</v>
      </c>
      <c r="AN15" s="612">
        <f>IF(M15="","",DEGREES(ATAN2(-AM15,AL15)))</f>
        <v>-69.21051632302725</v>
      </c>
      <c r="AO15" s="613">
        <f t="shared" si="99"/>
        <v>28.999995812918602</v>
      </c>
      <c r="AP15" s="624">
        <f t="shared" si="100"/>
        <v>-27.394020245798824</v>
      </c>
      <c r="AQ15" s="625">
        <f t="shared" si="11"/>
        <v>3.3414109093746318</v>
      </c>
      <c r="AS15" s="56">
        <f t="shared" si="120"/>
        <v>-2.1464996900838287</v>
      </c>
      <c r="AT15" s="77">
        <f t="shared" si="12"/>
        <v>-1.2770574827237497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1.1379999999999999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1" t="str" cm="1">
        <f t="array" ref="II15">IFERROR(IF(IH15&lt;1,IH15+LARGE((IF($M$9:$M$150="",0,$M$9:$M$150)-MOD(IF($M$9:$M$150="",0,$M$9:$M$150),1)),1),IH15),"")</f>
        <v/>
      </c>
      <c r="IJ15" s="842" t="str">
        <f t="shared" si="69"/>
        <v/>
      </c>
      <c r="IK15" s="842" t="str">
        <f t="shared" si="70"/>
        <v/>
      </c>
      <c r="IL15" s="791" t="str">
        <f t="shared" si="71"/>
        <v/>
      </c>
      <c r="IM15" s="833"/>
      <c r="IN15" s="5" t="str">
        <f t="shared" si="72"/>
        <v/>
      </c>
      <c r="IO15" s="802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6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0.17271089878540669</v>
      </c>
      <c r="C16" s="771">
        <v>3.7294142410704763</v>
      </c>
      <c r="D16" s="772">
        <v>-1.969705940633117</v>
      </c>
      <c r="E16" s="773">
        <v>-0.84205584868728101</v>
      </c>
      <c r="F16" s="771">
        <v>0.5376271087070742</v>
      </c>
      <c r="G16" s="774">
        <v>4.3577972357774768E-2</v>
      </c>
      <c r="H16" s="773">
        <v>0.26600000000000001</v>
      </c>
      <c r="I16" s="771">
        <v>0.52</v>
      </c>
      <c r="J16" s="601">
        <v>1.1459999999999999</v>
      </c>
      <c r="K16" s="426" t="str">
        <f t="shared" si="226"/>
        <v>1313</v>
      </c>
      <c r="L16" s="327" t="str">
        <f>IF(ISNUMBER($II16),$IO16,"")</f>
        <v/>
      </c>
      <c r="M16" s="173">
        <f t="shared" si="3"/>
        <v>1.1459999999999999</v>
      </c>
      <c r="N16" s="21">
        <f>IF(M16="","",B16)</f>
        <v>0.17271089878540669</v>
      </c>
      <c r="O16" s="5">
        <f>IF(M16="","",C16)</f>
        <v>3.7294142410704763</v>
      </c>
      <c r="P16" s="10">
        <f t="shared" si="6"/>
        <v>-1.969705940633117</v>
      </c>
      <c r="Q16" s="624">
        <f>IF(M16="","",IF(DEGREES(ATAN2(N16,O16))&lt;0,DEGREES(ATAN2(N16,O16))+360,IF(DEGREES(ATAN2(N16,O16))&gt;360,DEGREES(ATAN2(N16,O16))-360,DEGREES(ATAN2(N16,O16)))))</f>
        <v>87.348500382829172</v>
      </c>
      <c r="R16" s="5">
        <f t="shared" si="84"/>
        <v>3.7334112599683604</v>
      </c>
      <c r="S16" s="6">
        <f t="shared" si="85"/>
        <v>-1.969705940633117</v>
      </c>
      <c r="T16" s="4">
        <f t="shared" si="86"/>
        <v>3.730680395931389</v>
      </c>
      <c r="U16" s="5">
        <f t="shared" si="87"/>
        <v>-0.14277051331333629</v>
      </c>
      <c r="V16" s="8">
        <f t="shared" si="118"/>
        <v>-1.969705940633117</v>
      </c>
      <c r="W16" s="624">
        <f>IF(M16="","",IF(Q16-$Q$8&lt;0,360+Q16-$Q$8,Q16-$Q$8))</f>
        <v>357.80840031642782</v>
      </c>
      <c r="X16" s="5">
        <f t="shared" si="88"/>
        <v>3.7334112599683604</v>
      </c>
      <c r="Y16" s="7">
        <f t="shared" si="227"/>
        <v>-1.969705940633117</v>
      </c>
      <c r="Z16" s="21">
        <f t="shared" si="8"/>
        <v>0.84205584868728101</v>
      </c>
      <c r="AA16" s="5">
        <f t="shared" si="9"/>
        <v>-0.5376271087070742</v>
      </c>
      <c r="AB16" s="5">
        <f t="shared" si="10"/>
        <v>-4.3577972357774768E-2</v>
      </c>
      <c r="AC16" s="8">
        <f t="shared" si="89"/>
        <v>1</v>
      </c>
      <c r="AD16" s="9">
        <f t="shared" si="119"/>
        <v>0.84205584868728101</v>
      </c>
      <c r="AE16" s="5">
        <f t="shared" si="90"/>
        <v>-0.5376271087070742</v>
      </c>
      <c r="AF16" s="10">
        <f t="shared" si="91"/>
        <v>-4.3577972357774768E-2</v>
      </c>
      <c r="AG16" s="622">
        <f t="shared" si="92"/>
        <v>-85.36595687903322</v>
      </c>
      <c r="AH16" s="623">
        <f t="shared" si="93"/>
        <v>32.642146843134711</v>
      </c>
      <c r="AI16" s="624">
        <f t="shared" si="94"/>
        <v>-87.502375163624521</v>
      </c>
      <c r="AJ16" s="625">
        <f t="shared" si="95"/>
        <v>57.443003763776865</v>
      </c>
      <c r="AK16" s="4">
        <f t="shared" si="214"/>
        <v>0.86602544158358563</v>
      </c>
      <c r="AL16" s="5">
        <f t="shared" si="96"/>
        <v>-0.49809727449077745</v>
      </c>
      <c r="AM16" s="6">
        <f t="shared" si="97"/>
        <v>-4.3577972357774768E-2</v>
      </c>
      <c r="AN16" s="612">
        <f t="shared" si="98"/>
        <v>-84.999987727520192</v>
      </c>
      <c r="AO16" s="613">
        <f t="shared" si="99"/>
        <v>29.999995668536535</v>
      </c>
      <c r="AP16" s="624">
        <f t="shared" si="100"/>
        <v>-29.905496619052329</v>
      </c>
      <c r="AQ16" s="625">
        <f t="shared" si="11"/>
        <v>3.3181036609181884</v>
      </c>
      <c r="AS16" s="56">
        <f t="shared" si="120"/>
        <v>-2.1915996835721785</v>
      </c>
      <c r="AT16" s="77">
        <f t="shared" si="12"/>
        <v>-1.9596891643015828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1.1459999999999999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1" t="str" cm="1">
        <f t="array" ref="II16">IFERROR(IF(IH16&lt;1,IH16+LARGE((IF($M$9:$M$150="",0,$M$9:$M$150)-MOD(IF($M$9:$M$150="",0,$M$9:$M$150),1)),1),IH16),"")</f>
        <v/>
      </c>
      <c r="IJ16" s="842" t="str">
        <f t="shared" si="69"/>
        <v/>
      </c>
      <c r="IK16" s="842" t="str">
        <f t="shared" si="70"/>
        <v/>
      </c>
      <c r="IL16" s="791" t="str">
        <f t="shared" si="71"/>
        <v/>
      </c>
      <c r="IM16" s="833">
        <v>3.8565756061126097E-2</v>
      </c>
      <c r="IN16" s="5" t="str">
        <f>IF(ISNUMBER($II16),(($IO16*12)/60)/$AS$3,"")</f>
        <v/>
      </c>
      <c r="IO16" s="802">
        <v>450</v>
      </c>
      <c r="IP16" s="9" t="str">
        <f t="shared" si="73"/>
        <v/>
      </c>
      <c r="IQ16" s="5" t="str">
        <f t="shared" si="74"/>
        <v/>
      </c>
      <c r="IR16" s="5" t="str">
        <f t="shared" si="75"/>
        <v/>
      </c>
      <c r="IS16" s="5" t="str">
        <f t="shared" si="76"/>
        <v/>
      </c>
      <c r="IT16" s="791" t="str">
        <f t="shared" si="77"/>
        <v/>
      </c>
      <c r="IU16" s="9" t="str">
        <f t="shared" si="78"/>
        <v/>
      </c>
      <c r="IV16" s="5" t="str">
        <f t="shared" si="79"/>
        <v/>
      </c>
      <c r="IW16" s="5" t="str">
        <f t="shared" si="80"/>
        <v/>
      </c>
      <c r="IX16" s="5" t="str">
        <f t="shared" si="81"/>
        <v/>
      </c>
      <c r="IY16" s="836" t="str">
        <f t="shared" si="82"/>
        <v/>
      </c>
    </row>
    <row r="17" spans="1:259" ht="15" customHeight="1" x14ac:dyDescent="0.25">
      <c r="A17" s="84">
        <f t="shared" si="83"/>
        <v>0.02</v>
      </c>
      <c r="B17" s="770">
        <v>1.5415182797481906</v>
      </c>
      <c r="C17" s="771">
        <v>1.5217552054812018</v>
      </c>
      <c r="D17" s="772">
        <v>-5.6000168896509391E-2</v>
      </c>
      <c r="E17" s="773">
        <v>-0.66760087609527574</v>
      </c>
      <c r="F17" s="771">
        <v>0.69825520050375489</v>
      </c>
      <c r="G17" s="774">
        <v>0.2583577852635402</v>
      </c>
      <c r="H17" s="773">
        <v>0.26600000000000001</v>
      </c>
      <c r="I17" s="771">
        <v>0.52</v>
      </c>
      <c r="J17" s="601">
        <v>2.113</v>
      </c>
      <c r="K17" s="426" t="str">
        <f t="shared" si="226"/>
        <v>1313</v>
      </c>
      <c r="L17" s="327" t="str">
        <f t="shared" ref="L17:L80" si="229">IF(ISNUMBER($II17),$IO17,"")</f>
        <v/>
      </c>
      <c r="M17" s="173">
        <f t="shared" si="3"/>
        <v>2.113</v>
      </c>
      <c r="N17" s="21">
        <f t="shared" si="4"/>
        <v>1.5415182797481906</v>
      </c>
      <c r="O17" s="5">
        <f t="shared" si="5"/>
        <v>1.5217552054812018</v>
      </c>
      <c r="P17" s="10">
        <f t="shared" si="6"/>
        <v>-5.6000168896509391E-2</v>
      </c>
      <c r="Q17" s="624">
        <f>IF(M17="","",IF(DEGREES(ATAN2(N17,O17))&lt;0,DEGREES(ATAN2(N17,O17))+360,IF(DEGREES(ATAN2(N17,O17))&gt;360,DEGREES(ATAN2(N17,O17))-360,DEGREES(ATAN2(N17,O17)))))</f>
        <v>44.63035457299727</v>
      </c>
      <c r="R17" s="5">
        <f>IF(M17="","",SQRT(N17^2+O17^2))</f>
        <v>2.1661065329773037</v>
      </c>
      <c r="S17" s="6">
        <f>IF(M17="","",P17)</f>
        <v>-5.6000168896509391E-2</v>
      </c>
      <c r="T17" s="4">
        <f>IF(M17="","",X17*COS(RADIANS(W17)))</f>
        <v>1.5340794599984542</v>
      </c>
      <c r="U17" s="5">
        <f>IF(M17="","",X17*SIN(RADIANS(W17)))</f>
        <v>-1.5292539758384824</v>
      </c>
      <c r="V17" s="8">
        <f>IF(M17="","",Y17)</f>
        <v>-5.6000168896509391E-2</v>
      </c>
      <c r="W17" s="624">
        <f t="shared" si="228"/>
        <v>315.0902545065959</v>
      </c>
      <c r="X17" s="5">
        <f>IF(M17="","",R17)</f>
        <v>2.1661065329773037</v>
      </c>
      <c r="Y17" s="7">
        <f t="shared" si="227"/>
        <v>-5.6000168896509391E-2</v>
      </c>
      <c r="Z17" s="21">
        <f t="shared" si="8"/>
        <v>0.66760087609527574</v>
      </c>
      <c r="AA17" s="5">
        <f t="shared" si="9"/>
        <v>-0.69825520050375489</v>
      </c>
      <c r="AB17" s="5">
        <f t="shared" si="10"/>
        <v>-0.2583577852635402</v>
      </c>
      <c r="AC17" s="8">
        <f>IF(M17="","",SQRT(Z17^2+AA17^2+AB17^2))</f>
        <v>1</v>
      </c>
      <c r="AD17" s="9">
        <f>IF(M17="","",Z17*(1/SQRT(Z17^2+AA17^2+AB17^2)))</f>
        <v>0.66760087609527574</v>
      </c>
      <c r="AE17" s="5">
        <f>IF(M17="","",AA17*(1/SQRT(Z17^2+AA17^2+AB17^2)))</f>
        <v>-0.69825520050375489</v>
      </c>
      <c r="AF17" s="10">
        <f>IF(M17="","",AB17*(1/SQRT(Z17^2+AA17^2+AB17^2)))</f>
        <v>-0.2583577852635402</v>
      </c>
      <c r="AG17" s="622">
        <f>IF(M17="","",DEGREES(ATAN2(-AF17,AE17)))</f>
        <v>-69.695283705014475</v>
      </c>
      <c r="AH17" s="623">
        <f>IF(M17="","",DEGREES(ACOS(AD17)))</f>
        <v>48.117831777016676</v>
      </c>
      <c r="AI17" s="624">
        <f>IF(M17="","",DEGREES(-ACOS(-AF17)))</f>
        <v>-75.027358780283421</v>
      </c>
      <c r="AJ17" s="625">
        <f>IF(M17="","",DEGREES(ATAN2(-AE17,AD17)))</f>
        <v>43.714309188897623</v>
      </c>
      <c r="AK17" s="4">
        <f>IF(M17="","",(COS(RADIANS((90-$Q$8)-W17))*AD17)+(-SIN(RADIANS((90-$Q$8)-W17))*AE17))</f>
        <v>0.96592583607220739</v>
      </c>
      <c r="AL17" s="5">
        <f>IF(M17="","",(SIN(RADIANS((90-$Q$8)-W17))*AD17)+(COS(RADIANS((90-$Q$8)-W17))*AE17))</f>
        <v>-1.5444546025237094E-2</v>
      </c>
      <c r="AM17" s="6">
        <f>IF(M17="","",AF17)</f>
        <v>-0.2583577852635402</v>
      </c>
      <c r="AN17" s="612">
        <f>IF(M17="","",DEGREES(ATAN2(-AM17,AL17)))</f>
        <v>-3.421052137640225</v>
      </c>
      <c r="AO17" s="613">
        <f t="shared" si="99"/>
        <v>14.999997834268255</v>
      </c>
      <c r="AP17" s="624">
        <f>IF(M17="","",DEGREES(ATAN2(AK17,AL17)))</f>
        <v>-0.91604538409964453</v>
      </c>
      <c r="AQ17" s="625">
        <f t="shared" si="11"/>
        <v>5.7064046575684344</v>
      </c>
      <c r="AS17" s="56">
        <f t="shared" si="120"/>
        <v>-44.909745493404102</v>
      </c>
      <c r="AT17" s="77">
        <f t="shared" si="12"/>
        <v>0.11539626938327885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2.113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1" t="str" cm="1">
        <f t="array" ref="II17">IFERROR(IF(IH17&lt;1,IH17+LARGE((IF($M$9:$M$150="",0,$M$9:$M$150)-MOD(IF($M$9:$M$150="",0,$M$9:$M$150),1)),1),IH17),"")</f>
        <v/>
      </c>
      <c r="IJ17" s="555" t="str">
        <f t="shared" si="69"/>
        <v/>
      </c>
      <c r="IK17" s="842" t="str">
        <f t="shared" si="70"/>
        <v/>
      </c>
      <c r="IL17" s="791" t="str">
        <f t="shared" si="71"/>
        <v/>
      </c>
      <c r="IM17" s="833">
        <v>1.9833055057628599E-2</v>
      </c>
      <c r="IN17" s="5" t="str">
        <f t="shared" ref="IN17:IN80" si="230">IF(ISNUMBER($II17),(($IO17*12)/60)/$AS$3,"")</f>
        <v/>
      </c>
      <c r="IO17" s="802">
        <v>450</v>
      </c>
      <c r="IP17" s="9" t="str">
        <f t="shared" si="73"/>
        <v/>
      </c>
      <c r="IQ17" s="5" t="str">
        <f t="shared" si="74"/>
        <v/>
      </c>
      <c r="IR17" s="5" t="str">
        <f t="shared" si="75"/>
        <v/>
      </c>
      <c r="IS17" s="5" t="str">
        <f t="shared" si="76"/>
        <v/>
      </c>
      <c r="IT17" s="791" t="str">
        <f t="shared" si="77"/>
        <v/>
      </c>
      <c r="IU17" s="9" t="str">
        <f t="shared" si="78"/>
        <v/>
      </c>
      <c r="IV17" s="5" t="str">
        <f t="shared" si="79"/>
        <v/>
      </c>
      <c r="IW17" s="5" t="str">
        <f t="shared" si="80"/>
        <v/>
      </c>
      <c r="IX17" s="5" t="str">
        <f t="shared" si="81"/>
        <v/>
      </c>
      <c r="IY17" s="836" t="str">
        <f t="shared" si="82"/>
        <v/>
      </c>
    </row>
    <row r="18" spans="1:259" ht="15" customHeight="1" x14ac:dyDescent="0.25">
      <c r="A18" s="84">
        <f t="shared" si="83"/>
        <v>0.02</v>
      </c>
      <c r="B18" s="770">
        <v>2.0444230049102257</v>
      </c>
      <c r="C18" s="771">
        <v>1.9598911624425668</v>
      </c>
      <c r="D18" s="772">
        <v>-0.1930005820897556</v>
      </c>
      <c r="E18" s="773">
        <v>-0.59104435980995451</v>
      </c>
      <c r="F18" s="771">
        <v>0.77147644579378272</v>
      </c>
      <c r="G18" s="774">
        <v>0.23556455234655699</v>
      </c>
      <c r="H18" s="773">
        <v>0.26600000000000001</v>
      </c>
      <c r="I18" s="771">
        <v>0.52</v>
      </c>
      <c r="J18" s="601">
        <v>2.121</v>
      </c>
      <c r="K18" s="426" t="str">
        <f t="shared" si="226"/>
        <v>1313</v>
      </c>
      <c r="L18" s="327" t="str">
        <f t="shared" si="229"/>
        <v/>
      </c>
      <c r="M18" s="173">
        <f t="shared" si="3"/>
        <v>2.121</v>
      </c>
      <c r="N18" s="21">
        <f t="shared" si="4"/>
        <v>2.0444230049102257</v>
      </c>
      <c r="O18" s="5">
        <f t="shared" si="5"/>
        <v>1.9598911624425668</v>
      </c>
      <c r="P18" s="10">
        <f t="shared" si="6"/>
        <v>-0.1930005820897556</v>
      </c>
      <c r="Q18" s="624">
        <f t="shared" si="117"/>
        <v>43.790654694234924</v>
      </c>
      <c r="R18" s="5">
        <f>IF(M18="","",SQRT(N18^2+O18^2))</f>
        <v>2.8321085416393617</v>
      </c>
      <c r="S18" s="6">
        <f>IF(M18="","",P18)</f>
        <v>-0.1930005820897556</v>
      </c>
      <c r="T18" s="4">
        <f>IF(M18="","",X18*COS(RADIANS(W18)))</f>
        <v>1.9762379589476438</v>
      </c>
      <c r="U18" s="5">
        <f>IF(M18="","",X18*SIN(RADIANS(W18)))</f>
        <v>-2.0286257223157462</v>
      </c>
      <c r="V18" s="8">
        <f>IF(M18="","",Y18)</f>
        <v>-0.1930005820897556</v>
      </c>
      <c r="W18" s="624">
        <f t="shared" si="228"/>
        <v>314.25055462783359</v>
      </c>
      <c r="X18" s="5">
        <f>IF(M18="","",R18)</f>
        <v>2.8321085416393617</v>
      </c>
      <c r="Y18" s="7">
        <f t="shared" si="227"/>
        <v>-0.1930005820897556</v>
      </c>
      <c r="Z18" s="21">
        <f t="shared" si="8"/>
        <v>0.59104435980995451</v>
      </c>
      <c r="AA18" s="5">
        <f t="shared" si="9"/>
        <v>-0.77147644579378272</v>
      </c>
      <c r="AB18" s="5">
        <f t="shared" si="10"/>
        <v>-0.23556455234655699</v>
      </c>
      <c r="AC18" s="8">
        <f>IF(M18="","",SQRT(Z18^2+AA18^2+AB18^2))</f>
        <v>1</v>
      </c>
      <c r="AD18" s="9">
        <f>IF(M18="","",Z18*(1/SQRT(Z18^2+AA18^2+AB18^2)))</f>
        <v>0.59104435980995451</v>
      </c>
      <c r="AE18" s="5">
        <f>IF(M18="","",AA18*(1/SQRT(Z18^2+AA18^2+AB18^2)))</f>
        <v>-0.77147644579378272</v>
      </c>
      <c r="AF18" s="10">
        <f>IF(M18="","",AB18*(1/SQRT(Z18^2+AA18^2+AB18^2)))</f>
        <v>-0.23556455234655699</v>
      </c>
      <c r="AG18" s="622">
        <f>IF(M18="","",DEGREES(ATAN2(-AF18,AE18)))</f>
        <v>-73.020341777938938</v>
      </c>
      <c r="AH18" s="623">
        <f>IF(M18="","",DEGREES(ACOS(AD18)))</f>
        <v>53.768845785528207</v>
      </c>
      <c r="AI18" s="624">
        <f>IF(M18="","",DEGREES(-ACOS(-AF18)))</f>
        <v>-76.375096470794418</v>
      </c>
      <c r="AJ18" s="625">
        <f>IF(M18="","",DEGREES(ATAN2(-AE18,AD18)))</f>
        <v>37.456486222067099</v>
      </c>
      <c r="AK18" s="4">
        <f>IF(M18="","",(COS(RADIANS((90-$Q$8)-W18))*AD18)+(-SIN(RADIANS((90-$Q$8)-W18))*AE18))</f>
        <v>0.96592583607220739</v>
      </c>
      <c r="AL18" s="5">
        <f>IF(M18="","",(SIN(RADIANS((90-$Q$8)-W18))*AD18)+(COS(RADIANS((90-$Q$8)-W18))*AE18))</f>
        <v>-0.10722229658971799</v>
      </c>
      <c r="AM18" s="6">
        <f>IF(M18="","",AF18)</f>
        <v>-0.23556455234655699</v>
      </c>
      <c r="AN18" s="612">
        <f>IF(M18="","",DEGREES(ATAN2(-AM18,AL18)))</f>
        <v>-24.473680676964072</v>
      </c>
      <c r="AO18" s="613">
        <f t="shared" si="99"/>
        <v>14.999997834268255</v>
      </c>
      <c r="AP18" s="624">
        <f>IF(M18="","",DEGREES(ATAN2(AK18,AL18)))</f>
        <v>-6.33416847216784</v>
      </c>
      <c r="AQ18" s="625">
        <f t="shared" si="11"/>
        <v>4.3704717597730767</v>
      </c>
      <c r="AS18" s="56">
        <f t="shared" si="120"/>
        <v>-45.749445372166406</v>
      </c>
      <c r="AT18" s="77">
        <f t="shared" si="12"/>
        <v>-1.8431944267976452E-2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2.121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1" t="str" cm="1">
        <f t="array" ref="II18">IFERROR(IF(IH18&lt;1,IH18+LARGE((IF($M$9:$M$150="",0,$M$9:$M$150)-MOD(IF($M$9:$M$150="",0,$M$9:$M$150),1)),1),IH18),"")</f>
        <v/>
      </c>
      <c r="IJ18" s="842" t="str">
        <f t="shared" si="69"/>
        <v/>
      </c>
      <c r="IK18" s="842" t="str">
        <f t="shared" si="70"/>
        <v/>
      </c>
      <c r="IL18" s="791" t="str">
        <f t="shared" si="71"/>
        <v/>
      </c>
      <c r="IM18" s="833">
        <v>2.1972739739913601E-2</v>
      </c>
      <c r="IN18" s="5" t="str">
        <f t="shared" si="230"/>
        <v/>
      </c>
      <c r="IO18" s="802">
        <v>920</v>
      </c>
      <c r="IP18" s="9" t="str">
        <f t="shared" si="73"/>
        <v/>
      </c>
      <c r="IQ18" s="5" t="str">
        <f t="shared" si="74"/>
        <v/>
      </c>
      <c r="IR18" s="5" t="str">
        <f t="shared" si="75"/>
        <v/>
      </c>
      <c r="IS18" s="5" t="str">
        <f t="shared" si="76"/>
        <v/>
      </c>
      <c r="IT18" s="791" t="str">
        <f t="shared" si="77"/>
        <v/>
      </c>
      <c r="IU18" s="9" t="str">
        <f t="shared" si="78"/>
        <v/>
      </c>
      <c r="IV18" s="5" t="str">
        <f t="shared" si="79"/>
        <v/>
      </c>
      <c r="IW18" s="5" t="str">
        <f t="shared" si="80"/>
        <v/>
      </c>
      <c r="IX18" s="5" t="str">
        <f t="shared" si="81"/>
        <v/>
      </c>
      <c r="IY18" s="836" t="str">
        <f t="shared" si="82"/>
        <v/>
      </c>
    </row>
    <row r="19" spans="1:259" ht="15" customHeight="1" x14ac:dyDescent="0.25">
      <c r="A19" s="84">
        <f t="shared" si="83"/>
        <v>0.02</v>
      </c>
      <c r="B19" s="770">
        <v>2.4717125448266417</v>
      </c>
      <c r="C19" s="771">
        <v>2.3006105197408777</v>
      </c>
      <c r="D19" s="772">
        <v>-0.59980180900225599</v>
      </c>
      <c r="E19" s="773">
        <v>-0.46158251979223625</v>
      </c>
      <c r="F19" s="771">
        <v>0.85412363361094656</v>
      </c>
      <c r="G19" s="774">
        <v>0.23961301285506864</v>
      </c>
      <c r="H19" s="773">
        <v>0.26600000000000001</v>
      </c>
      <c r="I19" s="771">
        <v>0.52</v>
      </c>
      <c r="J19" s="601">
        <v>2.129</v>
      </c>
      <c r="K19" s="426" t="str">
        <f t="shared" si="226"/>
        <v>1313</v>
      </c>
      <c r="L19" s="327" t="str">
        <f t="shared" si="229"/>
        <v/>
      </c>
      <c r="M19" s="173">
        <f t="shared" si="3"/>
        <v>2.129</v>
      </c>
      <c r="N19" s="21">
        <f t="shared" si="4"/>
        <v>2.4717125448266417</v>
      </c>
      <c r="O19" s="5">
        <f t="shared" si="5"/>
        <v>2.3006105197408777</v>
      </c>
      <c r="P19" s="10">
        <f t="shared" si="6"/>
        <v>-0.59980180900225599</v>
      </c>
      <c r="Q19" s="624">
        <f t="shared" si="117"/>
        <v>42.946654816093428</v>
      </c>
      <c r="R19" s="5">
        <f>IF(M19="","",SQRT(N19^2+O19^2))</f>
        <v>3.3767101841579157</v>
      </c>
      <c r="S19" s="6">
        <f>IF(M19="","",P19)</f>
        <v>-0.59980180900225599</v>
      </c>
      <c r="T19" s="4">
        <f>IF(M19="","",X19*COS(RADIANS(W19)))</f>
        <v>2.3203760574071017</v>
      </c>
      <c r="U19" s="5">
        <f>IF(M19="","",X19*SIN(RADIANS(W19)))</f>
        <v>-2.4531666514950956</v>
      </c>
      <c r="V19" s="8">
        <f>IF(M19="","",Y19)</f>
        <v>-0.59980180900225599</v>
      </c>
      <c r="W19" s="624">
        <f t="shared" si="228"/>
        <v>313.40655474969208</v>
      </c>
      <c r="X19" s="5">
        <f>IF(M19="","",R19)</f>
        <v>3.3767101841579157</v>
      </c>
      <c r="Y19" s="7">
        <f t="shared" si="227"/>
        <v>-0.59980180900225599</v>
      </c>
      <c r="Z19" s="21">
        <f t="shared" si="8"/>
        <v>0.46158251979223625</v>
      </c>
      <c r="AA19" s="5">
        <f t="shared" si="9"/>
        <v>-0.85412363361094656</v>
      </c>
      <c r="AB19" s="5">
        <f t="shared" si="10"/>
        <v>-0.23961301285506864</v>
      </c>
      <c r="AC19" s="8">
        <f>IF(M19="","",SQRT(Z19^2+AA19^2+AB19^2))</f>
        <v>1</v>
      </c>
      <c r="AD19" s="9">
        <f>IF(M19="","",Z19*(1/SQRT(Z19^2+AA19^2+AB19^2)))</f>
        <v>0.46158251979223625</v>
      </c>
      <c r="AE19" s="5">
        <f>IF(M19="","",AA19*(1/SQRT(Z19^2+AA19^2+AB19^2)))</f>
        <v>-0.85412363361094656</v>
      </c>
      <c r="AF19" s="10">
        <f>IF(M19="","",AB19*(1/SQRT(Z19^2+AA19^2+AB19^2)))</f>
        <v>-0.23961301285506864</v>
      </c>
      <c r="AG19" s="622">
        <f>IF(M19="","",DEGREES(ATAN2(-AF19,AE19)))</f>
        <v>-74.329243244741008</v>
      </c>
      <c r="AH19" s="623">
        <f>IF(M19="","",DEGREES(ACOS(AD19)))</f>
        <v>62.510728154839107</v>
      </c>
      <c r="AI19" s="624">
        <f>IF(M19="","",DEGREES(-ACOS(-AF19)))</f>
        <v>-76.136298798310634</v>
      </c>
      <c r="AJ19" s="625">
        <f>IF(M19="","",DEGREES(ATAN2(-AE19,AD19)))</f>
        <v>28.387519932538204</v>
      </c>
      <c r="AK19" s="4">
        <f>IF(M19="","",(COS(RADIANS((90-$Q$8)-W19))*AD19)+(-SIN(RADIANS((90-$Q$8)-W19))*AE19))</f>
        <v>0.93969263802333458</v>
      </c>
      <c r="AL19" s="5">
        <f>IF(M19="","",(SIN(RADIANS((90-$Q$8)-W19))*AD19)+(COS(RADIANS((90-$Q$8)-W19))*AE19))</f>
        <v>-0.24405603888300498</v>
      </c>
      <c r="AM19" s="6">
        <f>IF(M19="","",AF19)</f>
        <v>-0.23961301285506864</v>
      </c>
      <c r="AN19" s="612">
        <f>IF(M19="","",DEGREES(ATAN2(-AM19,AL19)))</f>
        <v>-45.526309216287913</v>
      </c>
      <c r="AO19" s="613">
        <f t="shared" si="99"/>
        <v>19.999997112357679</v>
      </c>
      <c r="AP19" s="624">
        <f>IF(M19="","",DEGREES(ATAN2(AK19,AL19)))</f>
        <v>-14.559134883555199</v>
      </c>
      <c r="AQ19" s="625">
        <f t="shared" si="11"/>
        <v>3.6677025756760928</v>
      </c>
      <c r="AS19" s="56">
        <f t="shared" si="120"/>
        <v>-46.593445250307923</v>
      </c>
      <c r="AT19" s="77">
        <f t="shared" si="12"/>
        <v>-0.42204472719638664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2.129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1" t="str" cm="1">
        <f t="array" ref="II19">IFERROR(IF(IH19&lt;1,IH19+LARGE((IF($M$9:$M$150="",0,$M$9:$M$150)-MOD(IF($M$9:$M$150="",0,$M$9:$M$150),1)),1),IH19),"")</f>
        <v/>
      </c>
      <c r="IJ19" s="842" t="str">
        <f t="shared" si="69"/>
        <v/>
      </c>
      <c r="IK19" s="842" t="str">
        <f t="shared" si="70"/>
        <v/>
      </c>
      <c r="IL19" s="791" t="str">
        <f t="shared" si="71"/>
        <v/>
      </c>
      <c r="IM19" s="833">
        <v>1.7745374383248198E-2</v>
      </c>
      <c r="IN19" s="5" t="str">
        <f t="shared" si="230"/>
        <v/>
      </c>
      <c r="IO19" s="802">
        <v>1060</v>
      </c>
      <c r="IP19" s="9" t="str">
        <f t="shared" si="73"/>
        <v/>
      </c>
      <c r="IQ19" s="5" t="str">
        <f t="shared" si="74"/>
        <v/>
      </c>
      <c r="IR19" s="5" t="str">
        <f t="shared" si="75"/>
        <v/>
      </c>
      <c r="IS19" s="5" t="str">
        <f t="shared" si="76"/>
        <v/>
      </c>
      <c r="IT19" s="791" t="str">
        <f t="shared" si="77"/>
        <v/>
      </c>
      <c r="IU19" s="9" t="str">
        <f t="shared" si="78"/>
        <v/>
      </c>
      <c r="IV19" s="5" t="str">
        <f t="shared" si="79"/>
        <v/>
      </c>
      <c r="IW19" s="5" t="str">
        <f t="shared" si="80"/>
        <v/>
      </c>
      <c r="IX19" s="5" t="str">
        <f t="shared" si="81"/>
        <v/>
      </c>
      <c r="IY19" s="836" t="str">
        <f t="shared" si="82"/>
        <v/>
      </c>
    </row>
    <row r="20" spans="1:259" ht="15" customHeight="1" x14ac:dyDescent="0.25">
      <c r="A20" s="84">
        <f t="shared" si="83"/>
        <v>0.02</v>
      </c>
      <c r="B20" s="770">
        <v>2.7229473410870479</v>
      </c>
      <c r="C20" s="771">
        <v>2.488550842748205</v>
      </c>
      <c r="D20" s="772">
        <v>-1.2032036288621446</v>
      </c>
      <c r="E20" s="773">
        <v>-0.27766091007410082</v>
      </c>
      <c r="F20" s="771">
        <v>0.94238096177654407</v>
      </c>
      <c r="G20" s="774">
        <v>0.18660798990916239</v>
      </c>
      <c r="H20" s="773">
        <v>0.26600000000000001</v>
      </c>
      <c r="I20" s="771">
        <v>0.52</v>
      </c>
      <c r="J20" s="601">
        <v>2.137</v>
      </c>
      <c r="K20" s="426" t="str">
        <f t="shared" si="226"/>
        <v>1313</v>
      </c>
      <c r="L20" s="327" t="str">
        <f t="shared" si="229"/>
        <v/>
      </c>
      <c r="M20" s="173">
        <f t="shared" si="3"/>
        <v>2.137</v>
      </c>
      <c r="N20" s="21">
        <f t="shared" si="4"/>
        <v>2.7229473410870479</v>
      </c>
      <c r="O20" s="5">
        <f t="shared" si="5"/>
        <v>2.488550842748205</v>
      </c>
      <c r="P20" s="10">
        <f t="shared" si="6"/>
        <v>-1.2032036288621446</v>
      </c>
      <c r="Q20" s="624">
        <f t="shared" si="117"/>
        <v>42.424754891446462</v>
      </c>
      <c r="R20" s="5">
        <f>IF(M20="","",SQRT(N20^2+O20^2))</f>
        <v>3.6888111254543552</v>
      </c>
      <c r="S20" s="6">
        <f>IF(M20="","",P20)</f>
        <v>-1.2032036288621446</v>
      </c>
      <c r="T20" s="4">
        <f>IF(M20="","",X20*COS(RADIANS(W20)))</f>
        <v>2.5103269078292598</v>
      </c>
      <c r="U20" s="5">
        <f>IF(M20="","",X20*SIN(RADIANS(W20)))</f>
        <v>-2.7028848172099775</v>
      </c>
      <c r="V20" s="8">
        <f>IF(M20="","",Y20)</f>
        <v>-1.2032036288621446</v>
      </c>
      <c r="W20" s="624">
        <f t="shared" si="228"/>
        <v>312.88465482504512</v>
      </c>
      <c r="X20" s="5">
        <f>IF(M20="","",R20)</f>
        <v>3.6888111254543552</v>
      </c>
      <c r="Y20" s="7">
        <f t="shared" si="227"/>
        <v>-1.2032036288621446</v>
      </c>
      <c r="Z20" s="21">
        <f t="shared" si="8"/>
        <v>0.27766091007410082</v>
      </c>
      <c r="AA20" s="5">
        <f t="shared" si="9"/>
        <v>-0.94238096177654407</v>
      </c>
      <c r="AB20" s="5">
        <f t="shared" si="10"/>
        <v>-0.18660798990916239</v>
      </c>
      <c r="AC20" s="8">
        <f>IF(M20="","",SQRT(Z20^2+AA20^2+AB20^2))</f>
        <v>1</v>
      </c>
      <c r="AD20" s="9">
        <f>IF(M20="","",Z20*(1/SQRT(Z20^2+AA20^2+AB20^2)))</f>
        <v>0.27766091007410082</v>
      </c>
      <c r="AE20" s="5">
        <f>IF(M20="","",AA20*(1/SQRT(Z20^2+AA20^2+AB20^2)))</f>
        <v>-0.94238096177654407</v>
      </c>
      <c r="AF20" s="10">
        <f>IF(M20="","",AB20*(1/SQRT(Z20^2+AA20^2+AB20^2)))</f>
        <v>-0.18660798990916239</v>
      </c>
      <c r="AG20" s="622">
        <f>IF(M20="","",DEGREES(ATAN2(-AF20,AE20)))</f>
        <v>-78.799325162015421</v>
      </c>
      <c r="AH20" s="623">
        <f>IF(M20="","",DEGREES(ACOS(AD20)))</f>
        <v>73.879350005727574</v>
      </c>
      <c r="AI20" s="624">
        <f>IF(M20="","",DEGREES(-ACOS(-AF20)))</f>
        <v>-79.245103830986423</v>
      </c>
      <c r="AJ20" s="625">
        <f>IF(M20="","",DEGREES(ATAN2(-AE20,AD20)))</f>
        <v>16.416958207867683</v>
      </c>
      <c r="AK20" s="4">
        <f>IF(M20="","",(COS(RADIANS((90-$Q$8)-W20))*AD20)+(-SIN(RADIANS((90-$Q$8)-W20))*AE20))</f>
        <v>0.88294762598409315</v>
      </c>
      <c r="AL20" s="5">
        <f>IF(M20="","",(SIN(RADIANS((90-$Q$8)-W20))*AD20)+(COS(RADIANS((90-$Q$8)-W20))*AE20))</f>
        <v>-0.43079107218130264</v>
      </c>
      <c r="AM20" s="6">
        <f>IF(M20="","",AF20)</f>
        <v>-0.18660798990916239</v>
      </c>
      <c r="AN20" s="612">
        <f>IF(M20="","",DEGREES(ATAN2(-AM20,AL20)))</f>
        <v>-66.578937755611662</v>
      </c>
      <c r="AO20" s="613">
        <f t="shared" si="99"/>
        <v>27.999995957300722</v>
      </c>
      <c r="AP20" s="624">
        <f>IF(M20="","",DEGREES(ATAN2(AK20,AL20)))</f>
        <v>-26.007796683578761</v>
      </c>
      <c r="AQ20" s="625">
        <f t="shared" si="11"/>
        <v>3.358130434514599</v>
      </c>
      <c r="AS20" s="56">
        <f t="shared" si="120"/>
        <v>-47.115345174954882</v>
      </c>
      <c r="AT20" s="77">
        <f t="shared" si="12"/>
        <v>-1.0234749251187201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2.137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2.7592211437672423</v>
      </c>
      <c r="C21" s="771">
        <v>2.514966861778964</v>
      </c>
      <c r="D21" s="772">
        <v>-1.8841056824627385</v>
      </c>
      <c r="E21" s="773">
        <v>-0.215262852027514</v>
      </c>
      <c r="F21" s="771">
        <v>0.97558334593317342</v>
      </c>
      <c r="G21" s="774">
        <v>4.3577972357775073E-2</v>
      </c>
      <c r="H21" s="773">
        <v>0.26600000000000001</v>
      </c>
      <c r="I21" s="771">
        <v>0.52</v>
      </c>
      <c r="J21" s="601">
        <v>2.145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1313</v>
      </c>
      <c r="L21" s="327" t="str">
        <f t="shared" si="229"/>
        <v/>
      </c>
      <c r="M21" s="173">
        <f t="shared" si="3"/>
        <v>2.145</v>
      </c>
      <c r="N21" s="21">
        <f t="shared" si="4"/>
        <v>2.7592211437672423</v>
      </c>
      <c r="O21" s="5">
        <f t="shared" si="5"/>
        <v>2.514966861778964</v>
      </c>
      <c r="P21" s="10">
        <f t="shared" si="6"/>
        <v>-1.8841056824627385</v>
      </c>
      <c r="Q21" s="624">
        <f t="shared" si="117"/>
        <v>42.348454902462812</v>
      </c>
      <c r="R21" s="5">
        <f>IF(M21="","",SQRT(N21^2+O21^2))</f>
        <v>3.7334112599683604</v>
      </c>
      <c r="S21" s="6">
        <f>IF(M21="","",P21)</f>
        <v>-1.8841056824627385</v>
      </c>
      <c r="T21" s="4">
        <f>IF(M21="","",X21*COS(RADIANS(W21)))</f>
        <v>2.5370332341603072</v>
      </c>
      <c r="U21" s="5">
        <f>IF(M21="","",X21*SIN(RADIANS(W21)))</f>
        <v>-2.7389454183726687</v>
      </c>
      <c r="V21" s="8">
        <f>IF(M21="","",Y21)</f>
        <v>-1.8841056824627385</v>
      </c>
      <c r="W21" s="624">
        <f t="shared" si="228"/>
        <v>312.80835483606148</v>
      </c>
      <c r="X21" s="5">
        <f>IF(M21="","",R21)</f>
        <v>3.7334112599683604</v>
      </c>
      <c r="Y21" s="7">
        <f t="shared" si="227"/>
        <v>-1.8841056824627385</v>
      </c>
      <c r="Z21" s="21">
        <f t="shared" si="8"/>
        <v>0.215262852027514</v>
      </c>
      <c r="AA21" s="5">
        <f t="shared" si="9"/>
        <v>-0.97558334593317342</v>
      </c>
      <c r="AB21" s="5">
        <f t="shared" si="10"/>
        <v>-4.3577972357775073E-2</v>
      </c>
      <c r="AC21" s="8">
        <f>IF(M21="","",SQRT(Z21^2+AA21^2+AB21^2))</f>
        <v>1</v>
      </c>
      <c r="AD21" s="9">
        <f>IF(M21="","",Z21*(1/SQRT(Z21^2+AA21^2+AB21^2)))</f>
        <v>0.215262852027514</v>
      </c>
      <c r="AE21" s="5">
        <f>IF(M21="","",AA21*(1/SQRT(Z21^2+AA21^2+AB21^2)))</f>
        <v>-0.97558334593317342</v>
      </c>
      <c r="AF21" s="10">
        <f>IF(M21="","",AB21*(1/SQRT(Z21^2+AA21^2+AB21^2)))</f>
        <v>-4.3577972357775073E-2</v>
      </c>
      <c r="AG21" s="622">
        <f>IF(M21="","",DEGREES(ATAN2(-AF21,AE21)))</f>
        <v>-87.442376134836422</v>
      </c>
      <c r="AH21" s="623">
        <f>IF(M21="","",DEGREES(ACOS(AD21)))</f>
        <v>77.569051292726954</v>
      </c>
      <c r="AI21" s="624">
        <f>IF(M21="","",DEGREES(-ACOS(-AF21)))</f>
        <v>-87.502375163624492</v>
      </c>
      <c r="AJ21" s="625">
        <f>IF(M21="","",DEGREES(ATAN2(-AE21,AD21)))</f>
        <v>12.442958283410496</v>
      </c>
      <c r="AK21" s="4">
        <f>IF(M21="","",(COS(RADIANS((90-$Q$8)-W21))*AD21)+(-SIN(RADIANS((90-$Q$8)-W21))*AE21))</f>
        <v>0.86602544158358541</v>
      </c>
      <c r="AL21" s="5">
        <f>IF(M21="","",(SIN(RADIANS((90-$Q$8)-W21))*AD21)+(COS(RADIANS((90-$Q$8)-W21))*AE21))</f>
        <v>-0.49809727449077768</v>
      </c>
      <c r="AM21" s="6">
        <f>IF(M21="","",AF21)</f>
        <v>-4.3577972357775073E-2</v>
      </c>
      <c r="AN21" s="612">
        <f>IF(M21="","",DEGREES(ATAN2(-AM21,AL21)))</f>
        <v>-84.999987727520164</v>
      </c>
      <c r="AO21" s="613">
        <f>IF(ROUND(IF(M21="",0,DEGREES(ACOS(AK21))),4)=90,0,IF(M21="","",DEGREES(ACOS(AK21))))</f>
        <v>29.99999566853656</v>
      </c>
      <c r="AP21" s="624">
        <f>IF(M21="","",DEGREES(ATAN2(AK21,AL21)))</f>
        <v>-29.905496619052343</v>
      </c>
      <c r="AQ21" s="625">
        <f t="shared" si="11"/>
        <v>3.3181036609181884</v>
      </c>
      <c r="AS21" s="56">
        <f t="shared" si="120"/>
        <v>-47.191645163938517</v>
      </c>
      <c r="AT21" s="77">
        <f t="shared" si="12"/>
        <v>-1.7040887343164868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2.145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0.02</v>
      </c>
      <c r="B22" s="770">
        <v>0.76843390636911613</v>
      </c>
      <c r="C22" s="771">
        <v>-2.6834822904664914E-2</v>
      </c>
      <c r="D22" s="772">
        <v>-0.38280115452828201</v>
      </c>
      <c r="E22" s="773">
        <v>-3.7748518379267952E-2</v>
      </c>
      <c r="F22" s="771">
        <v>0.96316589416231857</v>
      </c>
      <c r="G22" s="774">
        <v>0.26624520593368695</v>
      </c>
      <c r="H22" s="773">
        <v>0.26600000000000001</v>
      </c>
      <c r="I22" s="771">
        <v>0.52</v>
      </c>
      <c r="J22" s="601">
        <v>3.1030000000000002</v>
      </c>
      <c r="K22" s="426" t="str">
        <f t="shared" si="226"/>
        <v>1313</v>
      </c>
      <c r="L22" s="327" t="str">
        <f t="shared" si="229"/>
        <v/>
      </c>
      <c r="M22" s="173">
        <f t="shared" si="3"/>
        <v>3.1030000000000002</v>
      </c>
      <c r="N22" s="21">
        <f t="shared" si="4"/>
        <v>0.76843390636911613</v>
      </c>
      <c r="O22" s="5">
        <f t="shared" si="5"/>
        <v>-2.6834822904664914E-2</v>
      </c>
      <c r="P22" s="10">
        <f t="shared" si="6"/>
        <v>-0.38280115452828201</v>
      </c>
      <c r="Q22" s="624">
        <f t="shared" si="117"/>
        <v>357.99996130559305</v>
      </c>
      <c r="R22" s="5">
        <f t="shared" si="84"/>
        <v>0.76890231900939421</v>
      </c>
      <c r="S22" s="6">
        <f t="shared" si="85"/>
        <v>-0.38280115452828201</v>
      </c>
      <c r="T22" s="4">
        <f t="shared" si="86"/>
        <v>-2.0665983927753252E-2</v>
      </c>
      <c r="U22" s="5">
        <f t="shared" si="87"/>
        <v>-0.768624546372494</v>
      </c>
      <c r="V22" s="8">
        <f t="shared" si="118"/>
        <v>-0.38280115452828201</v>
      </c>
      <c r="W22" s="624">
        <f t="shared" si="228"/>
        <v>268.4598612391917</v>
      </c>
      <c r="X22" s="5">
        <f t="shared" si="88"/>
        <v>0.76890231900939421</v>
      </c>
      <c r="Y22" s="7">
        <f t="shared" si="227"/>
        <v>-0.38280115452828201</v>
      </c>
      <c r="Z22" s="21">
        <f t="shared" si="8"/>
        <v>3.7748518379267952E-2</v>
      </c>
      <c r="AA22" s="5">
        <f t="shared" si="9"/>
        <v>-0.96316589416231857</v>
      </c>
      <c r="AB22" s="5">
        <f t="shared" si="10"/>
        <v>-0.26624520593368695</v>
      </c>
      <c r="AC22" s="8">
        <f t="shared" si="89"/>
        <v>1</v>
      </c>
      <c r="AD22" s="9">
        <f t="shared" si="119"/>
        <v>3.7748518379267952E-2</v>
      </c>
      <c r="AE22" s="5">
        <f t="shared" si="90"/>
        <v>-0.96316589416231857</v>
      </c>
      <c r="AF22" s="10">
        <f t="shared" si="91"/>
        <v>-0.26624520593368695</v>
      </c>
      <c r="AG22" s="622">
        <f t="shared" si="92"/>
        <v>-74.547755754010552</v>
      </c>
      <c r="AH22" s="623">
        <f t="shared" si="93"/>
        <v>87.836655229828011</v>
      </c>
      <c r="AI22" s="624">
        <f t="shared" si="94"/>
        <v>-74.55904373138371</v>
      </c>
      <c r="AJ22" s="625">
        <f t="shared" si="95"/>
        <v>2.2443946913546053</v>
      </c>
      <c r="AK22" s="4">
        <f t="shared" si="214"/>
        <v>0.96126170705176606</v>
      </c>
      <c r="AL22" s="5">
        <f t="shared" si="96"/>
        <v>7.1340177132196647E-2</v>
      </c>
      <c r="AM22" s="6">
        <f t="shared" si="97"/>
        <v>-0.26624520593368695</v>
      </c>
      <c r="AN22" s="612">
        <f t="shared" si="98"/>
        <v>14.99999783426844</v>
      </c>
      <c r="AO22" s="613">
        <f t="shared" si="99"/>
        <v>15.999997689886175</v>
      </c>
      <c r="AP22" s="624">
        <f t="shared" si="100"/>
        <v>4.2444333857615826</v>
      </c>
      <c r="AQ22" s="625">
        <f t="shared" si="11"/>
        <v>15.722236796824937</v>
      </c>
      <c r="AS22" s="56">
        <f t="shared" si="120"/>
        <v>-91.540138760808304</v>
      </c>
      <c r="AT22" s="77">
        <f t="shared" si="12"/>
        <v>-3.5245452793855658E-2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3.1030000000000002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1" t="str" cm="1">
        <f t="array" ref="II22">IFERROR(IF(IH22&lt;1,IH22+LARGE((IF($M$9:$M$150="",0,$M$9:$M$150)-MOD(IF($M$9:$M$150="",0,$M$9:$M$150),1)),1),IH22),"")</f>
        <v/>
      </c>
      <c r="IJ22" s="842" t="str">
        <f t="shared" si="69"/>
        <v/>
      </c>
      <c r="IK22" s="842" t="str">
        <f t="shared" si="70"/>
        <v/>
      </c>
      <c r="IL22" s="791" t="str">
        <f t="shared" si="71"/>
        <v/>
      </c>
      <c r="IM22" s="833"/>
      <c r="IN22" s="5" t="str">
        <f t="shared" si="230"/>
        <v/>
      </c>
      <c r="IO22" s="802"/>
      <c r="IP22" s="9" t="str">
        <f t="shared" si="73"/>
        <v/>
      </c>
      <c r="IQ22" s="5" t="str">
        <f t="shared" si="74"/>
        <v/>
      </c>
      <c r="IR22" s="5" t="str">
        <f t="shared" si="75"/>
        <v/>
      </c>
      <c r="IS22" s="5" t="str">
        <f t="shared" si="76"/>
        <v/>
      </c>
      <c r="IT22" s="791" t="str">
        <f t="shared" si="77"/>
        <v/>
      </c>
      <c r="IU22" s="9" t="str">
        <f t="shared" si="78"/>
        <v/>
      </c>
      <c r="IV22" s="5" t="str">
        <f t="shared" si="79"/>
        <v/>
      </c>
      <c r="IW22" s="5" t="str">
        <f t="shared" si="80"/>
        <v/>
      </c>
      <c r="IX22" s="5" t="str">
        <f t="shared" si="81"/>
        <v/>
      </c>
      <c r="IY22" s="836" t="str">
        <f t="shared" si="82"/>
        <v/>
      </c>
    </row>
    <row r="23" spans="1:259" ht="15" customHeight="1" x14ac:dyDescent="0.25">
      <c r="A23" s="84">
        <f t="shared" si="83"/>
        <v>0.02</v>
      </c>
      <c r="B23" s="770">
        <v>1.3998509203423342</v>
      </c>
      <c r="C23" s="771">
        <v>-4.8884817847007614E-2</v>
      </c>
      <c r="D23" s="772">
        <v>-0.21350064391794207</v>
      </c>
      <c r="E23" s="773">
        <v>-2.1693495806838312E-2</v>
      </c>
      <c r="F23" s="771">
        <v>0.96727220168774286</v>
      </c>
      <c r="G23" s="774">
        <v>0.25281194608211288</v>
      </c>
      <c r="H23" s="773">
        <v>0.26600000000000001</v>
      </c>
      <c r="I23" s="771">
        <v>0.52</v>
      </c>
      <c r="J23" s="601">
        <v>3.1070000000000002</v>
      </c>
      <c r="K23" s="426" t="str">
        <f t="shared" si="226"/>
        <v>1313</v>
      </c>
      <c r="L23" s="327" t="str">
        <f t="shared" si="229"/>
        <v/>
      </c>
      <c r="M23" s="173">
        <f t="shared" si="3"/>
        <v>3.1070000000000002</v>
      </c>
      <c r="N23" s="21">
        <f t="shared" si="4"/>
        <v>1.3998509203423342</v>
      </c>
      <c r="O23" s="5">
        <f t="shared" si="5"/>
        <v>-4.8884817847007614E-2</v>
      </c>
      <c r="P23" s="10">
        <f t="shared" si="6"/>
        <v>-0.21350064391794207</v>
      </c>
      <c r="Q23" s="624">
        <f t="shared" si="117"/>
        <v>357.99996130559305</v>
      </c>
      <c r="R23" s="5">
        <f t="shared" si="84"/>
        <v>1.4007042245239412</v>
      </c>
      <c r="S23" s="6">
        <f t="shared" si="85"/>
        <v>-0.21350064391794207</v>
      </c>
      <c r="T23" s="4">
        <f t="shared" si="86"/>
        <v>-3.7647085040452562E-2</v>
      </c>
      <c r="U23" s="5">
        <f t="shared" si="87"/>
        <v>-1.4001982079645625</v>
      </c>
      <c r="V23" s="8">
        <f t="shared" si="118"/>
        <v>-0.21350064391794207</v>
      </c>
      <c r="W23" s="624">
        <f t="shared" si="228"/>
        <v>268.4598612391917</v>
      </c>
      <c r="X23" s="5">
        <f t="shared" si="88"/>
        <v>1.4007042245239412</v>
      </c>
      <c r="Y23" s="7">
        <f t="shared" si="227"/>
        <v>-0.21350064391794207</v>
      </c>
      <c r="Z23" s="21">
        <f t="shared" si="8"/>
        <v>2.1693495806838312E-2</v>
      </c>
      <c r="AA23" s="5">
        <f t="shared" si="9"/>
        <v>-0.96727220168774286</v>
      </c>
      <c r="AB23" s="5">
        <f t="shared" si="10"/>
        <v>-0.25281194608211288</v>
      </c>
      <c r="AC23" s="8">
        <f t="shared" si="89"/>
        <v>1</v>
      </c>
      <c r="AD23" s="9">
        <f t="shared" si="119"/>
        <v>2.1693495806838312E-2</v>
      </c>
      <c r="AE23" s="5">
        <f t="shared" si="90"/>
        <v>-0.96727220168774286</v>
      </c>
      <c r="AF23" s="10">
        <f t="shared" si="91"/>
        <v>-0.25281194608211288</v>
      </c>
      <c r="AG23" s="622">
        <f t="shared" si="92"/>
        <v>-75.35250462470313</v>
      </c>
      <c r="AH23" s="623">
        <f t="shared" si="93"/>
        <v>88.756956736745693</v>
      </c>
      <c r="AI23" s="624">
        <f t="shared" si="94"/>
        <v>-75.356028724676136</v>
      </c>
      <c r="AJ23" s="625">
        <f t="shared" si="95"/>
        <v>1.2847856226797707</v>
      </c>
      <c r="AK23" s="4">
        <f t="shared" si="214"/>
        <v>0.96592583607220728</v>
      </c>
      <c r="AL23" s="5">
        <f t="shared" si="96"/>
        <v>5.5438246061560614E-2</v>
      </c>
      <c r="AM23" s="6">
        <f t="shared" si="97"/>
        <v>-0.25281194608211288</v>
      </c>
      <c r="AN23" s="612">
        <f t="shared" si="98"/>
        <v>12.368419266852968</v>
      </c>
      <c r="AO23" s="613">
        <f t="shared" si="99"/>
        <v>14.99999783426828</v>
      </c>
      <c r="AP23" s="624">
        <f t="shared" si="100"/>
        <v>3.2848243170867484</v>
      </c>
      <c r="AQ23" s="625">
        <f t="shared" si="11"/>
        <v>8.7844298478981298</v>
      </c>
      <c r="AS23" s="56">
        <f t="shared" si="120"/>
        <v>-91.540138760808304</v>
      </c>
      <c r="AT23" s="77">
        <f t="shared" si="12"/>
        <v>0.13405505781648427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3.1070000000000002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1" t="str" cm="1">
        <f t="array" ref="II23">IFERROR(IF(IH23&lt;1,IH23+LARGE((IF($M$9:$M$150="",0,$M$9:$M$150)-MOD(IF($M$9:$M$150="",0,$M$9:$M$150),1)),1),IH23),"")</f>
        <v/>
      </c>
      <c r="IJ23" s="842" t="str">
        <f t="shared" si="69"/>
        <v/>
      </c>
      <c r="IK23" s="842" t="str">
        <f t="shared" si="70"/>
        <v/>
      </c>
      <c r="IL23" s="791" t="str">
        <f t="shared" si="71"/>
        <v/>
      </c>
      <c r="IM23" s="833"/>
      <c r="IN23" s="5" t="str">
        <f t="shared" si="230"/>
        <v/>
      </c>
      <c r="IO23" s="802"/>
      <c r="IP23" s="9" t="str">
        <f t="shared" si="73"/>
        <v/>
      </c>
      <c r="IQ23" s="5" t="str">
        <f t="shared" si="74"/>
        <v/>
      </c>
      <c r="IR23" s="5" t="str">
        <f t="shared" si="75"/>
        <v/>
      </c>
      <c r="IS23" s="5" t="str">
        <f t="shared" si="76"/>
        <v/>
      </c>
      <c r="IT23" s="791" t="str">
        <f t="shared" si="77"/>
        <v/>
      </c>
      <c r="IU23" s="9" t="str">
        <f t="shared" si="78"/>
        <v/>
      </c>
      <c r="IV23" s="5" t="str">
        <f t="shared" si="79"/>
        <v/>
      </c>
      <c r="IW23" s="5" t="str">
        <f t="shared" si="80"/>
        <v/>
      </c>
      <c r="IX23" s="5" t="str">
        <f t="shared" si="81"/>
        <v/>
      </c>
      <c r="IY23" s="836" t="str">
        <f t="shared" si="82"/>
        <v/>
      </c>
    </row>
    <row r="24" spans="1:259" ht="15" customHeight="1" x14ac:dyDescent="0.25">
      <c r="A24" s="84">
        <f t="shared" si="83"/>
        <v>0.02</v>
      </c>
      <c r="B24" s="770">
        <v>2.0504093137618473</v>
      </c>
      <c r="C24" s="771">
        <v>-8.0938526797216595E-2</v>
      </c>
      <c r="D24" s="772">
        <v>-6.190018669096306E-2</v>
      </c>
      <c r="E24" s="773">
        <v>4.1662956224246421E-2</v>
      </c>
      <c r="F24" s="771">
        <v>0.96503348966056302</v>
      </c>
      <c r="G24" s="774">
        <v>0.25879443949245273</v>
      </c>
      <c r="H24" s="773">
        <v>0.26600000000000001</v>
      </c>
      <c r="I24" s="771">
        <v>0.52</v>
      </c>
      <c r="J24" s="601">
        <v>3.1120000000000001</v>
      </c>
      <c r="K24" s="426" t="str">
        <f t="shared" si="226"/>
        <v>1313</v>
      </c>
      <c r="L24" s="327" t="str">
        <f t="shared" si="229"/>
        <v/>
      </c>
      <c r="M24" s="173">
        <f t="shared" si="3"/>
        <v>3.1120000000000001</v>
      </c>
      <c r="N24" s="21">
        <f t="shared" si="4"/>
        <v>2.0504093137618473</v>
      </c>
      <c r="O24" s="5">
        <f t="shared" si="5"/>
        <v>-8.0938526797216595E-2</v>
      </c>
      <c r="P24" s="10">
        <f t="shared" si="6"/>
        <v>-6.190018669096306E-2</v>
      </c>
      <c r="Q24" s="624">
        <f t="shared" si="117"/>
        <v>357.7394613432046</v>
      </c>
      <c r="R24" s="5">
        <f t="shared" si="84"/>
        <v>2.0520061888506658</v>
      </c>
      <c r="S24" s="6">
        <f t="shared" si="85"/>
        <v>-6.190018669096306E-2</v>
      </c>
      <c r="T24" s="4">
        <f t="shared" si="86"/>
        <v>-6.4477936134542668E-2</v>
      </c>
      <c r="U24" s="5">
        <f t="shared" si="87"/>
        <v>-2.0509929290061595</v>
      </c>
      <c r="V24" s="8">
        <f t="shared" si="118"/>
        <v>-6.190018669096306E-2</v>
      </c>
      <c r="W24" s="624">
        <f t="shared" si="228"/>
        <v>268.19936127680324</v>
      </c>
      <c r="X24" s="5">
        <f t="shared" si="88"/>
        <v>2.0520061888506658</v>
      </c>
      <c r="Y24" s="7">
        <f t="shared" si="227"/>
        <v>-6.190018669096306E-2</v>
      </c>
      <c r="Z24" s="21">
        <f t="shared" si="8"/>
        <v>-4.1662956224246421E-2</v>
      </c>
      <c r="AA24" s="5">
        <f t="shared" si="9"/>
        <v>-0.96503348966056302</v>
      </c>
      <c r="AB24" s="5">
        <f t="shared" si="10"/>
        <v>-0.25879443949245273</v>
      </c>
      <c r="AC24" s="8">
        <f t="shared" si="89"/>
        <v>1</v>
      </c>
      <c r="AD24" s="9">
        <f t="shared" si="119"/>
        <v>-4.1662956224246421E-2</v>
      </c>
      <c r="AE24" s="5">
        <f t="shared" si="90"/>
        <v>-0.96503348966056302</v>
      </c>
      <c r="AF24" s="10">
        <f t="shared" si="91"/>
        <v>-0.25879443949245273</v>
      </c>
      <c r="AG24" s="622">
        <f t="shared" si="92"/>
        <v>-74.988118770545626</v>
      </c>
      <c r="AH24" s="623">
        <f t="shared" si="93"/>
        <v>92.38780268581155</v>
      </c>
      <c r="AI24" s="624">
        <f t="shared" si="94"/>
        <v>-75.001459524903126</v>
      </c>
      <c r="AJ24" s="625">
        <f t="shared" si="95"/>
        <v>-2.472069775647161</v>
      </c>
      <c r="AK24" s="4">
        <f>IF(M24="","",(COS(RADIANS((90-$Q$8)-W24))*AD24)+(-SIN(RADIANS((90-$Q$8)-W24))*AE24))</f>
        <v>0.96592583607220739</v>
      </c>
      <c r="AL24" s="5">
        <f t="shared" si="96"/>
        <v>-3.5661317971182327E-3</v>
      </c>
      <c r="AM24" s="6">
        <f t="shared" si="97"/>
        <v>-0.25879443949245273</v>
      </c>
      <c r="AN24" s="612">
        <f t="shared" si="98"/>
        <v>-0.78947357022460796</v>
      </c>
      <c r="AO24" s="613">
        <f t="shared" si="99"/>
        <v>14.999997834268255</v>
      </c>
      <c r="AP24" s="624">
        <f t="shared" si="100"/>
        <v>-0.21153111885176668</v>
      </c>
      <c r="AQ24" s="625">
        <f t="shared" si="11"/>
        <v>6.0214347675865385</v>
      </c>
      <c r="AS24" s="56">
        <f t="shared" si="120"/>
        <v>-91.800638723196755</v>
      </c>
      <c r="AT24" s="77">
        <f t="shared" si="12"/>
        <v>0.28663962601248627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3.1120000000000001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1" t="str" cm="1">
        <f t="array" ref="II24">IFERROR(IF(IH24&lt;1,IH24+LARGE((IF($M$9:$M$150="",0,$M$9:$M$150)-MOD(IF($M$9:$M$150="",0,$M$9:$M$150),1)),1),IH24),"")</f>
        <v/>
      </c>
      <c r="IJ24" s="842" t="str">
        <f t="shared" si="69"/>
        <v/>
      </c>
      <c r="IK24" s="842" t="str">
        <f t="shared" si="70"/>
        <v/>
      </c>
      <c r="IL24" s="791" t="str">
        <f t="shared" si="71"/>
        <v/>
      </c>
      <c r="IM24" s="833">
        <v>4.1117629551316599E-2</v>
      </c>
      <c r="IN24" s="5" t="str">
        <f t="shared" si="230"/>
        <v/>
      </c>
      <c r="IO24" s="802">
        <v>710</v>
      </c>
      <c r="IP24" s="9" t="str">
        <f t="shared" si="73"/>
        <v/>
      </c>
      <c r="IQ24" s="5" t="str">
        <f t="shared" si="74"/>
        <v/>
      </c>
      <c r="IR24" s="5" t="str">
        <f t="shared" si="75"/>
        <v/>
      </c>
      <c r="IS24" s="5" t="str">
        <f t="shared" si="76"/>
        <v/>
      </c>
      <c r="IT24" s="791" t="str">
        <f t="shared" si="77"/>
        <v/>
      </c>
      <c r="IU24" s="9" t="str">
        <f t="shared" si="78"/>
        <v/>
      </c>
      <c r="IV24" s="5" t="str">
        <f t="shared" si="79"/>
        <v/>
      </c>
      <c r="IW24" s="5" t="str">
        <f t="shared" si="80"/>
        <v/>
      </c>
      <c r="IX24" s="5" t="str">
        <f t="shared" si="81"/>
        <v/>
      </c>
      <c r="IY24" s="836" t="str">
        <f t="shared" si="82"/>
        <v/>
      </c>
    </row>
    <row r="25" spans="1:259" ht="15" customHeight="1" x14ac:dyDescent="0.25">
      <c r="A25" s="84">
        <f t="shared" si="83"/>
        <v>0.02</v>
      </c>
      <c r="B25" s="770">
        <v>2.7489900313709135</v>
      </c>
      <c r="C25" s="771">
        <v>-0.14868935473817463</v>
      </c>
      <c r="D25" s="772">
        <v>-0.16020048316465724</v>
      </c>
      <c r="E25" s="773">
        <v>0.14832249967548344</v>
      </c>
      <c r="F25" s="771">
        <v>0.95931518121021275</v>
      </c>
      <c r="G25" s="774">
        <v>0.2402390875557783</v>
      </c>
      <c r="H25" s="773">
        <v>0.26600000000000001</v>
      </c>
      <c r="I25" s="771">
        <v>0.52</v>
      </c>
      <c r="J25" s="601">
        <v>3.12</v>
      </c>
      <c r="K25" s="426" t="str">
        <f t="shared" si="226"/>
        <v>1313</v>
      </c>
      <c r="L25" s="327" t="str">
        <f t="shared" si="229"/>
        <v/>
      </c>
      <c r="M25" s="173">
        <f t="shared" si="3"/>
        <v>3.12</v>
      </c>
      <c r="N25" s="21">
        <f t="shared" si="4"/>
        <v>2.7489900313709135</v>
      </c>
      <c r="O25" s="5">
        <f t="shared" si="5"/>
        <v>-0.14868935473817463</v>
      </c>
      <c r="P25" s="10">
        <f t="shared" si="6"/>
        <v>-0.16020048316465724</v>
      </c>
      <c r="Q25" s="624">
        <f t="shared" si="117"/>
        <v>356.90396146383586</v>
      </c>
      <c r="R25" s="5">
        <f>IF(M25="","",SQRT(N25^2+O25^2))</f>
        <v>2.7530083030730421</v>
      </c>
      <c r="S25" s="6">
        <f>IF(M25="","",P25)</f>
        <v>-0.16020048316465724</v>
      </c>
      <c r="T25" s="4">
        <f>IF(M25="","",X25*COS(RADIANS(W25)))</f>
        <v>-0.12661929634128119</v>
      </c>
      <c r="U25" s="5">
        <f>IF(M25="","",X25*SIN(RADIANS(W25)))</f>
        <v>-2.7500949566484336</v>
      </c>
      <c r="V25" s="8">
        <f>IF(M25="","",Y25)</f>
        <v>-0.16020048316465724</v>
      </c>
      <c r="W25" s="624">
        <f t="shared" si="228"/>
        <v>267.3638613974345</v>
      </c>
      <c r="X25" s="5">
        <f>IF(M25="","",R25)</f>
        <v>2.7530083030730421</v>
      </c>
      <c r="Y25" s="7">
        <f t="shared" si="227"/>
        <v>-0.16020048316465724</v>
      </c>
      <c r="Z25" s="21">
        <f t="shared" si="8"/>
        <v>-0.14832249967548344</v>
      </c>
      <c r="AA25" s="5">
        <f t="shared" si="9"/>
        <v>-0.95931518121021275</v>
      </c>
      <c r="AB25" s="5">
        <f t="shared" si="10"/>
        <v>-0.2402390875557783</v>
      </c>
      <c r="AC25" s="8">
        <f>IF(M25="","",SQRT(Z25^2+AA25^2+AB25^2))</f>
        <v>1</v>
      </c>
      <c r="AD25" s="9">
        <f>IF(M25="","",Z25*(1/SQRT(Z25^2+AA25^2+AB25^2)))</f>
        <v>-0.14832249967548344</v>
      </c>
      <c r="AE25" s="5">
        <f>IF(M25="","",AA25*(1/SQRT(Z25^2+AA25^2+AB25^2)))</f>
        <v>-0.95931518121021275</v>
      </c>
      <c r="AF25" s="10">
        <f>IF(M25="","",AB25*(1/SQRT(Z25^2+AA25^2+AB25^2)))</f>
        <v>-0.2402390875557783</v>
      </c>
      <c r="AG25" s="622">
        <f>IF(M25="","",DEGREES(ATAN2(-AF25,AE25)))</f>
        <v>-75.940695328601933</v>
      </c>
      <c r="AH25" s="623">
        <f>IF(M25="","",DEGREES(ACOS(AD25)))</f>
        <v>98.529725457745357</v>
      </c>
      <c r="AI25" s="624">
        <f>IF(M25="","",DEGREES(-ACOS(-AF25)))</f>
        <v>-76.099348071979534</v>
      </c>
      <c r="AJ25" s="625">
        <f>IF(M25="","",DEGREES(ATAN2(-AE25,AD25)))</f>
        <v>-8.7890727291866035</v>
      </c>
      <c r="AK25" s="4">
        <f>IF(M25="","",(COS(RADIANS((90-$Q$8)-W25))*AD25)+(-SIN(RADIANS((90-$Q$8)-W25))*AE25))</f>
        <v>0.9659258360722075</v>
      </c>
      <c r="AL25" s="5">
        <f>IF(M25="","",(SIN(RADIANS((90-$Q$8)-W25))*AD25)+(COS(RADIANS((90-$Q$8)-W25))*AE25))</f>
        <v>-9.6293613591837968E-2</v>
      </c>
      <c r="AM25" s="6">
        <f>IF(M25="","",AF25)</f>
        <v>-0.2402390875557783</v>
      </c>
      <c r="AN25" s="612">
        <f>IF(M25="","",DEGREES(ATAN2(-AM25,AL25)))</f>
        <v>-21.842102109548474</v>
      </c>
      <c r="AO25" s="613">
        <f>IF(ROUND(IF(M25="",0,DEGREES(ACOS(AK25))),4)=90,0,IF(M25="","",DEGREES(ACOS(AK25))))</f>
        <v>14.99999783426823</v>
      </c>
      <c r="AP25" s="624">
        <f>IF(M25="","",DEGREES(ATAN2(AK25,AL25)))</f>
        <v>-5.6930341930224557</v>
      </c>
      <c r="AQ25" s="625">
        <f t="shared" si="11"/>
        <v>4.4955378300683906</v>
      </c>
      <c r="AS25" s="56">
        <f t="shared" si="120"/>
        <v>-92.636138602565495</v>
      </c>
      <c r="AT25" s="77">
        <f t="shared" si="12"/>
        <v>0.19149566241640736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3.12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1" t="str" cm="1">
        <f t="array" ref="II25">IFERROR(IF(IH25&lt;1,IH25+LARGE((IF($M$9:$M$150="",0,$M$9:$M$150)-MOD(IF($M$9:$M$150="",0,$M$9:$M$150),1)),1),IH25),"")</f>
        <v/>
      </c>
      <c r="IJ25" s="842" t="str">
        <f t="shared" si="69"/>
        <v/>
      </c>
      <c r="IK25" s="842" t="str">
        <f t="shared" si="70"/>
        <v/>
      </c>
      <c r="IL25" s="791" t="str">
        <f t="shared" si="71"/>
        <v/>
      </c>
      <c r="IM25" s="833">
        <v>2.4339946597733898E-2</v>
      </c>
      <c r="IN25" s="5" t="str">
        <f t="shared" si="230"/>
        <v/>
      </c>
      <c r="IO25" s="802">
        <v>890</v>
      </c>
      <c r="IP25" s="9" t="str">
        <f t="shared" si="73"/>
        <v/>
      </c>
      <c r="IQ25" s="5" t="str">
        <f t="shared" si="74"/>
        <v/>
      </c>
      <c r="IR25" s="5" t="str">
        <f t="shared" si="75"/>
        <v/>
      </c>
      <c r="IS25" s="5" t="str">
        <f t="shared" si="76"/>
        <v/>
      </c>
      <c r="IT25" s="791" t="str">
        <f t="shared" si="77"/>
        <v/>
      </c>
      <c r="IU25" s="9" t="str">
        <f t="shared" si="78"/>
        <v/>
      </c>
      <c r="IV25" s="5" t="str">
        <f t="shared" si="79"/>
        <v/>
      </c>
      <c r="IW25" s="5" t="str">
        <f t="shared" si="80"/>
        <v/>
      </c>
      <c r="IX25" s="5" t="str">
        <f t="shared" si="81"/>
        <v/>
      </c>
      <c r="IY25" s="836" t="str">
        <f t="shared" si="82"/>
        <v/>
      </c>
    </row>
    <row r="26" spans="1:259" ht="15" customHeight="1" x14ac:dyDescent="0.25">
      <c r="A26" s="84">
        <f t="shared" si="83"/>
        <v>0.02</v>
      </c>
      <c r="B26" s="770">
        <v>3.3113850258235744</v>
      </c>
      <c r="C26" s="771">
        <v>-0.229233854687932</v>
      </c>
      <c r="D26" s="772">
        <v>-0.53620161718407744</v>
      </c>
      <c r="E26" s="773">
        <v>0.28636816563338574</v>
      </c>
      <c r="F26" s="771">
        <v>0.9279573419943089</v>
      </c>
      <c r="G26" s="774">
        <v>0.2385129873835537</v>
      </c>
      <c r="H26" s="773">
        <v>0.26600000000000001</v>
      </c>
      <c r="I26" s="771">
        <v>0.52</v>
      </c>
      <c r="J26" s="601">
        <v>3.1280000000000001</v>
      </c>
      <c r="K26" s="426" t="str">
        <f t="shared" si="226"/>
        <v>1313</v>
      </c>
      <c r="L26" s="327" t="str">
        <f t="shared" si="229"/>
        <v/>
      </c>
      <c r="M26" s="173">
        <f t="shared" si="3"/>
        <v>3.1280000000000001</v>
      </c>
      <c r="N26" s="21">
        <f t="shared" si="4"/>
        <v>3.3113850258235744</v>
      </c>
      <c r="O26" s="5">
        <f t="shared" si="5"/>
        <v>-0.229233854687932</v>
      </c>
      <c r="P26" s="10">
        <f t="shared" si="6"/>
        <v>-0.53620161718407744</v>
      </c>
      <c r="Q26" s="624">
        <f t="shared" si="117"/>
        <v>356.039961588582</v>
      </c>
      <c r="R26" s="5">
        <f>IF(M26="","",SQRT(N26^2+O26^2))</f>
        <v>3.319310011038993</v>
      </c>
      <c r="S26" s="6">
        <f>IF(M26="","",P26)</f>
        <v>-0.53620161718407744</v>
      </c>
      <c r="T26" s="4">
        <f>IF(M26="","",X26*COS(RADIANS(W26)))</f>
        <v>-0.20264703589341748</v>
      </c>
      <c r="U26" s="5">
        <f>IF(M26="","",X26*SIN(RADIANS(W26)))</f>
        <v>-3.3131183390013845</v>
      </c>
      <c r="V26" s="8">
        <f>IF(M26="","",Y26)</f>
        <v>-0.53620161718407744</v>
      </c>
      <c r="W26" s="624">
        <f t="shared" si="228"/>
        <v>266.49986152218065</v>
      </c>
      <c r="X26" s="5">
        <f>IF(M26="","",R26)</f>
        <v>3.319310011038993</v>
      </c>
      <c r="Y26" s="7">
        <f t="shared" si="227"/>
        <v>-0.53620161718407744</v>
      </c>
      <c r="Z26" s="21">
        <f t="shared" si="8"/>
        <v>-0.28636816563338574</v>
      </c>
      <c r="AA26" s="5">
        <f t="shared" si="9"/>
        <v>-0.9279573419943089</v>
      </c>
      <c r="AB26" s="5">
        <f t="shared" si="10"/>
        <v>-0.2385129873835537</v>
      </c>
      <c r="AC26" s="8">
        <f>IF(M26="","",SQRT(Z26^2+AA26^2+AB26^2))</f>
        <v>1</v>
      </c>
      <c r="AD26" s="9">
        <f>IF(M26="","",Z26*(1/SQRT(Z26^2+AA26^2+AB26^2)))</f>
        <v>-0.28636816563338574</v>
      </c>
      <c r="AE26" s="5">
        <f>IF(M26="","",AA26*(1/SQRT(Z26^2+AA26^2+AB26^2)))</f>
        <v>-0.9279573419943089</v>
      </c>
      <c r="AF26" s="10">
        <f>IF(M26="","",AB26*(1/SQRT(Z26^2+AA26^2+AB26^2)))</f>
        <v>-0.2385129873835537</v>
      </c>
      <c r="AG26" s="622">
        <f>IF(M26="","",DEGREES(ATAN2(-AF26,AE26)))</f>
        <v>-75.585285756651913</v>
      </c>
      <c r="AH26" s="623">
        <f>IF(M26="","",DEGREES(ACOS(AD26)))</f>
        <v>106.64064778699992</v>
      </c>
      <c r="AI26" s="624">
        <f>IF(M26="","",DEGREES(-ACOS(-AF26)))</f>
        <v>-76.201207714287364</v>
      </c>
      <c r="AJ26" s="625">
        <f>IF(M26="","",DEGREES(ATAN2(-AE26,AD26)))</f>
        <v>-17.150255753843169</v>
      </c>
      <c r="AK26" s="4">
        <f>IF(M26="","",(COS(RADIANS((90-$Q$8)-W26))*AD26)+(-SIN(RADIANS((90-$Q$8)-W26))*AE26))</f>
        <v>0.94551859118716841</v>
      </c>
      <c r="AL26" s="5">
        <f>IF(M26="","",(SIN(RADIANS((90-$Q$8)-W26))*AD26)+(COS(RADIANS((90-$Q$8)-W26))*AE26))</f>
        <v>-0.22159907167857298</v>
      </c>
      <c r="AM26" s="6">
        <f>IF(M26="","",AF26)</f>
        <v>-0.2385129873835537</v>
      </c>
      <c r="AN26" s="612">
        <f>IF(M26="","",DEGREES(ATAN2(-AM26,AL26)))</f>
        <v>-42.894730648872411</v>
      </c>
      <c r="AO26" s="613">
        <f t="shared" si="99"/>
        <v>18.999997256739771</v>
      </c>
      <c r="AP26" s="624">
        <f>IF(M26="","",DEGREES(ATAN2(AK26,AL26)))</f>
        <v>-13.190217342425168</v>
      </c>
      <c r="AQ26" s="625">
        <f t="shared" si="11"/>
        <v>3.7309498081343548</v>
      </c>
      <c r="AS26" s="56">
        <f t="shared" si="120"/>
        <v>-93.500138477819348</v>
      </c>
      <c r="AT26" s="77">
        <f t="shared" si="12"/>
        <v>-0.18124147207427604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3.1280000000000001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1" t="str" cm="1">
        <f t="array" ref="II26">IFERROR(IF(IH26&lt;1,IH26+LARGE((IF($M$9:$M$150="",0,$M$9:$M$150)-MOD(IF($M$9:$M$150="",0,$M$9:$M$150),1)),1),IH26),"")</f>
        <v/>
      </c>
      <c r="IJ26" s="842" t="str">
        <f t="shared" si="69"/>
        <v/>
      </c>
      <c r="IK26" s="842" t="str">
        <f t="shared" si="70"/>
        <v/>
      </c>
      <c r="IL26" s="791" t="str">
        <f t="shared" si="71"/>
        <v/>
      </c>
      <c r="IM26" s="833">
        <v>1.7698456668450699E-2</v>
      </c>
      <c r="IN26" s="5" t="str">
        <f t="shared" si="230"/>
        <v/>
      </c>
      <c r="IO26" s="802">
        <v>1060</v>
      </c>
      <c r="IP26" s="9" t="str">
        <f t="shared" si="73"/>
        <v/>
      </c>
      <c r="IQ26" s="5" t="str">
        <f t="shared" si="74"/>
        <v/>
      </c>
      <c r="IR26" s="5" t="str">
        <f t="shared" si="75"/>
        <v/>
      </c>
      <c r="IS26" s="5" t="str">
        <f t="shared" si="76"/>
        <v/>
      </c>
      <c r="IT26" s="791" t="str">
        <f t="shared" si="77"/>
        <v/>
      </c>
      <c r="IU26" s="9" t="str">
        <f t="shared" si="78"/>
        <v/>
      </c>
      <c r="IV26" s="5" t="str">
        <f t="shared" si="79"/>
        <v/>
      </c>
      <c r="IW26" s="5" t="str">
        <f t="shared" si="80"/>
        <v/>
      </c>
      <c r="IX26" s="5" t="str">
        <f t="shared" si="81"/>
        <v/>
      </c>
      <c r="IY26" s="836" t="str">
        <f t="shared" si="82"/>
        <v/>
      </c>
    </row>
    <row r="27" spans="1:259" ht="15" customHeight="1" x14ac:dyDescent="0.25">
      <c r="A27" s="84">
        <f t="shared" si="83"/>
        <v>0.02</v>
      </c>
      <c r="B27" s="770">
        <v>3.6540329283967221</v>
      </c>
      <c r="C27" s="771">
        <v>-0.28985281411281288</v>
      </c>
      <c r="D27" s="772">
        <v>-1.1208033803429951</v>
      </c>
      <c r="E27" s="773">
        <v>0.47704067243714315</v>
      </c>
      <c r="F27" s="771">
        <v>0.85596458975935874</v>
      </c>
      <c r="G27" s="774">
        <v>0.19939111795366163</v>
      </c>
      <c r="H27" s="773">
        <v>0.26600000000000001</v>
      </c>
      <c r="I27" s="771">
        <v>0.52</v>
      </c>
      <c r="J27" s="601">
        <v>3.1360000000000001</v>
      </c>
      <c r="K27" s="426" t="str">
        <f t="shared" si="226"/>
        <v>1313</v>
      </c>
      <c r="L27" s="327" t="str">
        <f t="shared" si="229"/>
        <v/>
      </c>
      <c r="M27" s="173">
        <f t="shared" si="3"/>
        <v>3.1360000000000001</v>
      </c>
      <c r="N27" s="21">
        <f t="shared" si="4"/>
        <v>3.6540329283967221</v>
      </c>
      <c r="O27" s="5">
        <f t="shared" si="5"/>
        <v>-0.28985281411281288</v>
      </c>
      <c r="P27" s="10">
        <f t="shared" si="6"/>
        <v>-1.1208033803429951</v>
      </c>
      <c r="Q27" s="624">
        <f t="shared" si="117"/>
        <v>355.46456167165951</v>
      </c>
      <c r="R27" s="5">
        <f t="shared" si="84"/>
        <v>3.6655110551813426</v>
      </c>
      <c r="S27" s="6">
        <f t="shared" si="85"/>
        <v>-1.1208033803429951</v>
      </c>
      <c r="T27" s="4">
        <f t="shared" si="86"/>
        <v>-0.26051371680885127</v>
      </c>
      <c r="U27" s="5">
        <f t="shared" si="87"/>
        <v>-3.6562417725050782</v>
      </c>
      <c r="V27" s="8">
        <f t="shared" si="118"/>
        <v>-1.1208033803429951</v>
      </c>
      <c r="W27" s="624">
        <f t="shared" si="228"/>
        <v>265.92446160525816</v>
      </c>
      <c r="X27" s="5">
        <f t="shared" si="88"/>
        <v>3.6655110551813426</v>
      </c>
      <c r="Y27" s="7">
        <f t="shared" si="227"/>
        <v>-1.1208033803429951</v>
      </c>
      <c r="Z27" s="21">
        <f t="shared" si="8"/>
        <v>-0.47704067243714315</v>
      </c>
      <c r="AA27" s="5">
        <f t="shared" si="9"/>
        <v>-0.85596458975935874</v>
      </c>
      <c r="AB27" s="5">
        <f t="shared" si="10"/>
        <v>-0.19939111795366163</v>
      </c>
      <c r="AC27" s="8">
        <f t="shared" si="89"/>
        <v>1</v>
      </c>
      <c r="AD27" s="9">
        <f t="shared" si="119"/>
        <v>-0.47704067243714315</v>
      </c>
      <c r="AE27" s="5">
        <f t="shared" si="90"/>
        <v>-0.85596458975935874</v>
      </c>
      <c r="AF27" s="10">
        <f t="shared" si="91"/>
        <v>-0.19939111795366163</v>
      </c>
      <c r="AG27" s="622">
        <f t="shared" si="92"/>
        <v>-76.887179162120503</v>
      </c>
      <c r="AH27" s="623">
        <f t="shared" si="93"/>
        <v>118.4923013708238</v>
      </c>
      <c r="AI27" s="624">
        <f t="shared" si="94"/>
        <v>-78.498644465248887</v>
      </c>
      <c r="AJ27" s="625">
        <f t="shared" si="95"/>
        <v>-29.131516682636093</v>
      </c>
      <c r="AK27" s="4">
        <f t="shared" si="214"/>
        <v>0.89100655507718407</v>
      </c>
      <c r="AL27" s="5">
        <f t="shared" si="96"/>
        <v>-0.40786088423711098</v>
      </c>
      <c r="AM27" s="6">
        <f t="shared" si="97"/>
        <v>-0.19939111795366163</v>
      </c>
      <c r="AN27" s="612">
        <f t="shared" si="98"/>
        <v>-63.947359188196337</v>
      </c>
      <c r="AO27" s="613">
        <f t="shared" si="99"/>
        <v>26.999996101682914</v>
      </c>
      <c r="AP27" s="624">
        <f t="shared" si="100"/>
        <v>-24.596078354295621</v>
      </c>
      <c r="AQ27" s="625">
        <f t="shared" si="11"/>
        <v>3.3794273016951997</v>
      </c>
      <c r="AS27" s="56">
        <f t="shared" si="120"/>
        <v>-94.075538394741841</v>
      </c>
      <c r="AT27" s="77">
        <f t="shared" si="12"/>
        <v>-0.76366950221370877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3.1360000000000001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1" t="str" cm="1">
        <f t="array" ref="II27">IFERROR(IF(IH27&lt;1,IH27+LARGE((IF($M$9:$M$150="",0,$M$9:$M$150)-MOD(IF($M$9:$M$150="",0,$M$9:$M$150),1)),1),IH27),"")</f>
        <v/>
      </c>
      <c r="IJ27" s="842" t="str">
        <f t="shared" si="69"/>
        <v/>
      </c>
      <c r="IK27" s="842" t="str">
        <f t="shared" si="70"/>
        <v/>
      </c>
      <c r="IL27" s="791" t="str">
        <f t="shared" si="71"/>
        <v/>
      </c>
      <c r="IM27" s="833"/>
      <c r="IN27" s="5" t="str">
        <f t="shared" si="230"/>
        <v/>
      </c>
      <c r="IO27" s="802"/>
      <c r="IP27" s="9" t="str">
        <f t="shared" si="73"/>
        <v/>
      </c>
      <c r="IQ27" s="5" t="str">
        <f t="shared" si="74"/>
        <v/>
      </c>
      <c r="IR27" s="5" t="str">
        <f t="shared" si="75"/>
        <v/>
      </c>
      <c r="IS27" s="5" t="str">
        <f t="shared" si="76"/>
        <v/>
      </c>
      <c r="IT27" s="791" t="str">
        <f t="shared" si="77"/>
        <v/>
      </c>
      <c r="IU27" s="9" t="str">
        <f t="shared" si="78"/>
        <v/>
      </c>
      <c r="IV27" s="5" t="str">
        <f t="shared" si="79"/>
        <v/>
      </c>
      <c r="IW27" s="5" t="str">
        <f t="shared" si="80"/>
        <v/>
      </c>
      <c r="IX27" s="5" t="str">
        <f t="shared" si="81"/>
        <v/>
      </c>
      <c r="IY27" s="836" t="str">
        <f t="shared" si="82"/>
        <v/>
      </c>
    </row>
    <row r="28" spans="1:259" ht="15" customHeight="1" x14ac:dyDescent="0.25">
      <c r="A28" s="84">
        <f t="shared" si="83"/>
        <v>0.02</v>
      </c>
      <c r="B28" s="770">
        <v>3.721114654769079</v>
      </c>
      <c r="C28" s="771">
        <v>-0.30276288101637056</v>
      </c>
      <c r="D28" s="772">
        <v>-1.799205426403566</v>
      </c>
      <c r="E28" s="773">
        <v>0.56668748177328276</v>
      </c>
      <c r="F28" s="771">
        <v>0.82277959279909252</v>
      </c>
      <c r="G28" s="774">
        <v>4.3577972357774879E-2</v>
      </c>
      <c r="H28" s="773">
        <v>0.26600000000000001</v>
      </c>
      <c r="I28" s="771">
        <v>0.52</v>
      </c>
      <c r="J28" s="601">
        <v>3.1440000000000001</v>
      </c>
      <c r="K28" s="426" t="str">
        <f t="shared" si="226"/>
        <v>1313</v>
      </c>
      <c r="L28" s="327" t="str">
        <f t="shared" si="229"/>
        <v/>
      </c>
      <c r="M28" s="173">
        <f t="shared" si="3"/>
        <v>3.1440000000000001</v>
      </c>
      <c r="N28" s="21">
        <f t="shared" si="4"/>
        <v>3.721114654769079</v>
      </c>
      <c r="O28" s="5">
        <f t="shared" si="5"/>
        <v>-0.30276288101637056</v>
      </c>
      <c r="P28" s="10">
        <f t="shared" si="6"/>
        <v>-1.799205426403566</v>
      </c>
      <c r="Q28" s="624">
        <f t="shared" si="117"/>
        <v>355.34846168842228</v>
      </c>
      <c r="R28" s="5">
        <f t="shared" si="84"/>
        <v>3.7334112599683595</v>
      </c>
      <c r="S28" s="6">
        <f t="shared" si="85"/>
        <v>-1.799205426403566</v>
      </c>
      <c r="T28" s="4">
        <f t="shared" si="86"/>
        <v>-0.2728849241458044</v>
      </c>
      <c r="U28" s="5">
        <f t="shared" si="87"/>
        <v>-3.7234249628846383</v>
      </c>
      <c r="V28" s="8">
        <f t="shared" si="118"/>
        <v>-1.799205426403566</v>
      </c>
      <c r="W28" s="624">
        <f t="shared" si="228"/>
        <v>265.80836162202093</v>
      </c>
      <c r="X28" s="5">
        <f t="shared" si="88"/>
        <v>3.7334112599683595</v>
      </c>
      <c r="Y28" s="7">
        <f t="shared" si="227"/>
        <v>-1.799205426403566</v>
      </c>
      <c r="Z28" s="21">
        <f t="shared" si="8"/>
        <v>-0.56668748177328276</v>
      </c>
      <c r="AA28" s="5">
        <f t="shared" si="9"/>
        <v>-0.82277959279909252</v>
      </c>
      <c r="AB28" s="5">
        <f t="shared" si="10"/>
        <v>-4.3577972357774879E-2</v>
      </c>
      <c r="AC28" s="8">
        <f t="shared" si="89"/>
        <v>1</v>
      </c>
      <c r="AD28" s="9">
        <f t="shared" si="119"/>
        <v>-0.56668748177328276</v>
      </c>
      <c r="AE28" s="5">
        <f t="shared" si="90"/>
        <v>-0.82277959279909252</v>
      </c>
      <c r="AF28" s="10">
        <f t="shared" si="91"/>
        <v>-4.3577972357774879E-2</v>
      </c>
      <c r="AG28" s="622">
        <f t="shared" si="92"/>
        <v>-86.968200091262489</v>
      </c>
      <c r="AH28" s="623">
        <f t="shared" si="93"/>
        <v>124.51955529814028</v>
      </c>
      <c r="AI28" s="624">
        <f t="shared" si="94"/>
        <v>-87.502375163624507</v>
      </c>
      <c r="AJ28" s="625">
        <f t="shared" si="95"/>
        <v>-34.55703493063006</v>
      </c>
      <c r="AK28" s="4">
        <f t="shared" si="214"/>
        <v>0.86602544158358541</v>
      </c>
      <c r="AL28" s="5">
        <f t="shared" si="96"/>
        <v>-0.49809727449077756</v>
      </c>
      <c r="AM28" s="6">
        <f t="shared" si="97"/>
        <v>-4.3577972357774879E-2</v>
      </c>
      <c r="AN28" s="612">
        <f t="shared" si="98"/>
        <v>-84.999987727520178</v>
      </c>
      <c r="AO28" s="613">
        <f t="shared" si="99"/>
        <v>29.99999566853656</v>
      </c>
      <c r="AP28" s="624">
        <f t="shared" si="100"/>
        <v>-29.905496619052343</v>
      </c>
      <c r="AQ28" s="625">
        <f t="shared" si="11"/>
        <v>3.3181036609181889</v>
      </c>
      <c r="AS28" s="56">
        <f t="shared" si="120"/>
        <v>-94.191638377979075</v>
      </c>
      <c r="AT28" s="77">
        <f t="shared" si="12"/>
        <v>-1.4416329483376056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3.1440000000000001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1" t="str" cm="1">
        <f t="array" ref="II28">IFERROR(IF(IH28&lt;1,IH28+LARGE((IF($M$9:$M$150="",0,$M$9:$M$150)-MOD(IF($M$9:$M$150="",0,$M$9:$M$150),1)),1),IH28),"")</f>
        <v/>
      </c>
      <c r="IJ28" s="842" t="str">
        <f t="shared" si="69"/>
        <v/>
      </c>
      <c r="IK28" s="842" t="str">
        <f t="shared" si="70"/>
        <v/>
      </c>
      <c r="IL28" s="791" t="str">
        <f t="shared" si="71"/>
        <v/>
      </c>
      <c r="IM28" s="833"/>
      <c r="IN28" s="5" t="str">
        <f t="shared" si="230"/>
        <v/>
      </c>
      <c r="IO28" s="802"/>
      <c r="IP28" s="9" t="str">
        <f t="shared" si="73"/>
        <v/>
      </c>
      <c r="IQ28" s="5" t="str">
        <f t="shared" si="74"/>
        <v/>
      </c>
      <c r="IR28" s="5" t="str">
        <f t="shared" si="75"/>
        <v/>
      </c>
      <c r="IS28" s="5" t="str">
        <f t="shared" si="76"/>
        <v/>
      </c>
      <c r="IT28" s="791" t="str">
        <f t="shared" si="77"/>
        <v/>
      </c>
      <c r="IU28" s="9" t="str">
        <f t="shared" si="78"/>
        <v/>
      </c>
      <c r="IV28" s="5" t="str">
        <f t="shared" si="79"/>
        <v/>
      </c>
      <c r="IW28" s="5" t="str">
        <f t="shared" si="80"/>
        <v/>
      </c>
      <c r="IX28" s="5" t="str">
        <f t="shared" si="81"/>
        <v/>
      </c>
      <c r="IY28" s="836" t="str">
        <f t="shared" si="82"/>
        <v/>
      </c>
    </row>
    <row r="29" spans="1:259" ht="15" customHeight="1" x14ac:dyDescent="0.25">
      <c r="A29" s="84">
        <f t="shared" si="83"/>
        <v>0.02</v>
      </c>
      <c r="B29" s="770">
        <v>1.9227622819711701</v>
      </c>
      <c r="C29" s="771">
        <v>-1.8557157971095177</v>
      </c>
      <c r="D29" s="772">
        <v>-0.13180039750999889</v>
      </c>
      <c r="E29" s="773">
        <v>0.73206492396084144</v>
      </c>
      <c r="F29" s="771">
        <v>0.6358822260428878</v>
      </c>
      <c r="G29" s="774">
        <v>0.24440691829191186</v>
      </c>
      <c r="H29" s="773">
        <v>0.26600000000000001</v>
      </c>
      <c r="I29" s="771">
        <v>0.52</v>
      </c>
      <c r="J29" s="601">
        <v>4.1189999999999998</v>
      </c>
      <c r="K29" s="426" t="str">
        <f t="shared" si="226"/>
        <v>1313</v>
      </c>
      <c r="L29" s="327" t="str">
        <f t="shared" si="229"/>
        <v/>
      </c>
      <c r="M29" s="173">
        <f t="shared" si="3"/>
        <v>4.1189999999999998</v>
      </c>
      <c r="N29" s="21">
        <f t="shared" si="4"/>
        <v>1.9227622819711701</v>
      </c>
      <c r="O29" s="5">
        <f t="shared" si="5"/>
        <v>-1.8557157971095177</v>
      </c>
      <c r="P29" s="10">
        <f t="shared" si="6"/>
        <v>-0.13180039750999889</v>
      </c>
      <c r="Q29" s="624">
        <f t="shared" si="117"/>
        <v>316.01656736724516</v>
      </c>
      <c r="R29" s="5">
        <f>IF(M29="","",SQRT(N29^2+O29^2))</f>
        <v>2.6722080593795074</v>
      </c>
      <c r="S29" s="6">
        <f>IF(M29="","",P29)</f>
        <v>-0.13180039750999889</v>
      </c>
      <c r="T29" s="4">
        <f>IF(M29="","",X29*COS(RADIANS(W29)))</f>
        <v>-1.8402226153033288</v>
      </c>
      <c r="U29" s="5">
        <f>IF(M29="","",X29*SIN(RADIANS(W29)))</f>
        <v>-1.9375955818330539</v>
      </c>
      <c r="V29" s="8">
        <f>IF(M29="","",Y29)</f>
        <v>-0.13180039750999889</v>
      </c>
      <c r="W29" s="624">
        <f t="shared" si="228"/>
        <v>226.47646730084381</v>
      </c>
      <c r="X29" s="5">
        <f>IF(M29="","",R29)</f>
        <v>2.6722080593795074</v>
      </c>
      <c r="Y29" s="7">
        <f t="shared" si="227"/>
        <v>-0.13180039750999889</v>
      </c>
      <c r="Z29" s="21">
        <f t="shared" si="8"/>
        <v>-0.73206492396084144</v>
      </c>
      <c r="AA29" s="5">
        <f t="shared" si="9"/>
        <v>-0.6358822260428878</v>
      </c>
      <c r="AB29" s="5">
        <f t="shared" si="10"/>
        <v>-0.24440691829191186</v>
      </c>
      <c r="AC29" s="8">
        <f>IF(M29="","",SQRT(Z29^2+AA29^2+AB29^2))</f>
        <v>1</v>
      </c>
      <c r="AD29" s="9">
        <f>IF(M29="","",Z29*(1/SQRT(Z29^2+AA29^2+AB29^2)))</f>
        <v>-0.73206492396084144</v>
      </c>
      <c r="AE29" s="5">
        <f>IF(M29="","",AA29*(1/SQRT(Z29^2+AA29^2+AB29^2)))</f>
        <v>-0.6358822260428878</v>
      </c>
      <c r="AF29" s="10">
        <f>IF(M29="","",AB29*(1/SQRT(Z29^2+AA29^2+AB29^2)))</f>
        <v>-0.24440691829191186</v>
      </c>
      <c r="AG29" s="622">
        <f>IF(M29="","",DEGREES(ATAN2(-AF29,AE29)))</f>
        <v>-68.975297672047532</v>
      </c>
      <c r="AH29" s="623">
        <f>IF(M29="","",DEGREES(ACOS(AD29)))</f>
        <v>137.0597843918402</v>
      </c>
      <c r="AI29" s="624">
        <f>IF(M29="","",DEGREES(-ACOS(-AF29)))</f>
        <v>-75.853212837721685</v>
      </c>
      <c r="AJ29" s="625">
        <f>IF(M29="","",DEGREES(ATAN2(-AE29,AD29)))</f>
        <v>-49.021944911445978</v>
      </c>
      <c r="AK29" s="4">
        <f>IF(M29="","",(COS(RADIANS((90-$Q$8)-W29))*AD29)+(-SIN(RADIANS((90-$Q$8)-W29))*AE29))</f>
        <v>0.96592583607220739</v>
      </c>
      <c r="AL29" s="5">
        <f>IF(M29="","",(SIN(RADIANS((90-$Q$8)-W29))*AD29)+(COS(RADIANS((90-$Q$8)-W29))*AE29))</f>
        <v>-8.5161831234761065E-2</v>
      </c>
      <c r="AM29" s="6">
        <f>IF(M29="","",AF29)</f>
        <v>-0.24440691829191186</v>
      </c>
      <c r="AN29" s="612">
        <f>IF(M29="","",DEGREES(ATAN2(-AM29,AL29)))</f>
        <v>-19.210523542133007</v>
      </c>
      <c r="AO29" s="613">
        <f t="shared" si="99"/>
        <v>14.999997834268255</v>
      </c>
      <c r="AP29" s="624">
        <f>IF(M29="","",DEGREES(ATAN2(AK29,AL29)))</f>
        <v>-5.0385122786911243</v>
      </c>
      <c r="AQ29" s="625">
        <f t="shared" si="11"/>
        <v>4.630887964045157</v>
      </c>
      <c r="AS29" s="56">
        <f t="shared" si="120"/>
        <v>-133.52353269915619</v>
      </c>
      <c r="AT29" s="77">
        <f t="shared" si="12"/>
        <v>0.37435923688040834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4.1189999999999998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1" t="str" cm="1">
        <f t="array" ref="II29">IFERROR(IF(IH29&lt;1,IH29+LARGE((IF($M$9:$M$150="",0,$M$9:$M$150)-MOD(IF($M$9:$M$150="",0,$M$9:$M$150),1)),1),IH29),"")</f>
        <v/>
      </c>
      <c r="IJ29" s="842" t="str">
        <f t="shared" si="69"/>
        <v/>
      </c>
      <c r="IK29" s="842" t="str">
        <f t="shared" si="70"/>
        <v/>
      </c>
      <c r="IL29" s="791" t="str">
        <f t="shared" si="71"/>
        <v/>
      </c>
      <c r="IM29" s="833"/>
      <c r="IN29" s="5" t="str">
        <f t="shared" si="230"/>
        <v/>
      </c>
      <c r="IO29" s="802"/>
      <c r="IP29" s="9" t="str">
        <f t="shared" si="73"/>
        <v/>
      </c>
      <c r="IQ29" s="5" t="str">
        <f t="shared" si="74"/>
        <v/>
      </c>
      <c r="IR29" s="5" t="str">
        <f t="shared" si="75"/>
        <v/>
      </c>
      <c r="IS29" s="5" t="str">
        <f t="shared" si="76"/>
        <v/>
      </c>
      <c r="IT29" s="791" t="str">
        <f t="shared" si="77"/>
        <v/>
      </c>
      <c r="IU29" s="9" t="str">
        <f t="shared" si="78"/>
        <v/>
      </c>
      <c r="IV29" s="5" t="str">
        <f t="shared" si="79"/>
        <v/>
      </c>
      <c r="IW29" s="5" t="str">
        <f t="shared" si="80"/>
        <v/>
      </c>
      <c r="IX29" s="5" t="str">
        <f t="shared" si="81"/>
        <v/>
      </c>
      <c r="IY29" s="836" t="str">
        <f t="shared" si="82"/>
        <v/>
      </c>
    </row>
    <row r="30" spans="1:259" ht="15" customHeight="1" x14ac:dyDescent="0.25">
      <c r="A30" s="84">
        <f t="shared" si="83"/>
        <v>0.02</v>
      </c>
      <c r="B30" s="770">
        <v>2.3096559878433647</v>
      </c>
      <c r="C30" s="771">
        <v>-2.2985594433933736</v>
      </c>
      <c r="D30" s="772">
        <v>-0.47590143531872892</v>
      </c>
      <c r="E30" s="773">
        <v>0.81243838099092602</v>
      </c>
      <c r="F30" s="771">
        <v>0.53323488189027624</v>
      </c>
      <c r="G30" s="774">
        <v>0.23580593255536686</v>
      </c>
      <c r="H30" s="773">
        <v>0.26600000000000001</v>
      </c>
      <c r="I30" s="771">
        <v>0.52</v>
      </c>
      <c r="J30" s="601">
        <v>4.1269999999999998</v>
      </c>
      <c r="K30" s="426" t="str">
        <f t="shared" si="226"/>
        <v>1313</v>
      </c>
      <c r="L30" s="327" t="str">
        <f t="shared" si="229"/>
        <v/>
      </c>
      <c r="M30" s="173">
        <f t="shared" si="3"/>
        <v>4.1269999999999998</v>
      </c>
      <c r="N30" s="21">
        <f t="shared" si="4"/>
        <v>2.3096559878433647</v>
      </c>
      <c r="O30" s="5">
        <f t="shared" si="5"/>
        <v>-2.2985594433933736</v>
      </c>
      <c r="P30" s="10">
        <f t="shared" si="6"/>
        <v>-0.47590143531872892</v>
      </c>
      <c r="Q30" s="624">
        <f t="shared" si="117"/>
        <v>315.13796749409931</v>
      </c>
      <c r="R30" s="5">
        <f>IF(M30="","",SQRT(N30^2+O30^2))</f>
        <v>3.258509827665641</v>
      </c>
      <c r="S30" s="6">
        <f>IF(M30="","",P30)</f>
        <v>-0.47590143531872892</v>
      </c>
      <c r="T30" s="4">
        <f>IF(M30="","",X30*COS(RADIANS(W30)))</f>
        <v>-2.2799465229780527</v>
      </c>
      <c r="U30" s="5">
        <f>IF(M30="","",X30*SIN(RADIANS(W30)))</f>
        <v>-2.3280313892544173</v>
      </c>
      <c r="V30" s="8">
        <f>IF(M30="","",Y30)</f>
        <v>-0.47590143531872892</v>
      </c>
      <c r="W30" s="624">
        <f t="shared" si="228"/>
        <v>225.59786742769796</v>
      </c>
      <c r="X30" s="5">
        <f>IF(M30="","",R30)</f>
        <v>3.258509827665641</v>
      </c>
      <c r="Y30" s="7">
        <f t="shared" si="227"/>
        <v>-0.47590143531872892</v>
      </c>
      <c r="Z30" s="21">
        <f t="shared" si="8"/>
        <v>-0.81243838099092602</v>
      </c>
      <c r="AA30" s="5">
        <f t="shared" si="9"/>
        <v>-0.53323488189027624</v>
      </c>
      <c r="AB30" s="5">
        <f t="shared" si="10"/>
        <v>-0.23580593255536686</v>
      </c>
      <c r="AC30" s="8">
        <f>IF(M30="","",SQRT(Z30^2+AA30^2+AB30^2))</f>
        <v>1</v>
      </c>
      <c r="AD30" s="9">
        <f>IF(M30="","",Z30*(1/SQRT(Z30^2+AA30^2+AB30^2)))</f>
        <v>-0.81243838099092602</v>
      </c>
      <c r="AE30" s="5">
        <f>IF(M30="","",AA30*(1/SQRT(Z30^2+AA30^2+AB30^2)))</f>
        <v>-0.53323488189027624</v>
      </c>
      <c r="AF30" s="10">
        <f>IF(M30="","",AB30*(1/SQRT(Z30^2+AA30^2+AB30^2)))</f>
        <v>-0.23580593255536686</v>
      </c>
      <c r="AG30" s="622">
        <f>IF(M30="","",DEGREES(ATAN2(-AF30,AE30)))</f>
        <v>-66.144134797560824</v>
      </c>
      <c r="AH30" s="623">
        <f>IF(M30="","",DEGREES(ACOS(AD30)))</f>
        <v>144.33485658488263</v>
      </c>
      <c r="AI30" s="624">
        <f>IF(M30="","",DEGREES(-ACOS(-AF30)))</f>
        <v>-76.360865509422865</v>
      </c>
      <c r="AJ30" s="625">
        <f>IF(M30="","",DEGREES(ATAN2(-AE30,AD30)))</f>
        <v>-56.721553407330376</v>
      </c>
      <c r="AK30" s="4">
        <f>IF(M30="","",(COS(RADIANS((90-$Q$8)-W30))*AD30)+(-SIN(RADIANS((90-$Q$8)-W30))*AE30))</f>
        <v>0.95105653031184811</v>
      </c>
      <c r="AL30" s="5">
        <f>IF(M30="","",(SIN(RADIANS((90-$Q$8)-W30))*AD30)+(COS(RADIANS((90-$Q$8)-W30))*AE30))</f>
        <v>-0.19971739614485962</v>
      </c>
      <c r="AM30" s="6">
        <f>IF(M30="","",AF30)</f>
        <v>-0.23580593255536686</v>
      </c>
      <c r="AN30" s="612">
        <f>IF(M30="","",DEGREES(ATAN2(-AM30,AL30)))</f>
        <v>-40.263152081456937</v>
      </c>
      <c r="AO30" s="613">
        <f>IF(ROUND(IF(M30="",0,DEGREES(ACOS(AK30))),4)=90,0,IF(M30="","",DEGREES(ACOS(AK30))))</f>
        <v>17.999997401121902</v>
      </c>
      <c r="AP30" s="624">
        <f>IF(M30="","",DEGREES(ATAN2(AK30,AL30)))</f>
        <v>-11.859520901429674</v>
      </c>
      <c r="AQ30" s="625">
        <f t="shared" si="11"/>
        <v>3.8003630548199903</v>
      </c>
      <c r="AS30" s="56">
        <f t="shared" si="120"/>
        <v>-134.40213257230204</v>
      </c>
      <c r="AT30" s="77">
        <f t="shared" si="12"/>
        <v>3.3577354148007055E-2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4.1269999999999998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1" t="str" cm="1">
        <f t="array" ref="II30">IFERROR(IF(IH30&lt;1,IH30+LARGE((IF($M$9:$M$150="",0,$M$9:$M$150)-MOD(IF($M$9:$M$150="",0,$M$9:$M$150),1)),1),IH30),"")</f>
        <v/>
      </c>
      <c r="IJ30" s="842" t="str">
        <f t="shared" si="69"/>
        <v/>
      </c>
      <c r="IK30" s="842" t="str">
        <f t="shared" si="70"/>
        <v/>
      </c>
      <c r="IL30" s="791" t="str">
        <f t="shared" si="71"/>
        <v/>
      </c>
      <c r="IM30" s="833"/>
      <c r="IN30" s="5" t="str">
        <f t="shared" si="230"/>
        <v/>
      </c>
      <c r="IO30" s="802"/>
      <c r="IP30" s="9" t="str">
        <f t="shared" si="73"/>
        <v/>
      </c>
      <c r="IQ30" s="5" t="str">
        <f t="shared" si="74"/>
        <v/>
      </c>
      <c r="IR30" s="5" t="str">
        <f t="shared" si="75"/>
        <v/>
      </c>
      <c r="IS30" s="5" t="str">
        <f t="shared" si="76"/>
        <v/>
      </c>
      <c r="IT30" s="791" t="str">
        <f t="shared" si="77"/>
        <v/>
      </c>
      <c r="IU30" s="9" t="str">
        <f t="shared" si="78"/>
        <v/>
      </c>
      <c r="IV30" s="5" t="str">
        <f t="shared" si="79"/>
        <v/>
      </c>
      <c r="IW30" s="5" t="str">
        <f t="shared" si="80"/>
        <v/>
      </c>
      <c r="IX30" s="5" t="str">
        <f t="shared" si="81"/>
        <v/>
      </c>
      <c r="IY30" s="836" t="str">
        <f t="shared" si="82"/>
        <v/>
      </c>
    </row>
    <row r="31" spans="1:259" ht="15" customHeight="1" x14ac:dyDescent="0.25">
      <c r="A31" s="84">
        <f t="shared" si="83"/>
        <v>0.02</v>
      </c>
      <c r="B31" s="770">
        <v>2.5505732621648578</v>
      </c>
      <c r="C31" s="771">
        <v>-2.5934652680406756</v>
      </c>
      <c r="D31" s="772">
        <v>-1.0399031363478597</v>
      </c>
      <c r="E31" s="773">
        <v>0.9104780962758906</v>
      </c>
      <c r="F31" s="771">
        <v>0.35602976075395998</v>
      </c>
      <c r="G31" s="774">
        <v>0.2104101843051053</v>
      </c>
      <c r="H31" s="773">
        <v>0.26600000000000001</v>
      </c>
      <c r="I31" s="771">
        <v>0.52</v>
      </c>
      <c r="J31" s="601">
        <v>4.1349999999999998</v>
      </c>
      <c r="K31" s="426" t="str">
        <f t="shared" si="226"/>
        <v>1313</v>
      </c>
      <c r="L31" s="327" t="str">
        <f t="shared" si="229"/>
        <v/>
      </c>
      <c r="M31" s="173">
        <f t="shared" si="3"/>
        <v>4.1349999999999998</v>
      </c>
      <c r="N31" s="21">
        <f t="shared" si="4"/>
        <v>2.5505732621648578</v>
      </c>
      <c r="O31" s="5">
        <f t="shared" si="5"/>
        <v>-2.5934652680406756</v>
      </c>
      <c r="P31" s="10">
        <f t="shared" si="6"/>
        <v>-1.0399031363478597</v>
      </c>
      <c r="Q31" s="624">
        <f t="shared" si="117"/>
        <v>314.52226758299537</v>
      </c>
      <c r="R31" s="5">
        <f>IF(M31="","",SQRT(N31^2+O31^2))</f>
        <v>3.6375109707330888</v>
      </c>
      <c r="S31" s="6">
        <f>IF(M31="","",P31)</f>
        <v>-1.0399031363478597</v>
      </c>
      <c r="T31" s="4">
        <f>IF(M31="","",X31*COS(RADIANS(W31)))</f>
        <v>-2.5729090811118258</v>
      </c>
      <c r="U31" s="5">
        <f>IF(M31="","",X31*SIN(RADIANS(W31)))</f>
        <v>-2.5713080178259236</v>
      </c>
      <c r="V31" s="8">
        <f>IF(M31="","",Y31)</f>
        <v>-1.0399031363478597</v>
      </c>
      <c r="W31" s="624">
        <f t="shared" si="228"/>
        <v>224.98216751659402</v>
      </c>
      <c r="X31" s="5">
        <f>IF(M31="","",R31)</f>
        <v>3.6375109707330888</v>
      </c>
      <c r="Y31" s="7">
        <f t="shared" si="227"/>
        <v>-1.0399031363478597</v>
      </c>
      <c r="Z31" s="21">
        <f t="shared" si="8"/>
        <v>-0.9104780962758906</v>
      </c>
      <c r="AA31" s="5">
        <f t="shared" si="9"/>
        <v>-0.35602976075395998</v>
      </c>
      <c r="AB31" s="5">
        <f t="shared" si="10"/>
        <v>-0.2104101843051053</v>
      </c>
      <c r="AC31" s="8">
        <f>IF(M31="","",SQRT(Z31^2+AA31^2+AB31^2))</f>
        <v>1</v>
      </c>
      <c r="AD31" s="9">
        <f>IF(M31="","",Z31*(1/SQRT(Z31^2+AA31^2+AB31^2)))</f>
        <v>-0.9104780962758906</v>
      </c>
      <c r="AE31" s="5">
        <f>IF(M31="","",AA31*(1/SQRT(Z31^2+AA31^2+AB31^2)))</f>
        <v>-0.35602976075395998</v>
      </c>
      <c r="AF31" s="10">
        <f>IF(M31="","",AB31*(1/SQRT(Z31^2+AA31^2+AB31^2)))</f>
        <v>-0.2104101843051053</v>
      </c>
      <c r="AG31" s="622">
        <f>IF(M31="","",DEGREES(ATAN2(-AF31,AE31)))</f>
        <v>-59.41731865129497</v>
      </c>
      <c r="AH31" s="623">
        <f>IF(M31="","",DEGREES(ACOS(AD31)))</f>
        <v>155.57150471732916</v>
      </c>
      <c r="AI31" s="624">
        <f>IF(M31="","",DEGREES(-ACOS(-AF31)))</f>
        <v>-77.853608831327563</v>
      </c>
      <c r="AJ31" s="625">
        <f>IF(M31="","",DEGREES(ATAN2(-AE31,AD31)))</f>
        <v>-68.642709903498442</v>
      </c>
      <c r="AK31" s="4">
        <f>IF(M31="","",(COS(RADIANS((90-$Q$8)-W31))*AD31)+(-SIN(RADIANS((90-$Q$8)-W31))*AE31))</f>
        <v>0.89879407502059638</v>
      </c>
      <c r="AL31" s="5">
        <f>IF(M31="","",(SIN(RADIANS((90-$Q$8)-W31))*AD31)+(COS(RADIANS((90-$Q$8)-W31))*AE31))</f>
        <v>-0.38457348458852753</v>
      </c>
      <c r="AM31" s="6">
        <f>IF(M31="","",AF31)</f>
        <v>-0.2104101843051053</v>
      </c>
      <c r="AN31" s="612">
        <f>IF(M31="","",DEGREES(ATAN2(-AM31,AL31)))</f>
        <v>-61.315780620780878</v>
      </c>
      <c r="AO31" s="613">
        <f t="shared" si="99"/>
        <v>25.999996246064981</v>
      </c>
      <c r="AP31" s="624">
        <f>IF(M31="","",DEGREES(ATAN2(AK31,AL31)))</f>
        <v>-23.164977486493804</v>
      </c>
      <c r="AQ31" s="625">
        <f t="shared" si="11"/>
        <v>3.4053797767071661</v>
      </c>
      <c r="AS31" s="56">
        <f t="shared" si="120"/>
        <v>-135.01783248340598</v>
      </c>
      <c r="AT31" s="77">
        <f t="shared" si="12"/>
        <v>-0.52809836943917554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4.1349999999999998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1" t="str" cm="1">
        <f t="array" ref="II31">IFERROR(IF(IH31&lt;1,IH31+LARGE((IF($M$9:$M$150="",0,$M$9:$M$150)-MOD(IF($M$9:$M$150="",0,$M$9:$M$150),1)),1),IH31),"")</f>
        <v/>
      </c>
      <c r="IJ31" s="842" t="str">
        <f t="shared" si="69"/>
        <v/>
      </c>
      <c r="IK31" s="842" t="str">
        <f t="shared" si="70"/>
        <v/>
      </c>
      <c r="IL31" s="791" t="str">
        <f t="shared" si="71"/>
        <v/>
      </c>
      <c r="IM31" s="833"/>
      <c r="IN31" s="5" t="str">
        <f t="shared" si="230"/>
        <v/>
      </c>
      <c r="IO31" s="802"/>
      <c r="IP31" s="9" t="str">
        <f t="shared" si="73"/>
        <v/>
      </c>
      <c r="IQ31" s="5" t="str">
        <f t="shared" si="74"/>
        <v/>
      </c>
      <c r="IR31" s="5" t="str">
        <f t="shared" si="75"/>
        <v/>
      </c>
      <c r="IS31" s="5" t="str">
        <f t="shared" si="76"/>
        <v/>
      </c>
      <c r="IT31" s="791" t="str">
        <f t="shared" si="77"/>
        <v/>
      </c>
      <c r="IU31" s="9" t="str">
        <f t="shared" si="78"/>
        <v/>
      </c>
      <c r="IV31" s="5" t="str">
        <f t="shared" si="79"/>
        <v/>
      </c>
      <c r="IW31" s="5" t="str">
        <f t="shared" si="80"/>
        <v/>
      </c>
      <c r="IX31" s="5" t="str">
        <f t="shared" si="81"/>
        <v/>
      </c>
      <c r="IY31" s="836" t="str">
        <f t="shared" si="82"/>
        <v/>
      </c>
    </row>
    <row r="32" spans="1:259" ht="15" customHeight="1" x14ac:dyDescent="0.25">
      <c r="A32" s="84">
        <f t="shared" si="83"/>
        <v>0.02</v>
      </c>
      <c r="B32" s="770">
        <v>2.6097308331619118</v>
      </c>
      <c r="C32" s="771">
        <v>-2.6697686443777435</v>
      </c>
      <c r="D32" s="772">
        <v>-1.7136051682331874</v>
      </c>
      <c r="E32" s="773">
        <v>0.96571062719124223</v>
      </c>
      <c r="F32" s="771">
        <v>0.25098572415458364</v>
      </c>
      <c r="G32" s="774">
        <v>6.6401436735186087E-2</v>
      </c>
      <c r="H32" s="773">
        <v>0.26600000000000001</v>
      </c>
      <c r="I32" s="771">
        <v>0.52</v>
      </c>
      <c r="J32" s="601">
        <v>4.1429999999999998</v>
      </c>
      <c r="K32" s="426" t="str">
        <f t="shared" si="226"/>
        <v>1313</v>
      </c>
      <c r="L32" s="327" t="str">
        <f t="shared" si="229"/>
        <v/>
      </c>
      <c r="M32" s="173">
        <f t="shared" si="3"/>
        <v>4.1429999999999998</v>
      </c>
      <c r="N32" s="21">
        <f t="shared" si="4"/>
        <v>2.6097308331619118</v>
      </c>
      <c r="O32" s="5">
        <f t="shared" si="5"/>
        <v>-2.6697686443777435</v>
      </c>
      <c r="P32" s="10">
        <f t="shared" si="6"/>
        <v>-1.7136051682331874</v>
      </c>
      <c r="Q32" s="624">
        <f t="shared" si="117"/>
        <v>314.34846760808898</v>
      </c>
      <c r="R32" s="5">
        <f t="shared" si="84"/>
        <v>3.7334112599683604</v>
      </c>
      <c r="S32" s="6">
        <f t="shared" si="85"/>
        <v>-1.7136051682331874</v>
      </c>
      <c r="T32" s="4">
        <f t="shared" si="86"/>
        <v>-2.6487351603836604</v>
      </c>
      <c r="U32" s="5">
        <f t="shared" si="87"/>
        <v>-2.6310761460295833</v>
      </c>
      <c r="V32" s="8">
        <f t="shared" si="118"/>
        <v>-1.7136051682331874</v>
      </c>
      <c r="W32" s="624">
        <f t="shared" si="228"/>
        <v>224.80836754168763</v>
      </c>
      <c r="X32" s="5">
        <f t="shared" si="88"/>
        <v>3.7334112599683604</v>
      </c>
      <c r="Y32" s="7">
        <f t="shared" si="227"/>
        <v>-1.7136051682331874</v>
      </c>
      <c r="Z32" s="21">
        <f t="shared" si="8"/>
        <v>-0.96571062719124223</v>
      </c>
      <c r="AA32" s="5">
        <f t="shared" si="9"/>
        <v>-0.25098572415458364</v>
      </c>
      <c r="AB32" s="5">
        <f t="shared" si="10"/>
        <v>-6.6401436735186087E-2</v>
      </c>
      <c r="AC32" s="8">
        <f t="shared" si="89"/>
        <v>1</v>
      </c>
      <c r="AD32" s="9">
        <f t="shared" si="119"/>
        <v>-0.96571062719124223</v>
      </c>
      <c r="AE32" s="5">
        <f t="shared" si="90"/>
        <v>-0.25098572415458364</v>
      </c>
      <c r="AF32" s="10">
        <f t="shared" si="91"/>
        <v>-6.6401436735186087E-2</v>
      </c>
      <c r="AG32" s="622">
        <f t="shared" si="92"/>
        <v>-75.181191999831654</v>
      </c>
      <c r="AH32" s="623">
        <f t="shared" si="93"/>
        <v>164.95243421841226</v>
      </c>
      <c r="AI32" s="624">
        <f t="shared" si="94"/>
        <v>-86.192676574437741</v>
      </c>
      <c r="AJ32" s="625">
        <f t="shared" si="95"/>
        <v>-75.431287869785777</v>
      </c>
      <c r="AK32" s="4">
        <f t="shared" si="214"/>
        <v>0.86602544158358585</v>
      </c>
      <c r="AL32" s="5">
        <f t="shared" si="96"/>
        <v>-0.49557116918708899</v>
      </c>
      <c r="AM32" s="6">
        <f t="shared" si="97"/>
        <v>-6.6401436735186087E-2</v>
      </c>
      <c r="AN32" s="612">
        <f t="shared" si="98"/>
        <v>-82.368409160104235</v>
      </c>
      <c r="AO32" s="613">
        <f t="shared" si="99"/>
        <v>29.99999566853651</v>
      </c>
      <c r="AP32" s="624">
        <f t="shared" si="100"/>
        <v>-29.779755477874744</v>
      </c>
      <c r="AQ32" s="625">
        <f t="shared" si="11"/>
        <v>3.3181036609181884</v>
      </c>
      <c r="AS32" s="56">
        <f t="shared" si="120"/>
        <v>-135.19163245831237</v>
      </c>
      <c r="AT32" s="77">
        <f t="shared" si="12"/>
        <v>-1.2011438236415235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4.1429999999999998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1" t="str" cm="1">
        <f t="array" ref="II32">IFERROR(IF(IH32&lt;1,IH32+LARGE((IF($M$9:$M$150="",0,$M$9:$M$150)-MOD(IF($M$9:$M$150="",0,$M$9:$M$150),1)),1),IH32),"")</f>
        <v/>
      </c>
      <c r="IJ32" s="842" t="str">
        <f t="shared" si="69"/>
        <v/>
      </c>
      <c r="IK32" s="842" t="str">
        <f t="shared" si="70"/>
        <v/>
      </c>
      <c r="IL32" s="791" t="str">
        <f t="shared" si="71"/>
        <v/>
      </c>
      <c r="IM32" s="833"/>
      <c r="IN32" s="5" t="str">
        <f t="shared" si="230"/>
        <v/>
      </c>
      <c r="IO32" s="802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6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2.0311301579867144E-2</v>
      </c>
      <c r="C33" s="771">
        <v>-0.58164722488854281</v>
      </c>
      <c r="D33" s="772">
        <v>-0.4328013053287369</v>
      </c>
      <c r="E33" s="773">
        <v>0.94768598131740756</v>
      </c>
      <c r="F33" s="771">
        <v>0.113121699236782</v>
      </c>
      <c r="G33" s="774">
        <v>0.2984874569831123</v>
      </c>
      <c r="H33" s="773">
        <v>0.26600000000000001</v>
      </c>
      <c r="I33" s="771">
        <v>0.52</v>
      </c>
      <c r="J33" s="601">
        <v>5.1020000000000003</v>
      </c>
      <c r="K33" s="426" t="str">
        <f t="shared" si="226"/>
        <v>1313</v>
      </c>
      <c r="L33" s="327" t="str">
        <f t="shared" si="229"/>
        <v/>
      </c>
      <c r="M33" s="173">
        <f t="shared" si="3"/>
        <v>5.1020000000000003</v>
      </c>
      <c r="N33" s="21">
        <f t="shared" si="4"/>
        <v>2.0311301579867144E-2</v>
      </c>
      <c r="O33" s="5">
        <f t="shared" si="5"/>
        <v>-0.58164722488854281</v>
      </c>
      <c r="P33" s="10">
        <f t="shared" si="6"/>
        <v>-0.4328013053287369</v>
      </c>
      <c r="Q33" s="624">
        <f t="shared" si="117"/>
        <v>271.99997372245497</v>
      </c>
      <c r="R33" s="5">
        <f t="shared" si="84"/>
        <v>0.58200175531729403</v>
      </c>
      <c r="S33" s="6">
        <f t="shared" si="85"/>
        <v>-0.4328013053287369</v>
      </c>
      <c r="T33" s="4">
        <f t="shared" si="86"/>
        <v>-0.58146545515665204</v>
      </c>
      <c r="U33" s="5">
        <f t="shared" si="87"/>
        <v>-2.4979344504588604E-2</v>
      </c>
      <c r="V33" s="8">
        <f t="shared" si="118"/>
        <v>-0.4328013053287369</v>
      </c>
      <c r="W33" s="624">
        <f t="shared" si="228"/>
        <v>182.45987365605362</v>
      </c>
      <c r="X33" s="5">
        <f t="shared" si="88"/>
        <v>0.58200175531729403</v>
      </c>
      <c r="Y33" s="7">
        <f t="shared" si="227"/>
        <v>-0.4328013053287369</v>
      </c>
      <c r="Z33" s="21">
        <f t="shared" si="8"/>
        <v>-0.94768598131740756</v>
      </c>
      <c r="AA33" s="5">
        <f t="shared" si="9"/>
        <v>-0.113121699236782</v>
      </c>
      <c r="AB33" s="5">
        <f t="shared" si="10"/>
        <v>-0.2984874569831123</v>
      </c>
      <c r="AC33" s="8">
        <f t="shared" si="89"/>
        <v>1</v>
      </c>
      <c r="AD33" s="9">
        <f t="shared" si="119"/>
        <v>-0.94768598131740756</v>
      </c>
      <c r="AE33" s="5">
        <f t="shared" si="90"/>
        <v>-0.113121699236782</v>
      </c>
      <c r="AF33" s="10">
        <f t="shared" si="91"/>
        <v>-0.2984874569831123</v>
      </c>
      <c r="AG33" s="622">
        <f t="shared" si="92"/>
        <v>-20.75586106905229</v>
      </c>
      <c r="AH33" s="623">
        <f t="shared" si="93"/>
        <v>161.38519872557174</v>
      </c>
      <c r="AI33" s="624">
        <f t="shared" si="94"/>
        <v>-72.633221083348275</v>
      </c>
      <c r="AJ33" s="625">
        <f t="shared" si="95"/>
        <v>-83.193026351157229</v>
      </c>
      <c r="AK33" s="4">
        <f t="shared" si="214"/>
        <v>0.951056530311848</v>
      </c>
      <c r="AL33" s="5">
        <f t="shared" si="96"/>
        <v>7.9979460956820375E-2</v>
      </c>
      <c r="AM33" s="6">
        <f t="shared" si="97"/>
        <v>-0.2984874569831123</v>
      </c>
      <c r="AN33" s="612">
        <f t="shared" si="98"/>
        <v>14.999997834268278</v>
      </c>
      <c r="AO33" s="613">
        <f t="shared" si="99"/>
        <v>17.999997401121927</v>
      </c>
      <c r="AP33" s="624">
        <f t="shared" si="100"/>
        <v>4.8069999263878094</v>
      </c>
      <c r="AQ33" s="625">
        <f t="shared" si="11"/>
        <v>20.400537066986633</v>
      </c>
      <c r="AS33" s="56">
        <f t="shared" si="120"/>
        <v>-177.54012634394638</v>
      </c>
      <c r="AT33" s="77">
        <f t="shared" si="12"/>
        <v>0.23964323838643325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5.1020000000000003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1" t="str" cm="1">
        <f t="array" ref="II33">IFERROR(IF(IH33&lt;1,IH33+LARGE((IF($M$9:$M$150="",0,$M$9:$M$150)-MOD(IF($M$9:$M$150="",0,$M$9:$M$150),1)),1),IH33),"")</f>
        <v/>
      </c>
      <c r="IJ33" s="842" t="str">
        <f t="shared" si="69"/>
        <v/>
      </c>
      <c r="IK33" s="842" t="str">
        <f t="shared" si="70"/>
        <v/>
      </c>
      <c r="IL33" s="791" t="str">
        <f t="shared" si="71"/>
        <v/>
      </c>
      <c r="IM33" s="833">
        <v>4.3601852863844902E-2</v>
      </c>
      <c r="IN33" s="5" t="str">
        <f t="shared" si="230"/>
        <v/>
      </c>
      <c r="IO33" s="802">
        <v>410</v>
      </c>
      <c r="IP33" s="9" t="str">
        <f t="shared" si="73"/>
        <v/>
      </c>
      <c r="IQ33" s="5" t="str">
        <f t="shared" si="74"/>
        <v/>
      </c>
      <c r="IR33" s="5" t="str">
        <f t="shared" si="75"/>
        <v/>
      </c>
      <c r="IS33" s="5" t="str">
        <f t="shared" si="76"/>
        <v/>
      </c>
      <c r="IT33" s="791" t="str">
        <f t="shared" si="77"/>
        <v/>
      </c>
      <c r="IU33" s="9" t="str">
        <f t="shared" si="78"/>
        <v/>
      </c>
      <c r="IV33" s="5" t="str">
        <f t="shared" si="79"/>
        <v/>
      </c>
      <c r="IW33" s="5" t="str">
        <f t="shared" si="80"/>
        <v/>
      </c>
      <c r="IX33" s="5" t="str">
        <f t="shared" si="81"/>
        <v/>
      </c>
      <c r="IY33" s="836" t="str">
        <f t="shared" si="82"/>
        <v/>
      </c>
    </row>
    <row r="34" spans="1:259" ht="15" customHeight="1" x14ac:dyDescent="0.25">
      <c r="A34" s="84">
        <f t="shared" si="83"/>
        <v>0.02</v>
      </c>
      <c r="B34" s="770">
        <v>4.336916576168539E-2</v>
      </c>
      <c r="C34" s="771">
        <v>-1.2419467463384743</v>
      </c>
      <c r="D34" s="772">
        <v>-0.25580077149512687</v>
      </c>
      <c r="E34" s="773">
        <v>0.96299964398557225</v>
      </c>
      <c r="F34" s="771">
        <v>0.10065635623830378</v>
      </c>
      <c r="G34" s="774">
        <v>0.24999996726497561</v>
      </c>
      <c r="H34" s="773">
        <v>0.26600000000000001</v>
      </c>
      <c r="I34" s="771">
        <v>0.52</v>
      </c>
      <c r="J34" s="601">
        <v>5.1059999999999999</v>
      </c>
      <c r="K34" s="426" t="str">
        <f t="shared" si="226"/>
        <v>1313</v>
      </c>
      <c r="L34" s="327" t="str">
        <f t="shared" si="229"/>
        <v/>
      </c>
      <c r="M34" s="173">
        <f t="shared" si="3"/>
        <v>5.1059999999999999</v>
      </c>
      <c r="N34" s="21">
        <f t="shared" si="4"/>
        <v>4.336916576168539E-2</v>
      </c>
      <c r="O34" s="5">
        <f t="shared" si="5"/>
        <v>-1.2419467463384743</v>
      </c>
      <c r="P34" s="10">
        <f t="shared" si="6"/>
        <v>-0.25580077149512687</v>
      </c>
      <c r="Q34" s="624">
        <f t="shared" si="117"/>
        <v>271.99997372245497</v>
      </c>
      <c r="R34" s="5">
        <f>IF(M34="","",SQRT(N34^2+O34^2))</f>
        <v>1.2427037479945038</v>
      </c>
      <c r="S34" s="6">
        <f>IF(M34="","",P34)</f>
        <v>-0.25580077149512687</v>
      </c>
      <c r="T34" s="4">
        <f>IF(M34="","",X34*COS(RADIANS(W34)))</f>
        <v>-1.241558627359401</v>
      </c>
      <c r="U34" s="5">
        <f>IF(M34="","",X34*SIN(RADIANS(W34)))</f>
        <v>-5.3336480095966074E-2</v>
      </c>
      <c r="V34" s="8">
        <f>IF(M34="","",Y34)</f>
        <v>-0.25580077149512687</v>
      </c>
      <c r="W34" s="624">
        <f t="shared" si="228"/>
        <v>182.45987365605362</v>
      </c>
      <c r="X34" s="5">
        <f>IF(M34="","",R34)</f>
        <v>1.2427037479945038</v>
      </c>
      <c r="Y34" s="7">
        <f t="shared" si="227"/>
        <v>-0.25580077149512687</v>
      </c>
      <c r="Z34" s="21">
        <f t="shared" si="8"/>
        <v>-0.96299964398557225</v>
      </c>
      <c r="AA34" s="5">
        <f t="shared" si="9"/>
        <v>-0.10065635623830378</v>
      </c>
      <c r="AB34" s="5">
        <f t="shared" si="10"/>
        <v>-0.24999996726497561</v>
      </c>
      <c r="AC34" s="8">
        <f>IF(M34="","",SQRT(Z34^2+AA34^2+AB34^2))</f>
        <v>1</v>
      </c>
      <c r="AD34" s="9">
        <f>IF(M34="","",Z34*(1/SQRT(Z34^2+AA34^2+AB34^2)))</f>
        <v>-0.96299964398557225</v>
      </c>
      <c r="AE34" s="5">
        <f>IF(M34="","",AA34*(1/SQRT(Z34^2+AA34^2+AB34^2)))</f>
        <v>-0.10065635623830378</v>
      </c>
      <c r="AF34" s="10">
        <f>IF(M34="","",AB34*(1/SQRT(Z34^2+AA34^2+AB34^2)))</f>
        <v>-0.24999996726497561</v>
      </c>
      <c r="AG34" s="622">
        <f>IF(M34="","",DEGREES(ATAN2(-AF34,AE34)))</f>
        <v>-21.930971958865776</v>
      </c>
      <c r="AH34" s="623">
        <f>IF(M34="","",DEGREES(ACOS(AD34)))</f>
        <v>164.36532541077759</v>
      </c>
      <c r="AI34" s="624">
        <f>IF(M34="","",DEGREES(-ACOS(-AF34)))</f>
        <v>-75.522489751159469</v>
      </c>
      <c r="AJ34" s="625">
        <f>IF(M34="","",DEGREES(ATAN2(-AE34,AD34)))</f>
        <v>-84.03289663245846</v>
      </c>
      <c r="AK34" s="4">
        <f>IF(M34="","",(COS(RADIANS((90-$Q$8)-W34))*AD34)+(-SIN(RADIANS((90-$Q$8)-W34))*AE34))</f>
        <v>0.9659258360722075</v>
      </c>
      <c r="AL34" s="5">
        <f>IF(M34="","",(SIN(RADIANS((90-$Q$8)-W34))*AD34)+(COS(RADIANS((90-$Q$8)-W34))*AE34))</f>
        <v>6.6987279208207268E-2</v>
      </c>
      <c r="AM34" s="6">
        <f>IF(M34="","",AF34)</f>
        <v>-0.24999996726497561</v>
      </c>
      <c r="AN34" s="612">
        <f>IF(M34="","",DEGREES(ATAN2(-AM34,AL34)))</f>
        <v>14.999997834268283</v>
      </c>
      <c r="AO34" s="613">
        <f t="shared" si="99"/>
        <v>14.99999783426823</v>
      </c>
      <c r="AP34" s="624">
        <f>IF(M34="","",DEGREES(ATAN2(AK34,AL34)))</f>
        <v>3.9671296450865752</v>
      </c>
      <c r="AQ34" s="625">
        <f t="shared" si="11"/>
        <v>9.8804998444686714</v>
      </c>
      <c r="AS34" s="56">
        <f t="shared" si="120"/>
        <v>-177.54012634394638</v>
      </c>
      <c r="AT34" s="77">
        <f t="shared" si="12"/>
        <v>0.41664377222004328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5.1059999999999999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1" t="str" cm="1">
        <f t="array" ref="II34">IFERROR(IF(IH34&lt;1,IH34+LARGE((IF($M$9:$M$150="",0,$M$9:$M$150)-MOD(IF($M$9:$M$150="",0,$M$9:$M$150),1)),1),IH34),"")</f>
        <v/>
      </c>
      <c r="IJ34" s="842" t="str">
        <f t="shared" si="69"/>
        <v/>
      </c>
      <c r="IK34" s="842" t="str">
        <f t="shared" si="70"/>
        <v/>
      </c>
      <c r="IL34" s="791" t="str">
        <f t="shared" si="71"/>
        <v/>
      </c>
      <c r="IM34" s="833">
        <v>2.5486542745085002E-2</v>
      </c>
      <c r="IN34" s="5" t="str">
        <f t="shared" si="230"/>
        <v/>
      </c>
      <c r="IO34" s="802">
        <v>450</v>
      </c>
      <c r="IP34" s="9" t="str">
        <f t="shared" si="73"/>
        <v/>
      </c>
      <c r="IQ34" s="5" t="str">
        <f t="shared" si="74"/>
        <v/>
      </c>
      <c r="IR34" s="5" t="str">
        <f t="shared" si="75"/>
        <v/>
      </c>
      <c r="IS34" s="5" t="str">
        <f t="shared" si="76"/>
        <v/>
      </c>
      <c r="IT34" s="791" t="str">
        <f t="shared" si="77"/>
        <v/>
      </c>
      <c r="IU34" s="9" t="str">
        <f t="shared" si="78"/>
        <v/>
      </c>
      <c r="IV34" s="5" t="str">
        <f t="shared" si="79"/>
        <v/>
      </c>
      <c r="IW34" s="5" t="str">
        <f t="shared" si="80"/>
        <v/>
      </c>
      <c r="IX34" s="5" t="str">
        <f t="shared" si="81"/>
        <v/>
      </c>
      <c r="IY34" s="836" t="str">
        <f t="shared" si="82"/>
        <v/>
      </c>
    </row>
    <row r="35" spans="1:259" ht="15" customHeight="1" x14ac:dyDescent="0.25">
      <c r="A35" s="84">
        <f t="shared" si="83"/>
        <v>0.02</v>
      </c>
      <c r="B35" s="770">
        <v>6.202135052624997E-2</v>
      </c>
      <c r="C35" s="771">
        <v>-1.937813578789346</v>
      </c>
      <c r="D35" s="772">
        <v>-7.6500230724695875E-2</v>
      </c>
      <c r="E35" s="773">
        <v>0.96516533526876802</v>
      </c>
      <c r="F35" s="771">
        <v>3.9214991086598039E-2</v>
      </c>
      <c r="G35" s="774">
        <v>0.25868525290322342</v>
      </c>
      <c r="H35" s="773">
        <v>0.26600000000000001</v>
      </c>
      <c r="I35" s="771">
        <v>0.52</v>
      </c>
      <c r="J35" s="601">
        <v>5.1109999999999998</v>
      </c>
      <c r="K35" s="426" t="str">
        <f t="shared" si="226"/>
        <v>1313</v>
      </c>
      <c r="L35" s="327" t="str">
        <f t="shared" si="229"/>
        <v/>
      </c>
      <c r="M35" s="173">
        <f t="shared" si="3"/>
        <v>5.1109999999999998</v>
      </c>
      <c r="N35" s="21">
        <f t="shared" si="4"/>
        <v>6.202135052624997E-2</v>
      </c>
      <c r="O35" s="5">
        <f t="shared" si="5"/>
        <v>-1.937813578789346</v>
      </c>
      <c r="P35" s="10">
        <f t="shared" si="6"/>
        <v>-7.6500230724695875E-2</v>
      </c>
      <c r="Q35" s="624">
        <f t="shared" si="117"/>
        <v>271.83317374653791</v>
      </c>
      <c r="R35" s="5">
        <f>IF(M35="","",SQRT(N35^2+O35^2))</f>
        <v>1.9388058474384362</v>
      </c>
      <c r="S35" s="6">
        <f>IF(M35="","",P35)</f>
        <v>-7.6500230724695875E-2</v>
      </c>
      <c r="T35" s="4">
        <f>IF(M35="","",X35*COS(RADIANS(W35)))</f>
        <v>-1.9372533277731419</v>
      </c>
      <c r="U35" s="5">
        <f>IF(M35="","",X35*SIN(RADIANS(W35)))</f>
        <v>-7.7573565686777576E-2</v>
      </c>
      <c r="V35" s="8">
        <f>IF(M35="","",Y35)</f>
        <v>-7.6500230724695875E-2</v>
      </c>
      <c r="W35" s="624">
        <f t="shared" si="228"/>
        <v>182.29307368013656</v>
      </c>
      <c r="X35" s="5">
        <f>IF(M35="","",R35)</f>
        <v>1.9388058474384362</v>
      </c>
      <c r="Y35" s="7">
        <f t="shared" si="227"/>
        <v>-7.6500230724695875E-2</v>
      </c>
      <c r="Z35" s="21">
        <f t="shared" si="8"/>
        <v>-0.96516533526876802</v>
      </c>
      <c r="AA35" s="5">
        <f t="shared" si="9"/>
        <v>-3.9214991086598039E-2</v>
      </c>
      <c r="AB35" s="5">
        <f t="shared" si="10"/>
        <v>-0.25868525290322342</v>
      </c>
      <c r="AC35" s="8">
        <f>IF(M35="","",SQRT(Z35^2+AA35^2+AB35^2))</f>
        <v>1</v>
      </c>
      <c r="AD35" s="9">
        <f>IF(M35="","",Z35*(1/SQRT(Z35^2+AA35^2+AB35^2)))</f>
        <v>-0.96516533526876802</v>
      </c>
      <c r="AE35" s="5">
        <f>IF(M35="","",AA35*(1/SQRT(Z35^2+AA35^2+AB35^2)))</f>
        <v>-3.9214991086598039E-2</v>
      </c>
      <c r="AF35" s="10">
        <f>IF(M35="","",AB35*(1/SQRT(Z35^2+AA35^2+AB35^2)))</f>
        <v>-0.25868525290322342</v>
      </c>
      <c r="AG35" s="622">
        <f>IF(M35="","",DEGREES(ATAN2(-AF35,AE35)))</f>
        <v>-8.6200338746102663</v>
      </c>
      <c r="AH35" s="623">
        <f>IF(M35="","",DEGREES(ACOS(AD35)))</f>
        <v>164.83255999308818</v>
      </c>
      <c r="AI35" s="624">
        <f>IF(M35="","",DEGREES(-ACOS(-AF35)))</f>
        <v>-75.007935998727007</v>
      </c>
      <c r="AJ35" s="625">
        <f>IF(M35="","",DEGREES(ATAN2(-AE35,AD35)))</f>
        <v>-87.673333016236711</v>
      </c>
      <c r="AK35" s="4">
        <f>IF(M35="","",(COS(RADIANS((90-$Q$8)-W35))*AD35)+(-SIN(RADIANS((90-$Q$8)-W35))*AE35))</f>
        <v>0.96592583607220739</v>
      </c>
      <c r="AL35" s="5">
        <f>IF(M35="","",(SIN(RADIANS((90-$Q$8)-W35))*AD35)+(COS(RADIANS((90-$Q$8)-W35))*AE35))</f>
        <v>8.3198040002484819E-3</v>
      </c>
      <c r="AM35" s="6">
        <f>IF(M35="","",AF35)</f>
        <v>-0.25868525290322342</v>
      </c>
      <c r="AN35" s="612">
        <f>IF(M35="","",DEGREES(ATAN2(-AM35,AL35)))</f>
        <v>1.84210499719089</v>
      </c>
      <c r="AO35" s="613">
        <f t="shared" si="99"/>
        <v>14.999997834268255</v>
      </c>
      <c r="AP35" s="624">
        <f>IF(M35="","",DEGREES(ATAN2(AK35,AL35)))</f>
        <v>0.4934932372254045</v>
      </c>
      <c r="AQ35" s="625">
        <f t="shared" si="11"/>
        <v>6.3701947119938795</v>
      </c>
      <c r="AS35" s="56">
        <f t="shared" si="120"/>
        <v>-177.70692631986344</v>
      </c>
      <c r="AT35" s="77">
        <f t="shared" si="12"/>
        <v>0.59657444623282752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5.1109999999999998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1" t="str" cm="1">
        <f t="array" ref="II35">IFERROR(IF(IH35&lt;1,IH35+LARGE((IF($M$9:$M$150="",0,$M$9:$M$150)-MOD(IF($M$9:$M$150="",0,$M$9:$M$150),1)),1),IH35),"")</f>
        <v/>
      </c>
      <c r="IJ35" s="842" t="str">
        <f t="shared" si="69"/>
        <v/>
      </c>
      <c r="IK35" s="842" t="str">
        <f t="shared" si="70"/>
        <v/>
      </c>
      <c r="IL35" s="791" t="str">
        <f t="shared" si="71"/>
        <v/>
      </c>
      <c r="IM35" s="833">
        <v>2.6870990515037E-2</v>
      </c>
      <c r="IN35" s="5" t="str">
        <f t="shared" si="230"/>
        <v/>
      </c>
      <c r="IO35" s="802">
        <v>860</v>
      </c>
      <c r="IP35" s="9" t="str">
        <f t="shared" si="73"/>
        <v/>
      </c>
      <c r="IQ35" s="5" t="str">
        <f t="shared" si="74"/>
        <v/>
      </c>
      <c r="IR35" s="5" t="str">
        <f t="shared" si="75"/>
        <v/>
      </c>
      <c r="IS35" s="5" t="str">
        <f t="shared" si="76"/>
        <v/>
      </c>
      <c r="IT35" s="791" t="str">
        <f t="shared" si="77"/>
        <v/>
      </c>
      <c r="IU35" s="9" t="str">
        <f t="shared" si="78"/>
        <v/>
      </c>
      <c r="IV35" s="5" t="str">
        <f t="shared" si="79"/>
        <v/>
      </c>
      <c r="IW35" s="5" t="str">
        <f t="shared" si="80"/>
        <v/>
      </c>
      <c r="IX35" s="5" t="str">
        <f t="shared" si="81"/>
        <v/>
      </c>
      <c r="IY35" s="836" t="str">
        <f t="shared" si="82"/>
        <v/>
      </c>
    </row>
    <row r="36" spans="1:259" ht="15" customHeight="1" x14ac:dyDescent="0.25">
      <c r="A36" s="84">
        <f t="shared" si="83"/>
        <v>0.02</v>
      </c>
      <c r="B36" s="770">
        <v>5.0976782108444585E-2</v>
      </c>
      <c r="C36" s="771">
        <v>-2.5895060979129054</v>
      </c>
      <c r="D36" s="772">
        <v>-0.10780032512578056</v>
      </c>
      <c r="E36" s="773">
        <v>0.96719225662015762</v>
      </c>
      <c r="F36" s="771">
        <v>-5.4824677725050494E-2</v>
      </c>
      <c r="G36" s="774">
        <v>0.24805925390186856</v>
      </c>
      <c r="H36" s="773">
        <v>0.26600000000000001</v>
      </c>
      <c r="I36" s="771">
        <v>0.52</v>
      </c>
      <c r="J36" s="601">
        <v>5.1180000000000003</v>
      </c>
      <c r="K36" s="426" t="str">
        <f t="shared" si="226"/>
        <v>1313</v>
      </c>
      <c r="L36" s="327" t="str">
        <f t="shared" si="229"/>
        <v/>
      </c>
      <c r="M36" s="173">
        <f t="shared" si="3"/>
        <v>5.1180000000000003</v>
      </c>
      <c r="N36" s="21">
        <f t="shared" si="4"/>
        <v>5.0976782108444585E-2</v>
      </c>
      <c r="O36" s="5">
        <f t="shared" si="5"/>
        <v>-2.5895060979129054</v>
      </c>
      <c r="P36" s="10">
        <f t="shared" si="6"/>
        <v>-0.10780032512578056</v>
      </c>
      <c r="Q36" s="624">
        <f t="shared" si="117"/>
        <v>271.12777384838506</v>
      </c>
      <c r="R36" s="5">
        <f>IF(M36="","",SQRT(N36^2+O36^2))</f>
        <v>2.590007811463559</v>
      </c>
      <c r="S36" s="6">
        <f>IF(M36="","",P36)</f>
        <v>-0.10780032512578056</v>
      </c>
      <c r="T36" s="4">
        <f>IF(M36="","",X36*COS(RADIANS(W36)))</f>
        <v>-2.5890135042960911</v>
      </c>
      <c r="U36" s="5">
        <f>IF(M36="","",X36*SIN(RADIANS(W36)))</f>
        <v>-7.1760281595943415E-2</v>
      </c>
      <c r="V36" s="8">
        <f>IF(M36="","",Y36)</f>
        <v>-0.10780032512578056</v>
      </c>
      <c r="W36" s="624">
        <f t="shared" si="228"/>
        <v>181.58767378198371</v>
      </c>
      <c r="X36" s="5">
        <f>IF(M36="","",R36)</f>
        <v>2.590007811463559</v>
      </c>
      <c r="Y36" s="7">
        <f t="shared" si="227"/>
        <v>-0.10780032512578056</v>
      </c>
      <c r="Z36" s="21">
        <f t="shared" si="8"/>
        <v>-0.96719225662015762</v>
      </c>
      <c r="AA36" s="5">
        <f t="shared" si="9"/>
        <v>5.4824677725050494E-2</v>
      </c>
      <c r="AB36" s="5">
        <f t="shared" si="10"/>
        <v>-0.24805925390186856</v>
      </c>
      <c r="AC36" s="8">
        <f>IF(M36="","",SQRT(Z36^2+AA36^2+AB36^2))</f>
        <v>1</v>
      </c>
      <c r="AD36" s="9">
        <f>IF(M36="","",Z36*(1/SQRT(Z36^2+AA36^2+AB36^2)))</f>
        <v>-0.96719225662015762</v>
      </c>
      <c r="AE36" s="5">
        <f>IF(M36="","",AA36*(1/SQRT(Z36^2+AA36^2+AB36^2)))</f>
        <v>5.4824677725050494E-2</v>
      </c>
      <c r="AF36" s="10">
        <f>IF(M36="","",AB36*(1/SQRT(Z36^2+AA36^2+AB36^2)))</f>
        <v>-0.24805925390186856</v>
      </c>
      <c r="AG36" s="622">
        <f>IF(M36="","",DEGREES(ATAN2(-AF36,AE36)))</f>
        <v>12.462846693446874</v>
      </c>
      <c r="AH36" s="623">
        <f>IF(M36="","",DEGREES(ACOS(AD36)))</f>
        <v>165.28296344490585</v>
      </c>
      <c r="AI36" s="624">
        <f>IF(M36="","",DEGREES(-ACOS(-AF36)))</f>
        <v>-75.637301502577429</v>
      </c>
      <c r="AJ36" s="625">
        <f>IF(M36="","",DEGREES(ATAN2(-AE36,AD36)))</f>
        <v>-93.244303006451446</v>
      </c>
      <c r="AK36" s="4">
        <f>IF(M36="","",(COS(RADIANS((90-$Q$8)-W36))*AD36)+(-SIN(RADIANS((90-$Q$8)-W36))*AE36))</f>
        <v>0.96592583607220739</v>
      </c>
      <c r="AL36" s="5">
        <f>IF(M36="","",(SIN(RADIANS((90-$Q$8)-W36))*AD36)+(COS(RADIANS((90-$Q$8)-W36))*AE36))</f>
        <v>-7.3850428311930033E-2</v>
      </c>
      <c r="AM36" s="6">
        <f>IF(M36="","",AF36)</f>
        <v>-0.24805925390186856</v>
      </c>
      <c r="AN36" s="612">
        <f>IF(M36="","",DEGREES(ATAN2(-AM36,AL36)))</f>
        <v>-16.578944974717533</v>
      </c>
      <c r="AO36" s="613">
        <f t="shared" si="99"/>
        <v>14.999997834268255</v>
      </c>
      <c r="AP36" s="624">
        <f>IF(M36="","",DEGREES(ATAN2(AK36,AL36)))</f>
        <v>-4.372076854836493</v>
      </c>
      <c r="AQ36" s="625">
        <f t="shared" si="11"/>
        <v>4.777190727225217</v>
      </c>
      <c r="AS36" s="56">
        <f t="shared" si="120"/>
        <v>-178.41232621801629</v>
      </c>
      <c r="AT36" s="77">
        <f t="shared" si="12"/>
        <v>0.56793919589143149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5.1180000000000003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1" t="str" cm="1">
        <f t="array" ref="II36">IFERROR(IF(IH36&lt;1,IH36+LARGE((IF($M$9:$M$150="",0,$M$9:$M$150)-MOD(IF($M$9:$M$150="",0,$M$9:$M$150),1)),1),IH36),"")</f>
        <v/>
      </c>
      <c r="IJ36" s="842" t="str">
        <f t="shared" si="69"/>
        <v/>
      </c>
      <c r="IK36" s="842" t="str">
        <f t="shared" si="70"/>
        <v/>
      </c>
      <c r="IL36" s="791" t="str">
        <f t="shared" si="71"/>
        <v/>
      </c>
      <c r="IM36" s="833">
        <v>1.7620650947853599E-2</v>
      </c>
      <c r="IN36" s="5" t="str">
        <f t="shared" si="230"/>
        <v/>
      </c>
      <c r="IO36" s="802">
        <v>1050</v>
      </c>
      <c r="IP36" s="9" t="str">
        <f t="shared" si="73"/>
        <v/>
      </c>
      <c r="IQ36" s="5" t="str">
        <f t="shared" si="74"/>
        <v/>
      </c>
      <c r="IR36" s="5" t="str">
        <f t="shared" si="75"/>
        <v/>
      </c>
      <c r="IS36" s="5" t="str">
        <f t="shared" si="76"/>
        <v/>
      </c>
      <c r="IT36" s="791" t="str">
        <f t="shared" si="77"/>
        <v/>
      </c>
      <c r="IU36" s="9" t="str">
        <f t="shared" si="78"/>
        <v/>
      </c>
      <c r="IV36" s="5" t="str">
        <f t="shared" si="79"/>
        <v/>
      </c>
      <c r="IW36" s="5" t="str">
        <f t="shared" si="80"/>
        <v/>
      </c>
      <c r="IX36" s="5" t="str">
        <f t="shared" si="81"/>
        <v/>
      </c>
      <c r="IY36" s="836" t="str">
        <f t="shared" si="82"/>
        <v/>
      </c>
    </row>
    <row r="37" spans="1:259" ht="15" customHeight="1" x14ac:dyDescent="0.25">
      <c r="A37" s="84">
        <f t="shared" si="83"/>
        <v>0.02</v>
      </c>
      <c r="B37" s="770">
        <v>1.3384378024715659E-2</v>
      </c>
      <c r="C37" s="771">
        <v>-3.1942815931805315</v>
      </c>
      <c r="D37" s="772">
        <v>-0.41920126431101323</v>
      </c>
      <c r="E37" s="773">
        <v>0.95704437131991182</v>
      </c>
      <c r="F37" s="771">
        <v>-0.17450822910809666</v>
      </c>
      <c r="G37" s="774">
        <v>0.23154470259202845</v>
      </c>
      <c r="H37" s="773">
        <v>0.26600000000000001</v>
      </c>
      <c r="I37" s="771">
        <v>0.52</v>
      </c>
      <c r="J37" s="601">
        <v>5.1260000000000003</v>
      </c>
      <c r="K37" s="426" t="str">
        <f t="shared" si="226"/>
        <v>1313</v>
      </c>
      <c r="L37" s="327" t="str">
        <f t="shared" si="229"/>
        <v/>
      </c>
      <c r="M37" s="173">
        <f t="shared" si="3"/>
        <v>5.1260000000000003</v>
      </c>
      <c r="N37" s="21">
        <f t="shared" si="4"/>
        <v>1.3384378024715659E-2</v>
      </c>
      <c r="O37" s="5">
        <f t="shared" si="5"/>
        <v>-3.1942815931805315</v>
      </c>
      <c r="P37" s="10">
        <f t="shared" si="6"/>
        <v>-0.41920126431101323</v>
      </c>
      <c r="Q37" s="624">
        <f t="shared" si="117"/>
        <v>270.24007397655305</v>
      </c>
      <c r="R37" s="5">
        <f t="shared" si="84"/>
        <v>3.1943096340378561</v>
      </c>
      <c r="S37" s="6">
        <f t="shared" si="85"/>
        <v>-0.41920126431101323</v>
      </c>
      <c r="T37" s="4">
        <f t="shared" si="86"/>
        <v>-3.1940712593950424</v>
      </c>
      <c r="U37" s="5">
        <f t="shared" si="87"/>
        <v>-3.9023429034743297E-2</v>
      </c>
      <c r="V37" s="8">
        <f t="shared" si="118"/>
        <v>-0.41920126431101323</v>
      </c>
      <c r="W37" s="624">
        <f t="shared" si="228"/>
        <v>180.6999739101517</v>
      </c>
      <c r="X37" s="5">
        <f t="shared" si="88"/>
        <v>3.1943096340378561</v>
      </c>
      <c r="Y37" s="7">
        <f t="shared" si="227"/>
        <v>-0.41920126431101323</v>
      </c>
      <c r="Z37" s="21">
        <f t="shared" si="8"/>
        <v>-0.95704437131991182</v>
      </c>
      <c r="AA37" s="5">
        <f t="shared" si="9"/>
        <v>0.17450822910809666</v>
      </c>
      <c r="AB37" s="5">
        <f t="shared" si="10"/>
        <v>-0.23154470259202845</v>
      </c>
      <c r="AC37" s="8">
        <f t="shared" si="89"/>
        <v>1</v>
      </c>
      <c r="AD37" s="9">
        <f t="shared" si="119"/>
        <v>-0.95704437131991182</v>
      </c>
      <c r="AE37" s="5">
        <f t="shared" si="90"/>
        <v>0.17450822910809666</v>
      </c>
      <c r="AF37" s="10">
        <f t="shared" si="91"/>
        <v>-0.23154470259202845</v>
      </c>
      <c r="AG37" s="622">
        <f t="shared" si="92"/>
        <v>37.004226517155395</v>
      </c>
      <c r="AH37" s="623">
        <f t="shared" si="93"/>
        <v>163.1455464706747</v>
      </c>
      <c r="AI37" s="624">
        <f t="shared" si="94"/>
        <v>-76.611968085100258</v>
      </c>
      <c r="AJ37" s="625">
        <f t="shared" si="95"/>
        <v>-100.33382899759837</v>
      </c>
      <c r="AK37" s="4">
        <f t="shared" si="214"/>
        <v>0.95630476848795676</v>
      </c>
      <c r="AL37" s="5">
        <f t="shared" si="96"/>
        <v>-0.178516779235916</v>
      </c>
      <c r="AM37" s="6">
        <f t="shared" si="97"/>
        <v>-0.23154470259202845</v>
      </c>
      <c r="AN37" s="612">
        <f t="shared" si="98"/>
        <v>-37.63157351404142</v>
      </c>
      <c r="AO37" s="613">
        <f t="shared" si="99"/>
        <v>16.999997545504005</v>
      </c>
      <c r="AP37" s="624">
        <f t="shared" si="100"/>
        <v>-10.573902974151418</v>
      </c>
      <c r="AQ37" s="625">
        <f t="shared" si="11"/>
        <v>3.8765132948070815</v>
      </c>
      <c r="AS37" s="56">
        <f t="shared" si="120"/>
        <v>-179.3000260898483</v>
      </c>
      <c r="AT37" s="77">
        <f t="shared" si="12"/>
        <v>0.25989178955534198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5.1260000000000003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0.02</v>
      </c>
      <c r="B38" s="770">
        <v>-2.7206172869281901E-2</v>
      </c>
      <c r="C38" s="771">
        <v>-3.6047082056440174</v>
      </c>
      <c r="D38" s="772">
        <v>-0.96070289747993887</v>
      </c>
      <c r="E38" s="773">
        <v>0.90355709591758437</v>
      </c>
      <c r="F38" s="771">
        <v>-0.36787909453996581</v>
      </c>
      <c r="G38" s="774">
        <v>0.21965779343660091</v>
      </c>
      <c r="H38" s="773">
        <v>0.26600000000000001</v>
      </c>
      <c r="I38" s="771">
        <v>0.52</v>
      </c>
      <c r="J38" s="601">
        <v>5.1340000000000003</v>
      </c>
      <c r="K38" s="426" t="str">
        <f t="shared" si="226"/>
        <v>1313</v>
      </c>
      <c r="L38" s="327" t="str">
        <f t="shared" si="229"/>
        <v/>
      </c>
      <c r="M38" s="173">
        <f t="shared" si="3"/>
        <v>5.1340000000000003</v>
      </c>
      <c r="N38" s="21">
        <f t="shared" si="4"/>
        <v>-2.7206172869281901E-2</v>
      </c>
      <c r="O38" s="5">
        <f t="shared" si="5"/>
        <v>-3.6047082056440174</v>
      </c>
      <c r="P38" s="10">
        <f t="shared" si="6"/>
        <v>-0.96070289747993887</v>
      </c>
      <c r="Q38" s="624">
        <f t="shared" si="117"/>
        <v>269.56757407365001</v>
      </c>
      <c r="R38" s="5">
        <f t="shared" si="84"/>
        <v>3.6048108721095904</v>
      </c>
      <c r="S38" s="6">
        <f t="shared" si="85"/>
        <v>-0.96070289747993887</v>
      </c>
      <c r="T38" s="4">
        <f t="shared" si="86"/>
        <v>-3.6048104576795459</v>
      </c>
      <c r="U38" s="5">
        <f t="shared" si="87"/>
        <v>-1.7285495908549628E-3</v>
      </c>
      <c r="V38" s="8">
        <f t="shared" si="118"/>
        <v>-0.96070289747993887</v>
      </c>
      <c r="W38" s="624">
        <f t="shared" si="228"/>
        <v>180.02747400724866</v>
      </c>
      <c r="X38" s="5">
        <f t="shared" si="88"/>
        <v>3.6048108721095904</v>
      </c>
      <c r="Y38" s="7">
        <f t="shared" si="227"/>
        <v>-0.96070289747993887</v>
      </c>
      <c r="Z38" s="21">
        <f t="shared" si="8"/>
        <v>-0.90355709591758437</v>
      </c>
      <c r="AA38" s="5">
        <f t="shared" si="9"/>
        <v>0.36787909453996581</v>
      </c>
      <c r="AB38" s="5">
        <f t="shared" si="10"/>
        <v>-0.21965779343660091</v>
      </c>
      <c r="AC38" s="8">
        <f t="shared" si="89"/>
        <v>1</v>
      </c>
      <c r="AD38" s="9">
        <f t="shared" si="119"/>
        <v>-0.90355709591758437</v>
      </c>
      <c r="AE38" s="5">
        <f t="shared" si="90"/>
        <v>0.36787909453996581</v>
      </c>
      <c r="AF38" s="10">
        <f t="shared" si="91"/>
        <v>-0.21965779343660091</v>
      </c>
      <c r="AG38" s="622">
        <f t="shared" si="92"/>
        <v>59.158897691247262</v>
      </c>
      <c r="AH38" s="623">
        <f t="shared" si="93"/>
        <v>154.62964389208335</v>
      </c>
      <c r="AI38" s="624">
        <f t="shared" si="94"/>
        <v>-77.311065641425927</v>
      </c>
      <c r="AJ38" s="625">
        <f t="shared" si="95"/>
        <v>-112.15346858965819</v>
      </c>
      <c r="AK38" s="4">
        <f t="shared" si="214"/>
        <v>0.90630781366099977</v>
      </c>
      <c r="AL38" s="5">
        <f t="shared" si="96"/>
        <v>-0.36104930505345456</v>
      </c>
      <c r="AM38" s="6">
        <f t="shared" si="97"/>
        <v>-0.21965779343660091</v>
      </c>
      <c r="AN38" s="612">
        <f t="shared" si="98"/>
        <v>-58.684202053365318</v>
      </c>
      <c r="AO38" s="613">
        <f t="shared" si="99"/>
        <v>24.999996390447073</v>
      </c>
      <c r="AP38" s="624">
        <f t="shared" si="100"/>
        <v>-21.721042663308211</v>
      </c>
      <c r="AQ38" s="625">
        <f t="shared" si="11"/>
        <v>3.436197101430345</v>
      </c>
      <c r="AS38" s="56">
        <f t="shared" si="120"/>
        <v>-179.97252599275134</v>
      </c>
      <c r="AT38" s="77">
        <f t="shared" si="12"/>
        <v>-0.27906928842483891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5.1340000000000003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1" t="str" cm="1">
        <f t="array" ref="II38">IFERROR(IF(IH38&lt;1,IH38+LARGE((IF($M$9:$M$150="",0,$M$9:$M$150)-MOD(IF($M$9:$M$150="",0,$M$9:$M$150),1)),1),IH38),"")</f>
        <v/>
      </c>
      <c r="IJ38" s="842" t="str">
        <f t="shared" si="69"/>
        <v/>
      </c>
      <c r="IK38" s="842" t="str">
        <f t="shared" si="70"/>
        <v/>
      </c>
      <c r="IL38" s="791" t="str">
        <f t="shared" si="71"/>
        <v/>
      </c>
      <c r="IM38" s="833"/>
      <c r="IN38" s="5" t="str">
        <f t="shared" si="230"/>
        <v/>
      </c>
      <c r="IO38" s="802"/>
      <c r="IP38" s="9" t="str">
        <f t="shared" si="73"/>
        <v/>
      </c>
      <c r="IQ38" s="5" t="str">
        <f t="shared" si="74"/>
        <v/>
      </c>
      <c r="IR38" s="5" t="str">
        <f t="shared" si="75"/>
        <v/>
      </c>
      <c r="IS38" s="5" t="str">
        <f t="shared" si="76"/>
        <v/>
      </c>
      <c r="IT38" s="791" t="str">
        <f t="shared" si="77"/>
        <v/>
      </c>
      <c r="IU38" s="9" t="str">
        <f t="shared" si="78"/>
        <v/>
      </c>
      <c r="IV38" s="5" t="str">
        <f t="shared" si="79"/>
        <v/>
      </c>
      <c r="IW38" s="5" t="str">
        <f t="shared" si="80"/>
        <v/>
      </c>
      <c r="IX38" s="5" t="str">
        <f t="shared" si="81"/>
        <v/>
      </c>
      <c r="IY38" s="836" t="str">
        <f t="shared" si="82"/>
        <v/>
      </c>
    </row>
    <row r="39" spans="1:259" ht="15" customHeight="1" x14ac:dyDescent="0.25">
      <c r="A39" s="84">
        <f t="shared" si="83"/>
        <v>0.02</v>
      </c>
      <c r="B39" s="770">
        <v>-4.2452720106374991E-2</v>
      </c>
      <c r="C39" s="771">
        <v>-3.7331698866531791</v>
      </c>
      <c r="D39" s="772">
        <v>-1.6279049097612077</v>
      </c>
      <c r="E39" s="773">
        <v>0.8603749078844305</v>
      </c>
      <c r="F39" s="771">
        <v>-0.5018156110536881</v>
      </c>
      <c r="G39" s="774">
        <v>8.908484936099674E-2</v>
      </c>
      <c r="H39" s="773">
        <v>0.26600000000000001</v>
      </c>
      <c r="I39" s="771">
        <v>0.52</v>
      </c>
      <c r="J39" s="601">
        <v>5.1420000000000003</v>
      </c>
      <c r="K39" s="426" t="str">
        <f t="shared" si="226"/>
        <v>1313</v>
      </c>
      <c r="L39" s="327" t="str">
        <f t="shared" si="229"/>
        <v/>
      </c>
      <c r="M39" s="173">
        <f t="shared" si="3"/>
        <v>5.1420000000000003</v>
      </c>
      <c r="N39" s="21">
        <f t="shared" si="4"/>
        <v>-4.2452720106374991E-2</v>
      </c>
      <c r="O39" s="5">
        <f t="shared" si="5"/>
        <v>-3.7331698866531791</v>
      </c>
      <c r="P39" s="10">
        <f t="shared" si="6"/>
        <v>-1.6279049097612077</v>
      </c>
      <c r="Q39" s="624">
        <f t="shared" si="117"/>
        <v>269.34847410528414</v>
      </c>
      <c r="R39" s="5">
        <f t="shared" si="84"/>
        <v>3.7334112599683604</v>
      </c>
      <c r="S39" s="6">
        <f t="shared" si="85"/>
        <v>-1.6279049097612077</v>
      </c>
      <c r="T39" s="4">
        <f t="shared" si="86"/>
        <v>-3.7333903795661572</v>
      </c>
      <c r="U39" s="5">
        <f t="shared" si="87"/>
        <v>1.2486385441899249E-2</v>
      </c>
      <c r="V39" s="8">
        <f t="shared" si="118"/>
        <v>-1.6279049097612077</v>
      </c>
      <c r="W39" s="624">
        <f t="shared" si="228"/>
        <v>179.80837403888279</v>
      </c>
      <c r="X39" s="5">
        <f t="shared" si="88"/>
        <v>3.7334112599683604</v>
      </c>
      <c r="Y39" s="7">
        <f t="shared" si="227"/>
        <v>-1.6279049097612077</v>
      </c>
      <c r="Z39" s="21">
        <f t="shared" si="8"/>
        <v>-0.8603749078844305</v>
      </c>
      <c r="AA39" s="5">
        <f t="shared" si="9"/>
        <v>0.5018156110536881</v>
      </c>
      <c r="AB39" s="5">
        <f t="shared" si="10"/>
        <v>-8.908484936099674E-2</v>
      </c>
      <c r="AC39" s="8">
        <f t="shared" si="89"/>
        <v>1</v>
      </c>
      <c r="AD39" s="9">
        <f t="shared" si="119"/>
        <v>-0.8603749078844305</v>
      </c>
      <c r="AE39" s="5">
        <f t="shared" si="90"/>
        <v>0.5018156110536881</v>
      </c>
      <c r="AF39" s="10">
        <f t="shared" si="91"/>
        <v>-8.908484936099674E-2</v>
      </c>
      <c r="AG39" s="622">
        <f t="shared" si="92"/>
        <v>79.933438355991441</v>
      </c>
      <c r="AH39" s="623">
        <f t="shared" si="93"/>
        <v>149.35870361931759</v>
      </c>
      <c r="AI39" s="624">
        <f t="shared" si="94"/>
        <v>-84.889038657775785</v>
      </c>
      <c r="AJ39" s="625">
        <f t="shared" si="95"/>
        <v>-120.25297130115068</v>
      </c>
      <c r="AK39" s="4">
        <f t="shared" si="214"/>
        <v>0.86602544158358596</v>
      </c>
      <c r="AL39" s="5">
        <f t="shared" si="96"/>
        <v>-0.49199982128480857</v>
      </c>
      <c r="AM39" s="6">
        <f t="shared" si="97"/>
        <v>-8.908484936099674E-2</v>
      </c>
      <c r="AN39" s="612">
        <f t="shared" si="98"/>
        <v>-79.736830592689216</v>
      </c>
      <c r="AO39" s="613">
        <f t="shared" si="99"/>
        <v>29.999995668536499</v>
      </c>
      <c r="AP39" s="624">
        <f t="shared" si="100"/>
        <v>-29.601445406434806</v>
      </c>
      <c r="AQ39" s="625">
        <f t="shared" si="11"/>
        <v>3.3181036609181884</v>
      </c>
      <c r="AS39" s="56">
        <f t="shared" si="120"/>
        <v>-180.19162596111721</v>
      </c>
      <c r="AT39" s="77">
        <f t="shared" si="12"/>
        <v>-0.94544358971450337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5.1420000000000003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1" t="str" cm="1">
        <f t="array" ref="II39">IFERROR(IF(IH39&lt;1,IH39+LARGE((IF($M$9:$M$150="",0,$M$9:$M$150)-MOD(IF($M$9:$M$150="",0,$M$9:$M$150),1)),1),IH39),"")</f>
        <v/>
      </c>
      <c r="IJ39" s="842" t="str">
        <f t="shared" si="69"/>
        <v/>
      </c>
      <c r="IK39" s="842" t="str">
        <f t="shared" si="70"/>
        <v/>
      </c>
      <c r="IL39" s="791" t="str">
        <f t="shared" si="71"/>
        <v/>
      </c>
      <c r="IM39" s="833"/>
      <c r="IN39" s="5" t="str">
        <f t="shared" si="230"/>
        <v/>
      </c>
      <c r="IO39" s="802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6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-1.2480745178966886</v>
      </c>
      <c r="C40" s="771">
        <v>-1.3341265832190448</v>
      </c>
      <c r="D40" s="772">
        <v>-9.9600300394505917E-2</v>
      </c>
      <c r="E40" s="773">
        <v>0.71917441602095833</v>
      </c>
      <c r="F40" s="771">
        <v>-0.64514218837897419</v>
      </c>
      <c r="G40" s="774">
        <v>0.25803045578865635</v>
      </c>
      <c r="H40" s="773">
        <v>0.26600000000000001</v>
      </c>
      <c r="I40" s="771">
        <v>0.52</v>
      </c>
      <c r="J40" s="601">
        <v>6.11</v>
      </c>
      <c r="K40" s="426" t="str">
        <f t="shared" si="226"/>
        <v>1313</v>
      </c>
      <c r="L40" s="327" t="str">
        <f t="shared" si="229"/>
        <v/>
      </c>
      <c r="M40" s="173">
        <f t="shared" si="3"/>
        <v>6.11</v>
      </c>
      <c r="N40" s="21">
        <f t="shared" si="4"/>
        <v>-1.2480745178966886</v>
      </c>
      <c r="O40" s="5">
        <f t="shared" si="5"/>
        <v>-1.3341265832190448</v>
      </c>
      <c r="P40" s="10">
        <f t="shared" si="6"/>
        <v>-9.9600300394505917E-2</v>
      </c>
      <c r="Q40" s="624">
        <f t="shared" si="117"/>
        <v>226.90868023283224</v>
      </c>
      <c r="R40" s="5">
        <f t="shared" si="84"/>
        <v>1.8269055099470182</v>
      </c>
      <c r="S40" s="6">
        <f t="shared" si="85"/>
        <v>-9.9600300394505917E-2</v>
      </c>
      <c r="T40" s="4">
        <f t="shared" si="86"/>
        <v>-1.3441015023410177</v>
      </c>
      <c r="U40" s="5">
        <f t="shared" si="87"/>
        <v>1.2373257023433215</v>
      </c>
      <c r="V40" s="8">
        <f t="shared" si="118"/>
        <v>-9.9600300394505917E-2</v>
      </c>
      <c r="W40" s="624">
        <f t="shared" si="228"/>
        <v>137.36858016643089</v>
      </c>
      <c r="X40" s="5">
        <f t="shared" si="88"/>
        <v>1.8269055099470182</v>
      </c>
      <c r="Y40" s="7">
        <f t="shared" si="227"/>
        <v>-9.9600300394505917E-2</v>
      </c>
      <c r="Z40" s="21">
        <f t="shared" si="8"/>
        <v>-0.71917441602095833</v>
      </c>
      <c r="AA40" s="5">
        <f t="shared" si="9"/>
        <v>0.64514218837897419</v>
      </c>
      <c r="AB40" s="5">
        <f t="shared" si="10"/>
        <v>-0.25803045578865635</v>
      </c>
      <c r="AC40" s="8">
        <f t="shared" si="89"/>
        <v>1</v>
      </c>
      <c r="AD40" s="9">
        <f t="shared" si="119"/>
        <v>-0.71917441602095833</v>
      </c>
      <c r="AE40" s="5">
        <f t="shared" si="90"/>
        <v>0.64514218837897419</v>
      </c>
      <c r="AF40" s="10">
        <f t="shared" si="91"/>
        <v>-0.25803045578865635</v>
      </c>
      <c r="AG40" s="622">
        <f t="shared" si="92"/>
        <v>68.200613257833709</v>
      </c>
      <c r="AH40" s="623">
        <f t="shared" si="93"/>
        <v>135.98636069742903</v>
      </c>
      <c r="AI40" s="624">
        <f t="shared" si="94"/>
        <v>-75.046771607423238</v>
      </c>
      <c r="AJ40" s="625">
        <f t="shared" si="95"/>
        <v>-131.89399201161993</v>
      </c>
      <c r="AK40" s="4">
        <f t="shared" si="214"/>
        <v>0.96592583607220728</v>
      </c>
      <c r="AL40" s="5">
        <f t="shared" si="96"/>
        <v>2.0188191937503264E-2</v>
      </c>
      <c r="AM40" s="6">
        <f t="shared" si="97"/>
        <v>-0.25803045578865635</v>
      </c>
      <c r="AN40" s="612">
        <f t="shared" si="98"/>
        <v>4.4736835646066604</v>
      </c>
      <c r="AO40" s="613">
        <f t="shared" si="99"/>
        <v>14.99999783426828</v>
      </c>
      <c r="AP40" s="624">
        <f t="shared" si="100"/>
        <v>1.1973277555478321</v>
      </c>
      <c r="AQ40" s="625">
        <f t="shared" si="11"/>
        <v>6.7568725057886549</v>
      </c>
      <c r="AS40" s="56">
        <f t="shared" si="120"/>
        <v>-222.63141983356911</v>
      </c>
      <c r="AT40" s="77">
        <f t="shared" si="12"/>
        <v>0.74318912983701668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6.11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0.02</v>
      </c>
      <c r="B41" s="770">
        <v>-1.7337758993734713</v>
      </c>
      <c r="C41" s="771">
        <v>-1.8102769374440819</v>
      </c>
      <c r="D41" s="772">
        <v>-8.8200266012002301E-2</v>
      </c>
      <c r="E41" s="773">
        <v>0.65444415534309142</v>
      </c>
      <c r="F41" s="771">
        <v>-0.71316704898995653</v>
      </c>
      <c r="G41" s="774">
        <v>0.25118839099812074</v>
      </c>
      <c r="H41" s="773">
        <v>0.26600000000000001</v>
      </c>
      <c r="I41" s="771">
        <v>0.52</v>
      </c>
      <c r="J41" s="601">
        <v>6.117</v>
      </c>
      <c r="K41" s="426" t="str">
        <f t="shared" si="226"/>
        <v>1313</v>
      </c>
      <c r="L41" s="327" t="str">
        <f t="shared" si="229"/>
        <v/>
      </c>
      <c r="M41" s="173">
        <f t="shared" ref="M41:M72" si="235">IF(J41="","",VALUE(J41))</f>
        <v>6.117</v>
      </c>
      <c r="N41" s="21">
        <f t="shared" ref="N41:N72" si="236">IF(M41="","",B41)</f>
        <v>-1.7337758993734713</v>
      </c>
      <c r="O41" s="5">
        <f t="shared" ref="O41:O72" si="237">IF(M41="","",C41)</f>
        <v>-1.8102769374440819</v>
      </c>
      <c r="P41" s="10">
        <f t="shared" ref="P41:P72" si="238">IF(M41="","",D41)</f>
        <v>-8.8200266012002301E-2</v>
      </c>
      <c r="Q41" s="624">
        <f t="shared" si="117"/>
        <v>226.23658032987146</v>
      </c>
      <c r="R41" s="5">
        <f t="shared" si="84"/>
        <v>2.5066075599284012</v>
      </c>
      <c r="S41" s="6">
        <f t="shared" si="85"/>
        <v>-8.8200266012002301E-2</v>
      </c>
      <c r="T41" s="4">
        <f t="shared" si="86"/>
        <v>-1.8241350881785354</v>
      </c>
      <c r="U41" s="5">
        <f t="shared" si="87"/>
        <v>1.7191895298558852</v>
      </c>
      <c r="V41" s="8">
        <f t="shared" si="118"/>
        <v>-8.8200266012002301E-2</v>
      </c>
      <c r="W41" s="624">
        <f t="shared" si="228"/>
        <v>136.69648026347011</v>
      </c>
      <c r="X41" s="5">
        <f t="shared" si="88"/>
        <v>2.5066075599284012</v>
      </c>
      <c r="Y41" s="7">
        <f t="shared" si="227"/>
        <v>-8.8200266012002301E-2</v>
      </c>
      <c r="Z41" s="21">
        <f t="shared" ref="Z41:Z72" si="239">IF(M41="","",-E41)</f>
        <v>-0.65444415534309142</v>
      </c>
      <c r="AA41" s="5">
        <f t="shared" ref="AA41:AA72" si="240">IF(M41="","",-F41)</f>
        <v>0.71316704898995653</v>
      </c>
      <c r="AB41" s="5">
        <f t="shared" ref="AB41:AB72" si="241">IF(M41="","",-G41)</f>
        <v>-0.25118839099812074</v>
      </c>
      <c r="AC41" s="8">
        <f t="shared" si="89"/>
        <v>1</v>
      </c>
      <c r="AD41" s="9">
        <f t="shared" si="119"/>
        <v>-0.65444415534309142</v>
      </c>
      <c r="AE41" s="5">
        <f t="shared" si="90"/>
        <v>0.71316704898995653</v>
      </c>
      <c r="AF41" s="10">
        <f t="shared" si="91"/>
        <v>-0.25118839099812074</v>
      </c>
      <c r="AG41" s="622">
        <f t="shared" si="92"/>
        <v>70.596953189259764</v>
      </c>
      <c r="AH41" s="623">
        <f t="shared" si="93"/>
        <v>130.87751629705562</v>
      </c>
      <c r="AI41" s="624">
        <f t="shared" si="94"/>
        <v>-75.452153818783913</v>
      </c>
      <c r="AJ41" s="625">
        <f t="shared" si="95"/>
        <v>-137.4586728220861</v>
      </c>
      <c r="AK41" s="4">
        <f t="shared" si="214"/>
        <v>0.96592583607220739</v>
      </c>
      <c r="AL41" s="5">
        <f t="shared" si="96"/>
        <v>-6.2383262466645661E-2</v>
      </c>
      <c r="AM41" s="6">
        <f t="shared" si="97"/>
        <v>-0.25118839099812074</v>
      </c>
      <c r="AN41" s="612">
        <f t="shared" si="98"/>
        <v>-13.947366407301971</v>
      </c>
      <c r="AO41" s="613">
        <f t="shared" si="99"/>
        <v>14.999997834268255</v>
      </c>
      <c r="AP41" s="624">
        <f t="shared" si="100"/>
        <v>-3.6952531519575755</v>
      </c>
      <c r="AQ41" s="625">
        <f t="shared" ref="AQ41:AQ72" si="242">IF(M41="","",DEGREES(ATAN(($AS$5*SIN(RADIANS(90)))/(($X41*2*PI())-($AS$5*COS(RADIANS(90)))))))</f>
        <v>4.9353656568311317</v>
      </c>
      <c r="AS41" s="56">
        <f t="shared" si="120"/>
        <v>-223.30351973652989</v>
      </c>
      <c r="AT41" s="77">
        <f t="shared" ref="AT41:AT72" si="243">IF(M41="","",Y41+(((AS41-$AS$9)*$AS$6)*-1))</f>
        <v>0.75712820829737226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6.117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1" t="str" cm="1">
        <f t="array" ref="II41">IFERROR(IF(IH41&lt;1,IH41+LARGE((IF($M$9:$M$150="",0,$M$9:$M$150)-MOD(IF($M$9:$M$150="",0,$M$9:$M$150),1)),1),IH41),"")</f>
        <v/>
      </c>
      <c r="IJ41" s="842" t="str">
        <f t="shared" ref="IJ41:IJ72" si="379">IF(ISNUMBER($II41),INDEX($K$9:$K$150,MATCH($II41,$M$9:$M$150,0)),"")</f>
        <v/>
      </c>
      <c r="IK41" s="842" t="str">
        <f t="shared" ref="IK41:IK72" si="380">IF(ISNUMBER($II41),INDEX($K$9:$K$150,MATCH($IG41,$M$9:$M$150,0)),"")</f>
        <v/>
      </c>
      <c r="IL41" s="791" t="str">
        <f t="shared" ref="IL41:IL72" si="381">IF(ISNUMBER($II41),IFERROR(IF(INDEX($W$9:$W$150,MATCH($II41,$M$9:$M$150,0))&lt;$W41,((INDEX($W$9:$W$150,MATCH($II41,$M$9:$M$150,0))+360)-$W41),INDEX($W$9:$W$150,MATCH($II41,$M$9:$M$150,0))-$W41),""),"")</f>
        <v/>
      </c>
      <c r="IM41" s="833">
        <v>4.7828978437876299E-2</v>
      </c>
      <c r="IN41" s="5" t="str">
        <f t="shared" si="230"/>
        <v/>
      </c>
      <c r="IO41" s="802">
        <v>670</v>
      </c>
      <c r="IP41" s="9" t="str">
        <f t="shared" ref="IP41:IP72" si="382">IF(ISNUMBER($II41),(INDEX($X$9:$X$150,MATCH($II41,$M$9:$M$150,0))*-1),"")</f>
        <v/>
      </c>
      <c r="IQ41" s="5" t="str">
        <f t="shared" ref="IQ41:IQ72" si="383">IF(ISNUMBER($II41),INDEX($Y$9:$Y$150,MATCH($II41,$M$9:$M$150,0)),"")</f>
        <v/>
      </c>
      <c r="IR41" s="5" t="str">
        <f t="shared" ref="IR41:IR72" si="384">IF(ISNUMBER($II41),INDEX($H$9:$H$150,MATCH($II41,$M$9:$M$150,0)),"")</f>
        <v/>
      </c>
      <c r="IS41" s="5" t="str">
        <f t="shared" ref="IS41:IS72" si="385">IF(ISNUMBER($II41),$IR41*COS(RADIANS(INDEX($AO$9:$AO$150,MATCH($II41,$M$9:$M$150,0)))),"")</f>
        <v/>
      </c>
      <c r="IT41" s="791" t="str">
        <f t="shared" ref="IT41:IT72" si="386">IF(ISNUMBER($II41),ABS(INDEX($AN$9:$AN$150,MATCH($II41,$M$9:$M$150,0))),"")</f>
        <v/>
      </c>
      <c r="IU41" s="9" t="str">
        <f t="shared" ref="IU41:IU72" si="387">IF(ISNUMBER($II41),-$X41,"")</f>
        <v/>
      </c>
      <c r="IV41" s="5" t="str">
        <f t="shared" ref="IV41:IV72" si="388">IF(ISNUMBER($II41),$Y41,"")</f>
        <v/>
      </c>
      <c r="IW41" s="5" t="str">
        <f t="shared" ref="IW41:IW72" si="389">IF(ISNUMBER($II41),$H41,"")</f>
        <v/>
      </c>
      <c r="IX41" s="5" t="str">
        <f t="shared" ref="IX41:IX72" si="390">IF(ISNUMBER($II41),$IW41*COS(RADIANS($AO41)),"")</f>
        <v/>
      </c>
      <c r="IY41" s="836" t="str">
        <f t="shared" ref="IY41:IY72" si="391">IF(ISNUMBER($II41),ABS($AN41),"")</f>
        <v/>
      </c>
    </row>
    <row r="42" spans="1:259" ht="15" customHeight="1" x14ac:dyDescent="0.25">
      <c r="A42" s="84">
        <f t="shared" si="83"/>
        <v>0.02</v>
      </c>
      <c r="B42" s="770">
        <v>-2.19781548786615</v>
      </c>
      <c r="C42" s="771">
        <v>-2.2245045464123314</v>
      </c>
      <c r="D42" s="772">
        <v>-0.36610110416093011</v>
      </c>
      <c r="E42" s="773">
        <v>0.57268814409708801</v>
      </c>
      <c r="F42" s="771">
        <v>-0.78806577689101598</v>
      </c>
      <c r="G42" s="774">
        <v>0.22578888569589151</v>
      </c>
      <c r="H42" s="773">
        <v>0.26600000000000001</v>
      </c>
      <c r="I42" s="771">
        <v>0.52</v>
      </c>
      <c r="J42" s="601">
        <v>6.125</v>
      </c>
      <c r="K42" s="426" t="str">
        <f t="shared" si="226"/>
        <v>1313</v>
      </c>
      <c r="L42" s="327" t="str">
        <f t="shared" si="229"/>
        <v/>
      </c>
      <c r="M42" s="173">
        <f t="shared" si="235"/>
        <v>6.125</v>
      </c>
      <c r="N42" s="21">
        <f t="shared" si="236"/>
        <v>-2.19781548786615</v>
      </c>
      <c r="O42" s="5">
        <f t="shared" si="237"/>
        <v>-2.2245045464123314</v>
      </c>
      <c r="P42" s="10">
        <f t="shared" si="238"/>
        <v>-0.36610110416093011</v>
      </c>
      <c r="Q42" s="624">
        <f t="shared" si="117"/>
        <v>225.34578045848707</v>
      </c>
      <c r="R42" s="5">
        <f t="shared" ref="R42:R47" si="392">IF(M42="","",SQRT(N42^2+O42^2))</f>
        <v>3.1271094313620456</v>
      </c>
      <c r="S42" s="6">
        <f t="shared" ref="S42:S47" si="393">IF(M42="","",P42)</f>
        <v>-0.36610110416093011</v>
      </c>
      <c r="T42" s="4">
        <f t="shared" ref="T42:T47" si="394">IF(M42="","",X42*COS(RADIANS(W42)))</f>
        <v>-2.2420740512378079</v>
      </c>
      <c r="U42" s="5">
        <f t="shared" ref="U42:U47" si="395">IF(M42="","",X42*SIN(RADIANS(W42)))</f>
        <v>2.1798892963817078</v>
      </c>
      <c r="V42" s="8">
        <f t="shared" ref="V42:V47" si="396">IF(M42="","",Y42)</f>
        <v>-0.36610110416093011</v>
      </c>
      <c r="W42" s="624">
        <f t="shared" si="228"/>
        <v>135.80568039208572</v>
      </c>
      <c r="X42" s="5">
        <f t="shared" ref="X42:X47" si="397">IF(M42="","",R42)</f>
        <v>3.1271094313620456</v>
      </c>
      <c r="Y42" s="7">
        <f t="shared" si="227"/>
        <v>-0.36610110416093011</v>
      </c>
      <c r="Z42" s="21">
        <f t="shared" si="239"/>
        <v>-0.57268814409708801</v>
      </c>
      <c r="AA42" s="5">
        <f t="shared" si="240"/>
        <v>0.78806577689101598</v>
      </c>
      <c r="AB42" s="5">
        <f t="shared" si="241"/>
        <v>-0.22578888569589151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-0.57268814409708801</v>
      </c>
      <c r="AE42" s="5">
        <f t="shared" ref="AE42:AE47" si="400">IF(M42="","",AA42*(1/SQRT(Z42^2+AA42^2+AB42^2)))</f>
        <v>0.78806577689101598</v>
      </c>
      <c r="AF42" s="10">
        <f t="shared" ref="AF42:AF47" si="401">IF(M42="","",AB42*(1/SQRT(Z42^2+AA42^2+AB42^2)))</f>
        <v>-0.22578888569589151</v>
      </c>
      <c r="AG42" s="622">
        <f t="shared" ref="AG42:AG47" si="402">IF(M42="","",DEGREES(ATAN2(-AF42,AE42)))</f>
        <v>74.012451982079085</v>
      </c>
      <c r="AH42" s="623">
        <f t="shared" ref="AH42:AH47" si="403">IF(M42="","",DEGREES(ACOS(AD42)))</f>
        <v>124.93789175105132</v>
      </c>
      <c r="AI42" s="624">
        <f t="shared" ref="AI42:AI47" si="404">IF(M42="","",DEGREES(-ACOS(-AF42)))</f>
        <v>-76.950728194729095</v>
      </c>
      <c r="AJ42" s="625">
        <f t="shared" ref="AJ42:AJ47" si="405">IF(M42="","",DEGREES(ATAN2(-AE42,AD42)))</f>
        <v>-143.99405975210999</v>
      </c>
      <c r="AK42" s="4">
        <f t="shared" ref="AK42:AK47" si="406">IF(M42="","",(COS(RADIANS((90-$Q$8)-W42))*AD42)+(-SIN(RADIANS((90-$Q$8)-W42))*AE42))</f>
        <v>0.96126170705176617</v>
      </c>
      <c r="AL42" s="5">
        <f t="shared" ref="AL42:AL47" si="407">IF(M42="","",(SIN(RADIANS((90-$Q$8)-W42))*AD42)+(COS(RADIANS((90-$Q$8)-W42))*AE42))</f>
        <v>-0.15809905013039194</v>
      </c>
      <c r="AM42" s="6">
        <f t="shared" ref="AM42:AM47" si="408">IF(M42="","",AF42)</f>
        <v>-0.22578888569589151</v>
      </c>
      <c r="AN42" s="612">
        <f t="shared" ref="AN42:AN47" si="409">IF(M42="","",DEGREES(ATAN2(-AM42,AL42)))</f>
        <v>-34.999994946625861</v>
      </c>
      <c r="AO42" s="613">
        <f t="shared" si="99"/>
        <v>15.99999768988615</v>
      </c>
      <c r="AP42" s="624">
        <f t="shared" ref="AP42:AP47" si="410">IF(M42="","",DEGREES(ATAN2(AK42,AL42)))</f>
        <v>-9.3398402105970391</v>
      </c>
      <c r="AQ42" s="625">
        <f t="shared" si="242"/>
        <v>3.9595556510805534</v>
      </c>
      <c r="AS42" s="56">
        <f t="shared" si="120"/>
        <v>-224.19431960791428</v>
      </c>
      <c r="AT42" s="77">
        <f t="shared" si="243"/>
        <v>0.4825926141070076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6.125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1" t="str" cm="1">
        <f t="array" ref="II42">IFERROR(IF(IH42&lt;1,IH42+LARGE((IF($M$9:$M$150="",0,$M$9:$M$150)-MOD(IF($M$9:$M$150="",0,$M$9:$M$150),1)),1),IH42),"")</f>
        <v/>
      </c>
      <c r="IJ42" s="842" t="str">
        <f t="shared" si="379"/>
        <v/>
      </c>
      <c r="IK42" s="842" t="str">
        <f t="shared" si="380"/>
        <v/>
      </c>
      <c r="IL42" s="791" t="str">
        <f t="shared" si="381"/>
        <v/>
      </c>
      <c r="IM42" s="833">
        <v>2.9319729240441999E-2</v>
      </c>
      <c r="IN42" s="5" t="str">
        <f t="shared" si="230"/>
        <v/>
      </c>
      <c r="IO42" s="802">
        <v>830</v>
      </c>
      <c r="IP42" s="9" t="str">
        <f t="shared" si="382"/>
        <v/>
      </c>
      <c r="IQ42" s="5" t="str">
        <f t="shared" si="383"/>
        <v/>
      </c>
      <c r="IR42" s="5" t="str">
        <f t="shared" si="384"/>
        <v/>
      </c>
      <c r="IS42" s="5" t="str">
        <f t="shared" si="385"/>
        <v/>
      </c>
      <c r="IT42" s="791" t="str">
        <f t="shared" si="386"/>
        <v/>
      </c>
      <c r="IU42" s="9" t="str">
        <f t="shared" si="387"/>
        <v/>
      </c>
      <c r="IV42" s="5" t="str">
        <f t="shared" si="388"/>
        <v/>
      </c>
      <c r="IW42" s="5" t="str">
        <f t="shared" si="389"/>
        <v/>
      </c>
      <c r="IX42" s="5" t="str">
        <f t="shared" si="390"/>
        <v/>
      </c>
      <c r="IY42" s="836" t="str">
        <f t="shared" si="391"/>
        <v/>
      </c>
    </row>
    <row r="43" spans="1:259" ht="15" customHeight="1" x14ac:dyDescent="0.25">
      <c r="A43" s="84">
        <f t="shared" si="83"/>
        <v>0.02</v>
      </c>
      <c r="B43" s="770">
        <v>-2.5389119168504246</v>
      </c>
      <c r="C43" s="771">
        <v>-2.5063465069158779</v>
      </c>
      <c r="D43" s="772">
        <v>-0.88350266464403648</v>
      </c>
      <c r="E43" s="773">
        <v>0.40167236188388927</v>
      </c>
      <c r="F43" s="771">
        <v>-0.88716924601994007</v>
      </c>
      <c r="G43" s="774">
        <v>0.2271344153029855</v>
      </c>
      <c r="H43" s="773">
        <v>0.26600000000000001</v>
      </c>
      <c r="I43" s="771">
        <v>0.52</v>
      </c>
      <c r="J43" s="601">
        <v>6.133</v>
      </c>
      <c r="K43" s="426" t="str">
        <f t="shared" si="226"/>
        <v>1313</v>
      </c>
      <c r="L43" s="327" t="str">
        <f t="shared" si="229"/>
        <v/>
      </c>
      <c r="M43" s="173">
        <f t="shared" si="235"/>
        <v>6.133</v>
      </c>
      <c r="N43" s="21">
        <f t="shared" si="236"/>
        <v>-2.5389119168504246</v>
      </c>
      <c r="O43" s="5">
        <f t="shared" si="237"/>
        <v>-2.5063465069158779</v>
      </c>
      <c r="P43" s="10">
        <f t="shared" si="238"/>
        <v>-0.88350266464403648</v>
      </c>
      <c r="Q43" s="624">
        <f t="shared" si="117"/>
        <v>224.63018056180692</v>
      </c>
      <c r="R43" s="5">
        <f t="shared" si="392"/>
        <v>3.5676107599140523</v>
      </c>
      <c r="S43" s="6">
        <f t="shared" si="393"/>
        <v>-0.88350266464403648</v>
      </c>
      <c r="T43" s="4">
        <f t="shared" si="394"/>
        <v>-2.526644804916816</v>
      </c>
      <c r="U43" s="5">
        <f t="shared" si="395"/>
        <v>2.5187124814161277</v>
      </c>
      <c r="V43" s="8">
        <f t="shared" si="396"/>
        <v>-0.88350266464403648</v>
      </c>
      <c r="W43" s="624">
        <f t="shared" si="228"/>
        <v>135.09008049540557</v>
      </c>
      <c r="X43" s="5">
        <f t="shared" si="397"/>
        <v>3.5676107599140523</v>
      </c>
      <c r="Y43" s="7">
        <f t="shared" si="227"/>
        <v>-0.88350266464403648</v>
      </c>
      <c r="Z43" s="21">
        <f t="shared" si="239"/>
        <v>-0.40167236188388927</v>
      </c>
      <c r="AA43" s="5">
        <f t="shared" si="240"/>
        <v>0.88716924601994007</v>
      </c>
      <c r="AB43" s="5">
        <f t="shared" si="241"/>
        <v>-0.2271344153029855</v>
      </c>
      <c r="AC43" s="8">
        <f t="shared" si="398"/>
        <v>1</v>
      </c>
      <c r="AD43" s="9">
        <f t="shared" si="399"/>
        <v>-0.40167236188388927</v>
      </c>
      <c r="AE43" s="5">
        <f t="shared" si="400"/>
        <v>0.88716924601994007</v>
      </c>
      <c r="AF43" s="10">
        <f t="shared" si="401"/>
        <v>-0.2271344153029855</v>
      </c>
      <c r="AG43" s="622">
        <f t="shared" si="402"/>
        <v>75.63950650857663</v>
      </c>
      <c r="AH43" s="623">
        <f t="shared" si="403"/>
        <v>113.6827676015271</v>
      </c>
      <c r="AI43" s="624">
        <f t="shared" si="404"/>
        <v>-76.871578723156475</v>
      </c>
      <c r="AJ43" s="625">
        <f t="shared" si="405"/>
        <v>-155.64101215392421</v>
      </c>
      <c r="AK43" s="4">
        <f t="shared" si="406"/>
        <v>0.91354548224147791</v>
      </c>
      <c r="AL43" s="5">
        <f t="shared" si="407"/>
        <v>-0.3374086680290781</v>
      </c>
      <c r="AM43" s="6">
        <f t="shared" si="408"/>
        <v>-0.2271344153029855</v>
      </c>
      <c r="AN43" s="612">
        <f t="shared" si="409"/>
        <v>-56.052623485948779</v>
      </c>
      <c r="AO43" s="613">
        <f t="shared" si="99"/>
        <v>23.999996534829219</v>
      </c>
      <c r="AP43" s="624">
        <f t="shared" si="410"/>
        <v>-20.271192715731132</v>
      </c>
      <c r="AQ43" s="625">
        <f t="shared" si="242"/>
        <v>3.4719397441810282</v>
      </c>
      <c r="AS43" s="56">
        <f t="shared" ref="AS43:AS74" si="413">IF(G43="","",IF(AND(W43&lt;(AS42+180),W43&gt;(AS42-180)),W43,IF(W43&gt;(AS42+180),W43-360,IF(W43&lt;(AS42-180),W43+360,"Error"))))</f>
        <v>-224.90991950459443</v>
      </c>
      <c r="AT43" s="77">
        <f t="shared" si="243"/>
        <v>-3.2105568988640365E-2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6.133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1" t="str" cm="1">
        <f t="array" ref="II43">IFERROR(IF(IH43&lt;1,IH43+LARGE((IF($M$9:$M$150="",0,$M$9:$M$150)-MOD(IF($M$9:$M$150="",0,$M$9:$M$150),1)),1),IH43),"")</f>
        <v/>
      </c>
      <c r="IJ43" s="842" t="str">
        <f t="shared" si="379"/>
        <v/>
      </c>
      <c r="IK43" s="842" t="str">
        <f t="shared" si="380"/>
        <v/>
      </c>
      <c r="IL43" s="791" t="str">
        <f t="shared" si="381"/>
        <v/>
      </c>
      <c r="IM43" s="833">
        <v>1.7515916623249399E-2</v>
      </c>
      <c r="IN43" s="5" t="str">
        <f t="shared" si="230"/>
        <v/>
      </c>
      <c r="IO43" s="802">
        <v>1040</v>
      </c>
      <c r="IP43" s="9" t="str">
        <f t="shared" si="382"/>
        <v/>
      </c>
      <c r="IQ43" s="5" t="str">
        <f t="shared" si="383"/>
        <v/>
      </c>
      <c r="IR43" s="5" t="str">
        <f t="shared" si="384"/>
        <v/>
      </c>
      <c r="IS43" s="5" t="str">
        <f t="shared" si="385"/>
        <v/>
      </c>
      <c r="IT43" s="791" t="str">
        <f t="shared" si="386"/>
        <v/>
      </c>
      <c r="IU43" s="9" t="str">
        <f t="shared" si="387"/>
        <v/>
      </c>
      <c r="IV43" s="5" t="str">
        <f t="shared" si="388"/>
        <v/>
      </c>
      <c r="IW43" s="5" t="str">
        <f t="shared" si="389"/>
        <v/>
      </c>
      <c r="IX43" s="5" t="str">
        <f t="shared" si="390"/>
        <v/>
      </c>
      <c r="IY43" s="836" t="str">
        <f t="shared" si="391"/>
        <v/>
      </c>
    </row>
    <row r="44" spans="1:259" ht="15" customHeight="1" x14ac:dyDescent="0.25">
      <c r="A44" s="84">
        <f t="shared" si="83"/>
        <v>0.02</v>
      </c>
      <c r="B44" s="770">
        <v>-2.6696828779462742</v>
      </c>
      <c r="C44" s="771">
        <v>-2.6096755148399393</v>
      </c>
      <c r="D44" s="772">
        <v>-1.5423046515908294</v>
      </c>
      <c r="E44" s="773">
        <v>0.25684079029006179</v>
      </c>
      <c r="F44" s="771">
        <v>-0.9599909531432147</v>
      </c>
      <c r="G44" s="774">
        <v>0.1115803671187674</v>
      </c>
      <c r="H44" s="773">
        <v>0.26600000000000001</v>
      </c>
      <c r="I44" s="771">
        <v>0.52</v>
      </c>
      <c r="J44" s="601">
        <v>6.141</v>
      </c>
      <c r="K44" s="426" t="str">
        <f t="shared" si="226"/>
        <v>1313</v>
      </c>
      <c r="L44" s="327" t="str">
        <f t="shared" si="229"/>
        <v/>
      </c>
      <c r="M44" s="173">
        <f t="shared" si="235"/>
        <v>6.141</v>
      </c>
      <c r="N44" s="21">
        <f t="shared" si="236"/>
        <v>-2.6696828779462742</v>
      </c>
      <c r="O44" s="5">
        <f t="shared" si="237"/>
        <v>-2.6096755148399393</v>
      </c>
      <c r="P44" s="10">
        <f t="shared" si="238"/>
        <v>-1.5423046515908294</v>
      </c>
      <c r="Q44" s="624">
        <f t="shared" si="117"/>
        <v>224.34878060243605</v>
      </c>
      <c r="R44" s="5">
        <f t="shared" si="392"/>
        <v>3.7333112596667588</v>
      </c>
      <c r="S44" s="6">
        <f t="shared" si="393"/>
        <v>-1.5423046515908294</v>
      </c>
      <c r="T44" s="4">
        <f t="shared" si="394"/>
        <v>-2.6310201410697949</v>
      </c>
      <c r="U44" s="5">
        <f t="shared" si="395"/>
        <v>2.6486498407376691</v>
      </c>
      <c r="V44" s="8">
        <f t="shared" si="396"/>
        <v>-1.5423046515908294</v>
      </c>
      <c r="W44" s="624">
        <f t="shared" si="228"/>
        <v>134.80868053603473</v>
      </c>
      <c r="X44" s="5">
        <f t="shared" si="397"/>
        <v>3.7333112596667588</v>
      </c>
      <c r="Y44" s="7">
        <f t="shared" si="227"/>
        <v>-1.5423046515908294</v>
      </c>
      <c r="Z44" s="21">
        <f t="shared" si="239"/>
        <v>-0.25684079029006179</v>
      </c>
      <c r="AA44" s="5">
        <f t="shared" si="240"/>
        <v>0.9599909531432147</v>
      </c>
      <c r="AB44" s="5">
        <f t="shared" si="241"/>
        <v>-0.1115803671187674</v>
      </c>
      <c r="AC44" s="8">
        <f t="shared" si="398"/>
        <v>1</v>
      </c>
      <c r="AD44" s="9">
        <f t="shared" si="399"/>
        <v>-0.25684079029006179</v>
      </c>
      <c r="AE44" s="5">
        <f t="shared" si="400"/>
        <v>0.9599909531432147</v>
      </c>
      <c r="AF44" s="10">
        <f t="shared" si="401"/>
        <v>-0.1115803671187674</v>
      </c>
      <c r="AG44" s="622">
        <f t="shared" si="402"/>
        <v>83.370222954260953</v>
      </c>
      <c r="AH44" s="623">
        <f t="shared" si="403"/>
        <v>104.88268804469149</v>
      </c>
      <c r="AI44" s="624">
        <f t="shared" si="404"/>
        <v>-83.59357516959723</v>
      </c>
      <c r="AJ44" s="625">
        <f t="shared" si="405"/>
        <v>-165.02160877856264</v>
      </c>
      <c r="AK44" s="4">
        <f t="shared" si="406"/>
        <v>0.86602544158358541</v>
      </c>
      <c r="AL44" s="5">
        <f t="shared" si="407"/>
        <v>-0.48739076335482323</v>
      </c>
      <c r="AM44" s="6">
        <f t="shared" si="408"/>
        <v>-0.1115803671187674</v>
      </c>
      <c r="AN44" s="612">
        <f t="shared" si="409"/>
        <v>-77.105252025273614</v>
      </c>
      <c r="AO44" s="613">
        <f t="shared" si="99"/>
        <v>29.99999566853656</v>
      </c>
      <c r="AP44" s="624">
        <f t="shared" si="410"/>
        <v>-29.370389380998738</v>
      </c>
      <c r="AQ44" s="625">
        <f t="shared" si="242"/>
        <v>3.3181923408941945</v>
      </c>
      <c r="AS44" s="56">
        <f t="shared" si="413"/>
        <v>-225.19131946396527</v>
      </c>
      <c r="AT44" s="77">
        <f t="shared" si="243"/>
        <v>-0.68984448942225463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6.141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1" t="str" cm="1">
        <f t="array" ref="II44">IFERROR(IF(IH44&lt;1,IH44+LARGE((IF($M$9:$M$150="",0,$M$9:$M$150)-MOD(IF($M$9:$M$150="",0,$M$9:$M$150),1)),1),IH44),"")</f>
        <v/>
      </c>
      <c r="IJ44" s="842" t="str">
        <f t="shared" si="379"/>
        <v/>
      </c>
      <c r="IK44" s="842" t="str">
        <f t="shared" si="380"/>
        <v/>
      </c>
      <c r="IL44" s="791" t="str">
        <f t="shared" si="381"/>
        <v/>
      </c>
      <c r="IM44" s="833"/>
      <c r="IN44" s="5" t="str">
        <f t="shared" si="230"/>
        <v/>
      </c>
      <c r="IO44" s="802"/>
      <c r="IP44" s="9" t="str">
        <f t="shared" si="382"/>
        <v/>
      </c>
      <c r="IQ44" s="5" t="str">
        <f t="shared" si="383"/>
        <v/>
      </c>
      <c r="IR44" s="5" t="str">
        <f t="shared" si="384"/>
        <v/>
      </c>
      <c r="IS44" s="5" t="str">
        <f t="shared" si="385"/>
        <v/>
      </c>
      <c r="IT44" s="791" t="str">
        <f t="shared" si="386"/>
        <v/>
      </c>
      <c r="IU44" s="9" t="str">
        <f t="shared" si="387"/>
        <v/>
      </c>
      <c r="IV44" s="5" t="str">
        <f t="shared" si="388"/>
        <v/>
      </c>
      <c r="IW44" s="5" t="str">
        <f t="shared" si="389"/>
        <v/>
      </c>
      <c r="IX44" s="5" t="str">
        <f t="shared" si="390"/>
        <v/>
      </c>
      <c r="IY44" s="836" t="str">
        <f t="shared" si="391"/>
        <v/>
      </c>
    </row>
    <row r="45" spans="1:259" ht="15" customHeight="1" x14ac:dyDescent="0.25">
      <c r="A45" s="84">
        <f t="shared" si="83"/>
        <v>0.02</v>
      </c>
      <c r="B45" s="770">
        <v>-1.0848032717666396</v>
      </c>
      <c r="C45" s="771">
        <v>2.460278459974489E-7</v>
      </c>
      <c r="D45" s="772">
        <v>-0.29810089907231152</v>
      </c>
      <c r="E45" s="773">
        <v>6.6987060141155297E-2</v>
      </c>
      <c r="F45" s="771">
        <v>-0.96592585126455566</v>
      </c>
      <c r="G45" s="774">
        <v>0.24999996726497573</v>
      </c>
      <c r="H45" s="773">
        <v>0.26600000000000001</v>
      </c>
      <c r="I45" s="771">
        <v>0.52</v>
      </c>
      <c r="J45" s="601">
        <v>7.1050000000000004</v>
      </c>
      <c r="K45" s="426" t="str">
        <f t="shared" si="226"/>
        <v>1313</v>
      </c>
      <c r="L45" s="327" t="str">
        <f t="shared" si="229"/>
        <v/>
      </c>
      <c r="M45" s="173">
        <f t="shared" si="235"/>
        <v>7.1050000000000004</v>
      </c>
      <c r="N45" s="21">
        <f t="shared" si="236"/>
        <v>-1.0848032717666396</v>
      </c>
      <c r="O45" s="5">
        <f t="shared" si="237"/>
        <v>2.460278459974489E-7</v>
      </c>
      <c r="P45" s="10">
        <f t="shared" si="238"/>
        <v>-0.29810089907231152</v>
      </c>
      <c r="Q45" s="624">
        <f t="shared" si="117"/>
        <v>179.9999870056096</v>
      </c>
      <c r="R45" s="5">
        <f t="shared" si="392"/>
        <v>1.0848032717666676</v>
      </c>
      <c r="S45" s="6">
        <f t="shared" si="393"/>
        <v>-0.29810089907231152</v>
      </c>
      <c r="T45" s="4">
        <f t="shared" si="394"/>
        <v>-8.7071247433026869E-3</v>
      </c>
      <c r="U45" s="5">
        <f t="shared" si="395"/>
        <v>1.0847683275309854</v>
      </c>
      <c r="V45" s="8">
        <f t="shared" si="396"/>
        <v>-0.29810089907231152</v>
      </c>
      <c r="W45" s="624">
        <f t="shared" si="228"/>
        <v>90.459886939208261</v>
      </c>
      <c r="X45" s="5">
        <f t="shared" si="397"/>
        <v>1.0848032717666676</v>
      </c>
      <c r="Y45" s="7">
        <f t="shared" si="227"/>
        <v>-0.29810089907231152</v>
      </c>
      <c r="Z45" s="21">
        <f t="shared" si="239"/>
        <v>-6.6987060141155297E-2</v>
      </c>
      <c r="AA45" s="5">
        <f t="shared" si="240"/>
        <v>0.96592585126455566</v>
      </c>
      <c r="AB45" s="5">
        <f t="shared" si="241"/>
        <v>-0.24999996726497573</v>
      </c>
      <c r="AC45" s="8">
        <f t="shared" si="398"/>
        <v>1</v>
      </c>
      <c r="AD45" s="9">
        <f t="shared" si="399"/>
        <v>-6.6987060141155297E-2</v>
      </c>
      <c r="AE45" s="5">
        <f t="shared" si="400"/>
        <v>0.96592585126455566</v>
      </c>
      <c r="AF45" s="10">
        <f t="shared" si="401"/>
        <v>-0.24999996726497573</v>
      </c>
      <c r="AG45" s="622">
        <f t="shared" si="402"/>
        <v>75.489183480126258</v>
      </c>
      <c r="AH45" s="623">
        <f t="shared" si="403"/>
        <v>93.840952051080606</v>
      </c>
      <c r="AI45" s="624">
        <f t="shared" si="404"/>
        <v>-75.522489751159455</v>
      </c>
      <c r="AJ45" s="625">
        <f t="shared" si="405"/>
        <v>-176.03288334930383</v>
      </c>
      <c r="AK45" s="4">
        <f t="shared" si="406"/>
        <v>0.96592583607220739</v>
      </c>
      <c r="AL45" s="5">
        <f t="shared" si="407"/>
        <v>6.6987279208207448E-2</v>
      </c>
      <c r="AM45" s="6">
        <f t="shared" si="408"/>
        <v>-0.24999996726497573</v>
      </c>
      <c r="AN45" s="612">
        <f t="shared" si="409"/>
        <v>14.999997834268315</v>
      </c>
      <c r="AO45" s="613">
        <f t="shared" si="99"/>
        <v>14.999997834268255</v>
      </c>
      <c r="AP45" s="624">
        <f t="shared" si="410"/>
        <v>3.9671296450865863</v>
      </c>
      <c r="AQ45" s="625">
        <f t="shared" si="242"/>
        <v>11.284033080753042</v>
      </c>
      <c r="AS45" s="56">
        <f t="shared" si="413"/>
        <v>-269.54011306079173</v>
      </c>
      <c r="AT45" s="77">
        <f t="shared" si="243"/>
        <v>0.72189915001760774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7.1050000000000004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1" t="str" cm="1">
        <f t="array" ref="II45">IFERROR(IF(IH45&lt;1,IH45+LARGE((IF($M$9:$M$150="",0,$M$9:$M$150)-MOD(IF($M$9:$M$150="",0,$M$9:$M$150),1)),1),IH45),"")</f>
        <v/>
      </c>
      <c r="IJ45" s="842" t="str">
        <f t="shared" si="379"/>
        <v/>
      </c>
      <c r="IK45" s="842" t="str">
        <f t="shared" si="380"/>
        <v/>
      </c>
      <c r="IL45" s="791" t="str">
        <f t="shared" si="381"/>
        <v/>
      </c>
      <c r="IM45" s="833"/>
      <c r="IN45" s="5" t="str">
        <f t="shared" si="230"/>
        <v/>
      </c>
      <c r="IO45" s="802"/>
      <c r="IP45" s="9" t="str">
        <f t="shared" si="382"/>
        <v/>
      </c>
      <c r="IQ45" s="5" t="str">
        <f t="shared" si="383"/>
        <v/>
      </c>
      <c r="IR45" s="5" t="str">
        <f t="shared" si="384"/>
        <v/>
      </c>
      <c r="IS45" s="5" t="str">
        <f t="shared" si="385"/>
        <v/>
      </c>
      <c r="IT45" s="791" t="str">
        <f t="shared" si="386"/>
        <v/>
      </c>
      <c r="IU45" s="9" t="str">
        <f t="shared" si="387"/>
        <v/>
      </c>
      <c r="IV45" s="5" t="str">
        <f t="shared" si="388"/>
        <v/>
      </c>
      <c r="IW45" s="5" t="str">
        <f t="shared" si="389"/>
        <v/>
      </c>
      <c r="IX45" s="5" t="str">
        <f t="shared" si="390"/>
        <v/>
      </c>
      <c r="IY45" s="836" t="str">
        <f t="shared" si="391"/>
        <v/>
      </c>
    </row>
    <row r="46" spans="1:259" ht="15" customHeight="1" x14ac:dyDescent="0.25">
      <c r="A46" s="84">
        <f t="shared" si="83"/>
        <v>0.02</v>
      </c>
      <c r="B46" s="770">
        <v>-1.7165048303365569</v>
      </c>
      <c r="C46" s="771">
        <v>1.0908845412885989E-3</v>
      </c>
      <c r="D46" s="772">
        <v>-0.1288003884619715</v>
      </c>
      <c r="E46" s="773">
        <v>3.1400121657827906E-2</v>
      </c>
      <c r="F46" s="771">
        <v>-0.96594598675176513</v>
      </c>
      <c r="G46" s="774">
        <v>0.25683142922553792</v>
      </c>
      <c r="H46" s="773">
        <v>0.26600000000000001</v>
      </c>
      <c r="I46" s="771">
        <v>0.52</v>
      </c>
      <c r="J46" s="601">
        <v>7.109</v>
      </c>
      <c r="K46" s="426" t="str">
        <f t="shared" si="226"/>
        <v>1313</v>
      </c>
      <c r="L46" s="327" t="str">
        <f t="shared" si="229"/>
        <v/>
      </c>
      <c r="M46" s="173">
        <f t="shared" si="235"/>
        <v>7.109</v>
      </c>
      <c r="N46" s="21">
        <f t="shared" si="236"/>
        <v>-1.7165048303365569</v>
      </c>
      <c r="O46" s="5">
        <f t="shared" si="237"/>
        <v>1.0908845412885989E-3</v>
      </c>
      <c r="P46" s="10">
        <f t="shared" si="238"/>
        <v>-0.1288003884619715</v>
      </c>
      <c r="Q46" s="624">
        <f t="shared" si="117"/>
        <v>179.96358701086513</v>
      </c>
      <c r="R46" s="5">
        <f t="shared" si="392"/>
        <v>1.7165051769796136</v>
      </c>
      <c r="S46" s="6">
        <f t="shared" si="393"/>
        <v>-0.1288003884619715</v>
      </c>
      <c r="T46" s="4">
        <f t="shared" si="394"/>
        <v>-1.2686988816840919E-2</v>
      </c>
      <c r="U46" s="5">
        <f t="shared" si="395"/>
        <v>1.7164582904669068</v>
      </c>
      <c r="V46" s="8">
        <f t="shared" si="396"/>
        <v>-0.1288003884619715</v>
      </c>
      <c r="W46" s="624">
        <f t="shared" si="228"/>
        <v>90.423486944463789</v>
      </c>
      <c r="X46" s="5">
        <f t="shared" si="397"/>
        <v>1.7165051769796136</v>
      </c>
      <c r="Y46" s="7">
        <f t="shared" si="227"/>
        <v>-0.1288003884619715</v>
      </c>
      <c r="Z46" s="21">
        <f t="shared" si="239"/>
        <v>-3.1400121657827906E-2</v>
      </c>
      <c r="AA46" s="5">
        <f t="shared" si="240"/>
        <v>0.96594598675176513</v>
      </c>
      <c r="AB46" s="5">
        <f t="shared" si="241"/>
        <v>-0.25683142922553792</v>
      </c>
      <c r="AC46" s="8">
        <f t="shared" si="398"/>
        <v>1</v>
      </c>
      <c r="AD46" s="9">
        <f t="shared" si="399"/>
        <v>-3.1400121657827906E-2</v>
      </c>
      <c r="AE46" s="5">
        <f t="shared" si="400"/>
        <v>0.96594598675176513</v>
      </c>
      <c r="AF46" s="10">
        <f t="shared" si="401"/>
        <v>-0.25683142922553792</v>
      </c>
      <c r="AG46" s="622">
        <f t="shared" si="402"/>
        <v>75.110355015127212</v>
      </c>
      <c r="AH46" s="623">
        <f t="shared" si="403"/>
        <v>91.799390219924135</v>
      </c>
      <c r="AI46" s="624">
        <f t="shared" si="404"/>
        <v>-75.117866921141953</v>
      </c>
      <c r="AJ46" s="625">
        <f t="shared" si="405"/>
        <v>-178.13813488060353</v>
      </c>
      <c r="AK46" s="4">
        <f t="shared" si="406"/>
        <v>0.96592583607220739</v>
      </c>
      <c r="AL46" s="5">
        <f t="shared" si="407"/>
        <v>3.2013999596656378E-2</v>
      </c>
      <c r="AM46" s="6">
        <f t="shared" si="408"/>
        <v>-0.25683142922553792</v>
      </c>
      <c r="AN46" s="612">
        <f t="shared" si="409"/>
        <v>7.1052621320217568</v>
      </c>
      <c r="AO46" s="613">
        <f t="shared" si="99"/>
        <v>14.999997834268255</v>
      </c>
      <c r="AP46" s="624">
        <f t="shared" si="410"/>
        <v>1.8982781085313452</v>
      </c>
      <c r="AQ46" s="625">
        <f t="shared" si="242"/>
        <v>7.1870445970229273</v>
      </c>
      <c r="AS46" s="56">
        <f t="shared" si="413"/>
        <v>-269.57651305553622</v>
      </c>
      <c r="AT46" s="77">
        <f t="shared" si="243"/>
        <v>0.89133717171920468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7.109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1" t="str" cm="1">
        <f t="array" ref="II46">IFERROR(IF(IH46&lt;1,IH46+LARGE((IF($M$9:$M$150="",0,$M$9:$M$150)-MOD(IF($M$9:$M$150="",0,$M$9:$M$150),1)),1),IH46),"")</f>
        <v/>
      </c>
      <c r="IJ46" s="842" t="str">
        <f t="shared" si="379"/>
        <v/>
      </c>
      <c r="IK46" s="842" t="str">
        <f t="shared" si="380"/>
        <v/>
      </c>
      <c r="IL46" s="791" t="str">
        <f t="shared" si="381"/>
        <v/>
      </c>
      <c r="IM46" s="833"/>
      <c r="IN46" s="5" t="str">
        <f t="shared" si="230"/>
        <v/>
      </c>
      <c r="IO46" s="802"/>
      <c r="IP46" s="9" t="str">
        <f t="shared" si="382"/>
        <v/>
      </c>
      <c r="IQ46" s="5" t="str">
        <f t="shared" si="383"/>
        <v/>
      </c>
      <c r="IR46" s="5" t="str">
        <f t="shared" si="384"/>
        <v/>
      </c>
      <c r="IS46" s="5" t="str">
        <f t="shared" si="385"/>
        <v/>
      </c>
      <c r="IT46" s="791" t="str">
        <f t="shared" si="386"/>
        <v/>
      </c>
      <c r="IU46" s="9" t="str">
        <f t="shared" si="387"/>
        <v/>
      </c>
      <c r="IV46" s="5" t="str">
        <f t="shared" si="388"/>
        <v/>
      </c>
      <c r="IW46" s="5" t="str">
        <f t="shared" si="389"/>
        <v/>
      </c>
      <c r="IX46" s="5" t="str">
        <f t="shared" si="390"/>
        <v/>
      </c>
      <c r="IY46" s="836" t="str">
        <f t="shared" si="391"/>
        <v/>
      </c>
    </row>
    <row r="47" spans="1:259" ht="15" customHeight="1" x14ac:dyDescent="0.25">
      <c r="A47" s="84">
        <f t="shared" si="83"/>
        <v>0.02</v>
      </c>
      <c r="B47" s="770">
        <v>-2.4220476674611882</v>
      </c>
      <c r="C47" s="771">
        <v>2.7808753453798254E-2</v>
      </c>
      <c r="D47" s="772">
        <v>-7.3300221073466773E-2</v>
      </c>
      <c r="E47" s="773">
        <v>-6.1870724688650298E-2</v>
      </c>
      <c r="F47" s="771">
        <v>-0.96527913148319666</v>
      </c>
      <c r="G47" s="774">
        <v>0.25378772970643582</v>
      </c>
      <c r="H47" s="773">
        <v>0.26600000000000001</v>
      </c>
      <c r="I47" s="771">
        <v>0.52</v>
      </c>
      <c r="J47" s="601">
        <v>7.1159999999999997</v>
      </c>
      <c r="K47" s="426" t="str">
        <f t="shared" si="226"/>
        <v>1313</v>
      </c>
      <c r="L47" s="327" t="str">
        <f t="shared" si="229"/>
        <v/>
      </c>
      <c r="M47" s="173">
        <f t="shared" si="235"/>
        <v>7.1159999999999997</v>
      </c>
      <c r="N47" s="21">
        <f t="shared" si="236"/>
        <v>-2.4220476674611882</v>
      </c>
      <c r="O47" s="5">
        <f t="shared" si="237"/>
        <v>2.7808753453798254E-2</v>
      </c>
      <c r="P47" s="10">
        <f t="shared" si="238"/>
        <v>-7.3300221073466773E-2</v>
      </c>
      <c r="Q47" s="624">
        <f t="shared" si="117"/>
        <v>179.34218710058417</v>
      </c>
      <c r="R47" s="5">
        <f t="shared" si="392"/>
        <v>2.4222073053772331</v>
      </c>
      <c r="S47" s="6">
        <f t="shared" si="393"/>
        <v>-7.3300221073466773E-2</v>
      </c>
      <c r="T47" s="4">
        <f t="shared" si="394"/>
        <v>8.3668514921746116E-3</v>
      </c>
      <c r="U47" s="5">
        <f t="shared" si="395"/>
        <v>2.4221928548360769</v>
      </c>
      <c r="V47" s="8">
        <f t="shared" si="396"/>
        <v>-7.3300221073466773E-2</v>
      </c>
      <c r="W47" s="624">
        <f t="shared" si="228"/>
        <v>89.802087034182833</v>
      </c>
      <c r="X47" s="5">
        <f t="shared" si="397"/>
        <v>2.4222073053772331</v>
      </c>
      <c r="Y47" s="7">
        <f t="shared" si="227"/>
        <v>-7.3300221073466773E-2</v>
      </c>
      <c r="Z47" s="21">
        <f t="shared" si="239"/>
        <v>6.1870724688650298E-2</v>
      </c>
      <c r="AA47" s="5">
        <f t="shared" si="240"/>
        <v>0.96527913148319666</v>
      </c>
      <c r="AB47" s="5">
        <f t="shared" si="241"/>
        <v>-0.25378772970643582</v>
      </c>
      <c r="AC47" s="8">
        <f t="shared" si="398"/>
        <v>1</v>
      </c>
      <c r="AD47" s="9">
        <f t="shared" si="399"/>
        <v>6.1870724688650298E-2</v>
      </c>
      <c r="AE47" s="5">
        <f t="shared" si="400"/>
        <v>0.96527913148319666</v>
      </c>
      <c r="AF47" s="10">
        <f t="shared" si="401"/>
        <v>-0.25378772970643582</v>
      </c>
      <c r="AG47" s="622">
        <f t="shared" si="402"/>
        <v>75.26937754851015</v>
      </c>
      <c r="AH47" s="623">
        <f t="shared" si="403"/>
        <v>86.452803036804681</v>
      </c>
      <c r="AI47" s="624">
        <f t="shared" si="404"/>
        <v>-75.298235681226558</v>
      </c>
      <c r="AJ47" s="625">
        <f t="shared" si="405"/>
        <v>176.33257506372101</v>
      </c>
      <c r="AK47" s="4">
        <f t="shared" si="406"/>
        <v>0.96592583607220739</v>
      </c>
      <c r="AL47" s="5">
        <f t="shared" si="407"/>
        <v>-5.0784519872302598E-2</v>
      </c>
      <c r="AM47" s="6">
        <f t="shared" si="408"/>
        <v>-0.25378772970643582</v>
      </c>
      <c r="AN47" s="612">
        <f t="shared" si="409"/>
        <v>-11.315787839886639</v>
      </c>
      <c r="AO47" s="613">
        <f t="shared" si="99"/>
        <v>14.999997834268255</v>
      </c>
      <c r="AP47" s="624">
        <f t="shared" si="410"/>
        <v>-3.0096120368631629</v>
      </c>
      <c r="AQ47" s="625">
        <f t="shared" si="242"/>
        <v>5.1064412731928215</v>
      </c>
      <c r="AS47" s="56">
        <f t="shared" si="413"/>
        <v>-270.19791296581718</v>
      </c>
      <c r="AT47" s="77">
        <f t="shared" si="243"/>
        <v>0.94918484987988183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7.1159999999999997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1" t="str" cm="1">
        <f t="array" ref="II47">IFERROR(IF(IH47&lt;1,IH47+LARGE((IF($M$9:$M$150="",0,$M$9:$M$150)-MOD(IF($M$9:$M$150="",0,$M$9:$M$150),1)),1),IH47),"")</f>
        <v/>
      </c>
      <c r="IJ47" s="842" t="str">
        <f t="shared" si="379"/>
        <v/>
      </c>
      <c r="IK47" s="842" t="str">
        <f t="shared" si="380"/>
        <v/>
      </c>
      <c r="IL47" s="791" t="str">
        <f t="shared" si="381"/>
        <v/>
      </c>
      <c r="IM47" s="833"/>
      <c r="IN47" s="5" t="str">
        <f t="shared" si="230"/>
        <v/>
      </c>
      <c r="IO47" s="802"/>
      <c r="IP47" s="9" t="str">
        <f t="shared" si="382"/>
        <v/>
      </c>
      <c r="IQ47" s="5" t="str">
        <f t="shared" si="383"/>
        <v/>
      </c>
      <c r="IR47" s="5" t="str">
        <f t="shared" si="384"/>
        <v/>
      </c>
      <c r="IS47" s="5" t="str">
        <f t="shared" si="385"/>
        <v/>
      </c>
      <c r="IT47" s="791" t="str">
        <f t="shared" si="386"/>
        <v/>
      </c>
      <c r="IU47" s="9" t="str">
        <f t="shared" si="387"/>
        <v/>
      </c>
      <c r="IV47" s="5" t="str">
        <f t="shared" si="388"/>
        <v/>
      </c>
      <c r="IW47" s="5" t="str">
        <f t="shared" si="389"/>
        <v/>
      </c>
      <c r="IX47" s="5" t="str">
        <f t="shared" si="390"/>
        <v/>
      </c>
      <c r="IY47" s="836" t="str">
        <f t="shared" si="391"/>
        <v/>
      </c>
    </row>
    <row r="48" spans="1:259" ht="15" customHeight="1" x14ac:dyDescent="0.25">
      <c r="A48" s="84">
        <f t="shared" si="83"/>
        <v>0.02</v>
      </c>
      <c r="B48" s="770">
        <v>-3.0559968049637547</v>
      </c>
      <c r="C48" s="771">
        <v>8.246400752060952E-2</v>
      </c>
      <c r="D48" s="772">
        <v>-0.31680095547168174</v>
      </c>
      <c r="E48" s="773">
        <v>-0.16456662934110805</v>
      </c>
      <c r="F48" s="771">
        <v>-0.96183672410644838</v>
      </c>
      <c r="G48" s="774">
        <v>0.21860453029953977</v>
      </c>
      <c r="H48" s="773">
        <v>0.26600000000000001</v>
      </c>
      <c r="I48" s="771">
        <v>0.52</v>
      </c>
      <c r="J48" s="601">
        <v>7.1239999999999997</v>
      </c>
      <c r="K48" s="426" t="str">
        <f t="shared" si="226"/>
        <v>1313</v>
      </c>
      <c r="L48" s="327" t="str">
        <f t="shared" si="229"/>
        <v/>
      </c>
      <c r="M48" s="173">
        <f t="shared" si="235"/>
        <v>7.1239999999999997</v>
      </c>
      <c r="N48" s="21">
        <f t="shared" si="236"/>
        <v>-3.0559968049637547</v>
      </c>
      <c r="O48" s="5">
        <f t="shared" si="237"/>
        <v>8.246400752060952E-2</v>
      </c>
      <c r="P48" s="10">
        <f t="shared" si="238"/>
        <v>-0.31680095547168174</v>
      </c>
      <c r="Q48" s="624">
        <f t="shared" si="117"/>
        <v>178.45428722878103</v>
      </c>
      <c r="R48" s="5">
        <f t="shared" si="84"/>
        <v>3.0571092202414092</v>
      </c>
      <c r="S48" s="6">
        <f t="shared" si="85"/>
        <v>-0.31680095547168174</v>
      </c>
      <c r="T48" s="4">
        <f t="shared" si="86"/>
        <v>5.7931836822723223E-2</v>
      </c>
      <c r="U48" s="5">
        <f t="shared" si="87"/>
        <v>3.0565602704293897</v>
      </c>
      <c r="V48" s="8">
        <f t="shared" si="118"/>
        <v>-0.31680095547168174</v>
      </c>
      <c r="W48" s="624">
        <f t="shared" si="228"/>
        <v>88.91418716237969</v>
      </c>
      <c r="X48" s="5">
        <f t="shared" si="88"/>
        <v>3.0571092202414092</v>
      </c>
      <c r="Y48" s="7">
        <f t="shared" si="227"/>
        <v>-0.31680095547168174</v>
      </c>
      <c r="Z48" s="21">
        <f t="shared" si="239"/>
        <v>0.16456662934110805</v>
      </c>
      <c r="AA48" s="5">
        <f t="shared" si="240"/>
        <v>0.96183672410644838</v>
      </c>
      <c r="AB48" s="5">
        <f t="shared" si="241"/>
        <v>-0.21860453029953977</v>
      </c>
      <c r="AC48" s="8">
        <f t="shared" si="89"/>
        <v>1</v>
      </c>
      <c r="AD48" s="9">
        <f t="shared" si="119"/>
        <v>0.16456662934110805</v>
      </c>
      <c r="AE48" s="5">
        <f t="shared" si="90"/>
        <v>0.96183672410644838</v>
      </c>
      <c r="AF48" s="10">
        <f t="shared" si="91"/>
        <v>-0.21860453029953977</v>
      </c>
      <c r="AG48" s="622">
        <f t="shared" si="92"/>
        <v>77.195435151597223</v>
      </c>
      <c r="AH48" s="623">
        <f t="shared" si="93"/>
        <v>80.527939981377159</v>
      </c>
      <c r="AI48" s="624">
        <f t="shared" si="94"/>
        <v>-77.372916435433893</v>
      </c>
      <c r="AJ48" s="625">
        <f t="shared" si="95"/>
        <v>170.29092107883469</v>
      </c>
      <c r="AK48" s="4">
        <f t="shared" si="214"/>
        <v>0.96592583607220739</v>
      </c>
      <c r="AL48" s="5">
        <f t="shared" si="96"/>
        <v>-0.1385616777493861</v>
      </c>
      <c r="AM48" s="6">
        <f t="shared" si="97"/>
        <v>-0.21860453029953977</v>
      </c>
      <c r="AN48" s="612">
        <f t="shared" si="98"/>
        <v>-32.368416379210416</v>
      </c>
      <c r="AO48" s="613">
        <f t="shared" si="99"/>
        <v>14.999997834268255</v>
      </c>
      <c r="AP48" s="624">
        <f t="shared" si="100"/>
        <v>-8.163366149946345</v>
      </c>
      <c r="AQ48" s="625">
        <f t="shared" si="242"/>
        <v>4.049921316355964</v>
      </c>
      <c r="AS48" s="56">
        <f t="shared" si="413"/>
        <v>-271.08581283762032</v>
      </c>
      <c r="AT48" s="77">
        <f t="shared" si="243"/>
        <v>0.70903840388625672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7.1239999999999997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1" t="str" cm="1">
        <f t="array" ref="II48">IFERROR(IF(IH48&lt;1,IH48+LARGE((IF($M$9:$M$150="",0,$M$9:$M$150)-MOD(IF($M$9:$M$150="",0,$M$9:$M$150),1)),1),IH48),"")</f>
        <v/>
      </c>
      <c r="IJ48" s="842" t="str">
        <f t="shared" si="379"/>
        <v/>
      </c>
      <c r="IK48" s="842" t="str">
        <f t="shared" si="380"/>
        <v/>
      </c>
      <c r="IL48" s="791" t="str">
        <f t="shared" si="381"/>
        <v/>
      </c>
      <c r="IM48" s="833"/>
      <c r="IN48" s="5" t="str">
        <f t="shared" si="230"/>
        <v/>
      </c>
      <c r="IO48" s="802"/>
      <c r="IP48" s="9" t="str">
        <f t="shared" si="382"/>
        <v/>
      </c>
      <c r="IQ48" s="5" t="str">
        <f t="shared" si="383"/>
        <v/>
      </c>
      <c r="IR48" s="5" t="str">
        <f t="shared" si="384"/>
        <v/>
      </c>
      <c r="IS48" s="5" t="str">
        <f t="shared" si="385"/>
        <v/>
      </c>
      <c r="IT48" s="791" t="str">
        <f t="shared" si="386"/>
        <v/>
      </c>
      <c r="IU48" s="9" t="str">
        <f t="shared" si="387"/>
        <v/>
      </c>
      <c r="IV48" s="5" t="str">
        <f t="shared" si="388"/>
        <v/>
      </c>
      <c r="IW48" s="5" t="str">
        <f t="shared" si="389"/>
        <v/>
      </c>
      <c r="IX48" s="5" t="str">
        <f t="shared" si="390"/>
        <v/>
      </c>
      <c r="IY48" s="836" t="str">
        <f t="shared" si="391"/>
        <v/>
      </c>
    </row>
    <row r="49" spans="1:259" ht="15" customHeight="1" x14ac:dyDescent="0.25">
      <c r="A49" s="84">
        <f t="shared" si="83"/>
        <v>0.02</v>
      </c>
      <c r="B49" s="770">
        <v>-3.5231697848021373</v>
      </c>
      <c r="C49" s="771">
        <v>0.14151205495703512</v>
      </c>
      <c r="D49" s="772">
        <v>-0.8086024387449553</v>
      </c>
      <c r="E49" s="773">
        <v>-0.3504618011412523</v>
      </c>
      <c r="F49" s="771">
        <v>-0.9071704197478504</v>
      </c>
      <c r="G49" s="774">
        <v>0.2328483529581826</v>
      </c>
      <c r="H49" s="773">
        <v>0.26600000000000001</v>
      </c>
      <c r="I49" s="771">
        <v>0.52</v>
      </c>
      <c r="J49" s="601">
        <v>7.1319999999999997</v>
      </c>
      <c r="K49" s="426" t="str">
        <f t="shared" si="226"/>
        <v>1313</v>
      </c>
      <c r="L49" s="327" t="str">
        <f t="shared" si="229"/>
        <v/>
      </c>
      <c r="M49" s="173">
        <f t="shared" si="235"/>
        <v>7.1319999999999997</v>
      </c>
      <c r="N49" s="21">
        <f t="shared" si="236"/>
        <v>-3.5231697848021373</v>
      </c>
      <c r="O49" s="5">
        <f t="shared" si="237"/>
        <v>0.14151205495703512</v>
      </c>
      <c r="P49" s="10">
        <f t="shared" si="238"/>
        <v>-0.8086024387449553</v>
      </c>
      <c r="Q49" s="624">
        <f t="shared" si="117"/>
        <v>177.6998873377029</v>
      </c>
      <c r="R49" s="5">
        <f t="shared" si="84"/>
        <v>3.5260106344480731</v>
      </c>
      <c r="S49" s="6">
        <f t="shared" si="85"/>
        <v>-0.8086024387449553</v>
      </c>
      <c r="T49" s="4">
        <f t="shared" si="86"/>
        <v>0.11322813317447805</v>
      </c>
      <c r="U49" s="5">
        <f t="shared" si="87"/>
        <v>3.5241921604956112</v>
      </c>
      <c r="V49" s="8">
        <f t="shared" si="118"/>
        <v>-0.8086024387449553</v>
      </c>
      <c r="W49" s="624">
        <f t="shared" si="228"/>
        <v>88.159787271301568</v>
      </c>
      <c r="X49" s="5">
        <f t="shared" si="88"/>
        <v>3.5260106344480731</v>
      </c>
      <c r="Y49" s="7">
        <f t="shared" si="227"/>
        <v>-0.8086024387449553</v>
      </c>
      <c r="Z49" s="21">
        <f t="shared" si="239"/>
        <v>0.3504618011412523</v>
      </c>
      <c r="AA49" s="5">
        <f t="shared" si="240"/>
        <v>0.9071704197478504</v>
      </c>
      <c r="AB49" s="5">
        <f t="shared" si="241"/>
        <v>-0.2328483529581826</v>
      </c>
      <c r="AC49" s="8">
        <f t="shared" si="89"/>
        <v>1</v>
      </c>
      <c r="AD49" s="9">
        <f t="shared" si="119"/>
        <v>0.3504618011412523</v>
      </c>
      <c r="AE49" s="5">
        <f t="shared" si="90"/>
        <v>0.9071704197478504</v>
      </c>
      <c r="AF49" s="10">
        <f t="shared" si="91"/>
        <v>-0.2328483529581826</v>
      </c>
      <c r="AG49" s="622">
        <f t="shared" si="92"/>
        <v>75.604350545682664</v>
      </c>
      <c r="AH49" s="623">
        <f t="shared" si="93"/>
        <v>69.484436469807747</v>
      </c>
      <c r="AI49" s="624">
        <f t="shared" si="94"/>
        <v>-76.535175590613562</v>
      </c>
      <c r="AJ49" s="625">
        <f t="shared" si="95"/>
        <v>158.87725163176196</v>
      </c>
      <c r="AK49" s="4">
        <f t="shared" si="214"/>
        <v>0.92050487609870557</v>
      </c>
      <c r="AL49" s="5">
        <f t="shared" si="96"/>
        <v>-0.31377128231112644</v>
      </c>
      <c r="AM49" s="6">
        <f t="shared" si="97"/>
        <v>-0.2328483529581826</v>
      </c>
      <c r="AN49" s="612">
        <f t="shared" si="98"/>
        <v>-53.421044918534371</v>
      </c>
      <c r="AO49" s="613">
        <f t="shared" si="99"/>
        <v>22.999996679211311</v>
      </c>
      <c r="AP49" s="624">
        <f t="shared" si="100"/>
        <v>-18.822635705940936</v>
      </c>
      <c r="AQ49" s="625">
        <f t="shared" si="242"/>
        <v>3.5127999614973118</v>
      </c>
      <c r="AS49" s="56">
        <f t="shared" si="413"/>
        <v>-271.84021272869842</v>
      </c>
      <c r="AT49" s="77">
        <f t="shared" si="243"/>
        <v>0.22008687575705599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7.1319999999999997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1" t="str" cm="1">
        <f t="array" ref="II49">IFERROR(IF(IH49&lt;1,IH49+LARGE((IF($M$9:$M$150="",0,$M$9:$M$150)-MOD(IF($M$9:$M$150="",0,$M$9:$M$150),1)),1),IH49),"")</f>
        <v/>
      </c>
      <c r="IJ49" s="842" t="str">
        <f t="shared" si="379"/>
        <v/>
      </c>
      <c r="IK49" s="842" t="str">
        <f t="shared" si="380"/>
        <v/>
      </c>
      <c r="IL49" s="791" t="str">
        <f t="shared" si="381"/>
        <v/>
      </c>
      <c r="IM49" s="833"/>
      <c r="IN49" s="5" t="str">
        <f t="shared" si="230"/>
        <v/>
      </c>
      <c r="IO49" s="802"/>
      <c r="IP49" s="9" t="str">
        <f t="shared" si="382"/>
        <v/>
      </c>
      <c r="IQ49" s="5" t="str">
        <f t="shared" si="383"/>
        <v/>
      </c>
      <c r="IR49" s="5" t="str">
        <f t="shared" si="384"/>
        <v/>
      </c>
      <c r="IS49" s="5" t="str">
        <f t="shared" si="385"/>
        <v/>
      </c>
      <c r="IT49" s="791" t="str">
        <f t="shared" si="386"/>
        <v/>
      </c>
      <c r="IU49" s="9" t="str">
        <f t="shared" si="387"/>
        <v/>
      </c>
      <c r="IV49" s="5" t="str">
        <f t="shared" si="388"/>
        <v/>
      </c>
      <c r="IW49" s="5" t="str">
        <f t="shared" si="389"/>
        <v/>
      </c>
      <c r="IX49" s="5" t="str">
        <f t="shared" si="390"/>
        <v/>
      </c>
      <c r="IY49" s="836" t="str">
        <f t="shared" si="391"/>
        <v/>
      </c>
    </row>
    <row r="50" spans="1:259" ht="15" customHeight="1" x14ac:dyDescent="0.25">
      <c r="A50" s="84">
        <f t="shared" si="83"/>
        <v>0.02</v>
      </c>
      <c r="B50" s="770">
        <v>-3.7256381087951689</v>
      </c>
      <c r="C50" s="771">
        <v>0.17210679035708909</v>
      </c>
      <c r="D50" s="772">
        <v>-1.4567043934204507</v>
      </c>
      <c r="E50" s="773">
        <v>-0.52120415117911922</v>
      </c>
      <c r="F50" s="771">
        <v>-0.84287184185452912</v>
      </c>
      <c r="G50" s="774">
        <v>0.13384054319378502</v>
      </c>
      <c r="H50" s="773">
        <v>0.26600000000000001</v>
      </c>
      <c r="I50" s="771">
        <v>0.52</v>
      </c>
      <c r="J50" s="601">
        <v>7.14</v>
      </c>
      <c r="K50" s="426" t="str">
        <f t="shared" si="226"/>
        <v>1313</v>
      </c>
      <c r="L50" s="327" t="str">
        <f t="shared" si="229"/>
        <v/>
      </c>
      <c r="M50" s="173">
        <f t="shared" si="235"/>
        <v>7.14</v>
      </c>
      <c r="N50" s="21">
        <f t="shared" si="236"/>
        <v>-3.7256381087951689</v>
      </c>
      <c r="O50" s="5">
        <f t="shared" si="237"/>
        <v>0.17210679035708909</v>
      </c>
      <c r="P50" s="10">
        <f t="shared" si="238"/>
        <v>-1.4567043934204507</v>
      </c>
      <c r="Q50" s="624">
        <f t="shared" si="117"/>
        <v>177.35508738748587</v>
      </c>
      <c r="R50" s="5">
        <f t="shared" si="84"/>
        <v>3.729611248507525</v>
      </c>
      <c r="S50" s="6">
        <f t="shared" si="85"/>
        <v>-1.4567043934204507</v>
      </c>
      <c r="T50" s="4">
        <f t="shared" si="86"/>
        <v>0.14219673415846809</v>
      </c>
      <c r="U50" s="5">
        <f t="shared" si="87"/>
        <v>3.7268995363154778</v>
      </c>
      <c r="V50" s="8">
        <f t="shared" si="118"/>
        <v>-1.4567043934204507</v>
      </c>
      <c r="W50" s="624">
        <f t="shared" si="228"/>
        <v>87.81498732108453</v>
      </c>
      <c r="X50" s="5">
        <f t="shared" si="88"/>
        <v>3.729611248507525</v>
      </c>
      <c r="Y50" s="7">
        <f t="shared" si="227"/>
        <v>-1.4567043934204507</v>
      </c>
      <c r="Z50" s="21">
        <f t="shared" si="239"/>
        <v>0.52120415117911922</v>
      </c>
      <c r="AA50" s="5">
        <f t="shared" si="240"/>
        <v>0.84287184185452912</v>
      </c>
      <c r="AB50" s="5">
        <f t="shared" si="241"/>
        <v>-0.13384054319378502</v>
      </c>
      <c r="AC50" s="8">
        <f t="shared" si="89"/>
        <v>1</v>
      </c>
      <c r="AD50" s="9">
        <f t="shared" si="119"/>
        <v>0.52120415117911922</v>
      </c>
      <c r="AE50" s="5">
        <f t="shared" si="90"/>
        <v>0.84287184185452912</v>
      </c>
      <c r="AF50" s="10">
        <f t="shared" si="91"/>
        <v>-0.13384054319378502</v>
      </c>
      <c r="AG50" s="622">
        <f t="shared" si="92"/>
        <v>80.977271982423261</v>
      </c>
      <c r="AH50" s="623">
        <f t="shared" si="93"/>
        <v>58.586941711545634</v>
      </c>
      <c r="AI50" s="624">
        <f t="shared" si="94"/>
        <v>-82.308420528127584</v>
      </c>
      <c r="AJ50" s="625">
        <f t="shared" si="95"/>
        <v>148.26872019456613</v>
      </c>
      <c r="AK50" s="4">
        <f t="shared" si="214"/>
        <v>0.86602544158358552</v>
      </c>
      <c r="AL50" s="5">
        <f t="shared" si="96"/>
        <v>-0.48175371667227229</v>
      </c>
      <c r="AM50" s="6">
        <f t="shared" si="97"/>
        <v>-0.13384054319378502</v>
      </c>
      <c r="AN50" s="612">
        <f t="shared" si="98"/>
        <v>-74.473673457858254</v>
      </c>
      <c r="AO50" s="613">
        <f t="shared" si="99"/>
        <v>29.999995668536549</v>
      </c>
      <c r="AP50" s="624">
        <f t="shared" si="100"/>
        <v>-29.086367192919745</v>
      </c>
      <c r="AQ50" s="625">
        <f t="shared" si="242"/>
        <v>3.3214768318859971</v>
      </c>
      <c r="AS50" s="56">
        <f t="shared" si="413"/>
        <v>-272.18501267891548</v>
      </c>
      <c r="AT50" s="77">
        <f t="shared" si="243"/>
        <v>-0.42671250132873051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7.14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1" t="str" cm="1">
        <f t="array" ref="II50">IFERROR(IF(IH50&lt;1,IH50+LARGE((IF($M$9:$M$150="",0,$M$9:$M$150)-MOD(IF($M$9:$M$150="",0,$M$9:$M$150),1)),1),IH50),"")</f>
        <v/>
      </c>
      <c r="IJ50" s="842" t="str">
        <f t="shared" si="379"/>
        <v/>
      </c>
      <c r="IK50" s="842" t="str">
        <f t="shared" si="380"/>
        <v/>
      </c>
      <c r="IL50" s="791" t="str">
        <f t="shared" si="381"/>
        <v/>
      </c>
      <c r="IM50" s="833"/>
      <c r="IN50" s="5" t="str">
        <f t="shared" si="230"/>
        <v/>
      </c>
      <c r="IO50" s="802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6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-1.748941791178289</v>
      </c>
      <c r="C51" s="771">
        <v>1.550399755238083</v>
      </c>
      <c r="D51" s="772">
        <v>-6.2900189706972157E-2</v>
      </c>
      <c r="E51" s="773">
        <v>-0.66999519340004665</v>
      </c>
      <c r="F51" s="771">
        <v>-0.69688327832559049</v>
      </c>
      <c r="G51" s="774">
        <v>0.25585178758611737</v>
      </c>
      <c r="H51" s="773">
        <v>0.26600000000000001</v>
      </c>
      <c r="I51" s="771">
        <v>0.52</v>
      </c>
      <c r="J51" s="601">
        <v>8.1150000000000002</v>
      </c>
      <c r="K51" s="426" t="str">
        <f t="shared" si="226"/>
        <v>1313</v>
      </c>
      <c r="L51" s="327" t="str">
        <f t="shared" si="229"/>
        <v/>
      </c>
      <c r="M51" s="173">
        <f t="shared" si="235"/>
        <v>8.1150000000000002</v>
      </c>
      <c r="N51" s="21">
        <f t="shared" si="236"/>
        <v>-1.748941791178289</v>
      </c>
      <c r="O51" s="5">
        <f t="shared" si="237"/>
        <v>1.550399755238083</v>
      </c>
      <c r="P51" s="10">
        <f t="shared" si="238"/>
        <v>-6.2900189706972157E-2</v>
      </c>
      <c r="Q51" s="624">
        <f t="shared" si="117"/>
        <v>138.44369300559612</v>
      </c>
      <c r="R51" s="5">
        <f t="shared" si="84"/>
        <v>2.33720704901646</v>
      </c>
      <c r="S51" s="6">
        <f t="shared" si="85"/>
        <v>-6.2900189706972157E-2</v>
      </c>
      <c r="T51" s="4">
        <f t="shared" si="86"/>
        <v>1.53631161076714</v>
      </c>
      <c r="U51" s="5">
        <f t="shared" si="87"/>
        <v>1.7613300158102982</v>
      </c>
      <c r="V51" s="8">
        <f t="shared" si="118"/>
        <v>-6.2900189706972157E-2</v>
      </c>
      <c r="W51" s="624">
        <f t="shared" si="228"/>
        <v>48.90359293919478</v>
      </c>
      <c r="X51" s="5">
        <f t="shared" si="88"/>
        <v>2.33720704901646</v>
      </c>
      <c r="Y51" s="7">
        <f t="shared" si="227"/>
        <v>-6.2900189706972157E-2</v>
      </c>
      <c r="Z51" s="21">
        <f t="shared" si="239"/>
        <v>0.66999519340004665</v>
      </c>
      <c r="AA51" s="5">
        <f t="shared" si="240"/>
        <v>0.69688327832559049</v>
      </c>
      <c r="AB51" s="5">
        <f t="shared" si="241"/>
        <v>-0.25585178758611737</v>
      </c>
      <c r="AC51" s="8">
        <f t="shared" si="89"/>
        <v>1</v>
      </c>
      <c r="AD51" s="9">
        <f t="shared" si="119"/>
        <v>0.66999519340004665</v>
      </c>
      <c r="AE51" s="5">
        <f t="shared" si="90"/>
        <v>0.69688327832559049</v>
      </c>
      <c r="AF51" s="10">
        <f t="shared" si="91"/>
        <v>-0.25585178758611737</v>
      </c>
      <c r="AG51" s="622">
        <f t="shared" si="92"/>
        <v>69.83993475241337</v>
      </c>
      <c r="AH51" s="623">
        <f t="shared" si="93"/>
        <v>47.933306172071219</v>
      </c>
      <c r="AI51" s="624">
        <f t="shared" si="94"/>
        <v>-75.175936580471287</v>
      </c>
      <c r="AJ51" s="625">
        <f t="shared" si="95"/>
        <v>136.12692909628777</v>
      </c>
      <c r="AK51" s="4">
        <f t="shared" si="214"/>
        <v>0.96592583607220739</v>
      </c>
      <c r="AL51" s="5">
        <f t="shared" si="96"/>
        <v>-3.9078664219692749E-2</v>
      </c>
      <c r="AM51" s="6">
        <f t="shared" si="97"/>
        <v>-0.25585178758611737</v>
      </c>
      <c r="AN51" s="612">
        <f t="shared" si="98"/>
        <v>-8.6842092724709321</v>
      </c>
      <c r="AO51" s="613">
        <f t="shared" si="99"/>
        <v>14.999997834268255</v>
      </c>
      <c r="AP51" s="624">
        <f t="shared" si="100"/>
        <v>-2.3167639093083494</v>
      </c>
      <c r="AQ51" s="625">
        <f t="shared" si="242"/>
        <v>5.2911181692392981</v>
      </c>
      <c r="AS51" s="56">
        <f t="shared" si="413"/>
        <v>-311.09640706080523</v>
      </c>
      <c r="AT51" s="77">
        <f t="shared" si="243"/>
        <v>1.1140903033829981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8.1150000000000002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1" t="str" cm="1">
        <f t="array" ref="II51">IFERROR(IF(IH51&lt;1,IH51+LARGE((IF($M$9:$M$150="",0,$M$9:$M$150)-MOD(IF($M$9:$M$150="",0,$M$9:$M$150),1)),1),IH51),"")</f>
        <v/>
      </c>
      <c r="IJ51" s="842" t="str">
        <f t="shared" si="379"/>
        <v/>
      </c>
      <c r="IK51" s="842" t="str">
        <f t="shared" si="380"/>
        <v/>
      </c>
      <c r="IL51" s="791" t="str">
        <f t="shared" si="381"/>
        <v/>
      </c>
      <c r="IM51" s="833">
        <v>3.1183105497040699E-2</v>
      </c>
      <c r="IN51" s="5" t="str">
        <f t="shared" si="230"/>
        <v/>
      </c>
      <c r="IO51" s="802">
        <v>470</v>
      </c>
      <c r="IP51" s="9" t="str">
        <f t="shared" si="382"/>
        <v/>
      </c>
      <c r="IQ51" s="5" t="str">
        <f t="shared" si="383"/>
        <v/>
      </c>
      <c r="IR51" s="5" t="str">
        <f t="shared" si="384"/>
        <v/>
      </c>
      <c r="IS51" s="5" t="str">
        <f t="shared" si="385"/>
        <v/>
      </c>
      <c r="IT51" s="791" t="str">
        <f t="shared" si="386"/>
        <v/>
      </c>
      <c r="IU51" s="9" t="str">
        <f t="shared" si="387"/>
        <v/>
      </c>
      <c r="IV51" s="5" t="str">
        <f t="shared" si="388"/>
        <v/>
      </c>
      <c r="IW51" s="5" t="str">
        <f t="shared" si="389"/>
        <v/>
      </c>
      <c r="IX51" s="5" t="str">
        <f t="shared" si="390"/>
        <v/>
      </c>
      <c r="IY51" s="836" t="str">
        <f t="shared" si="391"/>
        <v/>
      </c>
    </row>
    <row r="52" spans="1:259" ht="15" customHeight="1" x14ac:dyDescent="0.25">
      <c r="A52" s="84">
        <f t="shared" si="83"/>
        <v>0.02</v>
      </c>
      <c r="B52" s="770">
        <v>-2.2026263259259489</v>
      </c>
      <c r="C52" s="771">
        <v>2.0137364160817457</v>
      </c>
      <c r="D52" s="772">
        <v>-0.27140081854486869</v>
      </c>
      <c r="E52" s="773">
        <v>-0.74650967823854808</v>
      </c>
      <c r="F52" s="771">
        <v>-0.62627238183232503</v>
      </c>
      <c r="G52" s="774">
        <v>0.22473585394913287</v>
      </c>
      <c r="H52" s="773">
        <v>0.26600000000000001</v>
      </c>
      <c r="I52" s="771">
        <v>0.52</v>
      </c>
      <c r="J52" s="601">
        <v>8.1229999999999993</v>
      </c>
      <c r="K52" s="426" t="str">
        <f t="shared" si="226"/>
        <v>1313</v>
      </c>
      <c r="L52" s="327" t="str">
        <f t="shared" si="229"/>
        <v/>
      </c>
      <c r="M52" s="173">
        <f t="shared" si="235"/>
        <v>8.1229999999999993</v>
      </c>
      <c r="N52" s="21">
        <f t="shared" si="236"/>
        <v>-2.2026263259259489</v>
      </c>
      <c r="O52" s="5">
        <f t="shared" si="237"/>
        <v>2.0137364160817457</v>
      </c>
      <c r="P52" s="10">
        <f t="shared" si="238"/>
        <v>-0.27140081854486869</v>
      </c>
      <c r="Q52" s="624">
        <f t="shared" si="117"/>
        <v>137.56509313245024</v>
      </c>
      <c r="R52" s="5">
        <f t="shared" si="84"/>
        <v>2.9844090009775468</v>
      </c>
      <c r="S52" s="6">
        <f t="shared" si="85"/>
        <v>-0.27140081854486869</v>
      </c>
      <c r="T52" s="4">
        <f t="shared" si="86"/>
        <v>1.9959917640971556</v>
      </c>
      <c r="U52" s="5">
        <f t="shared" si="87"/>
        <v>2.2187189913939358</v>
      </c>
      <c r="V52" s="8">
        <f t="shared" si="118"/>
        <v>-0.27140081854486869</v>
      </c>
      <c r="W52" s="624">
        <f t="shared" si="228"/>
        <v>48.024993066048907</v>
      </c>
      <c r="X52" s="5">
        <f t="shared" si="88"/>
        <v>2.9844090009775468</v>
      </c>
      <c r="Y52" s="7">
        <f t="shared" si="227"/>
        <v>-0.27140081854486869</v>
      </c>
      <c r="Z52" s="21">
        <f t="shared" si="239"/>
        <v>0.74650967823854808</v>
      </c>
      <c r="AA52" s="5">
        <f t="shared" si="240"/>
        <v>0.62627238183232503</v>
      </c>
      <c r="AB52" s="5">
        <f t="shared" si="241"/>
        <v>-0.22473585394913287</v>
      </c>
      <c r="AC52" s="8">
        <f t="shared" si="89"/>
        <v>1</v>
      </c>
      <c r="AD52" s="9">
        <f t="shared" si="119"/>
        <v>0.74650967823854808</v>
      </c>
      <c r="AE52" s="5">
        <f t="shared" si="90"/>
        <v>0.62627238183232503</v>
      </c>
      <c r="AF52" s="10">
        <f t="shared" si="91"/>
        <v>-0.22473585394913287</v>
      </c>
      <c r="AG52" s="622">
        <f t="shared" si="92"/>
        <v>70.259636834946448</v>
      </c>
      <c r="AH52" s="623">
        <f t="shared" si="93"/>
        <v>41.711066755353819</v>
      </c>
      <c r="AI52" s="624">
        <f t="shared" si="94"/>
        <v>-77.012654083469528</v>
      </c>
      <c r="AJ52" s="625">
        <f t="shared" si="95"/>
        <v>129.99443202009121</v>
      </c>
      <c r="AK52" s="4">
        <f t="shared" si="214"/>
        <v>0.96592583607220739</v>
      </c>
      <c r="AL52" s="5">
        <f t="shared" si="96"/>
        <v>-0.12837863980414033</v>
      </c>
      <c r="AM52" s="6">
        <f t="shared" si="97"/>
        <v>-0.22473585394913287</v>
      </c>
      <c r="AN52" s="612">
        <f t="shared" si="98"/>
        <v>-29.736837811795063</v>
      </c>
      <c r="AO52" s="613">
        <f t="shared" si="99"/>
        <v>14.999997834268255</v>
      </c>
      <c r="AP52" s="624">
        <f t="shared" si="100"/>
        <v>-7.5706611123590326</v>
      </c>
      <c r="AQ52" s="625">
        <f t="shared" si="242"/>
        <v>4.1482370970901492</v>
      </c>
      <c r="AS52" s="56">
        <f t="shared" si="413"/>
        <v>-311.97500693395108</v>
      </c>
      <c r="AT52" s="77">
        <f t="shared" si="243"/>
        <v>0.90890882962143027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8.1229999999999993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1" t="str" cm="1">
        <f t="array" ref="II52">IFERROR(IF(IH52&lt;1,IH52+LARGE((IF($M$9:$M$150="",0,$M$9:$M$150)-MOD(IF($M$9:$M$150="",0,$M$9:$M$150),1)),1),IH52),"")</f>
        <v/>
      </c>
      <c r="IJ52" s="842" t="str">
        <f t="shared" si="379"/>
        <v/>
      </c>
      <c r="IK52" s="842" t="str">
        <f t="shared" si="380"/>
        <v/>
      </c>
      <c r="IL52" s="791" t="str">
        <f t="shared" si="381"/>
        <v/>
      </c>
      <c r="IM52" s="833">
        <v>1.43296180242263E-2</v>
      </c>
      <c r="IN52" s="5" t="str">
        <f t="shared" si="230"/>
        <v/>
      </c>
      <c r="IO52" s="802">
        <v>470</v>
      </c>
      <c r="IP52" s="9" t="str">
        <f t="shared" si="382"/>
        <v/>
      </c>
      <c r="IQ52" s="5" t="str">
        <f t="shared" si="383"/>
        <v/>
      </c>
      <c r="IR52" s="5" t="str">
        <f t="shared" si="384"/>
        <v/>
      </c>
      <c r="IS52" s="5" t="str">
        <f t="shared" si="385"/>
        <v/>
      </c>
      <c r="IT52" s="791" t="str">
        <f t="shared" si="386"/>
        <v/>
      </c>
      <c r="IU52" s="9" t="str">
        <f t="shared" si="387"/>
        <v/>
      </c>
      <c r="IV52" s="5" t="str">
        <f t="shared" si="388"/>
        <v/>
      </c>
      <c r="IW52" s="5" t="str">
        <f t="shared" si="389"/>
        <v/>
      </c>
      <c r="IX52" s="5" t="str">
        <f t="shared" si="390"/>
        <v/>
      </c>
      <c r="IY52" s="836" t="str">
        <f t="shared" si="391"/>
        <v/>
      </c>
    </row>
    <row r="53" spans="1:259" ht="15" customHeight="1" x14ac:dyDescent="0.25">
      <c r="A53" s="84">
        <f t="shared" si="83"/>
        <v>0.02</v>
      </c>
      <c r="B53" s="770">
        <v>-2.5359700010392139</v>
      </c>
      <c r="C53" s="771">
        <v>2.3834263681702592</v>
      </c>
      <c r="D53" s="772">
        <v>-0.73620222038589678</v>
      </c>
      <c r="E53" s="773">
        <v>-0.84648740491983365</v>
      </c>
      <c r="F53" s="771">
        <v>-0.47684107195572312</v>
      </c>
      <c r="G53" s="774">
        <v>0.23681567813006538</v>
      </c>
      <c r="H53" s="773">
        <v>0.26600000000000001</v>
      </c>
      <c r="I53" s="771">
        <v>0.52</v>
      </c>
      <c r="J53" s="601">
        <v>8.1310000000000002</v>
      </c>
      <c r="K53" s="426" t="str">
        <f t="shared" si="226"/>
        <v>1313</v>
      </c>
      <c r="L53" s="327" t="str">
        <f t="shared" si="229"/>
        <v/>
      </c>
      <c r="M53" s="173">
        <f t="shared" si="235"/>
        <v>8.1310000000000002</v>
      </c>
      <c r="N53" s="21">
        <f t="shared" si="236"/>
        <v>-2.5359700010392139</v>
      </c>
      <c r="O53" s="5">
        <f t="shared" si="237"/>
        <v>2.3834263681702592</v>
      </c>
      <c r="P53" s="10">
        <f t="shared" si="238"/>
        <v>-0.73620222038589678</v>
      </c>
      <c r="Q53" s="624">
        <f t="shared" si="117"/>
        <v>136.77609324636774</v>
      </c>
      <c r="R53" s="5">
        <f t="shared" ref="R53:R58" si="417">IF(M53="","",SQRT(N53^2+O53^2))</f>
        <v>3.4802104963148572</v>
      </c>
      <c r="S53" s="6">
        <f t="shared" ref="S53:S58" si="418">IF(M53="","",P53)</f>
        <v>-0.73620222038589678</v>
      </c>
      <c r="T53" s="4">
        <f t="shared" ref="T53:T58" si="419">IF(M53="","",X53*COS(RADIANS(W53)))</f>
        <v>2.3629941632352591</v>
      </c>
      <c r="U53" s="5">
        <f t="shared" ref="U53:U58" si="420">IF(M53="","",X53*SIN(RADIANS(W53)))</f>
        <v>2.5550193117031821</v>
      </c>
      <c r="V53" s="8">
        <f t="shared" ref="V53:V58" si="421">IF(M53="","",Y53)</f>
        <v>-0.73620222038589678</v>
      </c>
      <c r="W53" s="624">
        <f t="shared" si="228"/>
        <v>47.2359931799664</v>
      </c>
      <c r="X53" s="5">
        <f t="shared" ref="X53:X58" si="422">IF(M53="","",R53)</f>
        <v>3.4802104963148572</v>
      </c>
      <c r="Y53" s="7">
        <f t="shared" si="227"/>
        <v>-0.73620222038589678</v>
      </c>
      <c r="Z53" s="21">
        <f t="shared" si="239"/>
        <v>0.84648740491983365</v>
      </c>
      <c r="AA53" s="5">
        <f t="shared" si="240"/>
        <v>0.47684107195572312</v>
      </c>
      <c r="AB53" s="5">
        <f t="shared" si="241"/>
        <v>-0.23681567813006538</v>
      </c>
      <c r="AC53" s="8">
        <f t="shared" ref="AC53:AC58" si="423">IF(M53="","",SQRT(Z53^2+AA53^2+AB53^2))</f>
        <v>1.0000000000000002</v>
      </c>
      <c r="AD53" s="9">
        <f t="shared" ref="AD53:AD58" si="424">IF(M53="","",Z53*(1/SQRT(Z53^2+AA53^2+AB53^2)))</f>
        <v>0.84648740491983343</v>
      </c>
      <c r="AE53" s="5">
        <f t="shared" ref="AE53:AE58" si="425">IF(M53="","",AA53*(1/SQRT(Z53^2+AA53^2+AB53^2)))</f>
        <v>0.47684107195572301</v>
      </c>
      <c r="AF53" s="10">
        <f t="shared" ref="AF53:AF58" si="426">IF(M53="","",AB53*(1/SQRT(Z53^2+AA53^2+AB53^2)))</f>
        <v>-0.23681567813006532</v>
      </c>
      <c r="AG53" s="622">
        <f t="shared" ref="AG53:AG58" si="427">IF(M53="","",DEGREES(ATAN2(-AF53,AE53)))</f>
        <v>63.589424298469105</v>
      </c>
      <c r="AH53" s="623">
        <f t="shared" ref="AH53:AH58" si="428">IF(M53="","",DEGREES(ACOS(AD53)))</f>
        <v>32.168349051792312</v>
      </c>
      <c r="AI53" s="624">
        <f t="shared" ref="AI53:AI58" si="429">IF(M53="","",DEGREES(-ACOS(-AF53)))</f>
        <v>-76.301325012010821</v>
      </c>
      <c r="AJ53" s="625">
        <f t="shared" ref="AJ53:AJ58" si="430">IF(M53="","",DEGREES(ATAN2(-AE53,AD53)))</f>
        <v>119.39331733059578</v>
      </c>
      <c r="AK53" s="4">
        <f t="shared" ref="AK53:AK58" si="431">IF(M53="","",(COS(RADIANS((90-$Q$8)-W53))*AD53)+(-SIN(RADIANS((90-$Q$8)-W53))*AE53))</f>
        <v>0.92718387533450808</v>
      </c>
      <c r="AL53" s="5">
        <f t="shared" ref="AL53:AL58" si="432">IF(M53="","",(SIN(RADIANS((90-$Q$8)-W53))*AD53)+(COS(RADIANS((90-$Q$8)-W53))*AE53))</f>
        <v>-0.29025574225410317</v>
      </c>
      <c r="AM53" s="6">
        <f t="shared" ref="AM53:AM58" si="433">IF(M53="","",AF53)</f>
        <v>-0.23681567813006532</v>
      </c>
      <c r="AN53" s="612">
        <f t="shared" ref="AN53:AN58" si="434">IF(M53="","",DEGREES(ATAN2(-AM53,AL53)))</f>
        <v>-50.789466351118932</v>
      </c>
      <c r="AO53" s="613">
        <f t="shared" si="99"/>
        <v>21.999996823593481</v>
      </c>
      <c r="AP53" s="624">
        <f t="shared" ref="AP53:AP58" si="435">IF(M53="","",DEGREES(ATAN2(AK53,AL53)))</f>
        <v>-17.382775915771955</v>
      </c>
      <c r="AQ53" s="625">
        <f t="shared" si="242"/>
        <v>3.5589109342049112</v>
      </c>
      <c r="AS53" s="56">
        <f t="shared" si="413"/>
        <v>-312.76400682003361</v>
      </c>
      <c r="AT53" s="77">
        <f t="shared" si="243"/>
        <v>0.44708809401671401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8.1310000000000002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1" t="str" cm="1">
        <f t="array" ref="II53">IFERROR(IF(IH53&lt;1,IH53+LARGE((IF($M$9:$M$150="",0,$M$9:$M$150)-MOD(IF($M$9:$M$150="",0,$M$9:$M$150),1)),1),IH53),"")</f>
        <v/>
      </c>
      <c r="IJ53" s="842" t="str">
        <f t="shared" si="379"/>
        <v/>
      </c>
      <c r="IK53" s="842" t="str">
        <f t="shared" si="380"/>
        <v/>
      </c>
      <c r="IL53" s="791" t="str">
        <f t="shared" si="381"/>
        <v/>
      </c>
      <c r="IM53" s="833">
        <v>1.84199952726334E-2</v>
      </c>
      <c r="IN53" s="5" t="str">
        <f t="shared" si="230"/>
        <v/>
      </c>
      <c r="IO53" s="802">
        <v>1010</v>
      </c>
      <c r="IP53" s="9" t="str">
        <f t="shared" si="382"/>
        <v/>
      </c>
      <c r="IQ53" s="5" t="str">
        <f t="shared" si="383"/>
        <v/>
      </c>
      <c r="IR53" s="5" t="str">
        <f t="shared" si="384"/>
        <v/>
      </c>
      <c r="IS53" s="5" t="str">
        <f t="shared" si="385"/>
        <v/>
      </c>
      <c r="IT53" s="791" t="str">
        <f t="shared" si="386"/>
        <v/>
      </c>
      <c r="IU53" s="9" t="str">
        <f t="shared" si="387"/>
        <v/>
      </c>
      <c r="IV53" s="5" t="str">
        <f t="shared" si="388"/>
        <v/>
      </c>
      <c r="IW53" s="5" t="str">
        <f t="shared" si="389"/>
        <v/>
      </c>
      <c r="IX53" s="5" t="str">
        <f t="shared" si="390"/>
        <v/>
      </c>
      <c r="IY53" s="836" t="str">
        <f t="shared" si="391"/>
        <v/>
      </c>
    </row>
    <row r="54" spans="1:259" ht="15" customHeight="1" x14ac:dyDescent="0.25">
      <c r="A54" s="84">
        <f t="shared" si="83"/>
        <v>0.02</v>
      </c>
      <c r="B54" s="770">
        <v>-2.6933028756020518</v>
      </c>
      <c r="C54" s="771">
        <v>2.5674976414330879</v>
      </c>
      <c r="D54" s="772">
        <v>-1.3715041364564753</v>
      </c>
      <c r="E54" s="773">
        <v>-0.94143978678150453</v>
      </c>
      <c r="F54" s="771">
        <v>-0.29901796873503267</v>
      </c>
      <c r="G54" s="774">
        <v>0.15581842714637609</v>
      </c>
      <c r="H54" s="773">
        <v>0.26600000000000001</v>
      </c>
      <c r="I54" s="771">
        <v>0.52</v>
      </c>
      <c r="J54" s="601">
        <v>8.1389999999999993</v>
      </c>
      <c r="K54" s="426" t="str">
        <f t="shared" si="226"/>
        <v>1313</v>
      </c>
      <c r="L54" s="327" t="str">
        <f t="shared" si="229"/>
        <v/>
      </c>
      <c r="M54" s="173">
        <f t="shared" si="235"/>
        <v>8.1389999999999993</v>
      </c>
      <c r="N54" s="21">
        <f t="shared" si="236"/>
        <v>-2.6933028756020518</v>
      </c>
      <c r="O54" s="5">
        <f t="shared" si="237"/>
        <v>2.5674976414330879</v>
      </c>
      <c r="P54" s="10">
        <f t="shared" si="238"/>
        <v>-1.3715041364564753</v>
      </c>
      <c r="Q54" s="624">
        <f t="shared" si="117"/>
        <v>136.36989330501572</v>
      </c>
      <c r="R54" s="5">
        <f t="shared" si="417"/>
        <v>3.7210112225698473</v>
      </c>
      <c r="S54" s="6">
        <f t="shared" si="418"/>
        <v>-1.3715041364564753</v>
      </c>
      <c r="T54" s="4">
        <f t="shared" si="419"/>
        <v>2.5457966458322265</v>
      </c>
      <c r="U54" s="5">
        <f t="shared" si="420"/>
        <v>2.7138245994463484</v>
      </c>
      <c r="V54" s="8">
        <f t="shared" si="421"/>
        <v>-1.3715041364564753</v>
      </c>
      <c r="W54" s="624">
        <f t="shared" si="228"/>
        <v>46.829793238614386</v>
      </c>
      <c r="X54" s="5">
        <f t="shared" si="422"/>
        <v>3.7210112225698473</v>
      </c>
      <c r="Y54" s="7">
        <f t="shared" si="227"/>
        <v>-1.3715041364564753</v>
      </c>
      <c r="Z54" s="21">
        <f t="shared" si="239"/>
        <v>0.94143978678150453</v>
      </c>
      <c r="AA54" s="5">
        <f t="shared" si="240"/>
        <v>0.29901796873503267</v>
      </c>
      <c r="AB54" s="5">
        <f t="shared" si="241"/>
        <v>-0.15581842714637609</v>
      </c>
      <c r="AC54" s="8">
        <f t="shared" si="423"/>
        <v>1</v>
      </c>
      <c r="AD54" s="9">
        <f t="shared" si="424"/>
        <v>0.94143978678150453</v>
      </c>
      <c r="AE54" s="5">
        <f t="shared" si="425"/>
        <v>0.29901796873503267</v>
      </c>
      <c r="AF54" s="10">
        <f t="shared" si="426"/>
        <v>-0.15581842714637609</v>
      </c>
      <c r="AG54" s="622">
        <f t="shared" si="427"/>
        <v>62.475955413809785</v>
      </c>
      <c r="AH54" s="623">
        <f t="shared" si="428"/>
        <v>19.705227248981735</v>
      </c>
      <c r="AI54" s="624">
        <f t="shared" si="429"/>
        <v>-81.035734582393431</v>
      </c>
      <c r="AJ54" s="625">
        <f t="shared" si="430"/>
        <v>107.62077085172093</v>
      </c>
      <c r="AK54" s="4">
        <f t="shared" si="431"/>
        <v>0.86602544158358574</v>
      </c>
      <c r="AL54" s="5">
        <f t="shared" si="432"/>
        <v>-0.47510057071275436</v>
      </c>
      <c r="AM54" s="6">
        <f t="shared" si="433"/>
        <v>-0.15581842714637609</v>
      </c>
      <c r="AN54" s="612">
        <f t="shared" si="434"/>
        <v>-71.842094890442482</v>
      </c>
      <c r="AO54" s="613">
        <f t="shared" si="99"/>
        <v>29.99999566853651</v>
      </c>
      <c r="AP54" s="624">
        <f t="shared" si="435"/>
        <v>-28.749122453294785</v>
      </c>
      <c r="AQ54" s="625">
        <f t="shared" si="242"/>
        <v>3.3291362046506405</v>
      </c>
      <c r="AS54" s="56">
        <f t="shared" si="413"/>
        <v>-313.1702067613856</v>
      </c>
      <c r="AT54" s="77">
        <f t="shared" si="243"/>
        <v>-0.18667928894209029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8.1389999999999993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1" t="str" cm="1">
        <f t="array" ref="II54">IFERROR(IF(IH54&lt;1,IH54+LARGE((IF($M$9:$M$150="",0,$M$9:$M$150)-MOD(IF($M$9:$M$150="",0,$M$9:$M$150),1)),1),IH54),"")</f>
        <v/>
      </c>
      <c r="IJ54" s="842" t="str">
        <f t="shared" si="379"/>
        <v/>
      </c>
      <c r="IK54" s="842" t="str">
        <f t="shared" si="380"/>
        <v/>
      </c>
      <c r="IL54" s="791" t="str">
        <f t="shared" si="381"/>
        <v/>
      </c>
      <c r="IM54" s="833">
        <v>2.5613156762656599E-2</v>
      </c>
      <c r="IN54" s="5" t="str">
        <f t="shared" si="230"/>
        <v/>
      </c>
      <c r="IO54" s="802">
        <v>940</v>
      </c>
      <c r="IP54" s="9" t="str">
        <f t="shared" si="382"/>
        <v/>
      </c>
      <c r="IQ54" s="5" t="str">
        <f t="shared" si="383"/>
        <v/>
      </c>
      <c r="IR54" s="5" t="str">
        <f t="shared" si="384"/>
        <v/>
      </c>
      <c r="IS54" s="5" t="str">
        <f t="shared" si="385"/>
        <v/>
      </c>
      <c r="IT54" s="791" t="str">
        <f t="shared" si="386"/>
        <v/>
      </c>
      <c r="IU54" s="9" t="str">
        <f t="shared" si="387"/>
        <v/>
      </c>
      <c r="IV54" s="5" t="str">
        <f t="shared" si="388"/>
        <v/>
      </c>
      <c r="IW54" s="5" t="str">
        <f t="shared" si="389"/>
        <v/>
      </c>
      <c r="IX54" s="5" t="str">
        <f t="shared" si="390"/>
        <v/>
      </c>
      <c r="IY54" s="836" t="str">
        <f t="shared" si="391"/>
        <v/>
      </c>
    </row>
    <row r="55" spans="1:259" ht="15" customHeight="1" x14ac:dyDescent="0.25">
      <c r="A55" s="84">
        <f t="shared" si="83"/>
        <v>0</v>
      </c>
      <c r="B55" s="770"/>
      <c r="C55" s="771"/>
      <c r="D55" s="772"/>
      <c r="E55" s="773"/>
      <c r="F55" s="771"/>
      <c r="G55" s="774"/>
      <c r="H55" s="773"/>
      <c r="I55" s="771"/>
      <c r="J55" s="601"/>
      <c r="K55" s="426" t="str">
        <f t="shared" si="226"/>
        <v/>
      </c>
      <c r="L55" s="327" t="str">
        <f t="shared" si="229"/>
        <v/>
      </c>
      <c r="M55" s="173" t="str">
        <f t="shared" si="235"/>
        <v/>
      </c>
      <c r="N55" s="21" t="str">
        <f t="shared" si="236"/>
        <v/>
      </c>
      <c r="O55" s="5" t="str">
        <f t="shared" si="237"/>
        <v/>
      </c>
      <c r="P55" s="10" t="str">
        <f t="shared" si="238"/>
        <v/>
      </c>
      <c r="Q55" s="624" t="str">
        <f t="shared" si="117"/>
        <v/>
      </c>
      <c r="R55" s="5" t="str">
        <f t="shared" si="417"/>
        <v/>
      </c>
      <c r="S55" s="6" t="str">
        <f t="shared" si="418"/>
        <v/>
      </c>
      <c r="T55" s="4" t="str">
        <f t="shared" si="419"/>
        <v/>
      </c>
      <c r="U55" s="5" t="str">
        <f t="shared" si="420"/>
        <v/>
      </c>
      <c r="V55" s="8" t="str">
        <f t="shared" si="421"/>
        <v/>
      </c>
      <c r="W55" s="624" t="str">
        <f t="shared" si="228"/>
        <v/>
      </c>
      <c r="X55" s="5" t="str">
        <f t="shared" si="422"/>
        <v/>
      </c>
      <c r="Y55" s="7" t="str">
        <f t="shared" si="227"/>
        <v/>
      </c>
      <c r="Z55" s="21" t="str">
        <f t="shared" si="239"/>
        <v/>
      </c>
      <c r="AA55" s="5" t="str">
        <f t="shared" si="240"/>
        <v/>
      </c>
      <c r="AB55" s="5" t="str">
        <f t="shared" si="241"/>
        <v/>
      </c>
      <c r="AC55" s="8" t="str">
        <f t="shared" si="423"/>
        <v/>
      </c>
      <c r="AD55" s="9" t="str">
        <f t="shared" si="424"/>
        <v/>
      </c>
      <c r="AE55" s="5" t="str">
        <f t="shared" si="425"/>
        <v/>
      </c>
      <c r="AF55" s="10" t="str">
        <f t="shared" si="426"/>
        <v/>
      </c>
      <c r="AG55" s="622" t="str">
        <f t="shared" si="427"/>
        <v/>
      </c>
      <c r="AH55" s="623" t="str">
        <f t="shared" si="428"/>
        <v/>
      </c>
      <c r="AI55" s="624" t="str">
        <f t="shared" si="429"/>
        <v/>
      </c>
      <c r="AJ55" s="625" t="str">
        <f t="shared" si="430"/>
        <v/>
      </c>
      <c r="AK55" s="4" t="str">
        <f t="shared" si="431"/>
        <v/>
      </c>
      <c r="AL55" s="5" t="str">
        <f t="shared" si="432"/>
        <v/>
      </c>
      <c r="AM55" s="6" t="str">
        <f t="shared" si="433"/>
        <v/>
      </c>
      <c r="AN55" s="612" t="str">
        <f t="shared" si="434"/>
        <v/>
      </c>
      <c r="AO55" s="613" t="str">
        <f>IF(ROUND(IF(M55="",0,DEGREES(ACOS(AK55))),4)=90,0,IF(M55="","",DEGREES(ACOS(AK55))))</f>
        <v/>
      </c>
      <c r="AP55" s="624" t="str">
        <f t="shared" si="435"/>
        <v/>
      </c>
      <c r="AQ55" s="625" t="str">
        <f t="shared" si="242"/>
        <v/>
      </c>
      <c r="AS55" s="56" t="str">
        <f t="shared" si="413"/>
        <v/>
      </c>
      <c r="AT55" s="77" t="str">
        <f t="shared" si="243"/>
        <v/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 t="str">
        <f t="shared" si="378"/>
        <v/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1" t="str" cm="1">
        <f t="array" ref="II55">IFERROR(IF(IH55&lt;1,IH55+LARGE((IF($M$9:$M$150="",0,$M$9:$M$150)-MOD(IF($M$9:$M$150="",0,$M$9:$M$150),1)),1),IH55),"")</f>
        <v/>
      </c>
      <c r="IJ55" s="842" t="str">
        <f t="shared" si="379"/>
        <v/>
      </c>
      <c r="IK55" s="842" t="str">
        <f t="shared" si="380"/>
        <v/>
      </c>
      <c r="IL55" s="791" t="str">
        <f t="shared" si="381"/>
        <v/>
      </c>
      <c r="IM55" s="833"/>
      <c r="IN55" s="5" t="str">
        <f t="shared" si="230"/>
        <v/>
      </c>
      <c r="IO55" s="802"/>
      <c r="IP55" s="9" t="str">
        <f t="shared" si="382"/>
        <v/>
      </c>
      <c r="IQ55" s="5" t="str">
        <f t="shared" si="383"/>
        <v/>
      </c>
      <c r="IR55" s="5" t="str">
        <f t="shared" si="384"/>
        <v/>
      </c>
      <c r="IS55" s="5" t="str">
        <f t="shared" si="385"/>
        <v/>
      </c>
      <c r="IT55" s="791" t="str">
        <f t="shared" si="386"/>
        <v/>
      </c>
      <c r="IU55" s="9" t="str">
        <f t="shared" si="387"/>
        <v/>
      </c>
      <c r="IV55" s="5" t="str">
        <f t="shared" si="388"/>
        <v/>
      </c>
      <c r="IW55" s="5" t="str">
        <f t="shared" si="389"/>
        <v/>
      </c>
      <c r="IX55" s="5" t="str">
        <f t="shared" si="390"/>
        <v/>
      </c>
      <c r="IY55" s="836" t="str">
        <f t="shared" si="391"/>
        <v/>
      </c>
    </row>
    <row r="56" spans="1:259" ht="15" customHeight="1" x14ac:dyDescent="0.25">
      <c r="A56" s="84">
        <f t="shared" si="83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226"/>
        <v/>
      </c>
      <c r="L56" s="327" t="str">
        <f t="shared" si="229"/>
        <v/>
      </c>
      <c r="M56" s="173" t="str">
        <f t="shared" si="235"/>
        <v/>
      </c>
      <c r="N56" s="21" t="str">
        <f t="shared" si="236"/>
        <v/>
      </c>
      <c r="O56" s="5" t="str">
        <f t="shared" si="237"/>
        <v/>
      </c>
      <c r="P56" s="10" t="str">
        <f t="shared" si="238"/>
        <v/>
      </c>
      <c r="Q56" s="624" t="str">
        <f t="shared" si="117"/>
        <v/>
      </c>
      <c r="R56" s="5" t="str">
        <f t="shared" si="417"/>
        <v/>
      </c>
      <c r="S56" s="6" t="str">
        <f t="shared" si="418"/>
        <v/>
      </c>
      <c r="T56" s="4" t="str">
        <f t="shared" si="419"/>
        <v/>
      </c>
      <c r="U56" s="5" t="str">
        <f t="shared" si="420"/>
        <v/>
      </c>
      <c r="V56" s="8" t="str">
        <f t="shared" si="421"/>
        <v/>
      </c>
      <c r="W56" s="624" t="str">
        <f t="shared" si="228"/>
        <v/>
      </c>
      <c r="X56" s="5" t="str">
        <f t="shared" si="422"/>
        <v/>
      </c>
      <c r="Y56" s="7" t="str">
        <f t="shared" si="227"/>
        <v/>
      </c>
      <c r="Z56" s="21" t="str">
        <f t="shared" si="239"/>
        <v/>
      </c>
      <c r="AA56" s="5" t="str">
        <f t="shared" si="240"/>
        <v/>
      </c>
      <c r="AB56" s="5" t="str">
        <f t="shared" si="241"/>
        <v/>
      </c>
      <c r="AC56" s="8" t="str">
        <f t="shared" si="423"/>
        <v/>
      </c>
      <c r="AD56" s="9" t="str">
        <f t="shared" si="424"/>
        <v/>
      </c>
      <c r="AE56" s="5" t="str">
        <f t="shared" si="425"/>
        <v/>
      </c>
      <c r="AF56" s="10" t="str">
        <f t="shared" si="426"/>
        <v/>
      </c>
      <c r="AG56" s="622" t="str">
        <f t="shared" si="427"/>
        <v/>
      </c>
      <c r="AH56" s="623" t="str">
        <f t="shared" si="428"/>
        <v/>
      </c>
      <c r="AI56" s="624" t="str">
        <f t="shared" si="429"/>
        <v/>
      </c>
      <c r="AJ56" s="625" t="str">
        <f t="shared" si="430"/>
        <v/>
      </c>
      <c r="AK56" s="4" t="str">
        <f t="shared" si="431"/>
        <v/>
      </c>
      <c r="AL56" s="5" t="str">
        <f t="shared" si="432"/>
        <v/>
      </c>
      <c r="AM56" s="6" t="str">
        <f t="shared" si="433"/>
        <v/>
      </c>
      <c r="AN56" s="612" t="str">
        <f t="shared" si="434"/>
        <v/>
      </c>
      <c r="AO56" s="613" t="str">
        <f t="shared" ref="AO56:AO119" si="468">IF(ROUND(IF(M56="",0,DEGREES(ACOS(AK56))),4)=90,0,IF(M56="","",DEGREES(ACOS(AK56))))</f>
        <v/>
      </c>
      <c r="AP56" s="624" t="str">
        <f t="shared" si="435"/>
        <v/>
      </c>
      <c r="AQ56" s="625" t="str">
        <f t="shared" si="242"/>
        <v/>
      </c>
      <c r="AS56" s="56" t="str">
        <f t="shared" si="413"/>
        <v/>
      </c>
      <c r="AT56" s="77" t="str">
        <f t="shared" si="243"/>
        <v/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 t="str">
        <f t="shared" si="378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226"/>
        <v/>
      </c>
      <c r="L57" s="327" t="str">
        <f t="shared" si="229"/>
        <v/>
      </c>
      <c r="M57" s="173" t="str">
        <f t="shared" si="235"/>
        <v/>
      </c>
      <c r="N57" s="21" t="str">
        <f t="shared" si="236"/>
        <v/>
      </c>
      <c r="O57" s="5" t="str">
        <f t="shared" si="237"/>
        <v/>
      </c>
      <c r="P57" s="10" t="str">
        <f t="shared" si="238"/>
        <v/>
      </c>
      <c r="Q57" s="624" t="str">
        <f t="shared" si="117"/>
        <v/>
      </c>
      <c r="R57" s="5" t="str">
        <f t="shared" si="417"/>
        <v/>
      </c>
      <c r="S57" s="6" t="str">
        <f t="shared" si="418"/>
        <v/>
      </c>
      <c r="T57" s="4" t="str">
        <f t="shared" si="419"/>
        <v/>
      </c>
      <c r="U57" s="5" t="str">
        <f t="shared" si="420"/>
        <v/>
      </c>
      <c r="V57" s="8" t="str">
        <f t="shared" si="421"/>
        <v/>
      </c>
      <c r="W57" s="624" t="str">
        <f t="shared" si="228"/>
        <v/>
      </c>
      <c r="X57" s="5" t="str">
        <f t="shared" si="422"/>
        <v/>
      </c>
      <c r="Y57" s="7" t="str">
        <f t="shared" si="227"/>
        <v/>
      </c>
      <c r="Z57" s="21" t="str">
        <f t="shared" si="239"/>
        <v/>
      </c>
      <c r="AA57" s="5" t="str">
        <f t="shared" si="240"/>
        <v/>
      </c>
      <c r="AB57" s="5" t="str">
        <f t="shared" si="241"/>
        <v/>
      </c>
      <c r="AC57" s="8" t="str">
        <f t="shared" si="423"/>
        <v/>
      </c>
      <c r="AD57" s="9" t="str">
        <f t="shared" si="424"/>
        <v/>
      </c>
      <c r="AE57" s="5" t="str">
        <f t="shared" si="425"/>
        <v/>
      </c>
      <c r="AF57" s="10" t="str">
        <f t="shared" si="426"/>
        <v/>
      </c>
      <c r="AG57" s="622" t="str">
        <f t="shared" si="427"/>
        <v/>
      </c>
      <c r="AH57" s="623" t="str">
        <f t="shared" si="428"/>
        <v/>
      </c>
      <c r="AI57" s="624" t="str">
        <f t="shared" si="429"/>
        <v/>
      </c>
      <c r="AJ57" s="625" t="str">
        <f t="shared" si="430"/>
        <v/>
      </c>
      <c r="AK57" s="4" t="str">
        <f t="shared" si="431"/>
        <v/>
      </c>
      <c r="AL57" s="5" t="str">
        <f t="shared" si="432"/>
        <v/>
      </c>
      <c r="AM57" s="6" t="str">
        <f t="shared" si="433"/>
        <v/>
      </c>
      <c r="AN57" s="612" t="str">
        <f t="shared" si="434"/>
        <v/>
      </c>
      <c r="AO57" s="613" t="str">
        <f t="shared" si="468"/>
        <v/>
      </c>
      <c r="AP57" s="624" t="str">
        <f t="shared" si="435"/>
        <v/>
      </c>
      <c r="AQ57" s="625" t="str">
        <f t="shared" si="242"/>
        <v/>
      </c>
      <c r="AS57" s="56" t="str">
        <f t="shared" si="413"/>
        <v/>
      </c>
      <c r="AT57" s="77" t="str">
        <f t="shared" si="243"/>
        <v/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 t="str">
        <f t="shared" si="378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226"/>
        <v/>
      </c>
      <c r="L58" s="327" t="str">
        <f t="shared" si="229"/>
        <v/>
      </c>
      <c r="M58" s="173" t="str">
        <f t="shared" si="235"/>
        <v/>
      </c>
      <c r="N58" s="21" t="str">
        <f t="shared" si="236"/>
        <v/>
      </c>
      <c r="O58" s="5" t="str">
        <f t="shared" si="237"/>
        <v/>
      </c>
      <c r="P58" s="10" t="str">
        <f t="shared" si="238"/>
        <v/>
      </c>
      <c r="Q58" s="624" t="str">
        <f t="shared" si="117"/>
        <v/>
      </c>
      <c r="R58" s="5" t="str">
        <f t="shared" si="417"/>
        <v/>
      </c>
      <c r="S58" s="6" t="str">
        <f t="shared" si="418"/>
        <v/>
      </c>
      <c r="T58" s="4" t="str">
        <f t="shared" si="419"/>
        <v/>
      </c>
      <c r="U58" s="5" t="str">
        <f t="shared" si="420"/>
        <v/>
      </c>
      <c r="V58" s="8" t="str">
        <f t="shared" si="421"/>
        <v/>
      </c>
      <c r="W58" s="624" t="str">
        <f t="shared" si="228"/>
        <v/>
      </c>
      <c r="X58" s="5" t="str">
        <f t="shared" si="422"/>
        <v/>
      </c>
      <c r="Y58" s="7" t="str">
        <f t="shared" si="227"/>
        <v/>
      </c>
      <c r="Z58" s="21" t="str">
        <f t="shared" si="239"/>
        <v/>
      </c>
      <c r="AA58" s="5" t="str">
        <f t="shared" si="240"/>
        <v/>
      </c>
      <c r="AB58" s="5" t="str">
        <f t="shared" si="241"/>
        <v/>
      </c>
      <c r="AC58" s="8" t="str">
        <f t="shared" si="423"/>
        <v/>
      </c>
      <c r="AD58" s="9" t="str">
        <f t="shared" si="424"/>
        <v/>
      </c>
      <c r="AE58" s="5" t="str">
        <f t="shared" si="425"/>
        <v/>
      </c>
      <c r="AF58" s="10" t="str">
        <f t="shared" si="426"/>
        <v/>
      </c>
      <c r="AG58" s="622" t="str">
        <f t="shared" si="427"/>
        <v/>
      </c>
      <c r="AH58" s="623" t="str">
        <f t="shared" si="428"/>
        <v/>
      </c>
      <c r="AI58" s="624" t="str">
        <f t="shared" si="429"/>
        <v/>
      </c>
      <c r="AJ58" s="625" t="str">
        <f t="shared" si="430"/>
        <v/>
      </c>
      <c r="AK58" s="4" t="str">
        <f t="shared" si="431"/>
        <v/>
      </c>
      <c r="AL58" s="5" t="str">
        <f t="shared" si="432"/>
        <v/>
      </c>
      <c r="AM58" s="6" t="str">
        <f t="shared" si="433"/>
        <v/>
      </c>
      <c r="AN58" s="612" t="str">
        <f t="shared" si="434"/>
        <v/>
      </c>
      <c r="AO58" s="613" t="str">
        <f t="shared" si="468"/>
        <v/>
      </c>
      <c r="AP58" s="624" t="str">
        <f t="shared" si="435"/>
        <v/>
      </c>
      <c r="AQ58" s="625" t="str">
        <f t="shared" si="242"/>
        <v/>
      </c>
      <c r="AS58" s="56" t="str">
        <f t="shared" si="413"/>
        <v/>
      </c>
      <c r="AT58" s="77" t="str">
        <f t="shared" si="243"/>
        <v/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 t="str">
        <f t="shared" si="378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226"/>
        <v/>
      </c>
      <c r="L59" s="327" t="str">
        <f t="shared" si="229"/>
        <v/>
      </c>
      <c r="M59" s="173" t="str">
        <f t="shared" si="235"/>
        <v/>
      </c>
      <c r="N59" s="21" t="str">
        <f t="shared" si="236"/>
        <v/>
      </c>
      <c r="O59" s="5" t="str">
        <f t="shared" si="237"/>
        <v/>
      </c>
      <c r="P59" s="10" t="str">
        <f t="shared" si="238"/>
        <v/>
      </c>
      <c r="Q59" s="624" t="str">
        <f t="shared" si="117"/>
        <v/>
      </c>
      <c r="R59" s="5" t="str">
        <f t="shared" si="84"/>
        <v/>
      </c>
      <c r="S59" s="6" t="str">
        <f t="shared" si="85"/>
        <v/>
      </c>
      <c r="T59" s="4" t="str">
        <f t="shared" si="86"/>
        <v/>
      </c>
      <c r="U59" s="5" t="str">
        <f t="shared" si="87"/>
        <v/>
      </c>
      <c r="V59" s="8" t="str">
        <f t="shared" si="118"/>
        <v/>
      </c>
      <c r="W59" s="624" t="str">
        <f t="shared" si="228"/>
        <v/>
      </c>
      <c r="X59" s="5" t="str">
        <f t="shared" si="88"/>
        <v/>
      </c>
      <c r="Y59" s="7" t="str">
        <f t="shared" si="227"/>
        <v/>
      </c>
      <c r="Z59" s="21" t="str">
        <f t="shared" si="239"/>
        <v/>
      </c>
      <c r="AA59" s="5" t="str">
        <f t="shared" si="240"/>
        <v/>
      </c>
      <c r="AB59" s="5" t="str">
        <f t="shared" si="241"/>
        <v/>
      </c>
      <c r="AC59" s="8" t="str">
        <f t="shared" si="89"/>
        <v/>
      </c>
      <c r="AD59" s="9" t="str">
        <f t="shared" si="119"/>
        <v/>
      </c>
      <c r="AE59" s="5" t="str">
        <f t="shared" si="90"/>
        <v/>
      </c>
      <c r="AF59" s="10" t="str">
        <f t="shared" si="91"/>
        <v/>
      </c>
      <c r="AG59" s="622" t="str">
        <f t="shared" si="92"/>
        <v/>
      </c>
      <c r="AH59" s="623" t="str">
        <f t="shared" si="93"/>
        <v/>
      </c>
      <c r="AI59" s="624" t="str">
        <f t="shared" si="94"/>
        <v/>
      </c>
      <c r="AJ59" s="625" t="str">
        <f t="shared" si="95"/>
        <v/>
      </c>
      <c r="AK59" s="4" t="str">
        <f t="shared" si="214"/>
        <v/>
      </c>
      <c r="AL59" s="5" t="str">
        <f t="shared" si="96"/>
        <v/>
      </c>
      <c r="AM59" s="6" t="str">
        <f t="shared" si="97"/>
        <v/>
      </c>
      <c r="AN59" s="612" t="str">
        <f t="shared" si="98"/>
        <v/>
      </c>
      <c r="AO59" s="613" t="str">
        <f t="shared" si="468"/>
        <v/>
      </c>
      <c r="AP59" s="624" t="str">
        <f t="shared" si="100"/>
        <v/>
      </c>
      <c r="AQ59" s="625" t="str">
        <f t="shared" si="242"/>
        <v/>
      </c>
      <c r="AS59" s="56" t="str">
        <f t="shared" si="413"/>
        <v/>
      </c>
      <c r="AT59" s="77" t="str">
        <f t="shared" si="243"/>
        <v/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 t="str">
        <f t="shared" si="378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1" t="str" cm="1">
        <f t="array" ref="II59">IFERROR(IF(IH59&lt;1,IH59+LARGE((IF($M$9:$M$150="",0,$M$9:$M$150)-MOD(IF($M$9:$M$150="",0,$M$9:$M$150),1)),1),IH59),"")</f>
        <v/>
      </c>
      <c r="IJ59" s="842" t="str">
        <f t="shared" si="379"/>
        <v/>
      </c>
      <c r="IK59" s="842" t="str">
        <f t="shared" si="380"/>
        <v/>
      </c>
      <c r="IL59" s="791" t="str">
        <f t="shared" si="381"/>
        <v/>
      </c>
      <c r="IM59" s="833">
        <v>3.4888470286087901E-2</v>
      </c>
      <c r="IN59" s="5" t="str">
        <f t="shared" si="230"/>
        <v/>
      </c>
      <c r="IO59" s="802">
        <v>770</v>
      </c>
      <c r="IP59" s="9" t="str">
        <f t="shared" si="382"/>
        <v/>
      </c>
      <c r="IQ59" s="5" t="str">
        <f t="shared" si="383"/>
        <v/>
      </c>
      <c r="IR59" s="5" t="str">
        <f t="shared" si="384"/>
        <v/>
      </c>
      <c r="IS59" s="5" t="str">
        <f t="shared" si="385"/>
        <v/>
      </c>
      <c r="IT59" s="791" t="str">
        <f t="shared" si="386"/>
        <v/>
      </c>
      <c r="IU59" s="9" t="str">
        <f t="shared" si="387"/>
        <v/>
      </c>
      <c r="IV59" s="5" t="str">
        <f t="shared" si="388"/>
        <v/>
      </c>
      <c r="IW59" s="5" t="str">
        <f t="shared" si="389"/>
        <v/>
      </c>
      <c r="IX59" s="5" t="str">
        <f t="shared" si="390"/>
        <v/>
      </c>
      <c r="IY59" s="836" t="str">
        <f t="shared" si="391"/>
        <v/>
      </c>
    </row>
    <row r="60" spans="1:259" ht="15" customHeight="1" x14ac:dyDescent="0.25">
      <c r="A60" s="84">
        <f t="shared" si="83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226"/>
        <v/>
      </c>
      <c r="L60" s="327" t="str">
        <f t="shared" si="229"/>
        <v/>
      </c>
      <c r="M60" s="173" t="str">
        <f t="shared" si="235"/>
        <v/>
      </c>
      <c r="N60" s="21" t="str">
        <f t="shared" si="236"/>
        <v/>
      </c>
      <c r="O60" s="5" t="str">
        <f t="shared" si="237"/>
        <v/>
      </c>
      <c r="P60" s="10" t="str">
        <f t="shared" si="238"/>
        <v/>
      </c>
      <c r="Q60" s="624" t="str">
        <f t="shared" si="117"/>
        <v/>
      </c>
      <c r="R60" s="5" t="str">
        <f t="shared" si="84"/>
        <v/>
      </c>
      <c r="S60" s="6" t="str">
        <f t="shared" si="85"/>
        <v/>
      </c>
      <c r="T60" s="4" t="str">
        <f t="shared" si="86"/>
        <v/>
      </c>
      <c r="U60" s="5" t="str">
        <f t="shared" si="87"/>
        <v/>
      </c>
      <c r="V60" s="8" t="str">
        <f t="shared" si="118"/>
        <v/>
      </c>
      <c r="W60" s="624" t="str">
        <f t="shared" si="228"/>
        <v/>
      </c>
      <c r="X60" s="5" t="str">
        <f t="shared" si="88"/>
        <v/>
      </c>
      <c r="Y60" s="7" t="str">
        <f t="shared" si="227"/>
        <v/>
      </c>
      <c r="Z60" s="21" t="str">
        <f t="shared" si="239"/>
        <v/>
      </c>
      <c r="AA60" s="5" t="str">
        <f t="shared" si="240"/>
        <v/>
      </c>
      <c r="AB60" s="5" t="str">
        <f t="shared" si="241"/>
        <v/>
      </c>
      <c r="AC60" s="8" t="str">
        <f t="shared" si="89"/>
        <v/>
      </c>
      <c r="AD60" s="9" t="str">
        <f t="shared" si="119"/>
        <v/>
      </c>
      <c r="AE60" s="5" t="str">
        <f t="shared" si="90"/>
        <v/>
      </c>
      <c r="AF60" s="10" t="str">
        <f t="shared" si="91"/>
        <v/>
      </c>
      <c r="AG60" s="622" t="str">
        <f t="shared" si="92"/>
        <v/>
      </c>
      <c r="AH60" s="623" t="str">
        <f t="shared" si="93"/>
        <v/>
      </c>
      <c r="AI60" s="624" t="str">
        <f t="shared" si="94"/>
        <v/>
      </c>
      <c r="AJ60" s="625" t="str">
        <f t="shared" si="95"/>
        <v/>
      </c>
      <c r="AK60" s="4" t="str">
        <f t="shared" si="214"/>
        <v/>
      </c>
      <c r="AL60" s="5" t="str">
        <f t="shared" si="96"/>
        <v/>
      </c>
      <c r="AM60" s="6" t="str">
        <f t="shared" si="97"/>
        <v/>
      </c>
      <c r="AN60" s="612" t="str">
        <f t="shared" si="98"/>
        <v/>
      </c>
      <c r="AO60" s="613" t="str">
        <f t="shared" si="468"/>
        <v/>
      </c>
      <c r="AP60" s="624" t="str">
        <f t="shared" si="100"/>
        <v/>
      </c>
      <c r="AQ60" s="625" t="str">
        <f t="shared" si="242"/>
        <v/>
      </c>
      <c r="AS60" s="56" t="str">
        <f t="shared" si="413"/>
        <v/>
      </c>
      <c r="AT60" s="77" t="str">
        <f t="shared" si="243"/>
        <v/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 t="str">
        <f t="shared" si="378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1" t="str" cm="1">
        <f t="array" ref="II60">IFERROR(IF(IH60&lt;1,IH60+LARGE((IF($M$9:$M$150="",0,$M$9:$M$150)-MOD(IF($M$9:$M$150="",0,$M$9:$M$150),1)),1),IH60),"")</f>
        <v/>
      </c>
      <c r="IJ60" s="842" t="str">
        <f t="shared" si="379"/>
        <v/>
      </c>
      <c r="IK60" s="842" t="str">
        <f t="shared" si="380"/>
        <v/>
      </c>
      <c r="IL60" s="791" t="str">
        <f t="shared" si="381"/>
        <v/>
      </c>
      <c r="IM60" s="833">
        <v>2.0106574733775601E-2</v>
      </c>
      <c r="IN60" s="5" t="str">
        <f t="shared" si="230"/>
        <v/>
      </c>
      <c r="IO60" s="802">
        <v>970</v>
      </c>
      <c r="IP60" s="9" t="str">
        <f t="shared" si="382"/>
        <v/>
      </c>
      <c r="IQ60" s="5" t="str">
        <f t="shared" si="383"/>
        <v/>
      </c>
      <c r="IR60" s="5" t="str">
        <f t="shared" si="384"/>
        <v/>
      </c>
      <c r="IS60" s="5" t="str">
        <f t="shared" si="385"/>
        <v/>
      </c>
      <c r="IT60" s="791" t="str">
        <f t="shared" si="386"/>
        <v/>
      </c>
      <c r="IU60" s="9" t="str">
        <f t="shared" si="387"/>
        <v/>
      </c>
      <c r="IV60" s="5" t="str">
        <f t="shared" si="388"/>
        <v/>
      </c>
      <c r="IW60" s="5" t="str">
        <f t="shared" si="389"/>
        <v/>
      </c>
      <c r="IX60" s="5" t="str">
        <f t="shared" si="390"/>
        <v/>
      </c>
      <c r="IY60" s="836" t="str">
        <f t="shared" si="391"/>
        <v/>
      </c>
    </row>
    <row r="61" spans="1:259" ht="15" customHeight="1" x14ac:dyDescent="0.25">
      <c r="A61" s="84">
        <f t="shared" si="83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226"/>
        <v/>
      </c>
      <c r="L61" s="327" t="str">
        <f t="shared" si="229"/>
        <v/>
      </c>
      <c r="M61" s="173" t="str">
        <f t="shared" si="235"/>
        <v/>
      </c>
      <c r="N61" s="21" t="str">
        <f t="shared" si="236"/>
        <v/>
      </c>
      <c r="O61" s="5" t="str">
        <f t="shared" si="237"/>
        <v/>
      </c>
      <c r="P61" s="10" t="str">
        <f t="shared" si="238"/>
        <v/>
      </c>
      <c r="Q61" s="624" t="str">
        <f t="shared" si="117"/>
        <v/>
      </c>
      <c r="R61" s="5" t="str">
        <f t="shared" si="84"/>
        <v/>
      </c>
      <c r="S61" s="6" t="str">
        <f t="shared" si="85"/>
        <v/>
      </c>
      <c r="T61" s="4" t="str">
        <f t="shared" si="86"/>
        <v/>
      </c>
      <c r="U61" s="5" t="str">
        <f t="shared" si="87"/>
        <v/>
      </c>
      <c r="V61" s="8" t="str">
        <f t="shared" si="118"/>
        <v/>
      </c>
      <c r="W61" s="624" t="str">
        <f t="shared" si="228"/>
        <v/>
      </c>
      <c r="X61" s="5" t="str">
        <f t="shared" si="88"/>
        <v/>
      </c>
      <c r="Y61" s="7" t="str">
        <f t="shared" si="227"/>
        <v/>
      </c>
      <c r="Z61" s="21" t="str">
        <f t="shared" si="239"/>
        <v/>
      </c>
      <c r="AA61" s="5" t="str">
        <f t="shared" si="240"/>
        <v/>
      </c>
      <c r="AB61" s="5" t="str">
        <f t="shared" si="241"/>
        <v/>
      </c>
      <c r="AC61" s="8" t="str">
        <f t="shared" si="89"/>
        <v/>
      </c>
      <c r="AD61" s="9" t="str">
        <f t="shared" si="119"/>
        <v/>
      </c>
      <c r="AE61" s="5" t="str">
        <f t="shared" si="90"/>
        <v/>
      </c>
      <c r="AF61" s="10" t="str">
        <f t="shared" si="91"/>
        <v/>
      </c>
      <c r="AG61" s="622" t="str">
        <f t="shared" si="92"/>
        <v/>
      </c>
      <c r="AH61" s="623" t="str">
        <f t="shared" si="93"/>
        <v/>
      </c>
      <c r="AI61" s="624" t="str">
        <f t="shared" si="94"/>
        <v/>
      </c>
      <c r="AJ61" s="625" t="str">
        <f t="shared" si="95"/>
        <v/>
      </c>
      <c r="AK61" s="4" t="str">
        <f t="shared" si="214"/>
        <v/>
      </c>
      <c r="AL61" s="5" t="str">
        <f t="shared" si="96"/>
        <v/>
      </c>
      <c r="AM61" s="6" t="str">
        <f t="shared" si="97"/>
        <v/>
      </c>
      <c r="AN61" s="612" t="str">
        <f t="shared" si="98"/>
        <v/>
      </c>
      <c r="AO61" s="613" t="str">
        <f t="shared" si="468"/>
        <v/>
      </c>
      <c r="AP61" s="624" t="str">
        <f t="shared" si="100"/>
        <v/>
      </c>
      <c r="AQ61" s="625" t="str">
        <f t="shared" si="242"/>
        <v/>
      </c>
      <c r="AS61" s="56" t="str">
        <f t="shared" si="413"/>
        <v/>
      </c>
      <c r="AT61" s="77" t="str">
        <f t="shared" si="243"/>
        <v/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 t="str">
        <f t="shared" si="378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1" t="str" cm="1">
        <f t="array" ref="II61">IFERROR(IF(IH61&lt;1,IH61+LARGE((IF($M$9:$M$150="",0,$M$9:$M$150)-MOD(IF($M$9:$M$150="",0,$M$9:$M$150),1)),1),IH61),"")</f>
        <v/>
      </c>
      <c r="IJ61" s="842" t="str">
        <f t="shared" si="379"/>
        <v/>
      </c>
      <c r="IK61" s="842" t="str">
        <f t="shared" si="380"/>
        <v/>
      </c>
      <c r="IL61" s="791" t="str">
        <f t="shared" si="381"/>
        <v/>
      </c>
      <c r="IM61" s="833">
        <v>2.561332621911E-2</v>
      </c>
      <c r="IN61" s="5" t="str">
        <f t="shared" si="230"/>
        <v/>
      </c>
      <c r="IO61" s="802">
        <v>940</v>
      </c>
      <c r="IP61" s="9" t="str">
        <f t="shared" si="382"/>
        <v/>
      </c>
      <c r="IQ61" s="5" t="str">
        <f t="shared" si="383"/>
        <v/>
      </c>
      <c r="IR61" s="5" t="str">
        <f t="shared" si="384"/>
        <v/>
      </c>
      <c r="IS61" s="5" t="str">
        <f t="shared" si="385"/>
        <v/>
      </c>
      <c r="IT61" s="791" t="str">
        <f t="shared" si="386"/>
        <v/>
      </c>
      <c r="IU61" s="9" t="str">
        <f t="shared" si="387"/>
        <v/>
      </c>
      <c r="IV61" s="5" t="str">
        <f t="shared" si="388"/>
        <v/>
      </c>
      <c r="IW61" s="5" t="str">
        <f t="shared" si="389"/>
        <v/>
      </c>
      <c r="IX61" s="5" t="str">
        <f t="shared" si="390"/>
        <v/>
      </c>
      <c r="IY61" s="836" t="str">
        <f t="shared" si="391"/>
        <v/>
      </c>
    </row>
    <row r="62" spans="1:259" ht="15" customHeight="1" x14ac:dyDescent="0.25">
      <c r="A62" s="84">
        <f t="shared" si="83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6"/>
        <v/>
      </c>
      <c r="L62" s="327" t="str">
        <f t="shared" si="229"/>
        <v/>
      </c>
      <c r="M62" s="173" t="str">
        <f t="shared" si="235"/>
        <v/>
      </c>
      <c r="N62" s="21" t="str">
        <f t="shared" si="236"/>
        <v/>
      </c>
      <c r="O62" s="5" t="str">
        <f t="shared" si="237"/>
        <v/>
      </c>
      <c r="P62" s="10" t="str">
        <f t="shared" si="238"/>
        <v/>
      </c>
      <c r="Q62" s="624" t="str">
        <f t="shared" si="117"/>
        <v/>
      </c>
      <c r="R62" s="5" t="str">
        <f t="shared" si="84"/>
        <v/>
      </c>
      <c r="S62" s="6" t="str">
        <f t="shared" si="85"/>
        <v/>
      </c>
      <c r="T62" s="4" t="str">
        <f t="shared" si="86"/>
        <v/>
      </c>
      <c r="U62" s="5" t="str">
        <f t="shared" si="87"/>
        <v/>
      </c>
      <c r="V62" s="8" t="str">
        <f t="shared" si="118"/>
        <v/>
      </c>
      <c r="W62" s="624" t="str">
        <f t="shared" si="228"/>
        <v/>
      </c>
      <c r="X62" s="5" t="str">
        <f t="shared" si="88"/>
        <v/>
      </c>
      <c r="Y62" s="7" t="str">
        <f t="shared" si="227"/>
        <v/>
      </c>
      <c r="Z62" s="21" t="str">
        <f t="shared" si="239"/>
        <v/>
      </c>
      <c r="AA62" s="5" t="str">
        <f t="shared" si="240"/>
        <v/>
      </c>
      <c r="AB62" s="5" t="str">
        <f t="shared" si="241"/>
        <v/>
      </c>
      <c r="AC62" s="8" t="str">
        <f t="shared" si="89"/>
        <v/>
      </c>
      <c r="AD62" s="9" t="str">
        <f t="shared" si="119"/>
        <v/>
      </c>
      <c r="AE62" s="5" t="str">
        <f t="shared" si="90"/>
        <v/>
      </c>
      <c r="AF62" s="10" t="str">
        <f t="shared" si="91"/>
        <v/>
      </c>
      <c r="AG62" s="622" t="str">
        <f t="shared" si="92"/>
        <v/>
      </c>
      <c r="AH62" s="623" t="str">
        <f t="shared" si="93"/>
        <v/>
      </c>
      <c r="AI62" s="624" t="str">
        <f t="shared" si="94"/>
        <v/>
      </c>
      <c r="AJ62" s="625" t="str">
        <f t="shared" si="95"/>
        <v/>
      </c>
      <c r="AK62" s="4" t="str">
        <f t="shared" si="214"/>
        <v/>
      </c>
      <c r="AL62" s="5" t="str">
        <f t="shared" si="96"/>
        <v/>
      </c>
      <c r="AM62" s="6" t="str">
        <f t="shared" si="97"/>
        <v/>
      </c>
      <c r="AN62" s="612" t="str">
        <f t="shared" si="98"/>
        <v/>
      </c>
      <c r="AO62" s="613" t="str">
        <f t="shared" si="468"/>
        <v/>
      </c>
      <c r="AP62" s="624" t="str">
        <f t="shared" si="100"/>
        <v/>
      </c>
      <c r="AQ62" s="625" t="str">
        <f t="shared" si="242"/>
        <v/>
      </c>
      <c r="AS62" s="56" t="str">
        <f t="shared" si="413"/>
        <v/>
      </c>
      <c r="AT62" s="77" t="str">
        <f t="shared" si="243"/>
        <v/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 t="str">
        <f t="shared" si="378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1" t="str" cm="1">
        <f t="array" ref="II62">IFERROR(IF(IH62&lt;1,IH62+LARGE((IF($M$9:$M$150="",0,$M$9:$M$150)-MOD(IF($M$9:$M$150="",0,$M$9:$M$150),1)),1),IH62),"")</f>
        <v/>
      </c>
      <c r="IJ62" s="842" t="str">
        <f t="shared" si="379"/>
        <v/>
      </c>
      <c r="IK62" s="842" t="str">
        <f t="shared" si="380"/>
        <v/>
      </c>
      <c r="IL62" s="791" t="str">
        <f t="shared" si="381"/>
        <v/>
      </c>
      <c r="IM62" s="833"/>
      <c r="IN62" s="5" t="str">
        <f t="shared" si="230"/>
        <v/>
      </c>
      <c r="IO62" s="802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6" t="str">
        <f t="shared" si="391"/>
        <v/>
      </c>
    </row>
    <row r="63" spans="1:259" ht="15" customHeight="1" x14ac:dyDescent="0.25">
      <c r="A63" s="84">
        <f t="shared" si="83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6"/>
        <v/>
      </c>
      <c r="L63" s="327" t="str">
        <f t="shared" si="229"/>
        <v/>
      </c>
      <c r="M63" s="173" t="str">
        <f t="shared" si="235"/>
        <v/>
      </c>
      <c r="N63" s="21" t="str">
        <f t="shared" si="236"/>
        <v/>
      </c>
      <c r="O63" s="5" t="str">
        <f t="shared" si="237"/>
        <v/>
      </c>
      <c r="P63" s="10" t="str">
        <f t="shared" si="238"/>
        <v/>
      </c>
      <c r="Q63" s="624" t="str">
        <f t="shared" si="117"/>
        <v/>
      </c>
      <c r="R63" s="5" t="str">
        <f t="shared" si="84"/>
        <v/>
      </c>
      <c r="S63" s="6" t="str">
        <f t="shared" si="85"/>
        <v/>
      </c>
      <c r="T63" s="4" t="str">
        <f t="shared" si="86"/>
        <v/>
      </c>
      <c r="U63" s="5" t="str">
        <f t="shared" si="87"/>
        <v/>
      </c>
      <c r="V63" s="8" t="str">
        <f t="shared" si="118"/>
        <v/>
      </c>
      <c r="W63" s="624" t="str">
        <f t="shared" si="228"/>
        <v/>
      </c>
      <c r="X63" s="5" t="str">
        <f t="shared" si="88"/>
        <v/>
      </c>
      <c r="Y63" s="7" t="str">
        <f t="shared" si="227"/>
        <v/>
      </c>
      <c r="Z63" s="21" t="str">
        <f t="shared" si="239"/>
        <v/>
      </c>
      <c r="AA63" s="5" t="str">
        <f t="shared" si="240"/>
        <v/>
      </c>
      <c r="AB63" s="5" t="str">
        <f t="shared" si="241"/>
        <v/>
      </c>
      <c r="AC63" s="8" t="str">
        <f t="shared" si="89"/>
        <v/>
      </c>
      <c r="AD63" s="9" t="str">
        <f t="shared" si="119"/>
        <v/>
      </c>
      <c r="AE63" s="5" t="str">
        <f t="shared" si="90"/>
        <v/>
      </c>
      <c r="AF63" s="10" t="str">
        <f t="shared" si="91"/>
        <v/>
      </c>
      <c r="AG63" s="622" t="str">
        <f t="shared" si="92"/>
        <v/>
      </c>
      <c r="AH63" s="623" t="str">
        <f t="shared" si="93"/>
        <v/>
      </c>
      <c r="AI63" s="624" t="str">
        <f t="shared" si="94"/>
        <v/>
      </c>
      <c r="AJ63" s="625" t="str">
        <f t="shared" si="95"/>
        <v/>
      </c>
      <c r="AK63" s="4" t="str">
        <f t="shared" si="214"/>
        <v/>
      </c>
      <c r="AL63" s="5" t="str">
        <f t="shared" si="96"/>
        <v/>
      </c>
      <c r="AM63" s="6" t="str">
        <f t="shared" si="97"/>
        <v/>
      </c>
      <c r="AN63" s="612" t="str">
        <f t="shared" si="98"/>
        <v/>
      </c>
      <c r="AO63" s="613" t="str">
        <f t="shared" si="468"/>
        <v/>
      </c>
      <c r="AP63" s="624" t="str">
        <f t="shared" si="100"/>
        <v/>
      </c>
      <c r="AQ63" s="625" t="str">
        <f t="shared" si="242"/>
        <v/>
      </c>
      <c r="AS63" s="56" t="str">
        <f t="shared" si="413"/>
        <v/>
      </c>
      <c r="AT63" s="77" t="str">
        <f t="shared" si="243"/>
        <v/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 t="str">
        <f t="shared" si="378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1" t="str" cm="1">
        <f t="array" ref="II63">IFERROR(IF(IH63&lt;1,IH63+LARGE((IF($M$9:$M$150="",0,$M$9:$M$150)-MOD(IF($M$9:$M$150="",0,$M$9:$M$150),1)),1),IH63),"")</f>
        <v/>
      </c>
      <c r="IJ63" s="842" t="str">
        <f t="shared" si="379"/>
        <v/>
      </c>
      <c r="IK63" s="842" t="str">
        <f t="shared" si="380"/>
        <v/>
      </c>
      <c r="IL63" s="791" t="str">
        <f t="shared" si="381"/>
        <v/>
      </c>
      <c r="IM63" s="833"/>
      <c r="IN63" s="5" t="str">
        <f t="shared" si="230"/>
        <v/>
      </c>
      <c r="IO63" s="802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6" t="str">
        <f t="shared" si="391"/>
        <v/>
      </c>
    </row>
    <row r="64" spans="1:259" ht="15" customHeight="1" x14ac:dyDescent="0.25">
      <c r="A64" s="84">
        <f t="shared" si="83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6"/>
        <v/>
      </c>
      <c r="L64" s="327" t="str">
        <f t="shared" si="229"/>
        <v/>
      </c>
      <c r="M64" s="173" t="str">
        <f t="shared" si="235"/>
        <v/>
      </c>
      <c r="N64" s="21" t="str">
        <f t="shared" si="236"/>
        <v/>
      </c>
      <c r="O64" s="5" t="str">
        <f t="shared" si="237"/>
        <v/>
      </c>
      <c r="P64" s="10" t="str">
        <f t="shared" si="238"/>
        <v/>
      </c>
      <c r="Q64" s="624" t="str">
        <f t="shared" si="117"/>
        <v/>
      </c>
      <c r="R64" s="5" t="str">
        <f t="shared" si="84"/>
        <v/>
      </c>
      <c r="S64" s="6" t="str">
        <f t="shared" si="85"/>
        <v/>
      </c>
      <c r="T64" s="4" t="str">
        <f t="shared" si="86"/>
        <v/>
      </c>
      <c r="U64" s="5" t="str">
        <f t="shared" si="87"/>
        <v/>
      </c>
      <c r="V64" s="8" t="str">
        <f t="shared" si="118"/>
        <v/>
      </c>
      <c r="W64" s="624" t="str">
        <f t="shared" si="228"/>
        <v/>
      </c>
      <c r="X64" s="5" t="str">
        <f t="shared" si="88"/>
        <v/>
      </c>
      <c r="Y64" s="7" t="str">
        <f t="shared" si="227"/>
        <v/>
      </c>
      <c r="Z64" s="21" t="str">
        <f t="shared" si="239"/>
        <v/>
      </c>
      <c r="AA64" s="5" t="str">
        <f t="shared" si="240"/>
        <v/>
      </c>
      <c r="AB64" s="5" t="str">
        <f t="shared" si="241"/>
        <v/>
      </c>
      <c r="AC64" s="8" t="str">
        <f t="shared" si="89"/>
        <v/>
      </c>
      <c r="AD64" s="9" t="str">
        <f t="shared" si="119"/>
        <v/>
      </c>
      <c r="AE64" s="5" t="str">
        <f t="shared" si="90"/>
        <v/>
      </c>
      <c r="AF64" s="10" t="str">
        <f t="shared" si="91"/>
        <v/>
      </c>
      <c r="AG64" s="622" t="str">
        <f t="shared" si="92"/>
        <v/>
      </c>
      <c r="AH64" s="623" t="str">
        <f t="shared" si="93"/>
        <v/>
      </c>
      <c r="AI64" s="624" t="str">
        <f t="shared" si="94"/>
        <v/>
      </c>
      <c r="AJ64" s="625" t="str">
        <f t="shared" si="95"/>
        <v/>
      </c>
      <c r="AK64" s="4" t="str">
        <f t="shared" si="214"/>
        <v/>
      </c>
      <c r="AL64" s="5" t="str">
        <f t="shared" si="96"/>
        <v/>
      </c>
      <c r="AM64" s="6" t="str">
        <f t="shared" si="97"/>
        <v/>
      </c>
      <c r="AN64" s="612" t="str">
        <f t="shared" si="98"/>
        <v/>
      </c>
      <c r="AO64" s="613" t="str">
        <f t="shared" si="468"/>
        <v/>
      </c>
      <c r="AP64" s="624" t="str">
        <f t="shared" si="100"/>
        <v/>
      </c>
      <c r="AQ64" s="625" t="str">
        <f t="shared" si="242"/>
        <v/>
      </c>
      <c r="AS64" s="56" t="str">
        <f t="shared" si="413"/>
        <v/>
      </c>
      <c r="AT64" s="77" t="str">
        <f t="shared" si="243"/>
        <v/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 t="str">
        <f t="shared" si="378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1" t="str" cm="1">
        <f t="array" ref="II64">IFERROR(IF(IH64&lt;1,IH64+LARGE((IF($M$9:$M$150="",0,$M$9:$M$150)-MOD(IF($M$9:$M$150="",0,$M$9:$M$150),1)),1),IH64),"")</f>
        <v/>
      </c>
      <c r="IJ64" s="842" t="str">
        <f t="shared" si="379"/>
        <v/>
      </c>
      <c r="IK64" s="842" t="str">
        <f t="shared" si="380"/>
        <v/>
      </c>
      <c r="IL64" s="791" t="str">
        <f t="shared" si="381"/>
        <v/>
      </c>
      <c r="IM64" s="833"/>
      <c r="IN64" s="5" t="str">
        <f t="shared" si="230"/>
        <v/>
      </c>
      <c r="IO64" s="802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6" t="str">
        <f t="shared" si="391"/>
        <v/>
      </c>
    </row>
    <row r="65" spans="1:259" ht="15" customHeight="1" x14ac:dyDescent="0.25">
      <c r="A65" s="84">
        <f t="shared" si="83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6"/>
        <v/>
      </c>
      <c r="L65" s="327" t="str">
        <f t="shared" si="229"/>
        <v/>
      </c>
      <c r="M65" s="173" t="str">
        <f t="shared" si="235"/>
        <v/>
      </c>
      <c r="N65" s="21" t="str">
        <f t="shared" si="236"/>
        <v/>
      </c>
      <c r="O65" s="5" t="str">
        <f t="shared" si="237"/>
        <v/>
      </c>
      <c r="P65" s="10" t="str">
        <f t="shared" si="238"/>
        <v/>
      </c>
      <c r="Q65" s="624" t="str">
        <f t="shared" si="117"/>
        <v/>
      </c>
      <c r="R65" s="5" t="str">
        <f t="shared" si="84"/>
        <v/>
      </c>
      <c r="S65" s="6" t="str">
        <f t="shared" si="85"/>
        <v/>
      </c>
      <c r="T65" s="4" t="str">
        <f t="shared" si="86"/>
        <v/>
      </c>
      <c r="U65" s="5" t="str">
        <f t="shared" si="87"/>
        <v/>
      </c>
      <c r="V65" s="8" t="str">
        <f t="shared" si="118"/>
        <v/>
      </c>
      <c r="W65" s="624" t="str">
        <f t="shared" si="228"/>
        <v/>
      </c>
      <c r="X65" s="5" t="str">
        <f t="shared" si="88"/>
        <v/>
      </c>
      <c r="Y65" s="7" t="str">
        <f t="shared" si="227"/>
        <v/>
      </c>
      <c r="Z65" s="21" t="str">
        <f t="shared" si="239"/>
        <v/>
      </c>
      <c r="AA65" s="5" t="str">
        <f t="shared" si="240"/>
        <v/>
      </c>
      <c r="AB65" s="5" t="str">
        <f t="shared" si="241"/>
        <v/>
      </c>
      <c r="AC65" s="8" t="str">
        <f t="shared" si="89"/>
        <v/>
      </c>
      <c r="AD65" s="9" t="str">
        <f t="shared" si="119"/>
        <v/>
      </c>
      <c r="AE65" s="5" t="str">
        <f t="shared" si="90"/>
        <v/>
      </c>
      <c r="AF65" s="10" t="str">
        <f t="shared" si="91"/>
        <v/>
      </c>
      <c r="AG65" s="622" t="str">
        <f t="shared" si="92"/>
        <v/>
      </c>
      <c r="AH65" s="623" t="str">
        <f t="shared" si="93"/>
        <v/>
      </c>
      <c r="AI65" s="624" t="str">
        <f t="shared" si="94"/>
        <v/>
      </c>
      <c r="AJ65" s="625" t="str">
        <f t="shared" si="95"/>
        <v/>
      </c>
      <c r="AK65" s="4" t="str">
        <f t="shared" si="214"/>
        <v/>
      </c>
      <c r="AL65" s="5" t="str">
        <f t="shared" si="96"/>
        <v/>
      </c>
      <c r="AM65" s="6" t="str">
        <f t="shared" si="97"/>
        <v/>
      </c>
      <c r="AN65" s="612" t="str">
        <f t="shared" si="98"/>
        <v/>
      </c>
      <c r="AO65" s="613" t="str">
        <f t="shared" si="468"/>
        <v/>
      </c>
      <c r="AP65" s="624" t="str">
        <f t="shared" si="100"/>
        <v/>
      </c>
      <c r="AQ65" s="625" t="str">
        <f t="shared" si="242"/>
        <v/>
      </c>
      <c r="AS65" s="56" t="str">
        <f t="shared" si="413"/>
        <v/>
      </c>
      <c r="AT65" s="77" t="str">
        <f t="shared" si="243"/>
        <v/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 t="str">
        <f t="shared" si="378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1" t="str" cm="1">
        <f t="array" ref="II65">IFERROR(IF(IH65&lt;1,IH65+LARGE((IF($M$9:$M$150="",0,$M$9:$M$150)-MOD(IF($M$9:$M$150="",0,$M$9:$M$150),1)),1),IH65),"")</f>
        <v/>
      </c>
      <c r="IJ65" s="842" t="str">
        <f t="shared" si="379"/>
        <v/>
      </c>
      <c r="IK65" s="842" t="str">
        <f t="shared" si="380"/>
        <v/>
      </c>
      <c r="IL65" s="791" t="str">
        <f t="shared" si="381"/>
        <v/>
      </c>
      <c r="IM65" s="833"/>
      <c r="IN65" s="5" t="str">
        <f t="shared" si="230"/>
        <v/>
      </c>
      <c r="IO65" s="802"/>
      <c r="IP65" s="9" t="str">
        <f t="shared" si="382"/>
        <v/>
      </c>
      <c r="IQ65" s="5" t="str">
        <f t="shared" si="383"/>
        <v/>
      </c>
      <c r="IR65" s="5" t="str">
        <f t="shared" si="384"/>
        <v/>
      </c>
      <c r="IS65" s="5" t="str">
        <f t="shared" si="385"/>
        <v/>
      </c>
      <c r="IT65" s="791" t="str">
        <f t="shared" si="386"/>
        <v/>
      </c>
      <c r="IU65" s="9" t="str">
        <f t="shared" si="387"/>
        <v/>
      </c>
      <c r="IV65" s="5" t="str">
        <f t="shared" si="388"/>
        <v/>
      </c>
      <c r="IW65" s="5" t="str">
        <f t="shared" si="389"/>
        <v/>
      </c>
      <c r="IX65" s="5" t="str">
        <f t="shared" si="390"/>
        <v/>
      </c>
      <c r="IY65" s="836" t="str">
        <f t="shared" si="391"/>
        <v/>
      </c>
    </row>
    <row r="66" spans="1:259" ht="15" customHeight="1" x14ac:dyDescent="0.25">
      <c r="A66" s="84">
        <f t="shared" si="83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6"/>
        <v/>
      </c>
      <c r="L66" s="327" t="str">
        <f t="shared" si="229"/>
        <v/>
      </c>
      <c r="M66" s="173" t="str">
        <f t="shared" si="235"/>
        <v/>
      </c>
      <c r="N66" s="21" t="str">
        <f t="shared" si="236"/>
        <v/>
      </c>
      <c r="O66" s="5" t="str">
        <f t="shared" si="237"/>
        <v/>
      </c>
      <c r="P66" s="10" t="str">
        <f t="shared" si="238"/>
        <v/>
      </c>
      <c r="Q66" s="624" t="str">
        <f t="shared" si="117"/>
        <v/>
      </c>
      <c r="R66" s="5" t="str">
        <f t="shared" si="84"/>
        <v/>
      </c>
      <c r="S66" s="6" t="str">
        <f t="shared" si="85"/>
        <v/>
      </c>
      <c r="T66" s="4" t="str">
        <f t="shared" si="86"/>
        <v/>
      </c>
      <c r="U66" s="5" t="str">
        <f t="shared" si="87"/>
        <v/>
      </c>
      <c r="V66" s="8" t="str">
        <f t="shared" si="118"/>
        <v/>
      </c>
      <c r="W66" s="624" t="str">
        <f t="shared" si="228"/>
        <v/>
      </c>
      <c r="X66" s="5" t="str">
        <f t="shared" si="88"/>
        <v/>
      </c>
      <c r="Y66" s="7" t="str">
        <f t="shared" si="227"/>
        <v/>
      </c>
      <c r="Z66" s="21" t="str">
        <f t="shared" si="239"/>
        <v/>
      </c>
      <c r="AA66" s="5" t="str">
        <f t="shared" si="240"/>
        <v/>
      </c>
      <c r="AB66" s="5" t="str">
        <f t="shared" si="241"/>
        <v/>
      </c>
      <c r="AC66" s="8" t="str">
        <f t="shared" si="89"/>
        <v/>
      </c>
      <c r="AD66" s="9" t="str">
        <f t="shared" si="119"/>
        <v/>
      </c>
      <c r="AE66" s="5" t="str">
        <f t="shared" si="90"/>
        <v/>
      </c>
      <c r="AF66" s="10" t="str">
        <f t="shared" si="91"/>
        <v/>
      </c>
      <c r="AG66" s="622" t="str">
        <f t="shared" si="92"/>
        <v/>
      </c>
      <c r="AH66" s="623" t="str">
        <f t="shared" si="93"/>
        <v/>
      </c>
      <c r="AI66" s="624" t="str">
        <f t="shared" si="94"/>
        <v/>
      </c>
      <c r="AJ66" s="625" t="str">
        <f t="shared" si="95"/>
        <v/>
      </c>
      <c r="AK66" s="4" t="str">
        <f t="shared" si="214"/>
        <v/>
      </c>
      <c r="AL66" s="5" t="str">
        <f t="shared" si="96"/>
        <v/>
      </c>
      <c r="AM66" s="6" t="str">
        <f t="shared" si="97"/>
        <v/>
      </c>
      <c r="AN66" s="612" t="str">
        <f t="shared" si="98"/>
        <v/>
      </c>
      <c r="AO66" s="613" t="str">
        <f t="shared" si="468"/>
        <v/>
      </c>
      <c r="AP66" s="624" t="str">
        <f t="shared" si="100"/>
        <v/>
      </c>
      <c r="AQ66" s="625" t="str">
        <f t="shared" si="242"/>
        <v/>
      </c>
      <c r="AS66" s="56" t="str">
        <f t="shared" si="413"/>
        <v/>
      </c>
      <c r="AT66" s="77" t="str">
        <f t="shared" si="243"/>
        <v/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 t="str">
        <f t="shared" si="378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1" t="str" cm="1">
        <f t="array" ref="II66">IFERROR(IF(IH66&lt;1,IH66+LARGE((IF($M$9:$M$150="",0,$M$9:$M$150)-MOD(IF($M$9:$M$150="",0,$M$9:$M$150),1)),1),IH66),"")</f>
        <v/>
      </c>
      <c r="IJ66" s="842" t="str">
        <f t="shared" si="379"/>
        <v/>
      </c>
      <c r="IK66" s="842" t="str">
        <f t="shared" si="380"/>
        <v/>
      </c>
      <c r="IL66" s="791" t="str">
        <f t="shared" si="381"/>
        <v/>
      </c>
      <c r="IM66" s="833"/>
      <c r="IN66" s="5" t="str">
        <f t="shared" si="230"/>
        <v/>
      </c>
      <c r="IO66" s="802"/>
      <c r="IP66" s="9" t="str">
        <f t="shared" si="382"/>
        <v/>
      </c>
      <c r="IQ66" s="5" t="str">
        <f t="shared" si="383"/>
        <v/>
      </c>
      <c r="IR66" s="5" t="str">
        <f t="shared" si="384"/>
        <v/>
      </c>
      <c r="IS66" s="5" t="str">
        <f t="shared" si="385"/>
        <v/>
      </c>
      <c r="IT66" s="791" t="str">
        <f t="shared" si="386"/>
        <v/>
      </c>
      <c r="IU66" s="9" t="str">
        <f t="shared" si="387"/>
        <v/>
      </c>
      <c r="IV66" s="5" t="str">
        <f t="shared" si="388"/>
        <v/>
      </c>
      <c r="IW66" s="5" t="str">
        <f t="shared" si="389"/>
        <v/>
      </c>
      <c r="IX66" s="5" t="str">
        <f t="shared" si="390"/>
        <v/>
      </c>
      <c r="IY66" s="836" t="str">
        <f t="shared" si="391"/>
        <v/>
      </c>
    </row>
    <row r="67" spans="1:259" ht="15" customHeight="1" x14ac:dyDescent="0.25">
      <c r="A67" s="84">
        <f t="shared" si="83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6"/>
        <v/>
      </c>
      <c r="L67" s="327" t="str">
        <f t="shared" si="229"/>
        <v/>
      </c>
      <c r="M67" s="173" t="str">
        <f t="shared" si="235"/>
        <v/>
      </c>
      <c r="N67" s="21" t="str">
        <f t="shared" si="236"/>
        <v/>
      </c>
      <c r="O67" s="5" t="str">
        <f t="shared" si="237"/>
        <v/>
      </c>
      <c r="P67" s="10" t="str">
        <f t="shared" si="238"/>
        <v/>
      </c>
      <c r="Q67" s="624" t="str">
        <f t="shared" si="117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8"/>
        <v/>
      </c>
      <c r="X67" s="5" t="str">
        <f>IF(M67="","",R67)</f>
        <v/>
      </c>
      <c r="Y67" s="7" t="str">
        <f t="shared" si="227"/>
        <v/>
      </c>
      <c r="Z67" s="21" t="str">
        <f t="shared" si="239"/>
        <v/>
      </c>
      <c r="AA67" s="5" t="str">
        <f t="shared" si="240"/>
        <v/>
      </c>
      <c r="AB67" s="5" t="str">
        <f t="shared" si="241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8"/>
        <v/>
      </c>
      <c r="AP67" s="624" t="str">
        <f>IF(M67="","",DEGREES(ATAN2(AK67,AL67)))</f>
        <v/>
      </c>
      <c r="AQ67" s="625" t="str">
        <f t="shared" si="242"/>
        <v/>
      </c>
      <c r="AS67" s="56" t="str">
        <f t="shared" si="413"/>
        <v/>
      </c>
      <c r="AT67" s="77" t="str">
        <f t="shared" si="243"/>
        <v/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 t="str">
        <f t="shared" si="378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1" t="str" cm="1">
        <f t="array" ref="II67">IFERROR(IF(IH67&lt;1,IH67+LARGE((IF($M$9:$M$150="",0,$M$9:$M$150)-MOD(IF($M$9:$M$150="",0,$M$9:$M$150),1)),1),IH67),"")</f>
        <v/>
      </c>
      <c r="IJ67" s="842" t="str">
        <f t="shared" si="379"/>
        <v/>
      </c>
      <c r="IK67" s="842" t="str">
        <f t="shared" si="380"/>
        <v/>
      </c>
      <c r="IL67" s="791" t="str">
        <f t="shared" si="381"/>
        <v/>
      </c>
      <c r="IM67" s="833"/>
      <c r="IN67" s="5" t="str">
        <f t="shared" si="230"/>
        <v/>
      </c>
      <c r="IO67" s="802"/>
      <c r="IP67" s="9" t="str">
        <f t="shared" si="382"/>
        <v/>
      </c>
      <c r="IQ67" s="5" t="str">
        <f t="shared" si="383"/>
        <v/>
      </c>
      <c r="IR67" s="5" t="str">
        <f t="shared" si="384"/>
        <v/>
      </c>
      <c r="IS67" s="5" t="str">
        <f t="shared" si="385"/>
        <v/>
      </c>
      <c r="IT67" s="791" t="str">
        <f t="shared" si="386"/>
        <v/>
      </c>
      <c r="IU67" s="9" t="str">
        <f t="shared" si="387"/>
        <v/>
      </c>
      <c r="IV67" s="5" t="str">
        <f t="shared" si="388"/>
        <v/>
      </c>
      <c r="IW67" s="5" t="str">
        <f t="shared" si="389"/>
        <v/>
      </c>
      <c r="IX67" s="5" t="str">
        <f t="shared" si="390"/>
        <v/>
      </c>
      <c r="IY67" s="836" t="str">
        <f t="shared" si="391"/>
        <v/>
      </c>
    </row>
    <row r="68" spans="1:259" ht="15" customHeight="1" x14ac:dyDescent="0.25">
      <c r="A68" s="84">
        <f t="shared" si="83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6"/>
        <v/>
      </c>
      <c r="L68" s="327" t="str">
        <f t="shared" si="229"/>
        <v/>
      </c>
      <c r="M68" s="173" t="str">
        <f t="shared" si="235"/>
        <v/>
      </c>
      <c r="N68" s="21" t="str">
        <f t="shared" si="236"/>
        <v/>
      </c>
      <c r="O68" s="5" t="str">
        <f t="shared" si="237"/>
        <v/>
      </c>
      <c r="P68" s="10" t="str">
        <f t="shared" si="238"/>
        <v/>
      </c>
      <c r="Q68" s="624" t="str">
        <f t="shared" si="117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8"/>
        <v/>
      </c>
      <c r="X68" s="5" t="str">
        <f>IF(M68="","",R68)</f>
        <v/>
      </c>
      <c r="Y68" s="7" t="str">
        <f t="shared" si="227"/>
        <v/>
      </c>
      <c r="Z68" s="21" t="str">
        <f t="shared" si="239"/>
        <v/>
      </c>
      <c r="AA68" s="5" t="str">
        <f t="shared" si="240"/>
        <v/>
      </c>
      <c r="AB68" s="5" t="str">
        <f t="shared" si="241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8"/>
        <v/>
      </c>
      <c r="AP68" s="624" t="str">
        <f>IF(M68="","",DEGREES(ATAN2(AK68,AL68)))</f>
        <v/>
      </c>
      <c r="AQ68" s="625" t="str">
        <f t="shared" si="242"/>
        <v/>
      </c>
      <c r="AS68" s="56" t="str">
        <f t="shared" si="413"/>
        <v/>
      </c>
      <c r="AT68" s="77" t="str">
        <f t="shared" si="243"/>
        <v/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 t="str">
        <f t="shared" si="378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1" t="str" cm="1">
        <f t="array" ref="II68">IFERROR(IF(IH68&lt;1,IH68+LARGE((IF($M$9:$M$150="",0,$M$9:$M$150)-MOD(IF($M$9:$M$150="",0,$M$9:$M$150),1)),1),IH68),"")</f>
        <v/>
      </c>
      <c r="IJ68" s="842" t="str">
        <f t="shared" si="379"/>
        <v/>
      </c>
      <c r="IK68" s="842" t="str">
        <f t="shared" si="380"/>
        <v/>
      </c>
      <c r="IL68" s="791" t="str">
        <f t="shared" si="381"/>
        <v/>
      </c>
      <c r="IM68" s="833"/>
      <c r="IN68" s="5" t="str">
        <f t="shared" si="230"/>
        <v/>
      </c>
      <c r="IO68" s="802"/>
      <c r="IP68" s="9" t="str">
        <f t="shared" si="382"/>
        <v/>
      </c>
      <c r="IQ68" s="5" t="str">
        <f t="shared" si="383"/>
        <v/>
      </c>
      <c r="IR68" s="5" t="str">
        <f t="shared" si="384"/>
        <v/>
      </c>
      <c r="IS68" s="5" t="str">
        <f t="shared" si="385"/>
        <v/>
      </c>
      <c r="IT68" s="791" t="str">
        <f t="shared" si="386"/>
        <v/>
      </c>
      <c r="IU68" s="9" t="str">
        <f t="shared" si="387"/>
        <v/>
      </c>
      <c r="IV68" s="5" t="str">
        <f t="shared" si="388"/>
        <v/>
      </c>
      <c r="IW68" s="5" t="str">
        <f t="shared" si="389"/>
        <v/>
      </c>
      <c r="IX68" s="5" t="str">
        <f t="shared" si="390"/>
        <v/>
      </c>
      <c r="IY68" s="836" t="str">
        <f t="shared" si="391"/>
        <v/>
      </c>
    </row>
    <row r="69" spans="1:259" ht="15" customHeight="1" x14ac:dyDescent="0.25">
      <c r="A69" s="84">
        <f t="shared" si="83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6"/>
        <v/>
      </c>
      <c r="L69" s="327" t="str">
        <f t="shared" si="229"/>
        <v/>
      </c>
      <c r="M69" s="173" t="str">
        <f t="shared" si="235"/>
        <v/>
      </c>
      <c r="N69" s="21" t="str">
        <f t="shared" si="236"/>
        <v/>
      </c>
      <c r="O69" s="5" t="str">
        <f t="shared" si="237"/>
        <v/>
      </c>
      <c r="P69" s="10" t="str">
        <f t="shared" si="238"/>
        <v/>
      </c>
      <c r="Q69" s="624" t="str">
        <f t="shared" si="117"/>
        <v/>
      </c>
      <c r="R69" s="5" t="str">
        <f t="shared" si="84"/>
        <v/>
      </c>
      <c r="S69" s="6" t="str">
        <f t="shared" si="85"/>
        <v/>
      </c>
      <c r="T69" s="4" t="str">
        <f t="shared" si="86"/>
        <v/>
      </c>
      <c r="U69" s="5" t="str">
        <f t="shared" si="87"/>
        <v/>
      </c>
      <c r="V69" s="8" t="str">
        <f t="shared" si="118"/>
        <v/>
      </c>
      <c r="W69" s="624" t="str">
        <f t="shared" si="228"/>
        <v/>
      </c>
      <c r="X69" s="5" t="str">
        <f t="shared" si="88"/>
        <v/>
      </c>
      <c r="Y69" s="7" t="str">
        <f t="shared" si="227"/>
        <v/>
      </c>
      <c r="Z69" s="21" t="str">
        <f t="shared" si="239"/>
        <v/>
      </c>
      <c r="AA69" s="5" t="str">
        <f t="shared" si="240"/>
        <v/>
      </c>
      <c r="AB69" s="5" t="str">
        <f t="shared" si="241"/>
        <v/>
      </c>
      <c r="AC69" s="8" t="str">
        <f t="shared" si="89"/>
        <v/>
      </c>
      <c r="AD69" s="9" t="str">
        <f t="shared" si="119"/>
        <v/>
      </c>
      <c r="AE69" s="5" t="str">
        <f t="shared" si="90"/>
        <v/>
      </c>
      <c r="AF69" s="10" t="str">
        <f t="shared" si="91"/>
        <v/>
      </c>
      <c r="AG69" s="622" t="str">
        <f t="shared" si="92"/>
        <v/>
      </c>
      <c r="AH69" s="623" t="str">
        <f t="shared" si="93"/>
        <v/>
      </c>
      <c r="AI69" s="624" t="str">
        <f t="shared" si="94"/>
        <v/>
      </c>
      <c r="AJ69" s="625" t="str">
        <f t="shared" si="95"/>
        <v/>
      </c>
      <c r="AK69" s="4" t="str">
        <f t="shared" si="214"/>
        <v/>
      </c>
      <c r="AL69" s="5" t="str">
        <f t="shared" si="96"/>
        <v/>
      </c>
      <c r="AM69" s="6" t="str">
        <f t="shared" si="97"/>
        <v/>
      </c>
      <c r="AN69" s="612" t="str">
        <f t="shared" si="98"/>
        <v/>
      </c>
      <c r="AO69" s="613" t="str">
        <f t="shared" si="468"/>
        <v/>
      </c>
      <c r="AP69" s="624" t="str">
        <f t="shared" si="100"/>
        <v/>
      </c>
      <c r="AQ69" s="625" t="str">
        <f t="shared" si="242"/>
        <v/>
      </c>
      <c r="AS69" s="56" t="str">
        <f t="shared" si="413"/>
        <v/>
      </c>
      <c r="AT69" s="77" t="str">
        <f t="shared" si="243"/>
        <v/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 t="str">
        <f t="shared" si="378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1" t="str" cm="1">
        <f t="array" ref="II69">IFERROR(IF(IH69&lt;1,IH69+LARGE((IF($M$9:$M$150="",0,$M$9:$M$150)-MOD(IF($M$9:$M$150="",0,$M$9:$M$150),1)),1),IH69),"")</f>
        <v/>
      </c>
      <c r="IJ69" s="842" t="str">
        <f t="shared" si="379"/>
        <v/>
      </c>
      <c r="IK69" s="842" t="str">
        <f t="shared" si="380"/>
        <v/>
      </c>
      <c r="IL69" s="791" t="str">
        <f t="shared" si="381"/>
        <v/>
      </c>
      <c r="IM69" s="833"/>
      <c r="IN69" s="5" t="str">
        <f t="shared" si="230"/>
        <v/>
      </c>
      <c r="IO69" s="802"/>
      <c r="IP69" s="9" t="str">
        <f t="shared" si="382"/>
        <v/>
      </c>
      <c r="IQ69" s="5" t="str">
        <f t="shared" si="383"/>
        <v/>
      </c>
      <c r="IR69" s="5" t="str">
        <f t="shared" si="384"/>
        <v/>
      </c>
      <c r="IS69" s="5" t="str">
        <f t="shared" si="385"/>
        <v/>
      </c>
      <c r="IT69" s="791" t="str">
        <f t="shared" si="386"/>
        <v/>
      </c>
      <c r="IU69" s="9" t="str">
        <f t="shared" si="387"/>
        <v/>
      </c>
      <c r="IV69" s="5" t="str">
        <f t="shared" si="388"/>
        <v/>
      </c>
      <c r="IW69" s="5" t="str">
        <f t="shared" si="389"/>
        <v/>
      </c>
      <c r="IX69" s="5" t="str">
        <f t="shared" si="390"/>
        <v/>
      </c>
      <c r="IY69" s="836" t="str">
        <f t="shared" si="391"/>
        <v/>
      </c>
    </row>
    <row r="70" spans="1:259" ht="15" customHeight="1" x14ac:dyDescent="0.25">
      <c r="A70" s="84">
        <f t="shared" si="83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6"/>
        <v/>
      </c>
      <c r="L70" s="327" t="str">
        <f t="shared" si="229"/>
        <v/>
      </c>
      <c r="M70" s="173" t="str">
        <f t="shared" si="235"/>
        <v/>
      </c>
      <c r="N70" s="21" t="str">
        <f t="shared" si="236"/>
        <v/>
      </c>
      <c r="O70" s="5" t="str">
        <f t="shared" si="237"/>
        <v/>
      </c>
      <c r="P70" s="10" t="str">
        <f t="shared" si="238"/>
        <v/>
      </c>
      <c r="Q70" s="624" t="str">
        <f t="shared" si="117"/>
        <v/>
      </c>
      <c r="R70" s="5" t="str">
        <f t="shared" si="84"/>
        <v/>
      </c>
      <c r="S70" s="6" t="str">
        <f t="shared" si="85"/>
        <v/>
      </c>
      <c r="T70" s="4" t="str">
        <f t="shared" si="86"/>
        <v/>
      </c>
      <c r="U70" s="5" t="str">
        <f t="shared" si="87"/>
        <v/>
      </c>
      <c r="V70" s="8" t="str">
        <f t="shared" si="118"/>
        <v/>
      </c>
      <c r="W70" s="624" t="str">
        <f t="shared" si="228"/>
        <v/>
      </c>
      <c r="X70" s="5" t="str">
        <f t="shared" si="88"/>
        <v/>
      </c>
      <c r="Y70" s="7" t="str">
        <f t="shared" si="227"/>
        <v/>
      </c>
      <c r="Z70" s="21" t="str">
        <f t="shared" si="239"/>
        <v/>
      </c>
      <c r="AA70" s="5" t="str">
        <f t="shared" si="240"/>
        <v/>
      </c>
      <c r="AB70" s="5" t="str">
        <f t="shared" si="241"/>
        <v/>
      </c>
      <c r="AC70" s="8" t="str">
        <f t="shared" si="89"/>
        <v/>
      </c>
      <c r="AD70" s="9" t="str">
        <f t="shared" si="119"/>
        <v/>
      </c>
      <c r="AE70" s="5" t="str">
        <f t="shared" si="90"/>
        <v/>
      </c>
      <c r="AF70" s="10" t="str">
        <f t="shared" si="91"/>
        <v/>
      </c>
      <c r="AG70" s="622" t="str">
        <f t="shared" si="92"/>
        <v/>
      </c>
      <c r="AH70" s="623" t="str">
        <f t="shared" si="93"/>
        <v/>
      </c>
      <c r="AI70" s="624" t="str">
        <f t="shared" si="94"/>
        <v/>
      </c>
      <c r="AJ70" s="625" t="str">
        <f t="shared" si="95"/>
        <v/>
      </c>
      <c r="AK70" s="4" t="str">
        <f t="shared" si="214"/>
        <v/>
      </c>
      <c r="AL70" s="5" t="str">
        <f t="shared" si="96"/>
        <v/>
      </c>
      <c r="AM70" s="6" t="str">
        <f t="shared" si="97"/>
        <v/>
      </c>
      <c r="AN70" s="612" t="str">
        <f t="shared" si="98"/>
        <v/>
      </c>
      <c r="AO70" s="613" t="str">
        <f t="shared" si="468"/>
        <v/>
      </c>
      <c r="AP70" s="624" t="str">
        <f t="shared" si="100"/>
        <v/>
      </c>
      <c r="AQ70" s="625" t="str">
        <f t="shared" si="242"/>
        <v/>
      </c>
      <c r="AS70" s="56" t="str">
        <f t="shared" si="413"/>
        <v/>
      </c>
      <c r="AT70" s="77" t="str">
        <f t="shared" si="243"/>
        <v/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 t="str">
        <f t="shared" si="378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1" t="str" cm="1">
        <f t="array" ref="II70">IFERROR(IF(IH70&lt;1,IH70+LARGE((IF($M$9:$M$150="",0,$M$9:$M$150)-MOD(IF($M$9:$M$150="",0,$M$9:$M$150),1)),1),IH70),"")</f>
        <v/>
      </c>
      <c r="IJ70" s="842" t="str">
        <f t="shared" si="379"/>
        <v/>
      </c>
      <c r="IK70" s="842" t="str">
        <f t="shared" si="380"/>
        <v/>
      </c>
      <c r="IL70" s="791" t="str">
        <f t="shared" si="381"/>
        <v/>
      </c>
      <c r="IM70" s="833"/>
      <c r="IN70" s="5" t="str">
        <f t="shared" si="230"/>
        <v/>
      </c>
      <c r="IO70" s="802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6" t="str">
        <f t="shared" si="391"/>
        <v/>
      </c>
    </row>
    <row r="71" spans="1:259" ht="15" customHeight="1" x14ac:dyDescent="0.25">
      <c r="A71" s="84">
        <f t="shared" si="83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6"/>
        <v/>
      </c>
      <c r="L71" s="327" t="str">
        <f t="shared" si="229"/>
        <v/>
      </c>
      <c r="M71" s="173" t="str">
        <f t="shared" si="235"/>
        <v/>
      </c>
      <c r="N71" s="21" t="str">
        <f t="shared" si="236"/>
        <v/>
      </c>
      <c r="O71" s="5" t="str">
        <f t="shared" si="237"/>
        <v/>
      </c>
      <c r="P71" s="10" t="str">
        <f t="shared" si="238"/>
        <v/>
      </c>
      <c r="Q71" s="624" t="str">
        <f t="shared" si="117"/>
        <v/>
      </c>
      <c r="R71" s="5" t="str">
        <f t="shared" si="84"/>
        <v/>
      </c>
      <c r="S71" s="6" t="str">
        <f t="shared" si="85"/>
        <v/>
      </c>
      <c r="T71" s="4" t="str">
        <f t="shared" si="86"/>
        <v/>
      </c>
      <c r="U71" s="5" t="str">
        <f t="shared" si="87"/>
        <v/>
      </c>
      <c r="V71" s="8" t="str">
        <f t="shared" si="118"/>
        <v/>
      </c>
      <c r="W71" s="624" t="str">
        <f t="shared" si="228"/>
        <v/>
      </c>
      <c r="X71" s="5" t="str">
        <f t="shared" si="88"/>
        <v/>
      </c>
      <c r="Y71" s="7" t="str">
        <f t="shared" si="227"/>
        <v/>
      </c>
      <c r="Z71" s="21" t="str">
        <f t="shared" si="239"/>
        <v/>
      </c>
      <c r="AA71" s="5" t="str">
        <f t="shared" si="240"/>
        <v/>
      </c>
      <c r="AB71" s="5" t="str">
        <f t="shared" si="241"/>
        <v/>
      </c>
      <c r="AC71" s="8" t="str">
        <f t="shared" si="89"/>
        <v/>
      </c>
      <c r="AD71" s="9" t="str">
        <f t="shared" si="119"/>
        <v/>
      </c>
      <c r="AE71" s="5" t="str">
        <f t="shared" si="90"/>
        <v/>
      </c>
      <c r="AF71" s="10" t="str">
        <f t="shared" si="91"/>
        <v/>
      </c>
      <c r="AG71" s="622" t="str">
        <f t="shared" si="92"/>
        <v/>
      </c>
      <c r="AH71" s="623" t="str">
        <f t="shared" si="93"/>
        <v/>
      </c>
      <c r="AI71" s="624" t="str">
        <f t="shared" si="94"/>
        <v/>
      </c>
      <c r="AJ71" s="625" t="str">
        <f t="shared" si="95"/>
        <v/>
      </c>
      <c r="AK71" s="4" t="str">
        <f t="shared" si="214"/>
        <v/>
      </c>
      <c r="AL71" s="5" t="str">
        <f t="shared" si="96"/>
        <v/>
      </c>
      <c r="AM71" s="6" t="str">
        <f t="shared" si="97"/>
        <v/>
      </c>
      <c r="AN71" s="612" t="str">
        <f t="shared" si="98"/>
        <v/>
      </c>
      <c r="AO71" s="613" t="str">
        <f t="shared" si="468"/>
        <v/>
      </c>
      <c r="AP71" s="624" t="str">
        <f t="shared" si="100"/>
        <v/>
      </c>
      <c r="AQ71" s="625" t="str">
        <f t="shared" si="242"/>
        <v/>
      </c>
      <c r="AS71" s="56" t="str">
        <f t="shared" si="413"/>
        <v/>
      </c>
      <c r="AT71" s="77" t="str">
        <f t="shared" si="243"/>
        <v/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 t="str">
        <f t="shared" si="378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1" t="str" cm="1">
        <f t="array" ref="II71">IFERROR(IF(IH71&lt;1,IH71+LARGE((IF($M$9:$M$150="",0,$M$9:$M$150)-MOD(IF($M$9:$M$150="",0,$M$9:$M$150),1)),1),IH71),"")</f>
        <v/>
      </c>
      <c r="IJ71" s="842" t="str">
        <f t="shared" si="379"/>
        <v/>
      </c>
      <c r="IK71" s="842" t="str">
        <f t="shared" si="380"/>
        <v/>
      </c>
      <c r="IL71" s="791" t="str">
        <f t="shared" si="381"/>
        <v/>
      </c>
      <c r="IM71" s="833"/>
      <c r="IN71" s="5" t="str">
        <f t="shared" si="230"/>
        <v/>
      </c>
      <c r="IO71" s="802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6" t="str">
        <f t="shared" si="391"/>
        <v/>
      </c>
    </row>
    <row r="72" spans="1:259" ht="15" customHeight="1" x14ac:dyDescent="0.25">
      <c r="A72" s="84">
        <f t="shared" si="83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6"/>
        <v/>
      </c>
      <c r="L72" s="327" t="str">
        <f t="shared" si="229"/>
        <v/>
      </c>
      <c r="M72" s="173" t="str">
        <f t="shared" si="235"/>
        <v/>
      </c>
      <c r="N72" s="21" t="str">
        <f t="shared" si="236"/>
        <v/>
      </c>
      <c r="O72" s="5" t="str">
        <f t="shared" si="237"/>
        <v/>
      </c>
      <c r="P72" s="10" t="str">
        <f t="shared" si="238"/>
        <v/>
      </c>
      <c r="Q72" s="624" t="str">
        <f t="shared" si="117"/>
        <v/>
      </c>
      <c r="R72" s="5" t="str">
        <f t="shared" si="84"/>
        <v/>
      </c>
      <c r="S72" s="6" t="str">
        <f t="shared" si="85"/>
        <v/>
      </c>
      <c r="T72" s="4" t="str">
        <f t="shared" si="86"/>
        <v/>
      </c>
      <c r="U72" s="5" t="str">
        <f t="shared" si="87"/>
        <v/>
      </c>
      <c r="V72" s="8" t="str">
        <f t="shared" si="118"/>
        <v/>
      </c>
      <c r="W72" s="624" t="str">
        <f t="shared" si="228"/>
        <v/>
      </c>
      <c r="X72" s="5" t="str">
        <f t="shared" si="88"/>
        <v/>
      </c>
      <c r="Y72" s="7" t="str">
        <f t="shared" si="227"/>
        <v/>
      </c>
      <c r="Z72" s="21" t="str">
        <f t="shared" si="239"/>
        <v/>
      </c>
      <c r="AA72" s="5" t="str">
        <f t="shared" si="240"/>
        <v/>
      </c>
      <c r="AB72" s="5" t="str">
        <f t="shared" si="241"/>
        <v/>
      </c>
      <c r="AC72" s="8" t="str">
        <f t="shared" si="89"/>
        <v/>
      </c>
      <c r="AD72" s="9" t="str">
        <f t="shared" si="119"/>
        <v/>
      </c>
      <c r="AE72" s="5" t="str">
        <f t="shared" si="90"/>
        <v/>
      </c>
      <c r="AF72" s="10" t="str">
        <f t="shared" si="91"/>
        <v/>
      </c>
      <c r="AG72" s="622" t="str">
        <f t="shared" si="92"/>
        <v/>
      </c>
      <c r="AH72" s="623" t="str">
        <f t="shared" si="93"/>
        <v/>
      </c>
      <c r="AI72" s="624" t="str">
        <f t="shared" si="94"/>
        <v/>
      </c>
      <c r="AJ72" s="625" t="str">
        <f t="shared" si="95"/>
        <v/>
      </c>
      <c r="AK72" s="4" t="str">
        <f t="shared" si="214"/>
        <v/>
      </c>
      <c r="AL72" s="5" t="str">
        <f t="shared" si="96"/>
        <v/>
      </c>
      <c r="AM72" s="6" t="str">
        <f t="shared" si="97"/>
        <v/>
      </c>
      <c r="AN72" s="612" t="str">
        <f t="shared" si="98"/>
        <v/>
      </c>
      <c r="AO72" s="613" t="str">
        <f t="shared" si="468"/>
        <v/>
      </c>
      <c r="AP72" s="624" t="str">
        <f t="shared" si="100"/>
        <v/>
      </c>
      <c r="AQ72" s="625" t="str">
        <f t="shared" si="242"/>
        <v/>
      </c>
      <c r="AS72" s="56" t="str">
        <f t="shared" si="413"/>
        <v/>
      </c>
      <c r="AT72" s="77" t="str">
        <f t="shared" si="243"/>
        <v/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 t="str">
        <f t="shared" si="378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1" t="str" cm="1">
        <f t="array" ref="II72">IFERROR(IF(IH72&lt;1,IH72+LARGE((IF($M$9:$M$150="",0,$M$9:$M$150)-MOD(IF($M$9:$M$150="",0,$M$9:$M$150),1)),1),IH72),"")</f>
        <v/>
      </c>
      <c r="IJ72" s="842" t="str">
        <f t="shared" si="379"/>
        <v/>
      </c>
      <c r="IK72" s="842" t="str">
        <f t="shared" si="380"/>
        <v/>
      </c>
      <c r="IL72" s="791" t="str">
        <f t="shared" si="381"/>
        <v/>
      </c>
      <c r="IM72" s="833"/>
      <c r="IN72" s="5" t="str">
        <f t="shared" si="230"/>
        <v/>
      </c>
      <c r="IO72" s="802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6" t="str">
        <f t="shared" si="391"/>
        <v/>
      </c>
    </row>
    <row r="73" spans="1:259" ht="15" customHeight="1" x14ac:dyDescent="0.25">
      <c r="A73" s="84">
        <f t="shared" si="83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6"/>
        <v/>
      </c>
      <c r="L73" s="327" t="str">
        <f t="shared" si="229"/>
        <v/>
      </c>
      <c r="M73" s="173" t="str">
        <f t="shared" ref="M73:M104" si="471">IF(J73="","",VALUE(J73))</f>
        <v/>
      </c>
      <c r="N73" s="21" t="str">
        <f t="shared" ref="N73:N104" si="472">IF(M73="","",B73)</f>
        <v/>
      </c>
      <c r="O73" s="5" t="str">
        <f t="shared" ref="O73:O104" si="473">IF(M73="","",C73)</f>
        <v/>
      </c>
      <c r="P73" s="10" t="str">
        <f t="shared" ref="P73:P104" si="474">IF(M73="","",D73)</f>
        <v/>
      </c>
      <c r="Q73" s="624" t="str">
        <f t="shared" si="117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8"/>
        <v/>
      </c>
      <c r="X73" s="5" t="str">
        <f>IF(M73="","",R73)</f>
        <v/>
      </c>
      <c r="Y73" s="7" t="str">
        <f t="shared" si="227"/>
        <v/>
      </c>
      <c r="Z73" s="21" t="str">
        <f t="shared" ref="Z73:Z104" si="475">IF(M73="","",-E73)</f>
        <v/>
      </c>
      <c r="AA73" s="5" t="str">
        <f t="shared" ref="AA73:AA104" si="476">IF(M73="","",-F73)</f>
        <v/>
      </c>
      <c r="AB73" s="5" t="str">
        <f t="shared" ref="AB73:AB104" si="477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8"/>
        <v/>
      </c>
      <c r="AP73" s="624" t="str">
        <f>IF(M73="","",DEGREES(ATAN2(AK73,AL73)))</f>
        <v/>
      </c>
      <c r="AQ73" s="625" t="str">
        <f t="shared" ref="AQ73:AQ104" si="478">IF(M73="","",DEGREES(ATAN(($AS$5*SIN(RADIANS(90)))/(($X73*2*PI())-($AS$5*COS(RADIANS(90)))))))</f>
        <v/>
      </c>
      <c r="AS73" s="56" t="str">
        <f t="shared" si="413"/>
        <v/>
      </c>
      <c r="AT73" s="77" t="str">
        <f t="shared" ref="AT73:AT104" si="479">IF(M73="","",Y73+(((AS73-$AS$9)*$AS$6)*-1))</f>
        <v/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 t="str">
        <f t="shared" ref="IG73:IG104" si="524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6"/>
        <v/>
      </c>
      <c r="L74" s="327" t="str">
        <f t="shared" si="229"/>
        <v/>
      </c>
      <c r="M74" s="173" t="str">
        <f t="shared" si="471"/>
        <v/>
      </c>
      <c r="N74" s="21" t="str">
        <f t="shared" si="472"/>
        <v/>
      </c>
      <c r="O74" s="5" t="str">
        <f t="shared" si="473"/>
        <v/>
      </c>
      <c r="P74" s="10" t="str">
        <f t="shared" si="474"/>
        <v/>
      </c>
      <c r="Q74" s="624" t="str">
        <f t="shared" ref="Q74:Q129" si="539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8"/>
        <v/>
      </c>
      <c r="X74" s="5" t="str">
        <f>IF(M74="","",R74)</f>
        <v/>
      </c>
      <c r="Y74" s="7" t="str">
        <f t="shared" si="227"/>
        <v/>
      </c>
      <c r="Z74" s="21" t="str">
        <f t="shared" si="475"/>
        <v/>
      </c>
      <c r="AA74" s="5" t="str">
        <f t="shared" si="476"/>
        <v/>
      </c>
      <c r="AB74" s="5" t="str">
        <f t="shared" si="477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8"/>
        <v/>
      </c>
      <c r="AP74" s="624" t="str">
        <f>IF(M74="","",DEGREES(ATAN2(AK74,AL74)))</f>
        <v/>
      </c>
      <c r="AQ74" s="625" t="str">
        <f t="shared" si="478"/>
        <v/>
      </c>
      <c r="AS74" s="56" t="str">
        <f t="shared" si="413"/>
        <v/>
      </c>
      <c r="AT74" s="77" t="str">
        <f t="shared" si="479"/>
        <v/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 t="str">
        <f t="shared" si="524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6"/>
        <v/>
      </c>
      <c r="L75" s="327" t="str">
        <f t="shared" si="229"/>
        <v/>
      </c>
      <c r="M75" s="173" t="str">
        <f t="shared" si="471"/>
        <v/>
      </c>
      <c r="N75" s="21" t="str">
        <f t="shared" si="472"/>
        <v/>
      </c>
      <c r="O75" s="5" t="str">
        <f t="shared" si="473"/>
        <v/>
      </c>
      <c r="P75" s="10" t="str">
        <f t="shared" si="474"/>
        <v/>
      </c>
      <c r="Q75" s="624" t="str">
        <f t="shared" si="539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8"/>
        <v/>
      </c>
      <c r="X75" s="5" t="str">
        <f>IF(M75="","",R75)</f>
        <v/>
      </c>
      <c r="Y75" s="7" t="str">
        <f t="shared" si="227"/>
        <v/>
      </c>
      <c r="Z75" s="21" t="str">
        <f t="shared" si="475"/>
        <v/>
      </c>
      <c r="AA75" s="5" t="str">
        <f t="shared" si="476"/>
        <v/>
      </c>
      <c r="AB75" s="5" t="str">
        <f t="shared" si="477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8"/>
        <v/>
      </c>
      <c r="AP75" s="624" t="str">
        <f>IF(M75="","",DEGREES(ATAN2(AK75,AL75)))</f>
        <v/>
      </c>
      <c r="AQ75" s="625" t="str">
        <f t="shared" si="478"/>
        <v/>
      </c>
      <c r="AS75" s="56" t="str">
        <f t="shared" ref="AS75:AS106" si="561">IF(G75="","",IF(AND(W75&lt;(AS74+180),W75&gt;(AS74-180)),W75,IF(W75&gt;(AS74+180),W75-360,IF(W75&lt;(AS74-180),W75+360,"Error"))))</f>
        <v/>
      </c>
      <c r="AT75" s="77" t="str">
        <f t="shared" si="479"/>
        <v/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 t="str">
        <f t="shared" si="524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6"/>
        <v/>
      </c>
      <c r="L76" s="327" t="str">
        <f t="shared" si="229"/>
        <v/>
      </c>
      <c r="M76" s="173" t="str">
        <f t="shared" si="471"/>
        <v/>
      </c>
      <c r="N76" s="21" t="str">
        <f t="shared" si="472"/>
        <v/>
      </c>
      <c r="O76" s="5" t="str">
        <f t="shared" si="473"/>
        <v/>
      </c>
      <c r="P76" s="10" t="str">
        <f t="shared" si="474"/>
        <v/>
      </c>
      <c r="Q76" s="624" t="str">
        <f t="shared" si="539"/>
        <v/>
      </c>
      <c r="R76" s="5" t="str">
        <f t="shared" si="84"/>
        <v/>
      </c>
      <c r="S76" s="6" t="str">
        <f t="shared" si="85"/>
        <v/>
      </c>
      <c r="T76" s="4" t="str">
        <f t="shared" si="86"/>
        <v/>
      </c>
      <c r="U76" s="5" t="str">
        <f t="shared" si="87"/>
        <v/>
      </c>
      <c r="V76" s="8" t="str">
        <f t="shared" si="118"/>
        <v/>
      </c>
      <c r="W76" s="624" t="str">
        <f t="shared" si="228"/>
        <v/>
      </c>
      <c r="X76" s="5" t="str">
        <f t="shared" si="88"/>
        <v/>
      </c>
      <c r="Y76" s="7" t="str">
        <f t="shared" ref="Y76:Y129" si="661">IF(M76="","",S76)</f>
        <v/>
      </c>
      <c r="Z76" s="21" t="str">
        <f t="shared" si="475"/>
        <v/>
      </c>
      <c r="AA76" s="5" t="str">
        <f t="shared" si="476"/>
        <v/>
      </c>
      <c r="AB76" s="5" t="str">
        <f t="shared" si="477"/>
        <v/>
      </c>
      <c r="AC76" s="8" t="str">
        <f t="shared" si="89"/>
        <v/>
      </c>
      <c r="AD76" s="9" t="str">
        <f t="shared" si="119"/>
        <v/>
      </c>
      <c r="AE76" s="5" t="str">
        <f t="shared" si="90"/>
        <v/>
      </c>
      <c r="AF76" s="10" t="str">
        <f t="shared" si="91"/>
        <v/>
      </c>
      <c r="AG76" s="622" t="str">
        <f t="shared" si="92"/>
        <v/>
      </c>
      <c r="AH76" s="623" t="str">
        <f t="shared" si="93"/>
        <v/>
      </c>
      <c r="AI76" s="624" t="str">
        <f t="shared" si="94"/>
        <v/>
      </c>
      <c r="AJ76" s="625" t="str">
        <f t="shared" si="95"/>
        <v/>
      </c>
      <c r="AK76" s="4" t="str">
        <f t="shared" si="214"/>
        <v/>
      </c>
      <c r="AL76" s="5" t="str">
        <f t="shared" si="96"/>
        <v/>
      </c>
      <c r="AM76" s="6" t="str">
        <f t="shared" si="97"/>
        <v/>
      </c>
      <c r="AN76" s="612" t="str">
        <f t="shared" si="98"/>
        <v/>
      </c>
      <c r="AO76" s="613" t="str">
        <f t="shared" si="468"/>
        <v/>
      </c>
      <c r="AP76" s="624" t="str">
        <f t="shared" si="100"/>
        <v/>
      </c>
      <c r="AQ76" s="625" t="str">
        <f t="shared" si="478"/>
        <v/>
      </c>
      <c r="AS76" s="56" t="str">
        <f t="shared" si="561"/>
        <v/>
      </c>
      <c r="AT76" s="77" t="str">
        <f t="shared" si="479"/>
        <v/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 t="str">
        <f t="shared" si="524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 t="str">
        <f t="shared" si="229"/>
        <v/>
      </c>
      <c r="M77" s="173" t="str">
        <f t="shared" si="471"/>
        <v/>
      </c>
      <c r="N77" s="21" t="str">
        <f t="shared" si="472"/>
        <v/>
      </c>
      <c r="O77" s="5" t="str">
        <f t="shared" si="473"/>
        <v/>
      </c>
      <c r="P77" s="10" t="str">
        <f t="shared" si="474"/>
        <v/>
      </c>
      <c r="Q77" s="624" t="str">
        <f t="shared" si="539"/>
        <v/>
      </c>
      <c r="R77" s="5" t="str">
        <f t="shared" si="84"/>
        <v/>
      </c>
      <c r="S77" s="6" t="str">
        <f t="shared" si="85"/>
        <v/>
      </c>
      <c r="T77" s="4" t="str">
        <f t="shared" si="86"/>
        <v/>
      </c>
      <c r="U77" s="5" t="str">
        <f t="shared" si="87"/>
        <v/>
      </c>
      <c r="V77" s="8" t="str">
        <f t="shared" si="118"/>
        <v/>
      </c>
      <c r="W77" s="624" t="str">
        <f t="shared" si="228"/>
        <v/>
      </c>
      <c r="X77" s="5" t="str">
        <f t="shared" si="88"/>
        <v/>
      </c>
      <c r="Y77" s="7" t="str">
        <f t="shared" si="661"/>
        <v/>
      </c>
      <c r="Z77" s="21" t="str">
        <f t="shared" si="475"/>
        <v/>
      </c>
      <c r="AA77" s="5" t="str">
        <f t="shared" si="476"/>
        <v/>
      </c>
      <c r="AB77" s="5" t="str">
        <f t="shared" si="477"/>
        <v/>
      </c>
      <c r="AC77" s="8" t="str">
        <f t="shared" si="89"/>
        <v/>
      </c>
      <c r="AD77" s="9" t="str">
        <f t="shared" si="119"/>
        <v/>
      </c>
      <c r="AE77" s="5" t="str">
        <f t="shared" si="90"/>
        <v/>
      </c>
      <c r="AF77" s="10" t="str">
        <f t="shared" si="91"/>
        <v/>
      </c>
      <c r="AG77" s="622" t="str">
        <f t="shared" si="92"/>
        <v/>
      </c>
      <c r="AH77" s="623" t="str">
        <f t="shared" si="93"/>
        <v/>
      </c>
      <c r="AI77" s="624" t="str">
        <f t="shared" si="94"/>
        <v/>
      </c>
      <c r="AJ77" s="625" t="str">
        <f t="shared" si="95"/>
        <v/>
      </c>
      <c r="AK77" s="4" t="str">
        <f t="shared" si="214"/>
        <v/>
      </c>
      <c r="AL77" s="5" t="str">
        <f t="shared" si="96"/>
        <v/>
      </c>
      <c r="AM77" s="6" t="str">
        <f t="shared" si="97"/>
        <v/>
      </c>
      <c r="AN77" s="612" t="str">
        <f t="shared" si="98"/>
        <v/>
      </c>
      <c r="AO77" s="613" t="str">
        <f t="shared" si="468"/>
        <v/>
      </c>
      <c r="AP77" s="624" t="str">
        <f t="shared" si="100"/>
        <v/>
      </c>
      <c r="AQ77" s="625" t="str">
        <f t="shared" si="478"/>
        <v/>
      </c>
      <c r="AS77" s="56" t="str">
        <f t="shared" si="561"/>
        <v/>
      </c>
      <c r="AT77" s="77" t="str">
        <f t="shared" si="479"/>
        <v/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 t="str">
        <f t="shared" si="524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62"/>
        <v/>
      </c>
      <c r="L78" s="327" t="str">
        <f t="shared" si="229"/>
        <v/>
      </c>
      <c r="M78" s="173" t="str">
        <f t="shared" si="471"/>
        <v/>
      </c>
      <c r="N78" s="21" t="str">
        <f t="shared" si="472"/>
        <v/>
      </c>
      <c r="O78" s="5" t="str">
        <f t="shared" si="473"/>
        <v/>
      </c>
      <c r="P78" s="10" t="str">
        <f t="shared" si="474"/>
        <v/>
      </c>
      <c r="Q78" s="624" t="str">
        <f t="shared" si="539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8"/>
        <v/>
      </c>
      <c r="X78" s="5" t="str">
        <f>IF(M78="","",R78)</f>
        <v/>
      </c>
      <c r="Y78" s="7" t="str">
        <f t="shared" si="661"/>
        <v/>
      </c>
      <c r="Z78" s="21" t="str">
        <f t="shared" si="475"/>
        <v/>
      </c>
      <c r="AA78" s="5" t="str">
        <f t="shared" si="476"/>
        <v/>
      </c>
      <c r="AB78" s="5" t="str">
        <f t="shared" si="477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8"/>
        <v/>
      </c>
      <c r="AP78" s="624" t="str">
        <f>IF(M78="","",DEGREES(ATAN2(AK78,AL78)))</f>
        <v/>
      </c>
      <c r="AQ78" s="625" t="str">
        <f t="shared" si="478"/>
        <v/>
      </c>
      <c r="AS78" s="56" t="str">
        <f t="shared" si="561"/>
        <v/>
      </c>
      <c r="AT78" s="77" t="str">
        <f t="shared" si="479"/>
        <v/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 t="str">
        <f t="shared" si="524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62"/>
        <v/>
      </c>
      <c r="L79" s="327" t="str">
        <f t="shared" si="229"/>
        <v/>
      </c>
      <c r="M79" s="173" t="str">
        <f t="shared" si="471"/>
        <v/>
      </c>
      <c r="N79" s="21" t="str">
        <f t="shared" si="472"/>
        <v/>
      </c>
      <c r="O79" s="5" t="str">
        <f t="shared" si="473"/>
        <v/>
      </c>
      <c r="P79" s="10" t="str">
        <f t="shared" si="474"/>
        <v/>
      </c>
      <c r="Q79" s="624" t="str">
        <f t="shared" si="539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63">IF(M79="","",IF(Q79-$Q$8&lt;0,360+Q79-$Q$8,Q79-$Q$8))</f>
        <v/>
      </c>
      <c r="X79" s="5" t="str">
        <f>IF(M79="","",R79)</f>
        <v/>
      </c>
      <c r="Y79" s="7" t="str">
        <f t="shared" si="661"/>
        <v/>
      </c>
      <c r="Z79" s="21" t="str">
        <f t="shared" si="475"/>
        <v/>
      </c>
      <c r="AA79" s="5" t="str">
        <f t="shared" si="476"/>
        <v/>
      </c>
      <c r="AB79" s="5" t="str">
        <f t="shared" si="477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8"/>
        <v/>
      </c>
      <c r="AP79" s="624" t="str">
        <f>IF(M79="","",DEGREES(ATAN2(AK79,AL79)))</f>
        <v/>
      </c>
      <c r="AQ79" s="625" t="str">
        <f t="shared" si="478"/>
        <v/>
      </c>
      <c r="AS79" s="56" t="str">
        <f t="shared" si="561"/>
        <v/>
      </c>
      <c r="AT79" s="77" t="str">
        <f t="shared" si="479"/>
        <v/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 t="str">
        <f t="shared" si="524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62"/>
        <v/>
      </c>
      <c r="L80" s="327" t="str">
        <f t="shared" si="229"/>
        <v/>
      </c>
      <c r="M80" s="173" t="str">
        <f t="shared" si="471"/>
        <v/>
      </c>
      <c r="N80" s="21" t="str">
        <f t="shared" si="472"/>
        <v/>
      </c>
      <c r="O80" s="5" t="str">
        <f t="shared" si="473"/>
        <v/>
      </c>
      <c r="P80" s="10" t="str">
        <f t="shared" si="474"/>
        <v/>
      </c>
      <c r="Q80" s="624" t="str">
        <f t="shared" si="539"/>
        <v/>
      </c>
      <c r="R80" s="5" t="str">
        <f t="shared" si="84"/>
        <v/>
      </c>
      <c r="S80" s="6" t="str">
        <f t="shared" si="85"/>
        <v/>
      </c>
      <c r="T80" s="4" t="str">
        <f t="shared" si="86"/>
        <v/>
      </c>
      <c r="U80" s="5" t="str">
        <f t="shared" si="87"/>
        <v/>
      </c>
      <c r="V80" s="8" t="str">
        <f t="shared" si="118"/>
        <v/>
      </c>
      <c r="W80" s="624" t="str">
        <f t="shared" si="663"/>
        <v/>
      </c>
      <c r="X80" s="5" t="str">
        <f t="shared" si="88"/>
        <v/>
      </c>
      <c r="Y80" s="7" t="str">
        <f t="shared" si="661"/>
        <v/>
      </c>
      <c r="Z80" s="21" t="str">
        <f t="shared" si="475"/>
        <v/>
      </c>
      <c r="AA80" s="5" t="str">
        <f t="shared" si="476"/>
        <v/>
      </c>
      <c r="AB80" s="5" t="str">
        <f t="shared" si="477"/>
        <v/>
      </c>
      <c r="AC80" s="8" t="str">
        <f t="shared" si="89"/>
        <v/>
      </c>
      <c r="AD80" s="9" t="str">
        <f t="shared" si="119"/>
        <v/>
      </c>
      <c r="AE80" s="5" t="str">
        <f t="shared" si="90"/>
        <v/>
      </c>
      <c r="AF80" s="10" t="str">
        <f t="shared" si="91"/>
        <v/>
      </c>
      <c r="AG80" s="622" t="str">
        <f t="shared" si="92"/>
        <v/>
      </c>
      <c r="AH80" s="623" t="str">
        <f t="shared" si="93"/>
        <v/>
      </c>
      <c r="AI80" s="624" t="str">
        <f t="shared" si="94"/>
        <v/>
      </c>
      <c r="AJ80" s="625" t="str">
        <f t="shared" si="95"/>
        <v/>
      </c>
      <c r="AK80" s="4" t="str">
        <f t="shared" si="214"/>
        <v/>
      </c>
      <c r="AL80" s="5" t="str">
        <f t="shared" si="96"/>
        <v/>
      </c>
      <c r="AM80" s="6" t="str">
        <f t="shared" si="97"/>
        <v/>
      </c>
      <c r="AN80" s="612" t="str">
        <f t="shared" si="98"/>
        <v/>
      </c>
      <c r="AO80" s="613" t="str">
        <f t="shared" si="468"/>
        <v/>
      </c>
      <c r="AP80" s="624" t="str">
        <f t="shared" si="100"/>
        <v/>
      </c>
      <c r="AQ80" s="625" t="str">
        <f t="shared" si="478"/>
        <v/>
      </c>
      <c r="AS80" s="56" t="str">
        <f t="shared" si="561"/>
        <v/>
      </c>
      <c r="AT80" s="77" t="str">
        <f t="shared" si="479"/>
        <v/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 t="str">
        <f t="shared" si="524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1" t="str" cm="1">
        <f t="array" ref="II80">IFERROR(IF(IH80&lt;1,IH80+LARGE((IF($M$9:$M$150="",0,$M$9:$M$150)-MOD(IF($M$9:$M$150="",0,$M$9:$M$150),1)),1),IH80),"")</f>
        <v/>
      </c>
      <c r="IJ80" s="842" t="str">
        <f t="shared" si="525"/>
        <v/>
      </c>
      <c r="IK80" s="842" t="str">
        <f t="shared" si="526"/>
        <v/>
      </c>
      <c r="IL80" s="791" t="str">
        <f t="shared" si="527"/>
        <v/>
      </c>
      <c r="IM80" s="833"/>
      <c r="IN80" s="5" t="str">
        <f t="shared" si="230"/>
        <v/>
      </c>
      <c r="IO80" s="802" t="str">
        <f t="shared" ref="IO80:IO104" si="665">IF(ISNUMBER($II80),IN80/12*$AS$3*60,"")</f>
        <v/>
      </c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6" t="str">
        <f t="shared" si="537"/>
        <v/>
      </c>
    </row>
    <row r="81" spans="1:259" ht="15" customHeight="1" x14ac:dyDescent="0.25">
      <c r="A81" s="84">
        <f t="shared" si="538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62"/>
        <v/>
      </c>
      <c r="L81" s="327" t="str">
        <f t="shared" ref="L81:L144" si="666">IF(ISNUMBER($II81),$IO81,"")</f>
        <v/>
      </c>
      <c r="M81" s="173" t="str">
        <f t="shared" si="471"/>
        <v/>
      </c>
      <c r="N81" s="21" t="str">
        <f t="shared" si="472"/>
        <v/>
      </c>
      <c r="O81" s="5" t="str">
        <f t="shared" si="473"/>
        <v/>
      </c>
      <c r="P81" s="10" t="str">
        <f t="shared" si="474"/>
        <v/>
      </c>
      <c r="Q81" s="624" t="str">
        <f t="shared" si="539"/>
        <v/>
      </c>
      <c r="R81" s="5" t="str">
        <f t="shared" si="84"/>
        <v/>
      </c>
      <c r="S81" s="6" t="str">
        <f t="shared" si="85"/>
        <v/>
      </c>
      <c r="T81" s="4" t="str">
        <f t="shared" si="86"/>
        <v/>
      </c>
      <c r="U81" s="5" t="str">
        <f t="shared" si="87"/>
        <v/>
      </c>
      <c r="V81" s="8" t="str">
        <f t="shared" si="118"/>
        <v/>
      </c>
      <c r="W81" s="624" t="str">
        <f t="shared" si="663"/>
        <v/>
      </c>
      <c r="X81" s="5" t="str">
        <f t="shared" si="88"/>
        <v/>
      </c>
      <c r="Y81" s="7" t="str">
        <f t="shared" si="661"/>
        <v/>
      </c>
      <c r="Z81" s="21" t="str">
        <f t="shared" si="475"/>
        <v/>
      </c>
      <c r="AA81" s="5" t="str">
        <f t="shared" si="476"/>
        <v/>
      </c>
      <c r="AB81" s="5" t="str">
        <f t="shared" si="477"/>
        <v/>
      </c>
      <c r="AC81" s="8" t="str">
        <f t="shared" si="89"/>
        <v/>
      </c>
      <c r="AD81" s="9" t="str">
        <f t="shared" si="119"/>
        <v/>
      </c>
      <c r="AE81" s="5" t="str">
        <f t="shared" si="90"/>
        <v/>
      </c>
      <c r="AF81" s="10" t="str">
        <f t="shared" si="91"/>
        <v/>
      </c>
      <c r="AG81" s="622" t="str">
        <f t="shared" si="92"/>
        <v/>
      </c>
      <c r="AH81" s="623" t="str">
        <f t="shared" si="93"/>
        <v/>
      </c>
      <c r="AI81" s="624" t="str">
        <f t="shared" si="94"/>
        <v/>
      </c>
      <c r="AJ81" s="625" t="str">
        <f t="shared" si="95"/>
        <v/>
      </c>
      <c r="AK81" s="4" t="str">
        <f t="shared" si="214"/>
        <v/>
      </c>
      <c r="AL81" s="5" t="str">
        <f t="shared" si="96"/>
        <v/>
      </c>
      <c r="AM81" s="6" t="str">
        <f t="shared" si="97"/>
        <v/>
      </c>
      <c r="AN81" s="612" t="str">
        <f t="shared" si="98"/>
        <v/>
      </c>
      <c r="AO81" s="613" t="str">
        <f t="shared" si="468"/>
        <v/>
      </c>
      <c r="AP81" s="624" t="str">
        <f t="shared" si="100"/>
        <v/>
      </c>
      <c r="AQ81" s="625" t="str">
        <f t="shared" si="478"/>
        <v/>
      </c>
      <c r="AS81" s="56" t="str">
        <f t="shared" si="561"/>
        <v/>
      </c>
      <c r="AT81" s="77" t="str">
        <f t="shared" si="479"/>
        <v/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 t="str">
        <f t="shared" si="524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1" t="str" cm="1">
        <f t="array" ref="II81">IFERROR(IF(IH81&lt;1,IH81+LARGE((IF($M$9:$M$150="",0,$M$9:$M$150)-MOD(IF($M$9:$M$150="",0,$M$9:$M$150),1)),1),IH81),"")</f>
        <v/>
      </c>
      <c r="IJ81" s="842" t="str">
        <f t="shared" si="525"/>
        <v/>
      </c>
      <c r="IK81" s="842" t="str">
        <f t="shared" si="526"/>
        <v/>
      </c>
      <c r="IL81" s="791" t="str">
        <f t="shared" si="527"/>
        <v/>
      </c>
      <c r="IM81" s="833"/>
      <c r="IN81" s="5" t="str">
        <f t="shared" ref="IN81:IN144" si="667">IF(ISNUMBER($II81),(($IO81*12)/60)/$AS$3,"")</f>
        <v/>
      </c>
      <c r="IO81" s="802" t="str">
        <f t="shared" si="665"/>
        <v/>
      </c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6" t="str">
        <f t="shared" si="537"/>
        <v/>
      </c>
    </row>
    <row r="82" spans="1:259" ht="15" customHeight="1" x14ac:dyDescent="0.25">
      <c r="A82" s="84">
        <f t="shared" si="538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62"/>
        <v/>
      </c>
      <c r="L82" s="327" t="str">
        <f t="shared" si="666"/>
        <v/>
      </c>
      <c r="M82" s="173" t="str">
        <f t="shared" si="471"/>
        <v/>
      </c>
      <c r="N82" s="21" t="str">
        <f t="shared" si="472"/>
        <v/>
      </c>
      <c r="O82" s="5" t="str">
        <f t="shared" si="473"/>
        <v/>
      </c>
      <c r="P82" s="10" t="str">
        <f t="shared" si="474"/>
        <v/>
      </c>
      <c r="Q82" s="624" t="str">
        <f t="shared" si="539"/>
        <v/>
      </c>
      <c r="R82" s="5" t="str">
        <f t="shared" si="84"/>
        <v/>
      </c>
      <c r="S82" s="6" t="str">
        <f t="shared" si="85"/>
        <v/>
      </c>
      <c r="T82" s="4" t="str">
        <f t="shared" si="86"/>
        <v/>
      </c>
      <c r="U82" s="5" t="str">
        <f t="shared" si="87"/>
        <v/>
      </c>
      <c r="V82" s="8" t="str">
        <f t="shared" si="118"/>
        <v/>
      </c>
      <c r="W82" s="624" t="str">
        <f t="shared" si="663"/>
        <v/>
      </c>
      <c r="X82" s="5" t="str">
        <f t="shared" si="88"/>
        <v/>
      </c>
      <c r="Y82" s="7" t="str">
        <f t="shared" si="661"/>
        <v/>
      </c>
      <c r="Z82" s="21" t="str">
        <f t="shared" si="475"/>
        <v/>
      </c>
      <c r="AA82" s="5" t="str">
        <f t="shared" si="476"/>
        <v/>
      </c>
      <c r="AB82" s="5" t="str">
        <f t="shared" si="477"/>
        <v/>
      </c>
      <c r="AC82" s="8" t="str">
        <f t="shared" si="89"/>
        <v/>
      </c>
      <c r="AD82" s="9" t="str">
        <f t="shared" si="119"/>
        <v/>
      </c>
      <c r="AE82" s="5" t="str">
        <f t="shared" si="90"/>
        <v/>
      </c>
      <c r="AF82" s="10" t="str">
        <f t="shared" si="91"/>
        <v/>
      </c>
      <c r="AG82" s="622" t="str">
        <f t="shared" si="92"/>
        <v/>
      </c>
      <c r="AH82" s="623" t="str">
        <f t="shared" si="93"/>
        <v/>
      </c>
      <c r="AI82" s="624" t="str">
        <f t="shared" si="94"/>
        <v/>
      </c>
      <c r="AJ82" s="625" t="str">
        <f t="shared" si="95"/>
        <v/>
      </c>
      <c r="AK82" s="4" t="str">
        <f t="shared" si="214"/>
        <v/>
      </c>
      <c r="AL82" s="5" t="str">
        <f t="shared" si="96"/>
        <v/>
      </c>
      <c r="AM82" s="6" t="str">
        <f t="shared" si="97"/>
        <v/>
      </c>
      <c r="AN82" s="612" t="str">
        <f t="shared" si="98"/>
        <v/>
      </c>
      <c r="AO82" s="613" t="str">
        <f t="shared" si="468"/>
        <v/>
      </c>
      <c r="AP82" s="624" t="str">
        <f t="shared" si="100"/>
        <v/>
      </c>
      <c r="AQ82" s="625" t="str">
        <f t="shared" si="478"/>
        <v/>
      </c>
      <c r="AS82" s="56" t="str">
        <f t="shared" si="561"/>
        <v/>
      </c>
      <c r="AT82" s="77" t="str">
        <f t="shared" si="479"/>
        <v/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 t="str">
        <f t="shared" si="524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1" t="str" cm="1">
        <f t="array" ref="II82">IFERROR(IF(IH82&lt;1,IH82+LARGE((IF($M$9:$M$150="",0,$M$9:$M$150)-MOD(IF($M$9:$M$150="",0,$M$9:$M$150),1)),1),IH82),"")</f>
        <v/>
      </c>
      <c r="IJ82" s="842" t="str">
        <f t="shared" si="525"/>
        <v/>
      </c>
      <c r="IK82" s="842" t="str">
        <f t="shared" si="526"/>
        <v/>
      </c>
      <c r="IL82" s="791" t="str">
        <f t="shared" si="527"/>
        <v/>
      </c>
      <c r="IM82" s="833"/>
      <c r="IN82" s="5" t="str">
        <f t="shared" si="667"/>
        <v/>
      </c>
      <c r="IO82" s="802" t="str">
        <f t="shared" si="665"/>
        <v/>
      </c>
      <c r="IP82" s="9" t="str">
        <f t="shared" si="528"/>
        <v/>
      </c>
      <c r="IQ82" s="5" t="str">
        <f t="shared" si="529"/>
        <v/>
      </c>
      <c r="IR82" s="5" t="str">
        <f t="shared" si="530"/>
        <v/>
      </c>
      <c r="IS82" s="5" t="str">
        <f t="shared" si="531"/>
        <v/>
      </c>
      <c r="IT82" s="791" t="str">
        <f t="shared" si="532"/>
        <v/>
      </c>
      <c r="IU82" s="9" t="str">
        <f t="shared" si="533"/>
        <v/>
      </c>
      <c r="IV82" s="5" t="str">
        <f t="shared" si="534"/>
        <v/>
      </c>
      <c r="IW82" s="5" t="str">
        <f t="shared" si="535"/>
        <v/>
      </c>
      <c r="IX82" s="5" t="str">
        <f t="shared" si="536"/>
        <v/>
      </c>
      <c r="IY82" s="836" t="str">
        <f t="shared" si="537"/>
        <v/>
      </c>
    </row>
    <row r="83" spans="1:259" ht="15" customHeight="1" x14ac:dyDescent="0.25">
      <c r="A83" s="84">
        <f t="shared" si="538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62"/>
        <v/>
      </c>
      <c r="L83" s="327" t="str">
        <f t="shared" si="666"/>
        <v/>
      </c>
      <c r="M83" s="173" t="str">
        <f t="shared" si="471"/>
        <v/>
      </c>
      <c r="N83" s="21" t="str">
        <f t="shared" si="472"/>
        <v/>
      </c>
      <c r="O83" s="5" t="str">
        <f t="shared" si="473"/>
        <v/>
      </c>
      <c r="P83" s="10" t="str">
        <f t="shared" si="474"/>
        <v/>
      </c>
      <c r="Q83" s="624" t="str">
        <f t="shared" si="539"/>
        <v/>
      </c>
      <c r="R83" s="5" t="str">
        <f t="shared" si="84"/>
        <v/>
      </c>
      <c r="S83" s="6" t="str">
        <f t="shared" si="85"/>
        <v/>
      </c>
      <c r="T83" s="4" t="str">
        <f t="shared" si="86"/>
        <v/>
      </c>
      <c r="U83" s="5" t="str">
        <f t="shared" si="87"/>
        <v/>
      </c>
      <c r="V83" s="8" t="str">
        <f t="shared" si="118"/>
        <v/>
      </c>
      <c r="W83" s="624" t="str">
        <f t="shared" si="663"/>
        <v/>
      </c>
      <c r="X83" s="5" t="str">
        <f t="shared" si="88"/>
        <v/>
      </c>
      <c r="Y83" s="7" t="str">
        <f t="shared" si="661"/>
        <v/>
      </c>
      <c r="Z83" s="21" t="str">
        <f t="shared" si="475"/>
        <v/>
      </c>
      <c r="AA83" s="5" t="str">
        <f t="shared" si="476"/>
        <v/>
      </c>
      <c r="AB83" s="5" t="str">
        <f t="shared" si="477"/>
        <v/>
      </c>
      <c r="AC83" s="8" t="str">
        <f t="shared" si="89"/>
        <v/>
      </c>
      <c r="AD83" s="9" t="str">
        <f t="shared" si="119"/>
        <v/>
      </c>
      <c r="AE83" s="5" t="str">
        <f t="shared" si="90"/>
        <v/>
      </c>
      <c r="AF83" s="10" t="str">
        <f t="shared" si="91"/>
        <v/>
      </c>
      <c r="AG83" s="622" t="str">
        <f t="shared" si="92"/>
        <v/>
      </c>
      <c r="AH83" s="623" t="str">
        <f t="shared" si="93"/>
        <v/>
      </c>
      <c r="AI83" s="624" t="str">
        <f t="shared" si="94"/>
        <v/>
      </c>
      <c r="AJ83" s="625" t="str">
        <f t="shared" si="95"/>
        <v/>
      </c>
      <c r="AK83" s="4" t="str">
        <f t="shared" si="214"/>
        <v/>
      </c>
      <c r="AL83" s="5" t="str">
        <f t="shared" si="96"/>
        <v/>
      </c>
      <c r="AM83" s="6" t="str">
        <f t="shared" si="97"/>
        <v/>
      </c>
      <c r="AN83" s="612" t="str">
        <f t="shared" si="98"/>
        <v/>
      </c>
      <c r="AO83" s="613" t="str">
        <f t="shared" si="468"/>
        <v/>
      </c>
      <c r="AP83" s="624" t="str">
        <f t="shared" si="100"/>
        <v/>
      </c>
      <c r="AQ83" s="625" t="str">
        <f t="shared" si="478"/>
        <v/>
      </c>
      <c r="AS83" s="56" t="str">
        <f t="shared" si="561"/>
        <v/>
      </c>
      <c r="AT83" s="77" t="str">
        <f t="shared" si="479"/>
        <v/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 t="str">
        <f t="shared" si="524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1" t="str" cm="1">
        <f t="array" ref="II83">IFERROR(IF(IH83&lt;1,IH83+LARGE((IF($M$9:$M$150="",0,$M$9:$M$150)-MOD(IF($M$9:$M$150="",0,$M$9:$M$150),1)),1),IH83),"")</f>
        <v/>
      </c>
      <c r="IJ83" s="842" t="str">
        <f t="shared" si="525"/>
        <v/>
      </c>
      <c r="IK83" s="842" t="str">
        <f t="shared" si="526"/>
        <v/>
      </c>
      <c r="IL83" s="791" t="str">
        <f t="shared" si="527"/>
        <v/>
      </c>
      <c r="IM83" s="833"/>
      <c r="IN83" s="5" t="str">
        <f t="shared" si="667"/>
        <v/>
      </c>
      <c r="IO83" s="802" t="str">
        <f t="shared" si="665"/>
        <v/>
      </c>
      <c r="IP83" s="9" t="str">
        <f t="shared" si="528"/>
        <v/>
      </c>
      <c r="IQ83" s="5" t="str">
        <f t="shared" si="529"/>
        <v/>
      </c>
      <c r="IR83" s="5" t="str">
        <f t="shared" si="530"/>
        <v/>
      </c>
      <c r="IS83" s="5" t="str">
        <f t="shared" si="531"/>
        <v/>
      </c>
      <c r="IT83" s="791" t="str">
        <f t="shared" si="532"/>
        <v/>
      </c>
      <c r="IU83" s="9" t="str">
        <f t="shared" si="533"/>
        <v/>
      </c>
      <c r="IV83" s="5" t="str">
        <f t="shared" si="534"/>
        <v/>
      </c>
      <c r="IW83" s="5" t="str">
        <f t="shared" si="535"/>
        <v/>
      </c>
      <c r="IX83" s="5" t="str">
        <f t="shared" si="536"/>
        <v/>
      </c>
      <c r="IY83" s="836" t="str">
        <f t="shared" si="537"/>
        <v/>
      </c>
    </row>
    <row r="84" spans="1:259" ht="15" customHeight="1" x14ac:dyDescent="0.25">
      <c r="A84" s="84">
        <f t="shared" si="538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62"/>
        <v/>
      </c>
      <c r="L84" s="327" t="str">
        <f t="shared" si="666"/>
        <v/>
      </c>
      <c r="M84" s="173" t="str">
        <f t="shared" si="471"/>
        <v/>
      </c>
      <c r="N84" s="21" t="str">
        <f t="shared" si="472"/>
        <v/>
      </c>
      <c r="O84" s="5" t="str">
        <f t="shared" si="473"/>
        <v/>
      </c>
      <c r="P84" s="10" t="str">
        <f t="shared" si="474"/>
        <v/>
      </c>
      <c r="Q84" s="624" t="str">
        <f t="shared" si="539"/>
        <v/>
      </c>
      <c r="R84" s="5" t="str">
        <f t="shared" si="84"/>
        <v/>
      </c>
      <c r="S84" s="6" t="str">
        <f t="shared" si="85"/>
        <v/>
      </c>
      <c r="T84" s="4" t="str">
        <f t="shared" si="86"/>
        <v/>
      </c>
      <c r="U84" s="5" t="str">
        <f t="shared" si="87"/>
        <v/>
      </c>
      <c r="V84" s="8" t="str">
        <f t="shared" si="118"/>
        <v/>
      </c>
      <c r="W84" s="624" t="str">
        <f t="shared" si="663"/>
        <v/>
      </c>
      <c r="X84" s="5" t="str">
        <f t="shared" si="88"/>
        <v/>
      </c>
      <c r="Y84" s="7" t="str">
        <f t="shared" si="661"/>
        <v/>
      </c>
      <c r="Z84" s="21" t="str">
        <f t="shared" si="475"/>
        <v/>
      </c>
      <c r="AA84" s="5" t="str">
        <f t="shared" si="476"/>
        <v/>
      </c>
      <c r="AB84" s="5" t="str">
        <f t="shared" si="477"/>
        <v/>
      </c>
      <c r="AC84" s="8" t="str">
        <f t="shared" si="89"/>
        <v/>
      </c>
      <c r="AD84" s="9" t="str">
        <f t="shared" si="119"/>
        <v/>
      </c>
      <c r="AE84" s="5" t="str">
        <f t="shared" si="90"/>
        <v/>
      </c>
      <c r="AF84" s="10" t="str">
        <f t="shared" si="91"/>
        <v/>
      </c>
      <c r="AG84" s="622" t="str">
        <f t="shared" si="92"/>
        <v/>
      </c>
      <c r="AH84" s="623" t="str">
        <f t="shared" si="93"/>
        <v/>
      </c>
      <c r="AI84" s="624" t="str">
        <f t="shared" si="94"/>
        <v/>
      </c>
      <c r="AJ84" s="625" t="str">
        <f t="shared" si="95"/>
        <v/>
      </c>
      <c r="AK84" s="4" t="str">
        <f t="shared" si="214"/>
        <v/>
      </c>
      <c r="AL84" s="5" t="str">
        <f t="shared" si="96"/>
        <v/>
      </c>
      <c r="AM84" s="6" t="str">
        <f t="shared" si="97"/>
        <v/>
      </c>
      <c r="AN84" s="612" t="str">
        <f t="shared" si="98"/>
        <v/>
      </c>
      <c r="AO84" s="613" t="str">
        <f t="shared" si="468"/>
        <v/>
      </c>
      <c r="AP84" s="624" t="str">
        <f t="shared" si="100"/>
        <v/>
      </c>
      <c r="AQ84" s="625" t="str">
        <f t="shared" si="478"/>
        <v/>
      </c>
      <c r="AS84" s="56" t="str">
        <f t="shared" si="561"/>
        <v/>
      </c>
      <c r="AT84" s="77" t="str">
        <f t="shared" si="479"/>
        <v/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 t="str">
        <f t="shared" si="524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1" t="str" cm="1">
        <f t="array" ref="II84">IFERROR(IF(IH84&lt;1,IH84+LARGE((IF($M$9:$M$150="",0,$M$9:$M$150)-MOD(IF($M$9:$M$150="",0,$M$9:$M$150),1)),1),IH84),"")</f>
        <v/>
      </c>
      <c r="IJ84" s="842" t="str">
        <f t="shared" si="525"/>
        <v/>
      </c>
      <c r="IK84" s="842" t="str">
        <f t="shared" si="526"/>
        <v/>
      </c>
      <c r="IL84" s="791" t="str">
        <f t="shared" si="527"/>
        <v/>
      </c>
      <c r="IM84" s="833"/>
      <c r="IN84" s="5" t="str">
        <f t="shared" si="667"/>
        <v/>
      </c>
      <c r="IO84" s="802" t="str">
        <f t="shared" si="665"/>
        <v/>
      </c>
      <c r="IP84" s="9" t="str">
        <f t="shared" si="528"/>
        <v/>
      </c>
      <c r="IQ84" s="5" t="str">
        <f t="shared" si="529"/>
        <v/>
      </c>
      <c r="IR84" s="5" t="str">
        <f t="shared" si="530"/>
        <v/>
      </c>
      <c r="IS84" s="5" t="str">
        <f t="shared" si="531"/>
        <v/>
      </c>
      <c r="IT84" s="791" t="str">
        <f t="shared" si="532"/>
        <v/>
      </c>
      <c r="IU84" s="9" t="str">
        <f t="shared" si="533"/>
        <v/>
      </c>
      <c r="IV84" s="5" t="str">
        <f t="shared" si="534"/>
        <v/>
      </c>
      <c r="IW84" s="5" t="str">
        <f t="shared" si="535"/>
        <v/>
      </c>
      <c r="IX84" s="5" t="str">
        <f t="shared" si="536"/>
        <v/>
      </c>
      <c r="IY84" s="836" t="str">
        <f t="shared" si="537"/>
        <v/>
      </c>
    </row>
    <row r="85" spans="1:259" ht="15" customHeight="1" x14ac:dyDescent="0.25">
      <c r="A85" s="84">
        <f t="shared" si="538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62"/>
        <v/>
      </c>
      <c r="L85" s="327" t="str">
        <f t="shared" si="666"/>
        <v/>
      </c>
      <c r="M85" s="173" t="str">
        <f t="shared" si="471"/>
        <v/>
      </c>
      <c r="N85" s="21" t="str">
        <f t="shared" si="472"/>
        <v/>
      </c>
      <c r="O85" s="5" t="str">
        <f t="shared" si="473"/>
        <v/>
      </c>
      <c r="P85" s="10" t="str">
        <f t="shared" si="474"/>
        <v/>
      </c>
      <c r="Q85" s="624" t="str">
        <f t="shared" si="539"/>
        <v/>
      </c>
      <c r="R85" s="5" t="str">
        <f t="shared" si="84"/>
        <v/>
      </c>
      <c r="S85" s="6" t="str">
        <f t="shared" si="85"/>
        <v/>
      </c>
      <c r="T85" s="4" t="str">
        <f t="shared" si="86"/>
        <v/>
      </c>
      <c r="U85" s="5" t="str">
        <f t="shared" si="87"/>
        <v/>
      </c>
      <c r="V85" s="8" t="str">
        <f t="shared" si="118"/>
        <v/>
      </c>
      <c r="W85" s="624" t="str">
        <f t="shared" si="663"/>
        <v/>
      </c>
      <c r="X85" s="5" t="str">
        <f t="shared" si="88"/>
        <v/>
      </c>
      <c r="Y85" s="7" t="str">
        <f t="shared" si="661"/>
        <v/>
      </c>
      <c r="Z85" s="21" t="str">
        <f t="shared" si="475"/>
        <v/>
      </c>
      <c r="AA85" s="5" t="str">
        <f t="shared" si="476"/>
        <v/>
      </c>
      <c r="AB85" s="5" t="str">
        <f t="shared" si="477"/>
        <v/>
      </c>
      <c r="AC85" s="8" t="str">
        <f t="shared" si="89"/>
        <v/>
      </c>
      <c r="AD85" s="9" t="str">
        <f t="shared" si="119"/>
        <v/>
      </c>
      <c r="AE85" s="5" t="str">
        <f t="shared" si="90"/>
        <v/>
      </c>
      <c r="AF85" s="10" t="str">
        <f t="shared" si="91"/>
        <v/>
      </c>
      <c r="AG85" s="622" t="str">
        <f t="shared" si="92"/>
        <v/>
      </c>
      <c r="AH85" s="623" t="str">
        <f t="shared" si="93"/>
        <v/>
      </c>
      <c r="AI85" s="624" t="str">
        <f t="shared" si="94"/>
        <v/>
      </c>
      <c r="AJ85" s="625" t="str">
        <f t="shared" si="95"/>
        <v/>
      </c>
      <c r="AK85" s="4" t="str">
        <f t="shared" si="214"/>
        <v/>
      </c>
      <c r="AL85" s="5" t="str">
        <f t="shared" si="96"/>
        <v/>
      </c>
      <c r="AM85" s="6" t="str">
        <f t="shared" si="97"/>
        <v/>
      </c>
      <c r="AN85" s="612" t="str">
        <f t="shared" si="98"/>
        <v/>
      </c>
      <c r="AO85" s="613" t="str">
        <f t="shared" si="468"/>
        <v/>
      </c>
      <c r="AP85" s="624" t="str">
        <f t="shared" si="100"/>
        <v/>
      </c>
      <c r="AQ85" s="625" t="str">
        <f t="shared" si="478"/>
        <v/>
      </c>
      <c r="AS85" s="56" t="str">
        <f t="shared" si="561"/>
        <v/>
      </c>
      <c r="AT85" s="77" t="str">
        <f t="shared" si="479"/>
        <v/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 t="str">
        <f t="shared" si="524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1" t="str" cm="1">
        <f t="array" ref="II85">IFERROR(IF(IH85&lt;1,IH85+LARGE((IF($M$9:$M$150="",0,$M$9:$M$150)-MOD(IF($M$9:$M$150="",0,$M$9:$M$150),1)),1),IH85),"")</f>
        <v/>
      </c>
      <c r="IJ85" s="842" t="str">
        <f t="shared" si="525"/>
        <v/>
      </c>
      <c r="IK85" s="842" t="str">
        <f t="shared" si="526"/>
        <v/>
      </c>
      <c r="IL85" s="791" t="str">
        <f t="shared" si="527"/>
        <v/>
      </c>
      <c r="IM85" s="833"/>
      <c r="IN85" s="5" t="str">
        <f t="shared" si="667"/>
        <v/>
      </c>
      <c r="IO85" s="802" t="str">
        <f t="shared" si="665"/>
        <v/>
      </c>
      <c r="IP85" s="9" t="str">
        <f t="shared" si="528"/>
        <v/>
      </c>
      <c r="IQ85" s="5" t="str">
        <f t="shared" si="529"/>
        <v/>
      </c>
      <c r="IR85" s="5" t="str">
        <f t="shared" si="530"/>
        <v/>
      </c>
      <c r="IS85" s="5" t="str">
        <f t="shared" si="531"/>
        <v/>
      </c>
      <c r="IT85" s="791" t="str">
        <f t="shared" si="532"/>
        <v/>
      </c>
      <c r="IU85" s="9" t="str">
        <f t="shared" si="533"/>
        <v/>
      </c>
      <c r="IV85" s="5" t="str">
        <f t="shared" si="534"/>
        <v/>
      </c>
      <c r="IW85" s="5" t="str">
        <f t="shared" si="535"/>
        <v/>
      </c>
      <c r="IX85" s="5" t="str">
        <f t="shared" si="536"/>
        <v/>
      </c>
      <c r="IY85" s="836" t="str">
        <f t="shared" si="537"/>
        <v/>
      </c>
    </row>
    <row r="86" spans="1:259" ht="15" customHeight="1" x14ac:dyDescent="0.25">
      <c r="A86" s="84">
        <f t="shared" si="538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62"/>
        <v/>
      </c>
      <c r="L86" s="327" t="str">
        <f t="shared" si="666"/>
        <v/>
      </c>
      <c r="M86" s="173" t="str">
        <f t="shared" si="471"/>
        <v/>
      </c>
      <c r="N86" s="21" t="str">
        <f t="shared" si="472"/>
        <v/>
      </c>
      <c r="O86" s="5" t="str">
        <f t="shared" si="473"/>
        <v/>
      </c>
      <c r="P86" s="10" t="str">
        <f t="shared" si="474"/>
        <v/>
      </c>
      <c r="Q86" s="624" t="str">
        <f t="shared" si="539"/>
        <v/>
      </c>
      <c r="R86" s="5" t="str">
        <f t="shared" si="84"/>
        <v/>
      </c>
      <c r="S86" s="6" t="str">
        <f t="shared" si="85"/>
        <v/>
      </c>
      <c r="T86" s="4" t="str">
        <f t="shared" si="86"/>
        <v/>
      </c>
      <c r="U86" s="5" t="str">
        <f t="shared" si="87"/>
        <v/>
      </c>
      <c r="V86" s="8" t="str">
        <f t="shared" si="118"/>
        <v/>
      </c>
      <c r="W86" s="624" t="str">
        <f t="shared" si="663"/>
        <v/>
      </c>
      <c r="X86" s="5" t="str">
        <f t="shared" si="88"/>
        <v/>
      </c>
      <c r="Y86" s="7" t="str">
        <f t="shared" si="661"/>
        <v/>
      </c>
      <c r="Z86" s="21" t="str">
        <f t="shared" si="475"/>
        <v/>
      </c>
      <c r="AA86" s="5" t="str">
        <f t="shared" si="476"/>
        <v/>
      </c>
      <c r="AB86" s="5" t="str">
        <f t="shared" si="477"/>
        <v/>
      </c>
      <c r="AC86" s="8" t="str">
        <f t="shared" si="89"/>
        <v/>
      </c>
      <c r="AD86" s="9" t="str">
        <f t="shared" si="119"/>
        <v/>
      </c>
      <c r="AE86" s="5" t="str">
        <f t="shared" si="90"/>
        <v/>
      </c>
      <c r="AF86" s="10" t="str">
        <f t="shared" si="91"/>
        <v/>
      </c>
      <c r="AG86" s="622" t="str">
        <f t="shared" si="92"/>
        <v/>
      </c>
      <c r="AH86" s="623" t="str">
        <f t="shared" si="93"/>
        <v/>
      </c>
      <c r="AI86" s="624" t="str">
        <f t="shared" si="94"/>
        <v/>
      </c>
      <c r="AJ86" s="625" t="str">
        <f t="shared" si="95"/>
        <v/>
      </c>
      <c r="AK86" s="4" t="str">
        <f t="shared" si="214"/>
        <v/>
      </c>
      <c r="AL86" s="5" t="str">
        <f t="shared" si="96"/>
        <v/>
      </c>
      <c r="AM86" s="6" t="str">
        <f t="shared" si="97"/>
        <v/>
      </c>
      <c r="AN86" s="612" t="str">
        <f t="shared" si="98"/>
        <v/>
      </c>
      <c r="AO86" s="613" t="str">
        <f t="shared" si="468"/>
        <v/>
      </c>
      <c r="AP86" s="624" t="str">
        <f t="shared" si="100"/>
        <v/>
      </c>
      <c r="AQ86" s="625" t="str">
        <f t="shared" si="478"/>
        <v/>
      </c>
      <c r="AS86" s="56" t="str">
        <f t="shared" si="561"/>
        <v/>
      </c>
      <c r="AT86" s="77" t="str">
        <f t="shared" si="479"/>
        <v/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 t="str">
        <f t="shared" si="524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1" t="str" cm="1">
        <f t="array" ref="II86">IFERROR(IF(IH86&lt;1,IH86+LARGE((IF($M$9:$M$150="",0,$M$9:$M$150)-MOD(IF($M$9:$M$150="",0,$M$9:$M$150),1)),1),IH86),"")</f>
        <v/>
      </c>
      <c r="IJ86" s="842" t="str">
        <f t="shared" si="525"/>
        <v/>
      </c>
      <c r="IK86" s="842" t="str">
        <f t="shared" si="526"/>
        <v/>
      </c>
      <c r="IL86" s="791" t="str">
        <f t="shared" si="527"/>
        <v/>
      </c>
      <c r="IM86" s="833"/>
      <c r="IN86" s="5" t="str">
        <f t="shared" si="667"/>
        <v/>
      </c>
      <c r="IO86" s="802" t="str">
        <f t="shared" si="665"/>
        <v/>
      </c>
      <c r="IP86" s="9" t="str">
        <f t="shared" si="528"/>
        <v/>
      </c>
      <c r="IQ86" s="5" t="str">
        <f t="shared" si="529"/>
        <v/>
      </c>
      <c r="IR86" s="5" t="str">
        <f t="shared" si="530"/>
        <v/>
      </c>
      <c r="IS86" s="5" t="str">
        <f t="shared" si="531"/>
        <v/>
      </c>
      <c r="IT86" s="791" t="str">
        <f t="shared" si="532"/>
        <v/>
      </c>
      <c r="IU86" s="9" t="str">
        <f t="shared" si="533"/>
        <v/>
      </c>
      <c r="IV86" s="5" t="str">
        <f t="shared" si="534"/>
        <v/>
      </c>
      <c r="IW86" s="5" t="str">
        <f t="shared" si="535"/>
        <v/>
      </c>
      <c r="IX86" s="5" t="str">
        <f t="shared" si="536"/>
        <v/>
      </c>
      <c r="IY86" s="836" t="str">
        <f t="shared" si="537"/>
        <v/>
      </c>
    </row>
    <row r="87" spans="1:259" ht="15" customHeight="1" x14ac:dyDescent="0.25">
      <c r="A87" s="84">
        <f t="shared" si="538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62"/>
        <v/>
      </c>
      <c r="L87" s="327" t="str">
        <f t="shared" si="666"/>
        <v/>
      </c>
      <c r="M87" s="173" t="str">
        <f t="shared" si="471"/>
        <v/>
      </c>
      <c r="N87" s="21" t="str">
        <f t="shared" si="472"/>
        <v/>
      </c>
      <c r="O87" s="5" t="str">
        <f t="shared" si="473"/>
        <v/>
      </c>
      <c r="P87" s="10" t="str">
        <f t="shared" si="474"/>
        <v/>
      </c>
      <c r="Q87" s="624" t="str">
        <f t="shared" si="539"/>
        <v/>
      </c>
      <c r="R87" s="5" t="str">
        <f t="shared" si="84"/>
        <v/>
      </c>
      <c r="S87" s="6" t="str">
        <f t="shared" si="85"/>
        <v/>
      </c>
      <c r="T87" s="4" t="str">
        <f t="shared" si="86"/>
        <v/>
      </c>
      <c r="U87" s="5" t="str">
        <f t="shared" si="87"/>
        <v/>
      </c>
      <c r="V87" s="8" t="str">
        <f t="shared" si="118"/>
        <v/>
      </c>
      <c r="W87" s="624" t="str">
        <f t="shared" si="663"/>
        <v/>
      </c>
      <c r="X87" s="5" t="str">
        <f t="shared" si="88"/>
        <v/>
      </c>
      <c r="Y87" s="7" t="str">
        <f t="shared" si="661"/>
        <v/>
      </c>
      <c r="Z87" s="21" t="str">
        <f t="shared" si="475"/>
        <v/>
      </c>
      <c r="AA87" s="5" t="str">
        <f t="shared" si="476"/>
        <v/>
      </c>
      <c r="AB87" s="5" t="str">
        <f t="shared" si="477"/>
        <v/>
      </c>
      <c r="AC87" s="8" t="str">
        <f t="shared" si="89"/>
        <v/>
      </c>
      <c r="AD87" s="9" t="str">
        <f t="shared" si="119"/>
        <v/>
      </c>
      <c r="AE87" s="5" t="str">
        <f t="shared" si="90"/>
        <v/>
      </c>
      <c r="AF87" s="10" t="str">
        <f t="shared" si="91"/>
        <v/>
      </c>
      <c r="AG87" s="622" t="str">
        <f t="shared" si="92"/>
        <v/>
      </c>
      <c r="AH87" s="623" t="str">
        <f t="shared" si="93"/>
        <v/>
      </c>
      <c r="AI87" s="624" t="str">
        <f t="shared" si="94"/>
        <v/>
      </c>
      <c r="AJ87" s="625" t="str">
        <f t="shared" si="95"/>
        <v/>
      </c>
      <c r="AK87" s="4" t="str">
        <f t="shared" si="214"/>
        <v/>
      </c>
      <c r="AL87" s="5" t="str">
        <f t="shared" si="96"/>
        <v/>
      </c>
      <c r="AM87" s="6" t="str">
        <f t="shared" si="97"/>
        <v/>
      </c>
      <c r="AN87" s="612" t="str">
        <f t="shared" si="98"/>
        <v/>
      </c>
      <c r="AO87" s="613" t="str">
        <f t="shared" si="468"/>
        <v/>
      </c>
      <c r="AP87" s="624" t="str">
        <f t="shared" si="100"/>
        <v/>
      </c>
      <c r="AQ87" s="625" t="str">
        <f t="shared" si="478"/>
        <v/>
      </c>
      <c r="AS87" s="56" t="str">
        <f t="shared" si="561"/>
        <v/>
      </c>
      <c r="AT87" s="77" t="str">
        <f t="shared" si="479"/>
        <v/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 t="str">
        <f t="shared" si="524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1" t="str" cm="1">
        <f t="array" ref="II87">IFERROR(IF(IH87&lt;1,IH87+LARGE((IF($M$9:$M$150="",0,$M$9:$M$150)-MOD(IF($M$9:$M$150="",0,$M$9:$M$150),1)),1),IH87),"")</f>
        <v/>
      </c>
      <c r="IJ87" s="842" t="str">
        <f t="shared" si="525"/>
        <v/>
      </c>
      <c r="IK87" s="842" t="str">
        <f t="shared" si="526"/>
        <v/>
      </c>
      <c r="IL87" s="791" t="str">
        <f t="shared" si="527"/>
        <v/>
      </c>
      <c r="IM87" s="833"/>
      <c r="IN87" s="5" t="str">
        <f t="shared" si="667"/>
        <v/>
      </c>
      <c r="IO87" s="802" t="str">
        <f t="shared" si="665"/>
        <v/>
      </c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6" t="str">
        <f t="shared" si="537"/>
        <v/>
      </c>
    </row>
    <row r="88" spans="1:259" ht="15" customHeight="1" x14ac:dyDescent="0.25">
      <c r="A88" s="84">
        <f t="shared" si="538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62"/>
        <v/>
      </c>
      <c r="L88" s="327" t="str">
        <f t="shared" si="666"/>
        <v/>
      </c>
      <c r="M88" s="173" t="str">
        <f t="shared" si="471"/>
        <v/>
      </c>
      <c r="N88" s="21" t="str">
        <f t="shared" si="472"/>
        <v/>
      </c>
      <c r="O88" s="5" t="str">
        <f t="shared" si="473"/>
        <v/>
      </c>
      <c r="P88" s="10" t="str">
        <f t="shared" si="474"/>
        <v/>
      </c>
      <c r="Q88" s="624" t="str">
        <f t="shared" si="539"/>
        <v/>
      </c>
      <c r="R88" s="5" t="str">
        <f t="shared" si="84"/>
        <v/>
      </c>
      <c r="S88" s="6" t="str">
        <f t="shared" si="85"/>
        <v/>
      </c>
      <c r="T88" s="4" t="str">
        <f t="shared" si="86"/>
        <v/>
      </c>
      <c r="U88" s="5" t="str">
        <f t="shared" si="87"/>
        <v/>
      </c>
      <c r="V88" s="8" t="str">
        <f t="shared" si="118"/>
        <v/>
      </c>
      <c r="W88" s="624" t="str">
        <f t="shared" si="663"/>
        <v/>
      </c>
      <c r="X88" s="5" t="str">
        <f t="shared" si="88"/>
        <v/>
      </c>
      <c r="Y88" s="7" t="str">
        <f t="shared" si="661"/>
        <v/>
      </c>
      <c r="Z88" s="21" t="str">
        <f t="shared" si="475"/>
        <v/>
      </c>
      <c r="AA88" s="5" t="str">
        <f t="shared" si="476"/>
        <v/>
      </c>
      <c r="AB88" s="5" t="str">
        <f t="shared" si="477"/>
        <v/>
      </c>
      <c r="AC88" s="8" t="str">
        <f t="shared" si="89"/>
        <v/>
      </c>
      <c r="AD88" s="9" t="str">
        <f t="shared" si="119"/>
        <v/>
      </c>
      <c r="AE88" s="5" t="str">
        <f t="shared" si="90"/>
        <v/>
      </c>
      <c r="AF88" s="10" t="str">
        <f t="shared" si="91"/>
        <v/>
      </c>
      <c r="AG88" s="622" t="str">
        <f t="shared" si="92"/>
        <v/>
      </c>
      <c r="AH88" s="623" t="str">
        <f t="shared" si="93"/>
        <v/>
      </c>
      <c r="AI88" s="624" t="str">
        <f t="shared" si="94"/>
        <v/>
      </c>
      <c r="AJ88" s="625" t="str">
        <f t="shared" si="95"/>
        <v/>
      </c>
      <c r="AK88" s="4" t="str">
        <f t="shared" si="214"/>
        <v/>
      </c>
      <c r="AL88" s="5" t="str">
        <f t="shared" si="96"/>
        <v/>
      </c>
      <c r="AM88" s="6" t="str">
        <f t="shared" si="97"/>
        <v/>
      </c>
      <c r="AN88" s="612" t="str">
        <f t="shared" si="98"/>
        <v/>
      </c>
      <c r="AO88" s="613" t="str">
        <f t="shared" si="468"/>
        <v/>
      </c>
      <c r="AP88" s="624" t="str">
        <f t="shared" si="100"/>
        <v/>
      </c>
      <c r="AQ88" s="625" t="str">
        <f t="shared" si="478"/>
        <v/>
      </c>
      <c r="AS88" s="56" t="str">
        <f t="shared" si="561"/>
        <v/>
      </c>
      <c r="AT88" s="77" t="str">
        <f t="shared" si="479"/>
        <v/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 t="str">
        <f t="shared" si="524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1" t="str" cm="1">
        <f t="array" ref="II88">IFERROR(IF(IH88&lt;1,IH88+LARGE((IF($M$9:$M$150="",0,$M$9:$M$150)-MOD(IF($M$9:$M$150="",0,$M$9:$M$150),1)),1),IH88),"")</f>
        <v/>
      </c>
      <c r="IJ88" s="842" t="str">
        <f t="shared" si="525"/>
        <v/>
      </c>
      <c r="IK88" s="842" t="str">
        <f t="shared" si="526"/>
        <v/>
      </c>
      <c r="IL88" s="791" t="str">
        <f t="shared" si="527"/>
        <v/>
      </c>
      <c r="IM88" s="833"/>
      <c r="IN88" s="5" t="str">
        <f t="shared" si="667"/>
        <v/>
      </c>
      <c r="IO88" s="802" t="str">
        <f t="shared" si="665"/>
        <v/>
      </c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6" t="str">
        <f t="shared" si="537"/>
        <v/>
      </c>
    </row>
    <row r="89" spans="1:259" ht="15" customHeight="1" x14ac:dyDescent="0.25">
      <c r="A89" s="84">
        <f t="shared" si="538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62"/>
        <v/>
      </c>
      <c r="L89" s="327" t="str">
        <f t="shared" si="666"/>
        <v/>
      </c>
      <c r="M89" s="173" t="str">
        <f t="shared" si="471"/>
        <v/>
      </c>
      <c r="N89" s="21" t="str">
        <f t="shared" si="472"/>
        <v/>
      </c>
      <c r="O89" s="5" t="str">
        <f t="shared" si="473"/>
        <v/>
      </c>
      <c r="P89" s="10" t="str">
        <f t="shared" si="474"/>
        <v/>
      </c>
      <c r="Q89" s="624" t="str">
        <f t="shared" si="539"/>
        <v/>
      </c>
      <c r="R89" s="5" t="str">
        <f t="shared" si="84"/>
        <v/>
      </c>
      <c r="S89" s="6" t="str">
        <f t="shared" si="85"/>
        <v/>
      </c>
      <c r="T89" s="4" t="str">
        <f t="shared" si="86"/>
        <v/>
      </c>
      <c r="U89" s="5" t="str">
        <f t="shared" si="87"/>
        <v/>
      </c>
      <c r="V89" s="8" t="str">
        <f t="shared" si="118"/>
        <v/>
      </c>
      <c r="W89" s="624" t="str">
        <f t="shared" si="663"/>
        <v/>
      </c>
      <c r="X89" s="5" t="str">
        <f t="shared" si="88"/>
        <v/>
      </c>
      <c r="Y89" s="7" t="str">
        <f t="shared" si="661"/>
        <v/>
      </c>
      <c r="Z89" s="21" t="str">
        <f t="shared" si="475"/>
        <v/>
      </c>
      <c r="AA89" s="5" t="str">
        <f t="shared" si="476"/>
        <v/>
      </c>
      <c r="AB89" s="5" t="str">
        <f t="shared" si="477"/>
        <v/>
      </c>
      <c r="AC89" s="8" t="str">
        <f t="shared" si="89"/>
        <v/>
      </c>
      <c r="AD89" s="9" t="str">
        <f t="shared" si="119"/>
        <v/>
      </c>
      <c r="AE89" s="5" t="str">
        <f t="shared" si="90"/>
        <v/>
      </c>
      <c r="AF89" s="10" t="str">
        <f t="shared" si="91"/>
        <v/>
      </c>
      <c r="AG89" s="622" t="str">
        <f t="shared" si="92"/>
        <v/>
      </c>
      <c r="AH89" s="623" t="str">
        <f t="shared" si="93"/>
        <v/>
      </c>
      <c r="AI89" s="624" t="str">
        <f t="shared" si="94"/>
        <v/>
      </c>
      <c r="AJ89" s="625" t="str">
        <f t="shared" si="95"/>
        <v/>
      </c>
      <c r="AK89" s="4" t="str">
        <f t="shared" si="214"/>
        <v/>
      </c>
      <c r="AL89" s="5" t="str">
        <f t="shared" si="96"/>
        <v/>
      </c>
      <c r="AM89" s="6" t="str">
        <f t="shared" si="97"/>
        <v/>
      </c>
      <c r="AN89" s="612" t="str">
        <f t="shared" si="98"/>
        <v/>
      </c>
      <c r="AO89" s="613" t="str">
        <f t="shared" si="468"/>
        <v/>
      </c>
      <c r="AP89" s="624" t="str">
        <f t="shared" si="100"/>
        <v/>
      </c>
      <c r="AQ89" s="625" t="str">
        <f t="shared" si="478"/>
        <v/>
      </c>
      <c r="AS89" s="56" t="str">
        <f t="shared" si="561"/>
        <v/>
      </c>
      <c r="AT89" s="77" t="str">
        <f t="shared" si="479"/>
        <v/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 t="str">
        <f t="shared" si="524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1" t="str" cm="1">
        <f t="array" ref="II89">IFERROR(IF(IH89&lt;1,IH89+LARGE((IF($M$9:$M$150="",0,$M$9:$M$150)-MOD(IF($M$9:$M$150="",0,$M$9:$M$150),1)),1),IH89),"")</f>
        <v/>
      </c>
      <c r="IJ89" s="842" t="str">
        <f t="shared" si="525"/>
        <v/>
      </c>
      <c r="IK89" s="842" t="str">
        <f t="shared" si="526"/>
        <v/>
      </c>
      <c r="IL89" s="791" t="str">
        <f t="shared" si="527"/>
        <v/>
      </c>
      <c r="IM89" s="833"/>
      <c r="IN89" s="5" t="str">
        <f t="shared" si="667"/>
        <v/>
      </c>
      <c r="IO89" s="802" t="str">
        <f t="shared" si="665"/>
        <v/>
      </c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6" t="str">
        <f t="shared" si="537"/>
        <v/>
      </c>
    </row>
    <row r="90" spans="1:259" ht="15" customHeight="1" x14ac:dyDescent="0.25">
      <c r="A90" s="84">
        <f t="shared" si="538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62"/>
        <v/>
      </c>
      <c r="L90" s="327" t="str">
        <f t="shared" si="666"/>
        <v/>
      </c>
      <c r="M90" s="173" t="str">
        <f t="shared" si="471"/>
        <v/>
      </c>
      <c r="N90" s="21" t="str">
        <f t="shared" si="472"/>
        <v/>
      </c>
      <c r="O90" s="5" t="str">
        <f t="shared" si="473"/>
        <v/>
      </c>
      <c r="P90" s="10" t="str">
        <f t="shared" si="474"/>
        <v/>
      </c>
      <c r="Q90" s="624" t="str">
        <f t="shared" si="539"/>
        <v/>
      </c>
      <c r="R90" s="5" t="str">
        <f t="shared" si="84"/>
        <v/>
      </c>
      <c r="S90" s="6" t="str">
        <f t="shared" si="85"/>
        <v/>
      </c>
      <c r="T90" s="4" t="str">
        <f t="shared" si="86"/>
        <v/>
      </c>
      <c r="U90" s="5" t="str">
        <f t="shared" si="87"/>
        <v/>
      </c>
      <c r="V90" s="8" t="str">
        <f t="shared" si="118"/>
        <v/>
      </c>
      <c r="W90" s="624" t="str">
        <f t="shared" si="663"/>
        <v/>
      </c>
      <c r="X90" s="5" t="str">
        <f t="shared" si="88"/>
        <v/>
      </c>
      <c r="Y90" s="7" t="str">
        <f t="shared" si="661"/>
        <v/>
      </c>
      <c r="Z90" s="21" t="str">
        <f t="shared" si="475"/>
        <v/>
      </c>
      <c r="AA90" s="5" t="str">
        <f t="shared" si="476"/>
        <v/>
      </c>
      <c r="AB90" s="5" t="str">
        <f t="shared" si="477"/>
        <v/>
      </c>
      <c r="AC90" s="8" t="str">
        <f t="shared" si="89"/>
        <v/>
      </c>
      <c r="AD90" s="9" t="str">
        <f t="shared" si="119"/>
        <v/>
      </c>
      <c r="AE90" s="5" t="str">
        <f t="shared" si="90"/>
        <v/>
      </c>
      <c r="AF90" s="10" t="str">
        <f t="shared" si="91"/>
        <v/>
      </c>
      <c r="AG90" s="622" t="str">
        <f t="shared" si="92"/>
        <v/>
      </c>
      <c r="AH90" s="623" t="str">
        <f t="shared" si="93"/>
        <v/>
      </c>
      <c r="AI90" s="624" t="str">
        <f t="shared" si="94"/>
        <v/>
      </c>
      <c r="AJ90" s="625" t="str">
        <f t="shared" si="95"/>
        <v/>
      </c>
      <c r="AK90" s="4" t="str">
        <f t="shared" si="214"/>
        <v/>
      </c>
      <c r="AL90" s="5" t="str">
        <f t="shared" si="96"/>
        <v/>
      </c>
      <c r="AM90" s="6" t="str">
        <f t="shared" si="97"/>
        <v/>
      </c>
      <c r="AN90" s="612" t="str">
        <f t="shared" si="98"/>
        <v/>
      </c>
      <c r="AO90" s="613" t="str">
        <f t="shared" si="468"/>
        <v/>
      </c>
      <c r="AP90" s="624" t="str">
        <f t="shared" si="100"/>
        <v/>
      </c>
      <c r="AQ90" s="625" t="str">
        <f t="shared" si="478"/>
        <v/>
      </c>
      <c r="AS90" s="56" t="str">
        <f t="shared" si="561"/>
        <v/>
      </c>
      <c r="AT90" s="77" t="str">
        <f t="shared" si="479"/>
        <v/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 t="str">
        <f t="shared" si="524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1" t="str" cm="1">
        <f t="array" ref="II90">IFERROR(IF(IH90&lt;1,IH90+LARGE((IF($M$9:$M$150="",0,$M$9:$M$150)-MOD(IF($M$9:$M$150="",0,$M$9:$M$150),1)),1),IH90),"")</f>
        <v/>
      </c>
      <c r="IJ90" s="842" t="str">
        <f t="shared" si="525"/>
        <v/>
      </c>
      <c r="IK90" s="842" t="str">
        <f t="shared" si="526"/>
        <v/>
      </c>
      <c r="IL90" s="791" t="str">
        <f t="shared" si="527"/>
        <v/>
      </c>
      <c r="IM90" s="833"/>
      <c r="IN90" s="5" t="str">
        <f t="shared" si="667"/>
        <v/>
      </c>
      <c r="IO90" s="802" t="str">
        <f t="shared" si="665"/>
        <v/>
      </c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6" t="str">
        <f t="shared" si="537"/>
        <v/>
      </c>
    </row>
    <row r="91" spans="1:259" ht="15" customHeight="1" x14ac:dyDescent="0.25">
      <c r="A91" s="84">
        <f t="shared" si="538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62"/>
        <v/>
      </c>
      <c r="L91" s="327" t="str">
        <f t="shared" si="666"/>
        <v/>
      </c>
      <c r="M91" s="173" t="str">
        <f t="shared" si="471"/>
        <v/>
      </c>
      <c r="N91" s="21" t="str">
        <f t="shared" si="472"/>
        <v/>
      </c>
      <c r="O91" s="5" t="str">
        <f t="shared" si="473"/>
        <v/>
      </c>
      <c r="P91" s="10" t="str">
        <f t="shared" si="474"/>
        <v/>
      </c>
      <c r="Q91" s="624" t="str">
        <f t="shared" si="539"/>
        <v/>
      </c>
      <c r="R91" s="5" t="str">
        <f t="shared" si="84"/>
        <v/>
      </c>
      <c r="S91" s="6" t="str">
        <f t="shared" si="85"/>
        <v/>
      </c>
      <c r="T91" s="4" t="str">
        <f t="shared" si="86"/>
        <v/>
      </c>
      <c r="U91" s="5" t="str">
        <f t="shared" si="87"/>
        <v/>
      </c>
      <c r="V91" s="8" t="str">
        <f t="shared" si="118"/>
        <v/>
      </c>
      <c r="W91" s="624" t="str">
        <f t="shared" si="663"/>
        <v/>
      </c>
      <c r="X91" s="5" t="str">
        <f t="shared" si="88"/>
        <v/>
      </c>
      <c r="Y91" s="7" t="str">
        <f t="shared" si="661"/>
        <v/>
      </c>
      <c r="Z91" s="21" t="str">
        <f t="shared" si="475"/>
        <v/>
      </c>
      <c r="AA91" s="5" t="str">
        <f t="shared" si="476"/>
        <v/>
      </c>
      <c r="AB91" s="5" t="str">
        <f t="shared" si="477"/>
        <v/>
      </c>
      <c r="AC91" s="8" t="str">
        <f t="shared" si="89"/>
        <v/>
      </c>
      <c r="AD91" s="9" t="str">
        <f t="shared" si="119"/>
        <v/>
      </c>
      <c r="AE91" s="5" t="str">
        <f t="shared" si="90"/>
        <v/>
      </c>
      <c r="AF91" s="10" t="str">
        <f t="shared" si="91"/>
        <v/>
      </c>
      <c r="AG91" s="622" t="str">
        <f t="shared" si="92"/>
        <v/>
      </c>
      <c r="AH91" s="623" t="str">
        <f t="shared" si="93"/>
        <v/>
      </c>
      <c r="AI91" s="624" t="str">
        <f t="shared" si="94"/>
        <v/>
      </c>
      <c r="AJ91" s="625" t="str">
        <f t="shared" si="95"/>
        <v/>
      </c>
      <c r="AK91" s="4" t="str">
        <f t="shared" si="214"/>
        <v/>
      </c>
      <c r="AL91" s="5" t="str">
        <f t="shared" si="96"/>
        <v/>
      </c>
      <c r="AM91" s="6" t="str">
        <f t="shared" si="97"/>
        <v/>
      </c>
      <c r="AN91" s="612" t="str">
        <f t="shared" si="98"/>
        <v/>
      </c>
      <c r="AO91" s="613" t="str">
        <f t="shared" si="468"/>
        <v/>
      </c>
      <c r="AP91" s="624" t="str">
        <f t="shared" si="100"/>
        <v/>
      </c>
      <c r="AQ91" s="625" t="str">
        <f t="shared" si="478"/>
        <v/>
      </c>
      <c r="AS91" s="56" t="str">
        <f t="shared" si="561"/>
        <v/>
      </c>
      <c r="AT91" s="77" t="str">
        <f t="shared" si="479"/>
        <v/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 t="str">
        <f t="shared" si="524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1" t="str" cm="1">
        <f t="array" ref="II91">IFERROR(IF(IH91&lt;1,IH91+LARGE((IF($M$9:$M$150="",0,$M$9:$M$150)-MOD(IF($M$9:$M$150="",0,$M$9:$M$150),1)),1),IH91),"")</f>
        <v/>
      </c>
      <c r="IJ91" s="842" t="str">
        <f t="shared" si="525"/>
        <v/>
      </c>
      <c r="IK91" s="842" t="str">
        <f t="shared" si="526"/>
        <v/>
      </c>
      <c r="IL91" s="791" t="str">
        <f t="shared" si="527"/>
        <v/>
      </c>
      <c r="IM91" s="833"/>
      <c r="IN91" s="5" t="str">
        <f t="shared" si="667"/>
        <v/>
      </c>
      <c r="IO91" s="802" t="str">
        <f t="shared" si="665"/>
        <v/>
      </c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6" t="str">
        <f t="shared" si="537"/>
        <v/>
      </c>
    </row>
    <row r="92" spans="1:259" ht="15" customHeight="1" x14ac:dyDescent="0.25">
      <c r="A92" s="84">
        <f t="shared" si="538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62"/>
        <v/>
      </c>
      <c r="L92" s="327" t="str">
        <f t="shared" si="666"/>
        <v/>
      </c>
      <c r="M92" s="173" t="str">
        <f t="shared" si="471"/>
        <v/>
      </c>
      <c r="N92" s="21" t="str">
        <f t="shared" si="472"/>
        <v/>
      </c>
      <c r="O92" s="5" t="str">
        <f t="shared" si="473"/>
        <v/>
      </c>
      <c r="P92" s="10" t="str">
        <f t="shared" si="474"/>
        <v/>
      </c>
      <c r="Q92" s="624" t="str">
        <f t="shared" si="539"/>
        <v/>
      </c>
      <c r="R92" s="5" t="str">
        <f t="shared" si="84"/>
        <v/>
      </c>
      <c r="S92" s="6" t="str">
        <f t="shared" si="85"/>
        <v/>
      </c>
      <c r="T92" s="4" t="str">
        <f t="shared" si="86"/>
        <v/>
      </c>
      <c r="U92" s="5" t="str">
        <f t="shared" si="87"/>
        <v/>
      </c>
      <c r="V92" s="8" t="str">
        <f t="shared" si="118"/>
        <v/>
      </c>
      <c r="W92" s="624" t="str">
        <f t="shared" si="663"/>
        <v/>
      </c>
      <c r="X92" s="5" t="str">
        <f t="shared" si="88"/>
        <v/>
      </c>
      <c r="Y92" s="7" t="str">
        <f t="shared" si="661"/>
        <v/>
      </c>
      <c r="Z92" s="21" t="str">
        <f t="shared" si="475"/>
        <v/>
      </c>
      <c r="AA92" s="5" t="str">
        <f t="shared" si="476"/>
        <v/>
      </c>
      <c r="AB92" s="5" t="str">
        <f t="shared" si="477"/>
        <v/>
      </c>
      <c r="AC92" s="8" t="str">
        <f t="shared" si="89"/>
        <v/>
      </c>
      <c r="AD92" s="9" t="str">
        <f t="shared" si="119"/>
        <v/>
      </c>
      <c r="AE92" s="5" t="str">
        <f t="shared" si="90"/>
        <v/>
      </c>
      <c r="AF92" s="10" t="str">
        <f t="shared" si="91"/>
        <v/>
      </c>
      <c r="AG92" s="622" t="str">
        <f t="shared" si="92"/>
        <v/>
      </c>
      <c r="AH92" s="623" t="str">
        <f t="shared" si="93"/>
        <v/>
      </c>
      <c r="AI92" s="624" t="str">
        <f t="shared" si="94"/>
        <v/>
      </c>
      <c r="AJ92" s="625" t="str">
        <f t="shared" si="95"/>
        <v/>
      </c>
      <c r="AK92" s="4" t="str">
        <f t="shared" si="214"/>
        <v/>
      </c>
      <c r="AL92" s="5" t="str">
        <f t="shared" si="96"/>
        <v/>
      </c>
      <c r="AM92" s="6" t="str">
        <f t="shared" si="97"/>
        <v/>
      </c>
      <c r="AN92" s="612" t="str">
        <f t="shared" si="98"/>
        <v/>
      </c>
      <c r="AO92" s="613" t="str">
        <f t="shared" si="468"/>
        <v/>
      </c>
      <c r="AP92" s="624" t="str">
        <f t="shared" si="100"/>
        <v/>
      </c>
      <c r="AQ92" s="625" t="str">
        <f t="shared" si="478"/>
        <v/>
      </c>
      <c r="AS92" s="56" t="str">
        <f t="shared" si="561"/>
        <v/>
      </c>
      <c r="AT92" s="78" t="str">
        <f t="shared" si="479"/>
        <v/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 t="str">
        <f t="shared" si="524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1" t="str" cm="1">
        <f t="array" ref="II92">IFERROR(IF(IH92&lt;1,IH92+LARGE((IF($M$9:$M$150="",0,$M$9:$M$150)-MOD(IF($M$9:$M$150="",0,$M$9:$M$150),1)),1),IH92),"")</f>
        <v/>
      </c>
      <c r="IJ92" s="842" t="str">
        <f t="shared" si="525"/>
        <v/>
      </c>
      <c r="IK92" s="842" t="str">
        <f t="shared" si="526"/>
        <v/>
      </c>
      <c r="IL92" s="791" t="str">
        <f t="shared" si="527"/>
        <v/>
      </c>
      <c r="IM92" s="833"/>
      <c r="IN92" s="5" t="str">
        <f t="shared" si="667"/>
        <v/>
      </c>
      <c r="IO92" s="802" t="str">
        <f t="shared" si="665"/>
        <v/>
      </c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6" t="str">
        <f t="shared" si="537"/>
        <v/>
      </c>
    </row>
    <row r="93" spans="1:259" ht="15" customHeight="1" x14ac:dyDescent="0.25">
      <c r="A93" s="84">
        <f t="shared" si="538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62"/>
        <v/>
      </c>
      <c r="L93" s="327" t="str">
        <f t="shared" si="666"/>
        <v/>
      </c>
      <c r="M93" s="173" t="str">
        <f t="shared" si="471"/>
        <v/>
      </c>
      <c r="N93" s="21" t="str">
        <f t="shared" si="472"/>
        <v/>
      </c>
      <c r="O93" s="5" t="str">
        <f t="shared" si="473"/>
        <v/>
      </c>
      <c r="P93" s="10" t="str">
        <f t="shared" si="474"/>
        <v/>
      </c>
      <c r="Q93" s="624" t="str">
        <f t="shared" si="539"/>
        <v/>
      </c>
      <c r="R93" s="5" t="str">
        <f t="shared" si="84"/>
        <v/>
      </c>
      <c r="S93" s="6" t="str">
        <f t="shared" si="85"/>
        <v/>
      </c>
      <c r="T93" s="4" t="str">
        <f t="shared" si="86"/>
        <v/>
      </c>
      <c r="U93" s="5" t="str">
        <f t="shared" si="87"/>
        <v/>
      </c>
      <c r="V93" s="8" t="str">
        <f t="shared" si="118"/>
        <v/>
      </c>
      <c r="W93" s="624" t="str">
        <f t="shared" si="663"/>
        <v/>
      </c>
      <c r="X93" s="5" t="str">
        <f t="shared" si="88"/>
        <v/>
      </c>
      <c r="Y93" s="7" t="str">
        <f t="shared" si="661"/>
        <v/>
      </c>
      <c r="Z93" s="21" t="str">
        <f t="shared" si="475"/>
        <v/>
      </c>
      <c r="AA93" s="5" t="str">
        <f t="shared" si="476"/>
        <v/>
      </c>
      <c r="AB93" s="5" t="str">
        <f t="shared" si="477"/>
        <v/>
      </c>
      <c r="AC93" s="8" t="str">
        <f t="shared" si="89"/>
        <v/>
      </c>
      <c r="AD93" s="9" t="str">
        <f t="shared" si="119"/>
        <v/>
      </c>
      <c r="AE93" s="5" t="str">
        <f t="shared" si="90"/>
        <v/>
      </c>
      <c r="AF93" s="10" t="str">
        <f t="shared" si="91"/>
        <v/>
      </c>
      <c r="AG93" s="622" t="str">
        <f t="shared" si="92"/>
        <v/>
      </c>
      <c r="AH93" s="623" t="str">
        <f t="shared" si="93"/>
        <v/>
      </c>
      <c r="AI93" s="624" t="str">
        <f t="shared" si="94"/>
        <v/>
      </c>
      <c r="AJ93" s="625" t="str">
        <f t="shared" si="95"/>
        <v/>
      </c>
      <c r="AK93" s="4" t="str">
        <f t="shared" si="214"/>
        <v/>
      </c>
      <c r="AL93" s="5" t="str">
        <f t="shared" si="96"/>
        <v/>
      </c>
      <c r="AM93" s="6" t="str">
        <f t="shared" si="97"/>
        <v/>
      </c>
      <c r="AN93" s="612" t="str">
        <f t="shared" si="98"/>
        <v/>
      </c>
      <c r="AO93" s="613" t="str">
        <f t="shared" si="468"/>
        <v/>
      </c>
      <c r="AP93" s="624" t="str">
        <f t="shared" si="100"/>
        <v/>
      </c>
      <c r="AQ93" s="625" t="str">
        <f t="shared" si="478"/>
        <v/>
      </c>
      <c r="AS93" s="56" t="str">
        <f t="shared" si="561"/>
        <v/>
      </c>
      <c r="AT93" s="78" t="str">
        <f t="shared" si="479"/>
        <v/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 t="str">
        <f t="shared" si="524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7"/>
        <v/>
      </c>
      <c r="IO93" s="802" t="str">
        <f t="shared" si="665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62"/>
        <v/>
      </c>
      <c r="L94" s="327" t="str">
        <f t="shared" si="666"/>
        <v/>
      </c>
      <c r="M94" s="173" t="str">
        <f t="shared" si="471"/>
        <v/>
      </c>
      <c r="N94" s="21" t="str">
        <f t="shared" si="472"/>
        <v/>
      </c>
      <c r="O94" s="5" t="str">
        <f t="shared" si="473"/>
        <v/>
      </c>
      <c r="P94" s="10" t="str">
        <f t="shared" si="474"/>
        <v/>
      </c>
      <c r="Q94" s="624" t="str">
        <f t="shared" si="539"/>
        <v/>
      </c>
      <c r="R94" s="5" t="str">
        <f t="shared" si="84"/>
        <v/>
      </c>
      <c r="S94" s="6" t="str">
        <f t="shared" si="85"/>
        <v/>
      </c>
      <c r="T94" s="4" t="str">
        <f t="shared" si="86"/>
        <v/>
      </c>
      <c r="U94" s="5" t="str">
        <f t="shared" si="87"/>
        <v/>
      </c>
      <c r="V94" s="8" t="str">
        <f t="shared" si="118"/>
        <v/>
      </c>
      <c r="W94" s="624" t="str">
        <f t="shared" si="663"/>
        <v/>
      </c>
      <c r="X94" s="5" t="str">
        <f t="shared" si="88"/>
        <v/>
      </c>
      <c r="Y94" s="7" t="str">
        <f t="shared" si="661"/>
        <v/>
      </c>
      <c r="Z94" s="21" t="str">
        <f t="shared" si="475"/>
        <v/>
      </c>
      <c r="AA94" s="5" t="str">
        <f t="shared" si="476"/>
        <v/>
      </c>
      <c r="AB94" s="5" t="str">
        <f t="shared" si="477"/>
        <v/>
      </c>
      <c r="AC94" s="8" t="str">
        <f t="shared" si="89"/>
        <v/>
      </c>
      <c r="AD94" s="9" t="str">
        <f t="shared" si="119"/>
        <v/>
      </c>
      <c r="AE94" s="5" t="str">
        <f t="shared" si="90"/>
        <v/>
      </c>
      <c r="AF94" s="10" t="str">
        <f t="shared" si="91"/>
        <v/>
      </c>
      <c r="AG94" s="622" t="str">
        <f t="shared" si="92"/>
        <v/>
      </c>
      <c r="AH94" s="623" t="str">
        <f t="shared" si="93"/>
        <v/>
      </c>
      <c r="AI94" s="624" t="str">
        <f t="shared" si="94"/>
        <v/>
      </c>
      <c r="AJ94" s="625" t="str">
        <f t="shared" si="95"/>
        <v/>
      </c>
      <c r="AK94" s="4" t="str">
        <f t="shared" si="214"/>
        <v/>
      </c>
      <c r="AL94" s="5" t="str">
        <f t="shared" si="96"/>
        <v/>
      </c>
      <c r="AM94" s="6" t="str">
        <f t="shared" si="97"/>
        <v/>
      </c>
      <c r="AN94" s="612" t="str">
        <f t="shared" si="98"/>
        <v/>
      </c>
      <c r="AO94" s="613" t="str">
        <f t="shared" si="468"/>
        <v/>
      </c>
      <c r="AP94" s="624" t="str">
        <f t="shared" si="100"/>
        <v/>
      </c>
      <c r="AQ94" s="625" t="str">
        <f t="shared" si="478"/>
        <v/>
      </c>
      <c r="AS94" s="56" t="str">
        <f t="shared" si="561"/>
        <v/>
      </c>
      <c r="AT94" s="78" t="str">
        <f t="shared" si="479"/>
        <v/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 t="str">
        <f t="shared" si="524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7"/>
        <v/>
      </c>
      <c r="IO94" s="802" t="str">
        <f t="shared" si="665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62"/>
        <v/>
      </c>
      <c r="L95" s="327" t="str">
        <f t="shared" si="666"/>
        <v/>
      </c>
      <c r="M95" s="173" t="str">
        <f t="shared" si="471"/>
        <v/>
      </c>
      <c r="N95" s="21" t="str">
        <f t="shared" si="472"/>
        <v/>
      </c>
      <c r="O95" s="5" t="str">
        <f t="shared" si="473"/>
        <v/>
      </c>
      <c r="P95" s="10" t="str">
        <f t="shared" si="474"/>
        <v/>
      </c>
      <c r="Q95" s="624" t="str">
        <f t="shared" si="539"/>
        <v/>
      </c>
      <c r="R95" s="5" t="str">
        <f t="shared" si="84"/>
        <v/>
      </c>
      <c r="S95" s="6" t="str">
        <f t="shared" si="85"/>
        <v/>
      </c>
      <c r="T95" s="4" t="str">
        <f t="shared" si="86"/>
        <v/>
      </c>
      <c r="U95" s="5" t="str">
        <f t="shared" si="87"/>
        <v/>
      </c>
      <c r="V95" s="8" t="str">
        <f t="shared" si="118"/>
        <v/>
      </c>
      <c r="W95" s="624" t="str">
        <f t="shared" si="663"/>
        <v/>
      </c>
      <c r="X95" s="5" t="str">
        <f t="shared" si="88"/>
        <v/>
      </c>
      <c r="Y95" s="7" t="str">
        <f t="shared" si="661"/>
        <v/>
      </c>
      <c r="Z95" s="21" t="str">
        <f t="shared" si="475"/>
        <v/>
      </c>
      <c r="AA95" s="5" t="str">
        <f t="shared" si="476"/>
        <v/>
      </c>
      <c r="AB95" s="5" t="str">
        <f t="shared" si="477"/>
        <v/>
      </c>
      <c r="AC95" s="8" t="str">
        <f t="shared" si="89"/>
        <v/>
      </c>
      <c r="AD95" s="9" t="str">
        <f t="shared" si="119"/>
        <v/>
      </c>
      <c r="AE95" s="5" t="str">
        <f t="shared" si="90"/>
        <v/>
      </c>
      <c r="AF95" s="10" t="str">
        <f t="shared" si="91"/>
        <v/>
      </c>
      <c r="AG95" s="622" t="str">
        <f t="shared" si="92"/>
        <v/>
      </c>
      <c r="AH95" s="623" t="str">
        <f t="shared" si="93"/>
        <v/>
      </c>
      <c r="AI95" s="624" t="str">
        <f t="shared" si="94"/>
        <v/>
      </c>
      <c r="AJ95" s="625" t="str">
        <f t="shared" si="95"/>
        <v/>
      </c>
      <c r="AK95" s="4" t="str">
        <f t="shared" si="214"/>
        <v/>
      </c>
      <c r="AL95" s="5" t="str">
        <f t="shared" si="96"/>
        <v/>
      </c>
      <c r="AM95" s="6" t="str">
        <f t="shared" si="97"/>
        <v/>
      </c>
      <c r="AN95" s="612" t="str">
        <f t="shared" si="98"/>
        <v/>
      </c>
      <c r="AO95" s="613" t="str">
        <f t="shared" si="468"/>
        <v/>
      </c>
      <c r="AP95" s="624" t="str">
        <f t="shared" si="100"/>
        <v/>
      </c>
      <c r="AQ95" s="625" t="str">
        <f t="shared" si="478"/>
        <v/>
      </c>
      <c r="AS95" s="56" t="str">
        <f t="shared" si="561"/>
        <v/>
      </c>
      <c r="AT95" s="78" t="str">
        <f t="shared" si="479"/>
        <v/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 t="str">
        <f t="shared" si="524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7"/>
        <v/>
      </c>
      <c r="IO95" s="802" t="str">
        <f t="shared" si="665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62"/>
        <v/>
      </c>
      <c r="L96" s="327" t="str">
        <f t="shared" si="666"/>
        <v/>
      </c>
      <c r="M96" s="173" t="str">
        <f t="shared" si="471"/>
        <v/>
      </c>
      <c r="N96" s="21" t="str">
        <f t="shared" si="472"/>
        <v/>
      </c>
      <c r="O96" s="5" t="str">
        <f t="shared" si="473"/>
        <v/>
      </c>
      <c r="P96" s="10" t="str">
        <f t="shared" si="474"/>
        <v/>
      </c>
      <c r="Q96" s="624" t="str">
        <f t="shared" si="539"/>
        <v/>
      </c>
      <c r="R96" s="5" t="str">
        <f t="shared" si="84"/>
        <v/>
      </c>
      <c r="S96" s="6" t="str">
        <f t="shared" si="85"/>
        <v/>
      </c>
      <c r="T96" s="4" t="str">
        <f t="shared" si="86"/>
        <v/>
      </c>
      <c r="U96" s="5" t="str">
        <f t="shared" si="87"/>
        <v/>
      </c>
      <c r="V96" s="8" t="str">
        <f t="shared" si="118"/>
        <v/>
      </c>
      <c r="W96" s="624" t="str">
        <f t="shared" si="663"/>
        <v/>
      </c>
      <c r="X96" s="5" t="str">
        <f t="shared" si="88"/>
        <v/>
      </c>
      <c r="Y96" s="7" t="str">
        <f t="shared" si="661"/>
        <v/>
      </c>
      <c r="Z96" s="21" t="str">
        <f t="shared" si="475"/>
        <v/>
      </c>
      <c r="AA96" s="5" t="str">
        <f t="shared" si="476"/>
        <v/>
      </c>
      <c r="AB96" s="5" t="str">
        <f t="shared" si="477"/>
        <v/>
      </c>
      <c r="AC96" s="8" t="str">
        <f t="shared" si="89"/>
        <v/>
      </c>
      <c r="AD96" s="9" t="str">
        <f t="shared" si="119"/>
        <v/>
      </c>
      <c r="AE96" s="5" t="str">
        <f t="shared" si="90"/>
        <v/>
      </c>
      <c r="AF96" s="10" t="str">
        <f t="shared" si="91"/>
        <v/>
      </c>
      <c r="AG96" s="622" t="str">
        <f t="shared" si="92"/>
        <v/>
      </c>
      <c r="AH96" s="623" t="str">
        <f t="shared" si="93"/>
        <v/>
      </c>
      <c r="AI96" s="624" t="str">
        <f t="shared" si="94"/>
        <v/>
      </c>
      <c r="AJ96" s="625" t="str">
        <f t="shared" si="95"/>
        <v/>
      </c>
      <c r="AK96" s="4" t="str">
        <f t="shared" si="214"/>
        <v/>
      </c>
      <c r="AL96" s="5" t="str">
        <f t="shared" si="96"/>
        <v/>
      </c>
      <c r="AM96" s="6" t="str">
        <f t="shared" si="97"/>
        <v/>
      </c>
      <c r="AN96" s="612" t="str">
        <f t="shared" si="98"/>
        <v/>
      </c>
      <c r="AO96" s="613" t="str">
        <f t="shared" si="468"/>
        <v/>
      </c>
      <c r="AP96" s="624" t="str">
        <f t="shared" si="100"/>
        <v/>
      </c>
      <c r="AQ96" s="625" t="str">
        <f t="shared" si="478"/>
        <v/>
      </c>
      <c r="AS96" s="56" t="str">
        <f t="shared" si="561"/>
        <v/>
      </c>
      <c r="AT96" s="78" t="str">
        <f t="shared" si="479"/>
        <v/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 t="str">
        <f t="shared" si="524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7"/>
        <v/>
      </c>
      <c r="IO96" s="802" t="str">
        <f t="shared" si="665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62"/>
        <v/>
      </c>
      <c r="L97" s="327" t="str">
        <f t="shared" si="666"/>
        <v/>
      </c>
      <c r="M97" s="173" t="str">
        <f t="shared" si="471"/>
        <v/>
      </c>
      <c r="N97" s="21" t="str">
        <f t="shared" si="472"/>
        <v/>
      </c>
      <c r="O97" s="5" t="str">
        <f t="shared" si="473"/>
        <v/>
      </c>
      <c r="P97" s="10" t="str">
        <f t="shared" si="474"/>
        <v/>
      </c>
      <c r="Q97" s="624" t="str">
        <f t="shared" si="539"/>
        <v/>
      </c>
      <c r="R97" s="5" t="str">
        <f t="shared" si="84"/>
        <v/>
      </c>
      <c r="S97" s="6" t="str">
        <f t="shared" si="85"/>
        <v/>
      </c>
      <c r="T97" s="4" t="str">
        <f t="shared" si="86"/>
        <v/>
      </c>
      <c r="U97" s="5" t="str">
        <f t="shared" si="87"/>
        <v/>
      </c>
      <c r="V97" s="8" t="str">
        <f t="shared" si="118"/>
        <v/>
      </c>
      <c r="W97" s="624" t="str">
        <f t="shared" si="663"/>
        <v/>
      </c>
      <c r="X97" s="5" t="str">
        <f t="shared" si="88"/>
        <v/>
      </c>
      <c r="Y97" s="7" t="str">
        <f t="shared" si="661"/>
        <v/>
      </c>
      <c r="Z97" s="21" t="str">
        <f t="shared" si="475"/>
        <v/>
      </c>
      <c r="AA97" s="5" t="str">
        <f t="shared" si="476"/>
        <v/>
      </c>
      <c r="AB97" s="5" t="str">
        <f t="shared" si="477"/>
        <v/>
      </c>
      <c r="AC97" s="8" t="str">
        <f t="shared" si="89"/>
        <v/>
      </c>
      <c r="AD97" s="9" t="str">
        <f t="shared" si="119"/>
        <v/>
      </c>
      <c r="AE97" s="5" t="str">
        <f t="shared" si="90"/>
        <v/>
      </c>
      <c r="AF97" s="10" t="str">
        <f t="shared" si="91"/>
        <v/>
      </c>
      <c r="AG97" s="622" t="str">
        <f t="shared" si="92"/>
        <v/>
      </c>
      <c r="AH97" s="623" t="str">
        <f t="shared" si="93"/>
        <v/>
      </c>
      <c r="AI97" s="624" t="str">
        <f t="shared" si="94"/>
        <v/>
      </c>
      <c r="AJ97" s="625" t="str">
        <f t="shared" si="95"/>
        <v/>
      </c>
      <c r="AK97" s="4" t="str">
        <f t="shared" si="214"/>
        <v/>
      </c>
      <c r="AL97" s="5" t="str">
        <f t="shared" si="96"/>
        <v/>
      </c>
      <c r="AM97" s="6" t="str">
        <f t="shared" si="97"/>
        <v/>
      </c>
      <c r="AN97" s="612" t="str">
        <f t="shared" si="98"/>
        <v/>
      </c>
      <c r="AO97" s="613" t="str">
        <f t="shared" si="468"/>
        <v/>
      </c>
      <c r="AP97" s="624" t="str">
        <f t="shared" si="100"/>
        <v/>
      </c>
      <c r="AQ97" s="625" t="str">
        <f t="shared" si="478"/>
        <v/>
      </c>
      <c r="AS97" s="56" t="str">
        <f t="shared" si="561"/>
        <v/>
      </c>
      <c r="AT97" s="78" t="str">
        <f t="shared" si="479"/>
        <v/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 t="str">
        <f t="shared" si="524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7"/>
        <v/>
      </c>
      <c r="IO97" s="802" t="str">
        <f t="shared" si="665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62"/>
        <v/>
      </c>
      <c r="L98" s="327" t="str">
        <f t="shared" si="666"/>
        <v/>
      </c>
      <c r="M98" s="173" t="str">
        <f t="shared" si="471"/>
        <v/>
      </c>
      <c r="N98" s="21" t="str">
        <f t="shared" si="472"/>
        <v/>
      </c>
      <c r="O98" s="5" t="str">
        <f t="shared" si="473"/>
        <v/>
      </c>
      <c r="P98" s="10" t="str">
        <f t="shared" si="474"/>
        <v/>
      </c>
      <c r="Q98" s="624" t="str">
        <f t="shared" si="539"/>
        <v/>
      </c>
      <c r="R98" s="5" t="str">
        <f t="shared" si="84"/>
        <v/>
      </c>
      <c r="S98" s="6" t="str">
        <f t="shared" si="85"/>
        <v/>
      </c>
      <c r="T98" s="4" t="str">
        <f t="shared" si="86"/>
        <v/>
      </c>
      <c r="U98" s="5" t="str">
        <f t="shared" si="87"/>
        <v/>
      </c>
      <c r="V98" s="8" t="str">
        <f t="shared" si="118"/>
        <v/>
      </c>
      <c r="W98" s="624" t="str">
        <f t="shared" si="663"/>
        <v/>
      </c>
      <c r="X98" s="5" t="str">
        <f t="shared" si="88"/>
        <v/>
      </c>
      <c r="Y98" s="7" t="str">
        <f t="shared" si="661"/>
        <v/>
      </c>
      <c r="Z98" s="21" t="str">
        <f t="shared" si="475"/>
        <v/>
      </c>
      <c r="AA98" s="5" t="str">
        <f t="shared" si="476"/>
        <v/>
      </c>
      <c r="AB98" s="5" t="str">
        <f t="shared" si="477"/>
        <v/>
      </c>
      <c r="AC98" s="8" t="str">
        <f t="shared" si="89"/>
        <v/>
      </c>
      <c r="AD98" s="9" t="str">
        <f t="shared" si="119"/>
        <v/>
      </c>
      <c r="AE98" s="5" t="str">
        <f t="shared" si="90"/>
        <v/>
      </c>
      <c r="AF98" s="10" t="str">
        <f t="shared" si="91"/>
        <v/>
      </c>
      <c r="AG98" s="622" t="str">
        <f t="shared" si="92"/>
        <v/>
      </c>
      <c r="AH98" s="623" t="str">
        <f t="shared" si="93"/>
        <v/>
      </c>
      <c r="AI98" s="624" t="str">
        <f t="shared" si="94"/>
        <v/>
      </c>
      <c r="AJ98" s="625" t="str">
        <f t="shared" si="95"/>
        <v/>
      </c>
      <c r="AK98" s="4" t="str">
        <f t="shared" si="214"/>
        <v/>
      </c>
      <c r="AL98" s="5" t="str">
        <f t="shared" si="96"/>
        <v/>
      </c>
      <c r="AM98" s="6" t="str">
        <f t="shared" si="97"/>
        <v/>
      </c>
      <c r="AN98" s="612" t="str">
        <f t="shared" si="98"/>
        <v/>
      </c>
      <c r="AO98" s="613" t="str">
        <f t="shared" si="468"/>
        <v/>
      </c>
      <c r="AP98" s="624" t="str">
        <f t="shared" si="100"/>
        <v/>
      </c>
      <c r="AQ98" s="625" t="str">
        <f t="shared" si="478"/>
        <v/>
      </c>
      <c r="AS98" s="56" t="str">
        <f t="shared" si="561"/>
        <v/>
      </c>
      <c r="AT98" s="78" t="str">
        <f t="shared" si="479"/>
        <v/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 t="str">
        <f t="shared" si="524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7"/>
        <v/>
      </c>
      <c r="IO98" s="802" t="str">
        <f t="shared" si="665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62"/>
        <v/>
      </c>
      <c r="L99" s="327" t="str">
        <f t="shared" si="666"/>
        <v/>
      </c>
      <c r="M99" s="173" t="str">
        <f t="shared" si="471"/>
        <v/>
      </c>
      <c r="N99" s="21" t="str">
        <f t="shared" si="472"/>
        <v/>
      </c>
      <c r="O99" s="5" t="str">
        <f t="shared" si="473"/>
        <v/>
      </c>
      <c r="P99" s="10" t="str">
        <f t="shared" si="474"/>
        <v/>
      </c>
      <c r="Q99" s="624" t="str">
        <f t="shared" si="539"/>
        <v/>
      </c>
      <c r="R99" s="5" t="str">
        <f t="shared" si="84"/>
        <v/>
      </c>
      <c r="S99" s="6" t="str">
        <f t="shared" si="85"/>
        <v/>
      </c>
      <c r="T99" s="4" t="str">
        <f t="shared" si="86"/>
        <v/>
      </c>
      <c r="U99" s="5" t="str">
        <f t="shared" si="87"/>
        <v/>
      </c>
      <c r="V99" s="8" t="str">
        <f t="shared" si="118"/>
        <v/>
      </c>
      <c r="W99" s="624" t="str">
        <f t="shared" si="663"/>
        <v/>
      </c>
      <c r="X99" s="5" t="str">
        <f t="shared" si="88"/>
        <v/>
      </c>
      <c r="Y99" s="7" t="str">
        <f t="shared" si="661"/>
        <v/>
      </c>
      <c r="Z99" s="21" t="str">
        <f t="shared" si="475"/>
        <v/>
      </c>
      <c r="AA99" s="5" t="str">
        <f t="shared" si="476"/>
        <v/>
      </c>
      <c r="AB99" s="5" t="str">
        <f t="shared" si="477"/>
        <v/>
      </c>
      <c r="AC99" s="8" t="str">
        <f t="shared" si="89"/>
        <v/>
      </c>
      <c r="AD99" s="9" t="str">
        <f t="shared" si="119"/>
        <v/>
      </c>
      <c r="AE99" s="5" t="str">
        <f t="shared" si="90"/>
        <v/>
      </c>
      <c r="AF99" s="10" t="str">
        <f t="shared" si="91"/>
        <v/>
      </c>
      <c r="AG99" s="622" t="str">
        <f t="shared" si="92"/>
        <v/>
      </c>
      <c r="AH99" s="623" t="str">
        <f t="shared" si="93"/>
        <v/>
      </c>
      <c r="AI99" s="624" t="str">
        <f t="shared" si="94"/>
        <v/>
      </c>
      <c r="AJ99" s="625" t="str">
        <f t="shared" si="95"/>
        <v/>
      </c>
      <c r="AK99" s="4" t="str">
        <f t="shared" si="214"/>
        <v/>
      </c>
      <c r="AL99" s="5" t="str">
        <f t="shared" si="96"/>
        <v/>
      </c>
      <c r="AM99" s="6" t="str">
        <f t="shared" si="97"/>
        <v/>
      </c>
      <c r="AN99" s="612" t="str">
        <f t="shared" si="98"/>
        <v/>
      </c>
      <c r="AO99" s="613" t="str">
        <f t="shared" si="468"/>
        <v/>
      </c>
      <c r="AP99" s="624" t="str">
        <f t="shared" si="100"/>
        <v/>
      </c>
      <c r="AQ99" s="625" t="str">
        <f t="shared" si="478"/>
        <v/>
      </c>
      <c r="AS99" s="56" t="str">
        <f t="shared" si="561"/>
        <v/>
      </c>
      <c r="AT99" s="78" t="str">
        <f t="shared" si="479"/>
        <v/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 t="str">
        <f t="shared" si="524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7"/>
        <v/>
      </c>
      <c r="IO99" s="802" t="str">
        <f t="shared" si="665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62"/>
        <v/>
      </c>
      <c r="L100" s="327" t="str">
        <f t="shared" si="666"/>
        <v/>
      </c>
      <c r="M100" s="173" t="str">
        <f t="shared" si="471"/>
        <v/>
      </c>
      <c r="N100" s="21" t="str">
        <f t="shared" si="472"/>
        <v/>
      </c>
      <c r="O100" s="5" t="str">
        <f t="shared" si="473"/>
        <v/>
      </c>
      <c r="P100" s="10" t="str">
        <f t="shared" si="474"/>
        <v/>
      </c>
      <c r="Q100" s="624" t="str">
        <f t="shared" si="539"/>
        <v/>
      </c>
      <c r="R100" s="5" t="str">
        <f t="shared" si="84"/>
        <v/>
      </c>
      <c r="S100" s="6" t="str">
        <f t="shared" si="85"/>
        <v/>
      </c>
      <c r="T100" s="4" t="str">
        <f t="shared" si="86"/>
        <v/>
      </c>
      <c r="U100" s="5" t="str">
        <f t="shared" si="87"/>
        <v/>
      </c>
      <c r="V100" s="8" t="str">
        <f t="shared" si="118"/>
        <v/>
      </c>
      <c r="W100" s="624" t="str">
        <f t="shared" si="663"/>
        <v/>
      </c>
      <c r="X100" s="5" t="str">
        <f t="shared" si="88"/>
        <v/>
      </c>
      <c r="Y100" s="7" t="str">
        <f t="shared" si="661"/>
        <v/>
      </c>
      <c r="Z100" s="21" t="str">
        <f t="shared" si="475"/>
        <v/>
      </c>
      <c r="AA100" s="5" t="str">
        <f t="shared" si="476"/>
        <v/>
      </c>
      <c r="AB100" s="5" t="str">
        <f t="shared" si="477"/>
        <v/>
      </c>
      <c r="AC100" s="8" t="str">
        <f t="shared" si="89"/>
        <v/>
      </c>
      <c r="AD100" s="9" t="str">
        <f t="shared" si="119"/>
        <v/>
      </c>
      <c r="AE100" s="5" t="str">
        <f t="shared" si="90"/>
        <v/>
      </c>
      <c r="AF100" s="10" t="str">
        <f t="shared" si="91"/>
        <v/>
      </c>
      <c r="AG100" s="622" t="str">
        <f t="shared" si="92"/>
        <v/>
      </c>
      <c r="AH100" s="623" t="str">
        <f t="shared" si="93"/>
        <v/>
      </c>
      <c r="AI100" s="624" t="str">
        <f t="shared" si="94"/>
        <v/>
      </c>
      <c r="AJ100" s="625" t="str">
        <f t="shared" si="95"/>
        <v/>
      </c>
      <c r="AK100" s="4" t="str">
        <f t="shared" si="214"/>
        <v/>
      </c>
      <c r="AL100" s="5" t="str">
        <f t="shared" si="96"/>
        <v/>
      </c>
      <c r="AM100" s="6" t="str">
        <f t="shared" si="97"/>
        <v/>
      </c>
      <c r="AN100" s="612" t="str">
        <f t="shared" si="98"/>
        <v/>
      </c>
      <c r="AO100" s="613" t="str">
        <f t="shared" si="468"/>
        <v/>
      </c>
      <c r="AP100" s="624" t="str">
        <f t="shared" si="100"/>
        <v/>
      </c>
      <c r="AQ100" s="625" t="str">
        <f t="shared" si="478"/>
        <v/>
      </c>
      <c r="AS100" s="56" t="str">
        <f t="shared" si="561"/>
        <v/>
      </c>
      <c r="AT100" s="78" t="str">
        <f t="shared" si="479"/>
        <v/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 t="str">
        <f t="shared" si="524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1" t="str" cm="1">
        <f t="array" ref="II100">IFERROR(IF(IH100&lt;1,IH100+LARGE((IF($M$9:$M$150="",0,$M$9:$M$150)-MOD(IF($M$9:$M$150="",0,$M$9:$M$150),1)),1),IH100),"")</f>
        <v/>
      </c>
      <c r="IJ100" s="842" t="str">
        <f t="shared" si="525"/>
        <v/>
      </c>
      <c r="IK100" s="842" t="str">
        <f t="shared" si="526"/>
        <v/>
      </c>
      <c r="IL100" s="791" t="str">
        <f t="shared" si="527"/>
        <v/>
      </c>
      <c r="IM100" s="833"/>
      <c r="IN100" s="5" t="str">
        <f t="shared" si="667"/>
        <v/>
      </c>
      <c r="IO100" s="802" t="str">
        <f t="shared" si="665"/>
        <v/>
      </c>
      <c r="IP100" s="9" t="str">
        <f t="shared" si="528"/>
        <v/>
      </c>
      <c r="IQ100" s="5" t="str">
        <f t="shared" si="529"/>
        <v/>
      </c>
      <c r="IR100" s="5" t="str">
        <f t="shared" si="530"/>
        <v/>
      </c>
      <c r="IS100" s="5" t="str">
        <f t="shared" si="531"/>
        <v/>
      </c>
      <c r="IT100" s="791" t="str">
        <f t="shared" si="532"/>
        <v/>
      </c>
      <c r="IU100" s="9" t="str">
        <f t="shared" si="533"/>
        <v/>
      </c>
      <c r="IV100" s="5" t="str">
        <f t="shared" si="534"/>
        <v/>
      </c>
      <c r="IW100" s="5" t="str">
        <f t="shared" si="535"/>
        <v/>
      </c>
      <c r="IX100" s="5" t="str">
        <f t="shared" si="536"/>
        <v/>
      </c>
      <c r="IY100" s="836" t="str">
        <f t="shared" si="537"/>
        <v/>
      </c>
    </row>
    <row r="101" spans="1:259" ht="15" customHeight="1" x14ac:dyDescent="0.25">
      <c r="A101" s="84">
        <f t="shared" si="538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62"/>
        <v/>
      </c>
      <c r="L101" s="327" t="str">
        <f t="shared" si="666"/>
        <v/>
      </c>
      <c r="M101" s="173" t="str">
        <f t="shared" si="471"/>
        <v/>
      </c>
      <c r="N101" s="21" t="str">
        <f t="shared" si="472"/>
        <v/>
      </c>
      <c r="O101" s="5" t="str">
        <f t="shared" si="473"/>
        <v/>
      </c>
      <c r="P101" s="10" t="str">
        <f t="shared" si="474"/>
        <v/>
      </c>
      <c r="Q101" s="624" t="str">
        <f t="shared" si="539"/>
        <v/>
      </c>
      <c r="R101" s="5" t="str">
        <f t="shared" si="84"/>
        <v/>
      </c>
      <c r="S101" s="6" t="str">
        <f t="shared" si="85"/>
        <v/>
      </c>
      <c r="T101" s="4" t="str">
        <f t="shared" si="86"/>
        <v/>
      </c>
      <c r="U101" s="5" t="str">
        <f t="shared" si="87"/>
        <v/>
      </c>
      <c r="V101" s="8" t="str">
        <f t="shared" si="118"/>
        <v/>
      </c>
      <c r="W101" s="624" t="str">
        <f t="shared" si="663"/>
        <v/>
      </c>
      <c r="X101" s="5" t="str">
        <f t="shared" si="88"/>
        <v/>
      </c>
      <c r="Y101" s="7" t="str">
        <f t="shared" si="661"/>
        <v/>
      </c>
      <c r="Z101" s="21" t="str">
        <f t="shared" si="475"/>
        <v/>
      </c>
      <c r="AA101" s="5" t="str">
        <f t="shared" si="476"/>
        <v/>
      </c>
      <c r="AB101" s="5" t="str">
        <f t="shared" si="477"/>
        <v/>
      </c>
      <c r="AC101" s="8" t="str">
        <f t="shared" si="89"/>
        <v/>
      </c>
      <c r="AD101" s="9" t="str">
        <f t="shared" si="119"/>
        <v/>
      </c>
      <c r="AE101" s="5" t="str">
        <f t="shared" si="90"/>
        <v/>
      </c>
      <c r="AF101" s="10" t="str">
        <f t="shared" si="91"/>
        <v/>
      </c>
      <c r="AG101" s="622" t="str">
        <f t="shared" si="92"/>
        <v/>
      </c>
      <c r="AH101" s="623" t="str">
        <f t="shared" si="93"/>
        <v/>
      </c>
      <c r="AI101" s="624" t="str">
        <f t="shared" si="94"/>
        <v/>
      </c>
      <c r="AJ101" s="625" t="str">
        <f t="shared" si="95"/>
        <v/>
      </c>
      <c r="AK101" s="4" t="str">
        <f t="shared" si="214"/>
        <v/>
      </c>
      <c r="AL101" s="5" t="str">
        <f t="shared" si="96"/>
        <v/>
      </c>
      <c r="AM101" s="6" t="str">
        <f t="shared" si="97"/>
        <v/>
      </c>
      <c r="AN101" s="612" t="str">
        <f t="shared" si="98"/>
        <v/>
      </c>
      <c r="AO101" s="613" t="str">
        <f t="shared" si="468"/>
        <v/>
      </c>
      <c r="AP101" s="624" t="str">
        <f t="shared" si="100"/>
        <v/>
      </c>
      <c r="AQ101" s="625" t="str">
        <f t="shared" si="478"/>
        <v/>
      </c>
      <c r="AS101" s="56" t="str">
        <f t="shared" si="561"/>
        <v/>
      </c>
      <c r="AT101" s="78" t="str">
        <f t="shared" si="479"/>
        <v/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 t="str">
        <f t="shared" si="524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1" t="str" cm="1">
        <f t="array" ref="II101">IFERROR(IF(IH101&lt;1,IH101+LARGE((IF($M$9:$M$150="",0,$M$9:$M$150)-MOD(IF($M$9:$M$150="",0,$M$9:$M$150),1)),1),IH101),"")</f>
        <v/>
      </c>
      <c r="IJ101" s="842" t="str">
        <f t="shared" si="525"/>
        <v/>
      </c>
      <c r="IK101" s="842" t="str">
        <f t="shared" si="526"/>
        <v/>
      </c>
      <c r="IL101" s="791" t="str">
        <f t="shared" si="527"/>
        <v/>
      </c>
      <c r="IM101" s="833"/>
      <c r="IN101" s="5" t="str">
        <f t="shared" si="667"/>
        <v/>
      </c>
      <c r="IO101" s="802" t="str">
        <f t="shared" si="665"/>
        <v/>
      </c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6" t="str">
        <f t="shared" si="537"/>
        <v/>
      </c>
    </row>
    <row r="102" spans="1:259" ht="15" customHeight="1" x14ac:dyDescent="0.25">
      <c r="A102" s="84">
        <f t="shared" si="538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62"/>
        <v/>
      </c>
      <c r="L102" s="327" t="str">
        <f t="shared" si="666"/>
        <v/>
      </c>
      <c r="M102" s="173" t="str">
        <f t="shared" si="471"/>
        <v/>
      </c>
      <c r="N102" s="21" t="str">
        <f t="shared" si="472"/>
        <v/>
      </c>
      <c r="O102" s="5" t="str">
        <f t="shared" si="473"/>
        <v/>
      </c>
      <c r="P102" s="10" t="str">
        <f t="shared" si="474"/>
        <v/>
      </c>
      <c r="Q102" s="624" t="str">
        <f t="shared" si="539"/>
        <v/>
      </c>
      <c r="R102" s="5" t="str">
        <f t="shared" si="84"/>
        <v/>
      </c>
      <c r="S102" s="6" t="str">
        <f t="shared" si="85"/>
        <v/>
      </c>
      <c r="T102" s="4" t="str">
        <f t="shared" si="86"/>
        <v/>
      </c>
      <c r="U102" s="5" t="str">
        <f t="shared" si="87"/>
        <v/>
      </c>
      <c r="V102" s="8" t="str">
        <f t="shared" si="118"/>
        <v/>
      </c>
      <c r="W102" s="624" t="str">
        <f t="shared" si="663"/>
        <v/>
      </c>
      <c r="X102" s="5" t="str">
        <f t="shared" si="88"/>
        <v/>
      </c>
      <c r="Y102" s="7" t="str">
        <f t="shared" si="661"/>
        <v/>
      </c>
      <c r="Z102" s="21" t="str">
        <f t="shared" si="475"/>
        <v/>
      </c>
      <c r="AA102" s="5" t="str">
        <f t="shared" si="476"/>
        <v/>
      </c>
      <c r="AB102" s="5" t="str">
        <f t="shared" si="477"/>
        <v/>
      </c>
      <c r="AC102" s="8" t="str">
        <f t="shared" si="89"/>
        <v/>
      </c>
      <c r="AD102" s="9" t="str">
        <f t="shared" si="119"/>
        <v/>
      </c>
      <c r="AE102" s="5" t="str">
        <f t="shared" si="90"/>
        <v/>
      </c>
      <c r="AF102" s="10" t="str">
        <f t="shared" si="91"/>
        <v/>
      </c>
      <c r="AG102" s="622" t="str">
        <f t="shared" si="92"/>
        <v/>
      </c>
      <c r="AH102" s="623" t="str">
        <f t="shared" si="93"/>
        <v/>
      </c>
      <c r="AI102" s="624" t="str">
        <f t="shared" si="94"/>
        <v/>
      </c>
      <c r="AJ102" s="625" t="str">
        <f t="shared" si="95"/>
        <v/>
      </c>
      <c r="AK102" s="4" t="str">
        <f t="shared" si="214"/>
        <v/>
      </c>
      <c r="AL102" s="5" t="str">
        <f t="shared" si="96"/>
        <v/>
      </c>
      <c r="AM102" s="6" t="str">
        <f t="shared" si="97"/>
        <v/>
      </c>
      <c r="AN102" s="612" t="str">
        <f t="shared" si="98"/>
        <v/>
      </c>
      <c r="AO102" s="613" t="str">
        <f t="shared" si="468"/>
        <v/>
      </c>
      <c r="AP102" s="624" t="str">
        <f t="shared" si="100"/>
        <v/>
      </c>
      <c r="AQ102" s="625" t="str">
        <f t="shared" si="478"/>
        <v/>
      </c>
      <c r="AS102" s="56" t="str">
        <f t="shared" si="561"/>
        <v/>
      </c>
      <c r="AT102" s="78" t="str">
        <f t="shared" si="479"/>
        <v/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 t="str">
        <f t="shared" si="524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1" t="str" cm="1">
        <f t="array" ref="II102">IFERROR(IF(IH102&lt;1,IH102+LARGE((IF($M$9:$M$150="",0,$M$9:$M$150)-MOD(IF($M$9:$M$150="",0,$M$9:$M$150),1)),1),IH102),"")</f>
        <v/>
      </c>
      <c r="IJ102" s="842" t="str">
        <f t="shared" si="525"/>
        <v/>
      </c>
      <c r="IK102" s="842" t="str">
        <f t="shared" si="526"/>
        <v/>
      </c>
      <c r="IL102" s="791" t="str">
        <f t="shared" si="527"/>
        <v/>
      </c>
      <c r="IM102" s="833"/>
      <c r="IN102" s="5" t="str">
        <f t="shared" si="667"/>
        <v/>
      </c>
      <c r="IO102" s="802" t="str">
        <f t="shared" si="665"/>
        <v/>
      </c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6" t="str">
        <f t="shared" si="537"/>
        <v/>
      </c>
    </row>
    <row r="103" spans="1:259" ht="15" customHeight="1" x14ac:dyDescent="0.25">
      <c r="A103" s="84">
        <f t="shared" si="538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62"/>
        <v/>
      </c>
      <c r="L103" s="327" t="str">
        <f t="shared" si="666"/>
        <v/>
      </c>
      <c r="M103" s="173" t="str">
        <f t="shared" si="471"/>
        <v/>
      </c>
      <c r="N103" s="21" t="str">
        <f t="shared" si="472"/>
        <v/>
      </c>
      <c r="O103" s="5" t="str">
        <f t="shared" si="473"/>
        <v/>
      </c>
      <c r="P103" s="10" t="str">
        <f t="shared" si="474"/>
        <v/>
      </c>
      <c r="Q103" s="624" t="str">
        <f t="shared" si="539"/>
        <v/>
      </c>
      <c r="R103" s="5" t="str">
        <f t="shared" si="84"/>
        <v/>
      </c>
      <c r="S103" s="6" t="str">
        <f t="shared" si="85"/>
        <v/>
      </c>
      <c r="T103" s="4" t="str">
        <f t="shared" si="86"/>
        <v/>
      </c>
      <c r="U103" s="5" t="str">
        <f t="shared" si="87"/>
        <v/>
      </c>
      <c r="V103" s="8" t="str">
        <f t="shared" si="118"/>
        <v/>
      </c>
      <c r="W103" s="624" t="str">
        <f t="shared" si="663"/>
        <v/>
      </c>
      <c r="X103" s="5" t="str">
        <f t="shared" si="88"/>
        <v/>
      </c>
      <c r="Y103" s="7" t="str">
        <f t="shared" si="661"/>
        <v/>
      </c>
      <c r="Z103" s="21" t="str">
        <f t="shared" si="475"/>
        <v/>
      </c>
      <c r="AA103" s="5" t="str">
        <f t="shared" si="476"/>
        <v/>
      </c>
      <c r="AB103" s="5" t="str">
        <f t="shared" si="477"/>
        <v/>
      </c>
      <c r="AC103" s="8" t="str">
        <f t="shared" si="89"/>
        <v/>
      </c>
      <c r="AD103" s="9" t="str">
        <f t="shared" si="119"/>
        <v/>
      </c>
      <c r="AE103" s="5" t="str">
        <f t="shared" si="90"/>
        <v/>
      </c>
      <c r="AF103" s="10" t="str">
        <f t="shared" si="91"/>
        <v/>
      </c>
      <c r="AG103" s="622" t="str">
        <f t="shared" si="92"/>
        <v/>
      </c>
      <c r="AH103" s="623" t="str">
        <f t="shared" si="93"/>
        <v/>
      </c>
      <c r="AI103" s="624" t="str">
        <f t="shared" si="94"/>
        <v/>
      </c>
      <c r="AJ103" s="625" t="str">
        <f t="shared" si="95"/>
        <v/>
      </c>
      <c r="AK103" s="4" t="str">
        <f t="shared" si="214"/>
        <v/>
      </c>
      <c r="AL103" s="5" t="str">
        <f t="shared" si="96"/>
        <v/>
      </c>
      <c r="AM103" s="6" t="str">
        <f t="shared" si="97"/>
        <v/>
      </c>
      <c r="AN103" s="612" t="str">
        <f t="shared" si="98"/>
        <v/>
      </c>
      <c r="AO103" s="613" t="str">
        <f t="shared" si="468"/>
        <v/>
      </c>
      <c r="AP103" s="624" t="str">
        <f t="shared" si="100"/>
        <v/>
      </c>
      <c r="AQ103" s="625" t="str">
        <f t="shared" si="478"/>
        <v/>
      </c>
      <c r="AS103" s="56" t="str">
        <f t="shared" si="561"/>
        <v/>
      </c>
      <c r="AT103" s="78" t="str">
        <f t="shared" si="479"/>
        <v/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 t="str">
        <f t="shared" si="524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1" t="str" cm="1">
        <f t="array" ref="II103">IFERROR(IF(IH103&lt;1,IH103+LARGE((IF($M$9:$M$150="",0,$M$9:$M$150)-MOD(IF($M$9:$M$150="",0,$M$9:$M$150),1)),1),IH103),"")</f>
        <v/>
      </c>
      <c r="IJ103" s="842" t="str">
        <f t="shared" si="525"/>
        <v/>
      </c>
      <c r="IK103" s="842" t="str">
        <f t="shared" si="526"/>
        <v/>
      </c>
      <c r="IL103" s="791" t="str">
        <f t="shared" si="527"/>
        <v/>
      </c>
      <c r="IM103" s="833"/>
      <c r="IN103" s="5" t="str">
        <f t="shared" si="667"/>
        <v/>
      </c>
      <c r="IO103" s="802" t="str">
        <f t="shared" si="665"/>
        <v/>
      </c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6" t="str">
        <f t="shared" si="537"/>
        <v/>
      </c>
    </row>
    <row r="104" spans="1:259" ht="15" customHeight="1" x14ac:dyDescent="0.25">
      <c r="A104" s="84">
        <f t="shared" si="538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62"/>
        <v/>
      </c>
      <c r="L104" s="327" t="str">
        <f t="shared" si="666"/>
        <v/>
      </c>
      <c r="M104" s="173" t="str">
        <f t="shared" si="471"/>
        <v/>
      </c>
      <c r="N104" s="21" t="str">
        <f t="shared" si="472"/>
        <v/>
      </c>
      <c r="O104" s="5" t="str">
        <f t="shared" si="473"/>
        <v/>
      </c>
      <c r="P104" s="10" t="str">
        <f t="shared" si="474"/>
        <v/>
      </c>
      <c r="Q104" s="624" t="str">
        <f t="shared" si="539"/>
        <v/>
      </c>
      <c r="R104" s="5" t="str">
        <f t="shared" si="84"/>
        <v/>
      </c>
      <c r="S104" s="6" t="str">
        <f t="shared" si="85"/>
        <v/>
      </c>
      <c r="T104" s="4" t="str">
        <f t="shared" si="86"/>
        <v/>
      </c>
      <c r="U104" s="5" t="str">
        <f t="shared" si="87"/>
        <v/>
      </c>
      <c r="V104" s="8" t="str">
        <f t="shared" si="118"/>
        <v/>
      </c>
      <c r="W104" s="624" t="str">
        <f t="shared" si="663"/>
        <v/>
      </c>
      <c r="X104" s="5" t="str">
        <f t="shared" si="88"/>
        <v/>
      </c>
      <c r="Y104" s="7" t="str">
        <f t="shared" si="661"/>
        <v/>
      </c>
      <c r="Z104" s="21" t="str">
        <f t="shared" si="475"/>
        <v/>
      </c>
      <c r="AA104" s="5" t="str">
        <f t="shared" si="476"/>
        <v/>
      </c>
      <c r="AB104" s="5" t="str">
        <f t="shared" si="477"/>
        <v/>
      </c>
      <c r="AC104" s="8" t="str">
        <f t="shared" si="89"/>
        <v/>
      </c>
      <c r="AD104" s="9" t="str">
        <f t="shared" si="119"/>
        <v/>
      </c>
      <c r="AE104" s="5" t="str">
        <f t="shared" si="90"/>
        <v/>
      </c>
      <c r="AF104" s="10" t="str">
        <f t="shared" si="91"/>
        <v/>
      </c>
      <c r="AG104" s="622" t="str">
        <f t="shared" si="92"/>
        <v/>
      </c>
      <c r="AH104" s="623" t="str">
        <f t="shared" si="93"/>
        <v/>
      </c>
      <c r="AI104" s="624" t="str">
        <f t="shared" si="94"/>
        <v/>
      </c>
      <c r="AJ104" s="625" t="str">
        <f t="shared" si="95"/>
        <v/>
      </c>
      <c r="AK104" s="4" t="str">
        <f t="shared" si="214"/>
        <v/>
      </c>
      <c r="AL104" s="5" t="str">
        <f t="shared" si="96"/>
        <v/>
      </c>
      <c r="AM104" s="6" t="str">
        <f t="shared" si="97"/>
        <v/>
      </c>
      <c r="AN104" s="612" t="str">
        <f t="shared" si="98"/>
        <v/>
      </c>
      <c r="AO104" s="613" t="str">
        <f t="shared" si="468"/>
        <v/>
      </c>
      <c r="AP104" s="624" t="str">
        <f t="shared" si="100"/>
        <v/>
      </c>
      <c r="AQ104" s="625" t="str">
        <f t="shared" si="478"/>
        <v/>
      </c>
      <c r="AS104" s="56" t="str">
        <f t="shared" si="561"/>
        <v/>
      </c>
      <c r="AT104" s="78" t="str">
        <f t="shared" si="479"/>
        <v/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 t="str">
        <f t="shared" si="524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1" t="str" cm="1">
        <f t="array" ref="II104">IFERROR(IF(IH104&lt;1,IH104+LARGE((IF($M$9:$M$150="",0,$M$9:$M$150)-MOD(IF($M$9:$M$150="",0,$M$9:$M$150),1)),1),IH104),"")</f>
        <v/>
      </c>
      <c r="IJ104" s="842" t="str">
        <f t="shared" si="525"/>
        <v/>
      </c>
      <c r="IK104" s="842" t="str">
        <f t="shared" si="526"/>
        <v/>
      </c>
      <c r="IL104" s="791" t="str">
        <f t="shared" si="527"/>
        <v/>
      </c>
      <c r="IM104" s="833"/>
      <c r="IN104" s="5" t="str">
        <f t="shared" si="667"/>
        <v/>
      </c>
      <c r="IO104" s="802" t="str">
        <f t="shared" si="665"/>
        <v/>
      </c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6" t="str">
        <f t="shared" si="537"/>
        <v/>
      </c>
    </row>
    <row r="105" spans="1:259" ht="15" customHeight="1" x14ac:dyDescent="0.25">
      <c r="A105" s="84">
        <f t="shared" si="538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62"/>
        <v/>
      </c>
      <c r="L105" s="327" t="str">
        <f t="shared" si="666"/>
        <v/>
      </c>
      <c r="M105" s="173" t="str">
        <f t="shared" ref="M105:M136" si="671">IF(J105="","",VALUE(J105))</f>
        <v/>
      </c>
      <c r="N105" s="21" t="str">
        <f t="shared" ref="N105:N136" si="672">IF(M105="","",B105)</f>
        <v/>
      </c>
      <c r="O105" s="5" t="str">
        <f t="shared" ref="O105:O136" si="673">IF(M105="","",C105)</f>
        <v/>
      </c>
      <c r="P105" s="10" t="str">
        <f t="shared" ref="P105:P136" si="674">IF(M105="","",D105)</f>
        <v/>
      </c>
      <c r="Q105" s="624" t="str">
        <f t="shared" si="539"/>
        <v/>
      </c>
      <c r="R105" s="5" t="str">
        <f t="shared" si="84"/>
        <v/>
      </c>
      <c r="S105" s="6" t="str">
        <f t="shared" si="85"/>
        <v/>
      </c>
      <c r="T105" s="4" t="str">
        <f t="shared" si="86"/>
        <v/>
      </c>
      <c r="U105" s="5" t="str">
        <f t="shared" si="87"/>
        <v/>
      </c>
      <c r="V105" s="8" t="str">
        <f t="shared" si="118"/>
        <v/>
      </c>
      <c r="W105" s="624" t="str">
        <f t="shared" si="663"/>
        <v/>
      </c>
      <c r="X105" s="5" t="str">
        <f t="shared" si="88"/>
        <v/>
      </c>
      <c r="Y105" s="7" t="str">
        <f t="shared" si="661"/>
        <v/>
      </c>
      <c r="Z105" s="21" t="str">
        <f t="shared" ref="Z105:Z136" si="675">IF(M105="","",-E105)</f>
        <v/>
      </c>
      <c r="AA105" s="5" t="str">
        <f t="shared" ref="AA105:AA136" si="676">IF(M105="","",-F105)</f>
        <v/>
      </c>
      <c r="AB105" s="5" t="str">
        <f t="shared" ref="AB105:AB136" si="677">IF(M105="","",-G105)</f>
        <v/>
      </c>
      <c r="AC105" s="8" t="str">
        <f t="shared" si="89"/>
        <v/>
      </c>
      <c r="AD105" s="9" t="str">
        <f t="shared" si="119"/>
        <v/>
      </c>
      <c r="AE105" s="5" t="str">
        <f t="shared" si="90"/>
        <v/>
      </c>
      <c r="AF105" s="10" t="str">
        <f t="shared" si="91"/>
        <v/>
      </c>
      <c r="AG105" s="622" t="str">
        <f t="shared" si="92"/>
        <v/>
      </c>
      <c r="AH105" s="623" t="str">
        <f t="shared" si="93"/>
        <v/>
      </c>
      <c r="AI105" s="624" t="str">
        <f t="shared" si="94"/>
        <v/>
      </c>
      <c r="AJ105" s="625" t="str">
        <f t="shared" si="95"/>
        <v/>
      </c>
      <c r="AK105" s="4" t="str">
        <f t="shared" si="214"/>
        <v/>
      </c>
      <c r="AL105" s="5" t="str">
        <f t="shared" si="96"/>
        <v/>
      </c>
      <c r="AM105" s="6" t="str">
        <f t="shared" si="97"/>
        <v/>
      </c>
      <c r="AN105" s="612" t="str">
        <f t="shared" si="98"/>
        <v/>
      </c>
      <c r="AO105" s="613" t="str">
        <f t="shared" si="468"/>
        <v/>
      </c>
      <c r="AP105" s="624" t="str">
        <f t="shared" si="100"/>
        <v/>
      </c>
      <c r="AQ105" s="625" t="str">
        <f t="shared" ref="AQ105:AQ136" si="678">IF(M105="","",DEGREES(ATAN(($AS$5*SIN(RADIANS(90)))/(($X105*2*PI())-($AS$5*COS(RADIANS(90)))))))</f>
        <v/>
      </c>
      <c r="AS105" s="56" t="str">
        <f t="shared" si="561"/>
        <v/>
      </c>
      <c r="AT105" s="78" t="str">
        <f t="shared" ref="AT105:AT136" si="679">IF(M105="","",Y105+(((AS105-$AS$9)*$AS$6)*-1))</f>
        <v/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 t="str">
        <f t="shared" ref="IG105:IG136" si="724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1" t="str" cm="1">
        <f t="array" ref="II105">IFERROR(IF(IH105&lt;1,IH105+LARGE((IF($M$9:$M$150="",0,$M$9:$M$150)-MOD(IF($M$9:$M$150="",0,$M$9:$M$150),1)),1),IH105),"")</f>
        <v/>
      </c>
      <c r="IJ105" s="842" t="str">
        <f t="shared" ref="IJ105:IJ136" si="725">IF(ISNUMBER($II105),INDEX($K$9:$K$150,MATCH($II105,$M$9:$M$150,0)),"")</f>
        <v/>
      </c>
      <c r="IK105" s="842" t="str">
        <f t="shared" ref="IK105:IK136" si="726">IF(ISNUMBER($II105),INDEX($K$9:$K$150,MATCH($IG105,$M$9:$M$150,0)),"")</f>
        <v/>
      </c>
      <c r="IL105" s="791" t="str">
        <f t="shared" ref="IL105:IL136" si="727">IF(ISNUMBER($II105),IFERROR(IF(INDEX($W$9:$W$150,MATCH($II105,$M$9:$M$150,0))&lt;$W105,((INDEX($W$9:$W$150,MATCH($II105,$M$9:$M$150,0))+360)-$W105),INDEX($W$9:$W$150,MATCH($II105,$M$9:$M$150,0))-$W105),""),"")</f>
        <v/>
      </c>
      <c r="IM105" s="833"/>
      <c r="IN105" s="5" t="str">
        <f t="shared" si="667"/>
        <v/>
      </c>
      <c r="IO105" s="802" t="str">
        <f t="shared" ref="IO105:IO136" si="728">IF(ISNUMBER($II105),IN105/12*$AS$3*60,"")</f>
        <v/>
      </c>
      <c r="IP105" s="9" t="str">
        <f t="shared" ref="IP105:IP136" si="729">IF(ISNUMBER($II105),(INDEX($X$9:$X$150,MATCH($II105,$M$9:$M$150,0))*-1),"")</f>
        <v/>
      </c>
      <c r="IQ105" s="5" t="str">
        <f t="shared" ref="IQ105:IQ136" si="730">IF(ISNUMBER($II105),INDEX($Y$9:$Y$150,MATCH($II105,$M$9:$M$150,0)),"")</f>
        <v/>
      </c>
      <c r="IR105" s="5" t="str">
        <f t="shared" ref="IR105:IR136" si="731">IF(ISNUMBER($II105),INDEX($H$9:$H$150,MATCH($II105,$M$9:$M$150,0)),"")</f>
        <v/>
      </c>
      <c r="IS105" s="5" t="str">
        <f t="shared" ref="IS105:IS136" si="732">IF(ISNUMBER($II105),$IR105*COS(RADIANS(INDEX($AO$9:$AO$150,MATCH($II105,$M$9:$M$150,0)))),"")</f>
        <v/>
      </c>
      <c r="IT105" s="791" t="str">
        <f t="shared" ref="IT105:IT136" si="733">IF(ISNUMBER($II105),ABS(INDEX($AN$9:$AN$150,MATCH($II105,$M$9:$M$150,0))),"")</f>
        <v/>
      </c>
      <c r="IU105" s="9" t="str">
        <f t="shared" ref="IU105:IU136" si="734">IF(ISNUMBER($II105),-$X105,"")</f>
        <v/>
      </c>
      <c r="IV105" s="5" t="str">
        <f t="shared" ref="IV105:IV136" si="735">IF(ISNUMBER($II105),$Y105,"")</f>
        <v/>
      </c>
      <c r="IW105" s="5" t="str">
        <f t="shared" ref="IW105:IW136" si="736">IF(ISNUMBER($II105),$H105,"")</f>
        <v/>
      </c>
      <c r="IX105" s="5" t="str">
        <f t="shared" ref="IX105:IX136" si="737">IF(ISNUMBER($II105),$IW105*COS(RADIANS($AO105)),"")</f>
        <v/>
      </c>
      <c r="IY105" s="836" t="str">
        <f t="shared" ref="IY105:IY136" si="738">IF(ISNUMBER($II105),ABS($AN105),"")</f>
        <v/>
      </c>
    </row>
    <row r="106" spans="1:259" ht="15" customHeight="1" x14ac:dyDescent="0.25">
      <c r="A106" s="84">
        <f t="shared" si="538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62"/>
        <v/>
      </c>
      <c r="L106" s="327" t="str">
        <f t="shared" si="666"/>
        <v/>
      </c>
      <c r="M106" s="173" t="str">
        <f t="shared" si="671"/>
        <v/>
      </c>
      <c r="N106" s="21" t="str">
        <f t="shared" si="672"/>
        <v/>
      </c>
      <c r="O106" s="5" t="str">
        <f t="shared" si="673"/>
        <v/>
      </c>
      <c r="P106" s="10" t="str">
        <f t="shared" si="674"/>
        <v/>
      </c>
      <c r="Q106" s="624" t="str">
        <f t="shared" si="539"/>
        <v/>
      </c>
      <c r="R106" s="5" t="str">
        <f t="shared" ref="R106:R129" si="739">IF(M106="","",SQRT(N106^2+O106^2))</f>
        <v/>
      </c>
      <c r="S106" s="6" t="str">
        <f t="shared" ref="S106:S129" si="740">IF(M106="","",P106)</f>
        <v/>
      </c>
      <c r="T106" s="4" t="str">
        <f t="shared" ref="T106:T129" si="741">IF(M106="","",X106*COS(RADIANS(W106)))</f>
        <v/>
      </c>
      <c r="U106" s="5" t="str">
        <f t="shared" ref="U106:U129" si="742">IF(M106="","",X106*SIN(RADIANS(W106)))</f>
        <v/>
      </c>
      <c r="V106" s="8" t="str">
        <f t="shared" ref="V106:V129" si="743">IF(M106="","",Y106)</f>
        <v/>
      </c>
      <c r="W106" s="624" t="str">
        <f t="shared" si="663"/>
        <v/>
      </c>
      <c r="X106" s="5" t="str">
        <f t="shared" ref="X106:X129" si="744">IF(M106="","",R106)</f>
        <v/>
      </c>
      <c r="Y106" s="7" t="str">
        <f t="shared" si="661"/>
        <v/>
      </c>
      <c r="Z106" s="21" t="str">
        <f t="shared" si="675"/>
        <v/>
      </c>
      <c r="AA106" s="5" t="str">
        <f t="shared" si="676"/>
        <v/>
      </c>
      <c r="AB106" s="5" t="str">
        <f t="shared" si="677"/>
        <v/>
      </c>
      <c r="AC106" s="8" t="str">
        <f t="shared" ref="AC106:AC129" si="745">IF(M106="","",SQRT(Z106^2+AA106^2+AB106^2))</f>
        <v/>
      </c>
      <c r="AD106" s="9" t="str">
        <f t="shared" ref="AD106:AD129" si="746">IF(M106="","",Z106*(1/SQRT(Z106^2+AA106^2+AB106^2)))</f>
        <v/>
      </c>
      <c r="AE106" s="5" t="str">
        <f t="shared" ref="AE106:AE129" si="747">IF(M106="","",AA106*(1/SQRT(Z106^2+AA106^2+AB106^2)))</f>
        <v/>
      </c>
      <c r="AF106" s="10" t="str">
        <f t="shared" ref="AF106:AF129" si="748">IF(M106="","",AB106*(1/SQRT(Z106^2+AA106^2+AB106^2)))</f>
        <v/>
      </c>
      <c r="AG106" s="622" t="str">
        <f t="shared" ref="AG106:AG129" si="749">IF(M106="","",DEGREES(ATAN2(-AF106,AE106)))</f>
        <v/>
      </c>
      <c r="AH106" s="623" t="str">
        <f t="shared" ref="AH106:AH129" si="750">IF(M106="","",DEGREES(ACOS(AD106)))</f>
        <v/>
      </c>
      <c r="AI106" s="624" t="str">
        <f t="shared" ref="AI106:AI129" si="751">IF(M106="","",DEGREES(-ACOS(-AF106)))</f>
        <v/>
      </c>
      <c r="AJ106" s="625" t="str">
        <f t="shared" ref="AJ106:AJ129" si="752">IF(M106="","",DEGREES(ATAN2(-AE106,AD106)))</f>
        <v/>
      </c>
      <c r="AK106" s="4" t="str">
        <f t="shared" ref="AK106:AK129" si="753">IF(M106="","",(COS(RADIANS((90-$Q$8)-W106))*AD106)+(-SIN(RADIANS((90-$Q$8)-W106))*AE106))</f>
        <v/>
      </c>
      <c r="AL106" s="5" t="str">
        <f t="shared" ref="AL106:AL129" si="754">IF(M106="","",(SIN(RADIANS((90-$Q$8)-W106))*AD106)+(COS(RADIANS((90-$Q$8)-W106))*AE106))</f>
        <v/>
      </c>
      <c r="AM106" s="6" t="str">
        <f t="shared" ref="AM106:AM129" si="755">IF(M106="","",AF106)</f>
        <v/>
      </c>
      <c r="AN106" s="612" t="str">
        <f t="shared" ref="AN106:AN129" si="756">IF(M106="","",DEGREES(ATAN2(-AM106,AL106)))</f>
        <v/>
      </c>
      <c r="AO106" s="613" t="str">
        <f t="shared" si="468"/>
        <v/>
      </c>
      <c r="AP106" s="624" t="str">
        <f t="shared" ref="AP106:AP129" si="757">IF(M106="","",DEGREES(ATAN2(AK106,AL106)))</f>
        <v/>
      </c>
      <c r="AQ106" s="625" t="str">
        <f t="shared" si="678"/>
        <v/>
      </c>
      <c r="AS106" s="56" t="str">
        <f t="shared" si="561"/>
        <v/>
      </c>
      <c r="AT106" s="78" t="str">
        <f t="shared" si="679"/>
        <v/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8">IF(ISNUMBER($AV106),0,"")</f>
        <v/>
      </c>
      <c r="BT106" s="5" t="str">
        <f t="shared" si="758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9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 t="str">
        <f t="shared" si="724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1" t="str" cm="1">
        <f t="array" ref="II106">IFERROR(IF(IH106&lt;1,IH106+LARGE((IF($M$9:$M$150="",0,$M$9:$M$150)-MOD(IF($M$9:$M$150="",0,$M$9:$M$150),1)),1),IH106),"")</f>
        <v/>
      </c>
      <c r="IJ106" s="842" t="str">
        <f t="shared" si="725"/>
        <v/>
      </c>
      <c r="IK106" s="842" t="str">
        <f t="shared" si="726"/>
        <v/>
      </c>
      <c r="IL106" s="791" t="str">
        <f t="shared" si="727"/>
        <v/>
      </c>
      <c r="IM106" s="833"/>
      <c r="IN106" s="5" t="str">
        <f t="shared" si="667"/>
        <v/>
      </c>
      <c r="IO106" s="802" t="str">
        <f t="shared" si="728"/>
        <v/>
      </c>
      <c r="IP106" s="9" t="str">
        <f t="shared" si="729"/>
        <v/>
      </c>
      <c r="IQ106" s="5" t="str">
        <f t="shared" si="730"/>
        <v/>
      </c>
      <c r="IR106" s="5" t="str">
        <f t="shared" si="731"/>
        <v/>
      </c>
      <c r="IS106" s="5" t="str">
        <f t="shared" si="732"/>
        <v/>
      </c>
      <c r="IT106" s="791" t="str">
        <f t="shared" si="733"/>
        <v/>
      </c>
      <c r="IU106" s="9" t="str">
        <f t="shared" si="734"/>
        <v/>
      </c>
      <c r="IV106" s="5" t="str">
        <f t="shared" si="735"/>
        <v/>
      </c>
      <c r="IW106" s="5" t="str">
        <f t="shared" si="736"/>
        <v/>
      </c>
      <c r="IX106" s="5" t="str">
        <f t="shared" si="737"/>
        <v/>
      </c>
      <c r="IY106" s="836" t="str">
        <f t="shared" si="738"/>
        <v/>
      </c>
    </row>
    <row r="107" spans="1:259" ht="15" customHeight="1" x14ac:dyDescent="0.25">
      <c r="A107" s="84">
        <f t="shared" si="538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62"/>
        <v/>
      </c>
      <c r="L107" s="327" t="str">
        <f t="shared" si="666"/>
        <v/>
      </c>
      <c r="M107" s="173" t="str">
        <f t="shared" si="671"/>
        <v/>
      </c>
      <c r="N107" s="21" t="str">
        <f t="shared" si="672"/>
        <v/>
      </c>
      <c r="O107" s="5" t="str">
        <f t="shared" si="673"/>
        <v/>
      </c>
      <c r="P107" s="10" t="str">
        <f t="shared" si="674"/>
        <v/>
      </c>
      <c r="Q107" s="624" t="str">
        <f t="shared" si="539"/>
        <v/>
      </c>
      <c r="R107" s="5" t="str">
        <f t="shared" si="739"/>
        <v/>
      </c>
      <c r="S107" s="6" t="str">
        <f t="shared" si="740"/>
        <v/>
      </c>
      <c r="T107" s="4" t="str">
        <f t="shared" si="741"/>
        <v/>
      </c>
      <c r="U107" s="5" t="str">
        <f t="shared" si="742"/>
        <v/>
      </c>
      <c r="V107" s="8" t="str">
        <f t="shared" si="743"/>
        <v/>
      </c>
      <c r="W107" s="624" t="str">
        <f t="shared" si="663"/>
        <v/>
      </c>
      <c r="X107" s="5" t="str">
        <f t="shared" si="744"/>
        <v/>
      </c>
      <c r="Y107" s="7" t="str">
        <f t="shared" si="661"/>
        <v/>
      </c>
      <c r="Z107" s="21" t="str">
        <f t="shared" si="675"/>
        <v/>
      </c>
      <c r="AA107" s="5" t="str">
        <f t="shared" si="676"/>
        <v/>
      </c>
      <c r="AB107" s="5" t="str">
        <f t="shared" si="677"/>
        <v/>
      </c>
      <c r="AC107" s="8" t="str">
        <f t="shared" si="745"/>
        <v/>
      </c>
      <c r="AD107" s="9" t="str">
        <f t="shared" si="746"/>
        <v/>
      </c>
      <c r="AE107" s="5" t="str">
        <f t="shared" si="747"/>
        <v/>
      </c>
      <c r="AF107" s="10" t="str">
        <f t="shared" si="748"/>
        <v/>
      </c>
      <c r="AG107" s="622" t="str">
        <f t="shared" si="749"/>
        <v/>
      </c>
      <c r="AH107" s="623" t="str">
        <f t="shared" si="750"/>
        <v/>
      </c>
      <c r="AI107" s="624" t="str">
        <f t="shared" si="751"/>
        <v/>
      </c>
      <c r="AJ107" s="625" t="str">
        <f t="shared" si="752"/>
        <v/>
      </c>
      <c r="AK107" s="4" t="str">
        <f t="shared" si="753"/>
        <v/>
      </c>
      <c r="AL107" s="5" t="str">
        <f t="shared" si="754"/>
        <v/>
      </c>
      <c r="AM107" s="6" t="str">
        <f t="shared" si="755"/>
        <v/>
      </c>
      <c r="AN107" s="612" t="str">
        <f t="shared" si="756"/>
        <v/>
      </c>
      <c r="AO107" s="613" t="str">
        <f t="shared" si="468"/>
        <v/>
      </c>
      <c r="AP107" s="624" t="str">
        <f t="shared" si="757"/>
        <v/>
      </c>
      <c r="AQ107" s="625" t="str">
        <f t="shared" si="678"/>
        <v/>
      </c>
      <c r="AS107" s="56" t="str">
        <f t="shared" ref="AS107:AS138" si="760">IF(G107="","",IF(AND(W107&lt;(AS106+180),W107&gt;(AS106-180)),W107,IF(W107&gt;(AS106+180),W107-360,IF(W107&lt;(AS106-180),W107+360,"Error"))))</f>
        <v/>
      </c>
      <c r="AT107" s="78" t="str">
        <f t="shared" si="679"/>
        <v/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8"/>
        <v/>
      </c>
      <c r="BT107" s="5" t="str">
        <f t="shared" si="758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1">IF(ISNUMBER($AV107),0,"")</f>
        <v/>
      </c>
      <c r="DC107" s="5" t="str">
        <f t="shared" si="761"/>
        <v/>
      </c>
      <c r="DD107" s="10" t="str">
        <f t="shared" si="588"/>
        <v/>
      </c>
      <c r="DE107" s="9" t="str">
        <f t="shared" ref="DE107:DF150" si="762">IF(ISNUMBER($AV107),0,"")</f>
        <v/>
      </c>
      <c r="DF107" s="5" t="str">
        <f t="shared" si="762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9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 t="str">
        <f t="shared" si="724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7"/>
        <v/>
      </c>
      <c r="IO107" s="802" t="str">
        <f t="shared" si="728"/>
        <v/>
      </c>
      <c r="IP107" s="9" t="str">
        <f t="shared" si="729"/>
        <v/>
      </c>
      <c r="IQ107" s="5" t="str">
        <f t="shared" si="730"/>
        <v/>
      </c>
      <c r="IR107" s="5" t="str">
        <f t="shared" si="731"/>
        <v/>
      </c>
      <c r="IS107" s="5" t="str">
        <f t="shared" si="732"/>
        <v/>
      </c>
      <c r="IT107" s="791" t="str">
        <f t="shared" si="733"/>
        <v/>
      </c>
      <c r="IU107" s="9" t="str">
        <f t="shared" si="734"/>
        <v/>
      </c>
      <c r="IV107" s="5" t="str">
        <f t="shared" si="735"/>
        <v/>
      </c>
      <c r="IW107" s="5" t="str">
        <f t="shared" si="736"/>
        <v/>
      </c>
      <c r="IX107" s="5" t="str">
        <f t="shared" si="737"/>
        <v/>
      </c>
      <c r="IY107" s="836" t="str">
        <f t="shared" si="738"/>
        <v/>
      </c>
    </row>
    <row r="108" spans="1:259" ht="15" customHeight="1" x14ac:dyDescent="0.25">
      <c r="A108" s="84">
        <f t="shared" si="538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62"/>
        <v/>
      </c>
      <c r="L108" s="327" t="str">
        <f t="shared" si="666"/>
        <v/>
      </c>
      <c r="M108" s="173" t="str">
        <f t="shared" si="671"/>
        <v/>
      </c>
      <c r="N108" s="21" t="str">
        <f t="shared" si="672"/>
        <v/>
      </c>
      <c r="O108" s="5" t="str">
        <f t="shared" si="673"/>
        <v/>
      </c>
      <c r="P108" s="10" t="str">
        <f t="shared" si="674"/>
        <v/>
      </c>
      <c r="Q108" s="624" t="str">
        <f t="shared" si="539"/>
        <v/>
      </c>
      <c r="R108" s="5" t="str">
        <f t="shared" si="739"/>
        <v/>
      </c>
      <c r="S108" s="6" t="str">
        <f t="shared" si="740"/>
        <v/>
      </c>
      <c r="T108" s="4" t="str">
        <f t="shared" si="741"/>
        <v/>
      </c>
      <c r="U108" s="5" t="str">
        <f t="shared" si="742"/>
        <v/>
      </c>
      <c r="V108" s="8" t="str">
        <f t="shared" si="743"/>
        <v/>
      </c>
      <c r="W108" s="624" t="str">
        <f t="shared" si="663"/>
        <v/>
      </c>
      <c r="X108" s="5" t="str">
        <f t="shared" si="744"/>
        <v/>
      </c>
      <c r="Y108" s="7" t="str">
        <f t="shared" si="661"/>
        <v/>
      </c>
      <c r="Z108" s="21" t="str">
        <f t="shared" si="675"/>
        <v/>
      </c>
      <c r="AA108" s="5" t="str">
        <f t="shared" si="676"/>
        <v/>
      </c>
      <c r="AB108" s="5" t="str">
        <f t="shared" si="677"/>
        <v/>
      </c>
      <c r="AC108" s="8" t="str">
        <f t="shared" si="745"/>
        <v/>
      </c>
      <c r="AD108" s="9" t="str">
        <f t="shared" si="746"/>
        <v/>
      </c>
      <c r="AE108" s="5" t="str">
        <f t="shared" si="747"/>
        <v/>
      </c>
      <c r="AF108" s="10" t="str">
        <f t="shared" si="748"/>
        <v/>
      </c>
      <c r="AG108" s="622" t="str">
        <f t="shared" si="749"/>
        <v/>
      </c>
      <c r="AH108" s="623" t="str">
        <f t="shared" si="750"/>
        <v/>
      </c>
      <c r="AI108" s="624" t="str">
        <f t="shared" si="751"/>
        <v/>
      </c>
      <c r="AJ108" s="625" t="str">
        <f t="shared" si="752"/>
        <v/>
      </c>
      <c r="AK108" s="4" t="str">
        <f t="shared" si="753"/>
        <v/>
      </c>
      <c r="AL108" s="5" t="str">
        <f t="shared" si="754"/>
        <v/>
      </c>
      <c r="AM108" s="6" t="str">
        <f t="shared" si="755"/>
        <v/>
      </c>
      <c r="AN108" s="612" t="str">
        <f t="shared" si="756"/>
        <v/>
      </c>
      <c r="AO108" s="613" t="str">
        <f t="shared" si="468"/>
        <v/>
      </c>
      <c r="AP108" s="624" t="str">
        <f t="shared" si="757"/>
        <v/>
      </c>
      <c r="AQ108" s="625" t="str">
        <f t="shared" si="678"/>
        <v/>
      </c>
      <c r="AS108" s="56" t="str">
        <f t="shared" si="760"/>
        <v/>
      </c>
      <c r="AT108" s="78" t="str">
        <f t="shared" si="679"/>
        <v/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8"/>
        <v/>
      </c>
      <c r="BT108" s="5" t="str">
        <f t="shared" si="758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1"/>
        <v/>
      </c>
      <c r="DC108" s="5" t="str">
        <f t="shared" si="761"/>
        <v/>
      </c>
      <c r="DD108" s="10" t="str">
        <f t="shared" si="588"/>
        <v/>
      </c>
      <c r="DE108" s="9" t="str">
        <f t="shared" si="762"/>
        <v/>
      </c>
      <c r="DF108" s="5" t="str">
        <f t="shared" si="762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9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 t="str">
        <f t="shared" si="724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1" t="str" cm="1">
        <f t="array" ref="II108">IFERROR(IF(IH108&lt;1,IH108+LARGE((IF($M$9:$M$150="",0,$M$9:$M$150)-MOD(IF($M$9:$M$150="",0,$M$9:$M$150),1)),1),IH108),"")</f>
        <v/>
      </c>
      <c r="IJ108" s="842" t="str">
        <f t="shared" si="725"/>
        <v/>
      </c>
      <c r="IK108" s="842" t="str">
        <f t="shared" si="726"/>
        <v/>
      </c>
      <c r="IL108" s="791" t="str">
        <f t="shared" si="727"/>
        <v/>
      </c>
      <c r="IM108" s="833"/>
      <c r="IN108" s="5" t="str">
        <f t="shared" si="667"/>
        <v/>
      </c>
      <c r="IO108" s="802" t="str">
        <f t="shared" si="728"/>
        <v/>
      </c>
      <c r="IP108" s="9" t="str">
        <f t="shared" si="729"/>
        <v/>
      </c>
      <c r="IQ108" s="5" t="str">
        <f t="shared" si="730"/>
        <v/>
      </c>
      <c r="IR108" s="5" t="str">
        <f t="shared" si="731"/>
        <v/>
      </c>
      <c r="IS108" s="5" t="str">
        <f t="shared" si="732"/>
        <v/>
      </c>
      <c r="IT108" s="791" t="str">
        <f t="shared" si="733"/>
        <v/>
      </c>
      <c r="IU108" s="9" t="str">
        <f t="shared" si="734"/>
        <v/>
      </c>
      <c r="IV108" s="5" t="str">
        <f t="shared" si="735"/>
        <v/>
      </c>
      <c r="IW108" s="5" t="str">
        <f t="shared" si="736"/>
        <v/>
      </c>
      <c r="IX108" s="5" t="str">
        <f t="shared" si="737"/>
        <v/>
      </c>
      <c r="IY108" s="836" t="str">
        <f t="shared" si="738"/>
        <v/>
      </c>
    </row>
    <row r="109" spans="1:259" ht="15" customHeight="1" x14ac:dyDescent="0.25">
      <c r="A109" s="84">
        <f t="shared" si="538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62"/>
        <v/>
      </c>
      <c r="L109" s="327" t="str">
        <f t="shared" si="666"/>
        <v/>
      </c>
      <c r="M109" s="173" t="str">
        <f t="shared" si="671"/>
        <v/>
      </c>
      <c r="N109" s="21" t="str">
        <f t="shared" si="672"/>
        <v/>
      </c>
      <c r="O109" s="5" t="str">
        <f t="shared" si="673"/>
        <v/>
      </c>
      <c r="P109" s="10" t="str">
        <f t="shared" si="674"/>
        <v/>
      </c>
      <c r="Q109" s="624" t="str">
        <f t="shared" si="539"/>
        <v/>
      </c>
      <c r="R109" s="5" t="str">
        <f t="shared" si="739"/>
        <v/>
      </c>
      <c r="S109" s="6" t="str">
        <f t="shared" si="740"/>
        <v/>
      </c>
      <c r="T109" s="4" t="str">
        <f t="shared" si="741"/>
        <v/>
      </c>
      <c r="U109" s="5" t="str">
        <f t="shared" si="742"/>
        <v/>
      </c>
      <c r="V109" s="8" t="str">
        <f t="shared" si="743"/>
        <v/>
      </c>
      <c r="W109" s="624" t="str">
        <f t="shared" si="663"/>
        <v/>
      </c>
      <c r="X109" s="5" t="str">
        <f t="shared" si="744"/>
        <v/>
      </c>
      <c r="Y109" s="7" t="str">
        <f t="shared" si="661"/>
        <v/>
      </c>
      <c r="Z109" s="21" t="str">
        <f t="shared" si="675"/>
        <v/>
      </c>
      <c r="AA109" s="5" t="str">
        <f t="shared" si="676"/>
        <v/>
      </c>
      <c r="AB109" s="5" t="str">
        <f t="shared" si="677"/>
        <v/>
      </c>
      <c r="AC109" s="8" t="str">
        <f t="shared" si="745"/>
        <v/>
      </c>
      <c r="AD109" s="9" t="str">
        <f t="shared" si="746"/>
        <v/>
      </c>
      <c r="AE109" s="5" t="str">
        <f t="shared" si="747"/>
        <v/>
      </c>
      <c r="AF109" s="10" t="str">
        <f t="shared" si="748"/>
        <v/>
      </c>
      <c r="AG109" s="622" t="str">
        <f t="shared" si="749"/>
        <v/>
      </c>
      <c r="AH109" s="623" t="str">
        <f t="shared" si="750"/>
        <v/>
      </c>
      <c r="AI109" s="624" t="str">
        <f t="shared" si="751"/>
        <v/>
      </c>
      <c r="AJ109" s="625" t="str">
        <f t="shared" si="752"/>
        <v/>
      </c>
      <c r="AK109" s="4" t="str">
        <f t="shared" si="753"/>
        <v/>
      </c>
      <c r="AL109" s="5" t="str">
        <f t="shared" si="754"/>
        <v/>
      </c>
      <c r="AM109" s="6" t="str">
        <f t="shared" si="755"/>
        <v/>
      </c>
      <c r="AN109" s="612" t="str">
        <f t="shared" si="756"/>
        <v/>
      </c>
      <c r="AO109" s="613" t="str">
        <f t="shared" si="468"/>
        <v/>
      </c>
      <c r="AP109" s="624" t="str">
        <f t="shared" si="757"/>
        <v/>
      </c>
      <c r="AQ109" s="625" t="str">
        <f t="shared" si="678"/>
        <v/>
      </c>
      <c r="AS109" s="56" t="str">
        <f t="shared" si="760"/>
        <v/>
      </c>
      <c r="AT109" s="78" t="str">
        <f t="shared" si="679"/>
        <v/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8"/>
        <v/>
      </c>
      <c r="BT109" s="5" t="str">
        <f t="shared" si="758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1"/>
        <v/>
      </c>
      <c r="DC109" s="5" t="str">
        <f t="shared" si="761"/>
        <v/>
      </c>
      <c r="DD109" s="10" t="str">
        <f t="shared" si="588"/>
        <v/>
      </c>
      <c r="DE109" s="9" t="str">
        <f t="shared" si="762"/>
        <v/>
      </c>
      <c r="DF109" s="5" t="str">
        <f t="shared" si="762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9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 t="str">
        <f t="shared" si="724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1" t="str" cm="1">
        <f t="array" ref="II109">IFERROR(IF(IH109&lt;1,IH109+LARGE((IF($M$9:$M$150="",0,$M$9:$M$150)-MOD(IF($M$9:$M$150="",0,$M$9:$M$150),1)),1),IH109),"")</f>
        <v/>
      </c>
      <c r="IJ109" s="842" t="str">
        <f t="shared" si="725"/>
        <v/>
      </c>
      <c r="IK109" s="842" t="str">
        <f t="shared" si="726"/>
        <v/>
      </c>
      <c r="IL109" s="791" t="str">
        <f t="shared" si="727"/>
        <v/>
      </c>
      <c r="IM109" s="833"/>
      <c r="IN109" s="5" t="str">
        <f t="shared" si="667"/>
        <v/>
      </c>
      <c r="IO109" s="802" t="str">
        <f t="shared" si="728"/>
        <v/>
      </c>
      <c r="IP109" s="9" t="str">
        <f t="shared" si="729"/>
        <v/>
      </c>
      <c r="IQ109" s="5" t="str">
        <f t="shared" si="730"/>
        <v/>
      </c>
      <c r="IR109" s="5" t="str">
        <f t="shared" si="731"/>
        <v/>
      </c>
      <c r="IS109" s="5" t="str">
        <f t="shared" si="732"/>
        <v/>
      </c>
      <c r="IT109" s="791" t="str">
        <f t="shared" si="733"/>
        <v/>
      </c>
      <c r="IU109" s="9" t="str">
        <f t="shared" si="734"/>
        <v/>
      </c>
      <c r="IV109" s="5" t="str">
        <f t="shared" si="735"/>
        <v/>
      </c>
      <c r="IW109" s="5" t="str">
        <f t="shared" si="736"/>
        <v/>
      </c>
      <c r="IX109" s="5" t="str">
        <f t="shared" si="737"/>
        <v/>
      </c>
      <c r="IY109" s="836" t="str">
        <f t="shared" si="738"/>
        <v/>
      </c>
    </row>
    <row r="110" spans="1:259" ht="15" customHeight="1" x14ac:dyDescent="0.25">
      <c r="A110" s="84">
        <f t="shared" si="538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62"/>
        <v/>
      </c>
      <c r="L110" s="327" t="str">
        <f t="shared" si="666"/>
        <v/>
      </c>
      <c r="M110" s="173" t="str">
        <f t="shared" si="671"/>
        <v/>
      </c>
      <c r="N110" s="21" t="str">
        <f t="shared" si="672"/>
        <v/>
      </c>
      <c r="O110" s="5" t="str">
        <f t="shared" si="673"/>
        <v/>
      </c>
      <c r="P110" s="10" t="str">
        <f t="shared" si="674"/>
        <v/>
      </c>
      <c r="Q110" s="624" t="str">
        <f t="shared" si="539"/>
        <v/>
      </c>
      <c r="R110" s="5" t="str">
        <f t="shared" si="739"/>
        <v/>
      </c>
      <c r="S110" s="6" t="str">
        <f t="shared" si="740"/>
        <v/>
      </c>
      <c r="T110" s="4" t="str">
        <f t="shared" si="741"/>
        <v/>
      </c>
      <c r="U110" s="5" t="str">
        <f t="shared" si="742"/>
        <v/>
      </c>
      <c r="V110" s="8" t="str">
        <f t="shared" si="743"/>
        <v/>
      </c>
      <c r="W110" s="624" t="str">
        <f t="shared" si="663"/>
        <v/>
      </c>
      <c r="X110" s="5" t="str">
        <f t="shared" si="744"/>
        <v/>
      </c>
      <c r="Y110" s="7" t="str">
        <f t="shared" si="661"/>
        <v/>
      </c>
      <c r="Z110" s="21" t="str">
        <f t="shared" si="675"/>
        <v/>
      </c>
      <c r="AA110" s="5" t="str">
        <f t="shared" si="676"/>
        <v/>
      </c>
      <c r="AB110" s="5" t="str">
        <f t="shared" si="677"/>
        <v/>
      </c>
      <c r="AC110" s="8" t="str">
        <f t="shared" si="745"/>
        <v/>
      </c>
      <c r="AD110" s="9" t="str">
        <f t="shared" si="746"/>
        <v/>
      </c>
      <c r="AE110" s="5" t="str">
        <f t="shared" si="747"/>
        <v/>
      </c>
      <c r="AF110" s="10" t="str">
        <f t="shared" si="748"/>
        <v/>
      </c>
      <c r="AG110" s="622" t="str">
        <f t="shared" si="749"/>
        <v/>
      </c>
      <c r="AH110" s="623" t="str">
        <f t="shared" si="750"/>
        <v/>
      </c>
      <c r="AI110" s="624" t="str">
        <f t="shared" si="751"/>
        <v/>
      </c>
      <c r="AJ110" s="625" t="str">
        <f t="shared" si="752"/>
        <v/>
      </c>
      <c r="AK110" s="4" t="str">
        <f t="shared" si="753"/>
        <v/>
      </c>
      <c r="AL110" s="5" t="str">
        <f t="shared" si="754"/>
        <v/>
      </c>
      <c r="AM110" s="6" t="str">
        <f t="shared" si="755"/>
        <v/>
      </c>
      <c r="AN110" s="612" t="str">
        <f t="shared" si="756"/>
        <v/>
      </c>
      <c r="AO110" s="613" t="str">
        <f t="shared" si="468"/>
        <v/>
      </c>
      <c r="AP110" s="624" t="str">
        <f t="shared" si="757"/>
        <v/>
      </c>
      <c r="AQ110" s="625" t="str">
        <f t="shared" si="678"/>
        <v/>
      </c>
      <c r="AS110" s="56" t="str">
        <f t="shared" si="760"/>
        <v/>
      </c>
      <c r="AT110" s="78" t="str">
        <f t="shared" si="679"/>
        <v/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8"/>
        <v/>
      </c>
      <c r="BT110" s="5" t="str">
        <f t="shared" si="758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1"/>
        <v/>
      </c>
      <c r="DC110" s="5" t="str">
        <f t="shared" si="761"/>
        <v/>
      </c>
      <c r="DD110" s="10" t="str">
        <f t="shared" si="588"/>
        <v/>
      </c>
      <c r="DE110" s="9" t="str">
        <f t="shared" si="762"/>
        <v/>
      </c>
      <c r="DF110" s="5" t="str">
        <f t="shared" si="762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9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 t="str">
        <f t="shared" si="724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1" t="str" cm="1">
        <f t="array" ref="II110">IFERROR(IF(IH110&lt;1,IH110+LARGE((IF($M$9:$M$150="",0,$M$9:$M$150)-MOD(IF($M$9:$M$150="",0,$M$9:$M$150),1)),1),IH110),"")</f>
        <v/>
      </c>
      <c r="IJ110" s="842" t="str">
        <f t="shared" si="725"/>
        <v/>
      </c>
      <c r="IK110" s="842" t="str">
        <f t="shared" si="726"/>
        <v/>
      </c>
      <c r="IL110" s="791" t="str">
        <f t="shared" si="727"/>
        <v/>
      </c>
      <c r="IM110" s="833"/>
      <c r="IN110" s="5" t="str">
        <f t="shared" si="667"/>
        <v/>
      </c>
      <c r="IO110" s="802" t="str">
        <f t="shared" si="728"/>
        <v/>
      </c>
      <c r="IP110" s="9" t="str">
        <f t="shared" si="729"/>
        <v/>
      </c>
      <c r="IQ110" s="5" t="str">
        <f t="shared" si="730"/>
        <v/>
      </c>
      <c r="IR110" s="5" t="str">
        <f t="shared" si="731"/>
        <v/>
      </c>
      <c r="IS110" s="5" t="str">
        <f t="shared" si="732"/>
        <v/>
      </c>
      <c r="IT110" s="791" t="str">
        <f t="shared" si="733"/>
        <v/>
      </c>
      <c r="IU110" s="9" t="str">
        <f t="shared" si="734"/>
        <v/>
      </c>
      <c r="IV110" s="5" t="str">
        <f t="shared" si="735"/>
        <v/>
      </c>
      <c r="IW110" s="5" t="str">
        <f t="shared" si="736"/>
        <v/>
      </c>
      <c r="IX110" s="5" t="str">
        <f t="shared" si="737"/>
        <v/>
      </c>
      <c r="IY110" s="836" t="str">
        <f t="shared" si="738"/>
        <v/>
      </c>
    </row>
    <row r="111" spans="1:259" ht="15" customHeight="1" x14ac:dyDescent="0.25">
      <c r="A111" s="84">
        <f t="shared" si="538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62"/>
        <v/>
      </c>
      <c r="L111" s="327" t="str">
        <f t="shared" si="666"/>
        <v/>
      </c>
      <c r="M111" s="173" t="str">
        <f t="shared" si="671"/>
        <v/>
      </c>
      <c r="N111" s="21" t="str">
        <f t="shared" si="672"/>
        <v/>
      </c>
      <c r="O111" s="5" t="str">
        <f t="shared" si="673"/>
        <v/>
      </c>
      <c r="P111" s="10" t="str">
        <f t="shared" si="674"/>
        <v/>
      </c>
      <c r="Q111" s="624" t="str">
        <f t="shared" si="539"/>
        <v/>
      </c>
      <c r="R111" s="5" t="str">
        <f t="shared" si="739"/>
        <v/>
      </c>
      <c r="S111" s="6" t="str">
        <f t="shared" si="740"/>
        <v/>
      </c>
      <c r="T111" s="4" t="str">
        <f t="shared" si="741"/>
        <v/>
      </c>
      <c r="U111" s="5" t="str">
        <f t="shared" si="742"/>
        <v/>
      </c>
      <c r="V111" s="8" t="str">
        <f t="shared" si="743"/>
        <v/>
      </c>
      <c r="W111" s="624" t="str">
        <f t="shared" si="663"/>
        <v/>
      </c>
      <c r="X111" s="5" t="str">
        <f t="shared" si="744"/>
        <v/>
      </c>
      <c r="Y111" s="7" t="str">
        <f t="shared" si="661"/>
        <v/>
      </c>
      <c r="Z111" s="21" t="str">
        <f t="shared" si="675"/>
        <v/>
      </c>
      <c r="AA111" s="5" t="str">
        <f t="shared" si="676"/>
        <v/>
      </c>
      <c r="AB111" s="5" t="str">
        <f t="shared" si="677"/>
        <v/>
      </c>
      <c r="AC111" s="8" t="str">
        <f t="shared" si="745"/>
        <v/>
      </c>
      <c r="AD111" s="9" t="str">
        <f t="shared" si="746"/>
        <v/>
      </c>
      <c r="AE111" s="5" t="str">
        <f t="shared" si="747"/>
        <v/>
      </c>
      <c r="AF111" s="10" t="str">
        <f t="shared" si="748"/>
        <v/>
      </c>
      <c r="AG111" s="622" t="str">
        <f t="shared" si="749"/>
        <v/>
      </c>
      <c r="AH111" s="623" t="str">
        <f t="shared" si="750"/>
        <v/>
      </c>
      <c r="AI111" s="624" t="str">
        <f t="shared" si="751"/>
        <v/>
      </c>
      <c r="AJ111" s="625" t="str">
        <f t="shared" si="752"/>
        <v/>
      </c>
      <c r="AK111" s="4" t="str">
        <f t="shared" si="753"/>
        <v/>
      </c>
      <c r="AL111" s="5" t="str">
        <f t="shared" si="754"/>
        <v/>
      </c>
      <c r="AM111" s="6" t="str">
        <f t="shared" si="755"/>
        <v/>
      </c>
      <c r="AN111" s="612" t="str">
        <f t="shared" si="756"/>
        <v/>
      </c>
      <c r="AO111" s="613" t="str">
        <f t="shared" si="468"/>
        <v/>
      </c>
      <c r="AP111" s="624" t="str">
        <f t="shared" si="757"/>
        <v/>
      </c>
      <c r="AQ111" s="625" t="str">
        <f t="shared" si="678"/>
        <v/>
      </c>
      <c r="AS111" s="56" t="str">
        <f t="shared" si="760"/>
        <v/>
      </c>
      <c r="AT111" s="78" t="str">
        <f t="shared" si="679"/>
        <v/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8"/>
        <v/>
      </c>
      <c r="BT111" s="5" t="str">
        <f t="shared" si="758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1"/>
        <v/>
      </c>
      <c r="DC111" s="5" t="str">
        <f t="shared" si="761"/>
        <v/>
      </c>
      <c r="DD111" s="10" t="str">
        <f t="shared" si="588"/>
        <v/>
      </c>
      <c r="DE111" s="9" t="str">
        <f t="shared" si="762"/>
        <v/>
      </c>
      <c r="DF111" s="5" t="str">
        <f t="shared" si="762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9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 t="str">
        <f t="shared" si="724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1" t="str" cm="1">
        <f t="array" ref="II111">IFERROR(IF(IH111&lt;1,IH111+LARGE((IF($M$9:$M$150="",0,$M$9:$M$150)-MOD(IF($M$9:$M$150="",0,$M$9:$M$150),1)),1),IH111),"")</f>
        <v/>
      </c>
      <c r="IJ111" s="842" t="str">
        <f t="shared" si="725"/>
        <v/>
      </c>
      <c r="IK111" s="842" t="str">
        <f t="shared" si="726"/>
        <v/>
      </c>
      <c r="IL111" s="791" t="str">
        <f t="shared" si="727"/>
        <v/>
      </c>
      <c r="IM111" s="833"/>
      <c r="IN111" s="5" t="str">
        <f t="shared" si="667"/>
        <v/>
      </c>
      <c r="IO111" s="802" t="str">
        <f t="shared" si="728"/>
        <v/>
      </c>
      <c r="IP111" s="9" t="str">
        <f t="shared" si="729"/>
        <v/>
      </c>
      <c r="IQ111" s="5" t="str">
        <f t="shared" si="730"/>
        <v/>
      </c>
      <c r="IR111" s="5" t="str">
        <f t="shared" si="731"/>
        <v/>
      </c>
      <c r="IS111" s="5" t="str">
        <f t="shared" si="732"/>
        <v/>
      </c>
      <c r="IT111" s="791" t="str">
        <f t="shared" si="733"/>
        <v/>
      </c>
      <c r="IU111" s="9" t="str">
        <f t="shared" si="734"/>
        <v/>
      </c>
      <c r="IV111" s="5" t="str">
        <f t="shared" si="735"/>
        <v/>
      </c>
      <c r="IW111" s="5" t="str">
        <f t="shared" si="736"/>
        <v/>
      </c>
      <c r="IX111" s="5" t="str">
        <f t="shared" si="737"/>
        <v/>
      </c>
      <c r="IY111" s="836" t="str">
        <f t="shared" si="738"/>
        <v/>
      </c>
    </row>
    <row r="112" spans="1:259" ht="15" customHeight="1" x14ac:dyDescent="0.25">
      <c r="A112" s="84">
        <f t="shared" si="538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62"/>
        <v/>
      </c>
      <c r="L112" s="327" t="str">
        <f t="shared" si="666"/>
        <v/>
      </c>
      <c r="M112" s="173" t="str">
        <f t="shared" si="671"/>
        <v/>
      </c>
      <c r="N112" s="21" t="str">
        <f t="shared" si="672"/>
        <v/>
      </c>
      <c r="O112" s="5" t="str">
        <f t="shared" si="673"/>
        <v/>
      </c>
      <c r="P112" s="10" t="str">
        <f t="shared" si="674"/>
        <v/>
      </c>
      <c r="Q112" s="624" t="str">
        <f t="shared" si="539"/>
        <v/>
      </c>
      <c r="R112" s="5" t="str">
        <f t="shared" si="739"/>
        <v/>
      </c>
      <c r="S112" s="6" t="str">
        <f t="shared" si="740"/>
        <v/>
      </c>
      <c r="T112" s="4" t="str">
        <f t="shared" si="741"/>
        <v/>
      </c>
      <c r="U112" s="5" t="str">
        <f t="shared" si="742"/>
        <v/>
      </c>
      <c r="V112" s="8" t="str">
        <f t="shared" si="743"/>
        <v/>
      </c>
      <c r="W112" s="624" t="str">
        <f t="shared" si="663"/>
        <v/>
      </c>
      <c r="X112" s="5" t="str">
        <f t="shared" si="744"/>
        <v/>
      </c>
      <c r="Y112" s="7" t="str">
        <f t="shared" si="661"/>
        <v/>
      </c>
      <c r="Z112" s="21" t="str">
        <f t="shared" si="675"/>
        <v/>
      </c>
      <c r="AA112" s="5" t="str">
        <f t="shared" si="676"/>
        <v/>
      </c>
      <c r="AB112" s="5" t="str">
        <f t="shared" si="677"/>
        <v/>
      </c>
      <c r="AC112" s="8" t="str">
        <f t="shared" si="745"/>
        <v/>
      </c>
      <c r="AD112" s="9" t="str">
        <f t="shared" si="746"/>
        <v/>
      </c>
      <c r="AE112" s="5" t="str">
        <f t="shared" si="747"/>
        <v/>
      </c>
      <c r="AF112" s="10" t="str">
        <f t="shared" si="748"/>
        <v/>
      </c>
      <c r="AG112" s="622" t="str">
        <f t="shared" si="749"/>
        <v/>
      </c>
      <c r="AH112" s="623" t="str">
        <f t="shared" si="750"/>
        <v/>
      </c>
      <c r="AI112" s="624" t="str">
        <f t="shared" si="751"/>
        <v/>
      </c>
      <c r="AJ112" s="625" t="str">
        <f t="shared" si="752"/>
        <v/>
      </c>
      <c r="AK112" s="4" t="str">
        <f t="shared" si="753"/>
        <v/>
      </c>
      <c r="AL112" s="5" t="str">
        <f t="shared" si="754"/>
        <v/>
      </c>
      <c r="AM112" s="6" t="str">
        <f t="shared" si="755"/>
        <v/>
      </c>
      <c r="AN112" s="612" t="str">
        <f t="shared" si="756"/>
        <v/>
      </c>
      <c r="AO112" s="613" t="str">
        <f t="shared" si="468"/>
        <v/>
      </c>
      <c r="AP112" s="624" t="str">
        <f t="shared" si="757"/>
        <v/>
      </c>
      <c r="AQ112" s="625" t="str">
        <f t="shared" si="678"/>
        <v/>
      </c>
      <c r="AS112" s="56" t="str">
        <f t="shared" si="760"/>
        <v/>
      </c>
      <c r="AT112" s="78" t="str">
        <f t="shared" si="679"/>
        <v/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8"/>
        <v/>
      </c>
      <c r="BT112" s="5" t="str">
        <f t="shared" si="758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1"/>
        <v/>
      </c>
      <c r="DC112" s="5" t="str">
        <f t="shared" si="761"/>
        <v/>
      </c>
      <c r="DD112" s="10" t="str">
        <f t="shared" si="588"/>
        <v/>
      </c>
      <c r="DE112" s="9" t="str">
        <f t="shared" si="762"/>
        <v/>
      </c>
      <c r="DF112" s="5" t="str">
        <f t="shared" si="762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9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 t="str">
        <f t="shared" si="724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1" t="str" cm="1">
        <f t="array" ref="II112">IFERROR(IF(IH112&lt;1,IH112+LARGE((IF($M$9:$M$150="",0,$M$9:$M$150)-MOD(IF($M$9:$M$150="",0,$M$9:$M$150),1)),1),IH112),"")</f>
        <v/>
      </c>
      <c r="IJ112" s="842" t="str">
        <f t="shared" si="725"/>
        <v/>
      </c>
      <c r="IK112" s="842" t="str">
        <f t="shared" si="726"/>
        <v/>
      </c>
      <c r="IL112" s="791" t="str">
        <f t="shared" si="727"/>
        <v/>
      </c>
      <c r="IM112" s="833"/>
      <c r="IN112" s="5" t="str">
        <f t="shared" si="667"/>
        <v/>
      </c>
      <c r="IO112" s="802" t="str">
        <f t="shared" si="728"/>
        <v/>
      </c>
      <c r="IP112" s="9" t="str">
        <f t="shared" si="729"/>
        <v/>
      </c>
      <c r="IQ112" s="5" t="str">
        <f t="shared" si="730"/>
        <v/>
      </c>
      <c r="IR112" s="5" t="str">
        <f t="shared" si="731"/>
        <v/>
      </c>
      <c r="IS112" s="5" t="str">
        <f t="shared" si="732"/>
        <v/>
      </c>
      <c r="IT112" s="791" t="str">
        <f t="shared" si="733"/>
        <v/>
      </c>
      <c r="IU112" s="9" t="str">
        <f t="shared" si="734"/>
        <v/>
      </c>
      <c r="IV112" s="5" t="str">
        <f t="shared" si="735"/>
        <v/>
      </c>
      <c r="IW112" s="5" t="str">
        <f t="shared" si="736"/>
        <v/>
      </c>
      <c r="IX112" s="5" t="str">
        <f t="shared" si="737"/>
        <v/>
      </c>
      <c r="IY112" s="836" t="str">
        <f t="shared" si="738"/>
        <v/>
      </c>
    </row>
    <row r="113" spans="1:259" ht="15" customHeight="1" x14ac:dyDescent="0.25">
      <c r="A113" s="84">
        <f t="shared" si="538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62"/>
        <v/>
      </c>
      <c r="L113" s="327" t="str">
        <f t="shared" si="666"/>
        <v/>
      </c>
      <c r="M113" s="173" t="str">
        <f t="shared" si="671"/>
        <v/>
      </c>
      <c r="N113" s="21" t="str">
        <f t="shared" si="672"/>
        <v/>
      </c>
      <c r="O113" s="5" t="str">
        <f t="shared" si="673"/>
        <v/>
      </c>
      <c r="P113" s="10" t="str">
        <f t="shared" si="674"/>
        <v/>
      </c>
      <c r="Q113" s="624" t="str">
        <f t="shared" si="539"/>
        <v/>
      </c>
      <c r="R113" s="5" t="str">
        <f t="shared" si="739"/>
        <v/>
      </c>
      <c r="S113" s="6" t="str">
        <f t="shared" si="740"/>
        <v/>
      </c>
      <c r="T113" s="4" t="str">
        <f t="shared" si="741"/>
        <v/>
      </c>
      <c r="U113" s="5" t="str">
        <f t="shared" si="742"/>
        <v/>
      </c>
      <c r="V113" s="8" t="str">
        <f t="shared" si="743"/>
        <v/>
      </c>
      <c r="W113" s="624" t="str">
        <f t="shared" si="663"/>
        <v/>
      </c>
      <c r="X113" s="5" t="str">
        <f t="shared" si="744"/>
        <v/>
      </c>
      <c r="Y113" s="7" t="str">
        <f t="shared" si="661"/>
        <v/>
      </c>
      <c r="Z113" s="21" t="str">
        <f t="shared" si="675"/>
        <v/>
      </c>
      <c r="AA113" s="5" t="str">
        <f t="shared" si="676"/>
        <v/>
      </c>
      <c r="AB113" s="5" t="str">
        <f t="shared" si="677"/>
        <v/>
      </c>
      <c r="AC113" s="8" t="str">
        <f t="shared" si="745"/>
        <v/>
      </c>
      <c r="AD113" s="9" t="str">
        <f t="shared" si="746"/>
        <v/>
      </c>
      <c r="AE113" s="5" t="str">
        <f t="shared" si="747"/>
        <v/>
      </c>
      <c r="AF113" s="10" t="str">
        <f t="shared" si="748"/>
        <v/>
      </c>
      <c r="AG113" s="622" t="str">
        <f t="shared" si="749"/>
        <v/>
      </c>
      <c r="AH113" s="623" t="str">
        <f t="shared" si="750"/>
        <v/>
      </c>
      <c r="AI113" s="624" t="str">
        <f t="shared" si="751"/>
        <v/>
      </c>
      <c r="AJ113" s="625" t="str">
        <f t="shared" si="752"/>
        <v/>
      </c>
      <c r="AK113" s="4" t="str">
        <f t="shared" si="753"/>
        <v/>
      </c>
      <c r="AL113" s="5" t="str">
        <f t="shared" si="754"/>
        <v/>
      </c>
      <c r="AM113" s="6" t="str">
        <f t="shared" si="755"/>
        <v/>
      </c>
      <c r="AN113" s="612" t="str">
        <f t="shared" si="756"/>
        <v/>
      </c>
      <c r="AO113" s="613" t="str">
        <f t="shared" si="468"/>
        <v/>
      </c>
      <c r="AP113" s="624" t="str">
        <f t="shared" si="757"/>
        <v/>
      </c>
      <c r="AQ113" s="625" t="str">
        <f t="shared" si="678"/>
        <v/>
      </c>
      <c r="AS113" s="56" t="str">
        <f t="shared" si="760"/>
        <v/>
      </c>
      <c r="AT113" s="78" t="str">
        <f t="shared" si="679"/>
        <v/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8"/>
        <v/>
      </c>
      <c r="BT113" s="5" t="str">
        <f t="shared" si="758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1"/>
        <v/>
      </c>
      <c r="DC113" s="5" t="str">
        <f t="shared" si="761"/>
        <v/>
      </c>
      <c r="DD113" s="10" t="str">
        <f t="shared" si="588"/>
        <v/>
      </c>
      <c r="DE113" s="9" t="str">
        <f t="shared" si="762"/>
        <v/>
      </c>
      <c r="DF113" s="5" t="str">
        <f t="shared" si="762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9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 t="str">
        <f t="shared" si="724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1" t="str" cm="1">
        <f t="array" ref="II113">IFERROR(IF(IH113&lt;1,IH113+LARGE((IF($M$9:$M$150="",0,$M$9:$M$150)-MOD(IF($M$9:$M$150="",0,$M$9:$M$150),1)),1),IH113),"")</f>
        <v/>
      </c>
      <c r="IJ113" s="842" t="str">
        <f t="shared" si="725"/>
        <v/>
      </c>
      <c r="IK113" s="842" t="str">
        <f t="shared" si="726"/>
        <v/>
      </c>
      <c r="IL113" s="791" t="str">
        <f t="shared" si="727"/>
        <v/>
      </c>
      <c r="IM113" s="833"/>
      <c r="IN113" s="5" t="str">
        <f t="shared" si="667"/>
        <v/>
      </c>
      <c r="IO113" s="802" t="str">
        <f t="shared" si="728"/>
        <v/>
      </c>
      <c r="IP113" s="9" t="str">
        <f t="shared" si="729"/>
        <v/>
      </c>
      <c r="IQ113" s="5" t="str">
        <f t="shared" si="730"/>
        <v/>
      </c>
      <c r="IR113" s="5" t="str">
        <f t="shared" si="731"/>
        <v/>
      </c>
      <c r="IS113" s="5" t="str">
        <f t="shared" si="732"/>
        <v/>
      </c>
      <c r="IT113" s="791" t="str">
        <f t="shared" si="733"/>
        <v/>
      </c>
      <c r="IU113" s="9" t="str">
        <f t="shared" si="734"/>
        <v/>
      </c>
      <c r="IV113" s="5" t="str">
        <f t="shared" si="735"/>
        <v/>
      </c>
      <c r="IW113" s="5" t="str">
        <f t="shared" si="736"/>
        <v/>
      </c>
      <c r="IX113" s="5" t="str">
        <f t="shared" si="737"/>
        <v/>
      </c>
      <c r="IY113" s="836" t="str">
        <f t="shared" si="738"/>
        <v/>
      </c>
    </row>
    <row r="114" spans="1:259" ht="15" customHeight="1" x14ac:dyDescent="0.25">
      <c r="A114" s="84">
        <f t="shared" si="538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62"/>
        <v/>
      </c>
      <c r="L114" s="327" t="str">
        <f t="shared" si="666"/>
        <v/>
      </c>
      <c r="M114" s="173" t="str">
        <f t="shared" si="671"/>
        <v/>
      </c>
      <c r="N114" s="21" t="str">
        <f t="shared" si="672"/>
        <v/>
      </c>
      <c r="O114" s="5" t="str">
        <f t="shared" si="673"/>
        <v/>
      </c>
      <c r="P114" s="10" t="str">
        <f t="shared" si="674"/>
        <v/>
      </c>
      <c r="Q114" s="624" t="str">
        <f t="shared" si="539"/>
        <v/>
      </c>
      <c r="R114" s="5" t="str">
        <f t="shared" si="739"/>
        <v/>
      </c>
      <c r="S114" s="6" t="str">
        <f t="shared" si="740"/>
        <v/>
      </c>
      <c r="T114" s="4" t="str">
        <f t="shared" si="741"/>
        <v/>
      </c>
      <c r="U114" s="5" t="str">
        <f t="shared" si="742"/>
        <v/>
      </c>
      <c r="V114" s="8" t="str">
        <f t="shared" si="743"/>
        <v/>
      </c>
      <c r="W114" s="624" t="str">
        <f t="shared" si="663"/>
        <v/>
      </c>
      <c r="X114" s="5" t="str">
        <f t="shared" si="744"/>
        <v/>
      </c>
      <c r="Y114" s="7" t="str">
        <f t="shared" si="661"/>
        <v/>
      </c>
      <c r="Z114" s="21" t="str">
        <f t="shared" si="675"/>
        <v/>
      </c>
      <c r="AA114" s="5" t="str">
        <f t="shared" si="676"/>
        <v/>
      </c>
      <c r="AB114" s="5" t="str">
        <f t="shared" si="677"/>
        <v/>
      </c>
      <c r="AC114" s="8" t="str">
        <f t="shared" si="745"/>
        <v/>
      </c>
      <c r="AD114" s="9" t="str">
        <f t="shared" si="746"/>
        <v/>
      </c>
      <c r="AE114" s="5" t="str">
        <f t="shared" si="747"/>
        <v/>
      </c>
      <c r="AF114" s="10" t="str">
        <f t="shared" si="748"/>
        <v/>
      </c>
      <c r="AG114" s="622" t="str">
        <f t="shared" si="749"/>
        <v/>
      </c>
      <c r="AH114" s="623" t="str">
        <f t="shared" si="750"/>
        <v/>
      </c>
      <c r="AI114" s="624" t="str">
        <f t="shared" si="751"/>
        <v/>
      </c>
      <c r="AJ114" s="625" t="str">
        <f t="shared" si="752"/>
        <v/>
      </c>
      <c r="AK114" s="4" t="str">
        <f t="shared" si="753"/>
        <v/>
      </c>
      <c r="AL114" s="5" t="str">
        <f t="shared" si="754"/>
        <v/>
      </c>
      <c r="AM114" s="6" t="str">
        <f t="shared" si="755"/>
        <v/>
      </c>
      <c r="AN114" s="612" t="str">
        <f t="shared" si="756"/>
        <v/>
      </c>
      <c r="AO114" s="613" t="str">
        <f t="shared" si="468"/>
        <v/>
      </c>
      <c r="AP114" s="624" t="str">
        <f t="shared" si="757"/>
        <v/>
      </c>
      <c r="AQ114" s="625" t="str">
        <f t="shared" si="678"/>
        <v/>
      </c>
      <c r="AS114" s="56" t="str">
        <f t="shared" si="760"/>
        <v/>
      </c>
      <c r="AT114" s="78" t="str">
        <f t="shared" si="679"/>
        <v/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8"/>
        <v/>
      </c>
      <c r="BT114" s="5" t="str">
        <f t="shared" si="758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1"/>
        <v/>
      </c>
      <c r="DC114" s="5" t="str">
        <f t="shared" si="761"/>
        <v/>
      </c>
      <c r="DD114" s="10" t="str">
        <f t="shared" si="588"/>
        <v/>
      </c>
      <c r="DE114" s="9" t="str">
        <f t="shared" si="762"/>
        <v/>
      </c>
      <c r="DF114" s="5" t="str">
        <f t="shared" si="762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9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 t="str">
        <f t="shared" si="724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1" t="str" cm="1">
        <f t="array" ref="II114">IFERROR(IF(IH114&lt;1,IH114+LARGE((IF($M$9:$M$150="",0,$M$9:$M$150)-MOD(IF($M$9:$M$150="",0,$M$9:$M$150),1)),1),IH114),"")</f>
        <v/>
      </c>
      <c r="IJ114" s="842" t="str">
        <f t="shared" si="725"/>
        <v/>
      </c>
      <c r="IK114" s="842" t="str">
        <f t="shared" si="726"/>
        <v/>
      </c>
      <c r="IL114" s="791" t="str">
        <f t="shared" si="727"/>
        <v/>
      </c>
      <c r="IM114" s="833"/>
      <c r="IN114" s="5" t="str">
        <f t="shared" si="667"/>
        <v/>
      </c>
      <c r="IO114" s="802" t="str">
        <f t="shared" si="728"/>
        <v/>
      </c>
      <c r="IP114" s="9" t="str">
        <f t="shared" si="729"/>
        <v/>
      </c>
      <c r="IQ114" s="5" t="str">
        <f t="shared" si="730"/>
        <v/>
      </c>
      <c r="IR114" s="5" t="str">
        <f t="shared" si="731"/>
        <v/>
      </c>
      <c r="IS114" s="5" t="str">
        <f t="shared" si="732"/>
        <v/>
      </c>
      <c r="IT114" s="791" t="str">
        <f t="shared" si="733"/>
        <v/>
      </c>
      <c r="IU114" s="9" t="str">
        <f t="shared" si="734"/>
        <v/>
      </c>
      <c r="IV114" s="5" t="str">
        <f t="shared" si="735"/>
        <v/>
      </c>
      <c r="IW114" s="5" t="str">
        <f t="shared" si="736"/>
        <v/>
      </c>
      <c r="IX114" s="5" t="str">
        <f t="shared" si="737"/>
        <v/>
      </c>
      <c r="IY114" s="836" t="str">
        <f t="shared" si="738"/>
        <v/>
      </c>
    </row>
    <row r="115" spans="1:259" ht="15" customHeight="1" x14ac:dyDescent="0.25">
      <c r="A115" s="84">
        <f t="shared" si="538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62"/>
        <v/>
      </c>
      <c r="L115" s="327" t="str">
        <f t="shared" si="666"/>
        <v/>
      </c>
      <c r="M115" s="173" t="str">
        <f t="shared" si="671"/>
        <v/>
      </c>
      <c r="N115" s="21" t="str">
        <f t="shared" si="672"/>
        <v/>
      </c>
      <c r="O115" s="5" t="str">
        <f t="shared" si="673"/>
        <v/>
      </c>
      <c r="P115" s="10" t="str">
        <f t="shared" si="674"/>
        <v/>
      </c>
      <c r="Q115" s="624" t="str">
        <f t="shared" si="539"/>
        <v/>
      </c>
      <c r="R115" s="5" t="str">
        <f t="shared" si="739"/>
        <v/>
      </c>
      <c r="S115" s="6" t="str">
        <f t="shared" si="740"/>
        <v/>
      </c>
      <c r="T115" s="4" t="str">
        <f t="shared" si="741"/>
        <v/>
      </c>
      <c r="U115" s="5" t="str">
        <f t="shared" si="742"/>
        <v/>
      </c>
      <c r="V115" s="8" t="str">
        <f t="shared" si="743"/>
        <v/>
      </c>
      <c r="W115" s="624" t="str">
        <f t="shared" si="663"/>
        <v/>
      </c>
      <c r="X115" s="5" t="str">
        <f t="shared" si="744"/>
        <v/>
      </c>
      <c r="Y115" s="7" t="str">
        <f t="shared" si="661"/>
        <v/>
      </c>
      <c r="Z115" s="21" t="str">
        <f t="shared" si="675"/>
        <v/>
      </c>
      <c r="AA115" s="5" t="str">
        <f t="shared" si="676"/>
        <v/>
      </c>
      <c r="AB115" s="5" t="str">
        <f t="shared" si="677"/>
        <v/>
      </c>
      <c r="AC115" s="8" t="str">
        <f t="shared" si="745"/>
        <v/>
      </c>
      <c r="AD115" s="9" t="str">
        <f t="shared" si="746"/>
        <v/>
      </c>
      <c r="AE115" s="5" t="str">
        <f t="shared" si="747"/>
        <v/>
      </c>
      <c r="AF115" s="10" t="str">
        <f t="shared" si="748"/>
        <v/>
      </c>
      <c r="AG115" s="622" t="str">
        <f t="shared" si="749"/>
        <v/>
      </c>
      <c r="AH115" s="623" t="str">
        <f t="shared" si="750"/>
        <v/>
      </c>
      <c r="AI115" s="624" t="str">
        <f t="shared" si="751"/>
        <v/>
      </c>
      <c r="AJ115" s="625" t="str">
        <f t="shared" si="752"/>
        <v/>
      </c>
      <c r="AK115" s="4" t="str">
        <f t="shared" si="753"/>
        <v/>
      </c>
      <c r="AL115" s="5" t="str">
        <f t="shared" si="754"/>
        <v/>
      </c>
      <c r="AM115" s="6" t="str">
        <f t="shared" si="755"/>
        <v/>
      </c>
      <c r="AN115" s="612" t="str">
        <f t="shared" si="756"/>
        <v/>
      </c>
      <c r="AO115" s="613" t="str">
        <f t="shared" si="468"/>
        <v/>
      </c>
      <c r="AP115" s="624" t="str">
        <f t="shared" si="757"/>
        <v/>
      </c>
      <c r="AQ115" s="625" t="str">
        <f t="shared" si="678"/>
        <v/>
      </c>
      <c r="AS115" s="56" t="str">
        <f t="shared" si="760"/>
        <v/>
      </c>
      <c r="AT115" s="78" t="str">
        <f t="shared" si="679"/>
        <v/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8"/>
        <v/>
      </c>
      <c r="BT115" s="5" t="str">
        <f t="shared" si="758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1"/>
        <v/>
      </c>
      <c r="DC115" s="5" t="str">
        <f t="shared" si="761"/>
        <v/>
      </c>
      <c r="DD115" s="10" t="str">
        <f t="shared" si="588"/>
        <v/>
      </c>
      <c r="DE115" s="9" t="str">
        <f t="shared" si="762"/>
        <v/>
      </c>
      <c r="DF115" s="5" t="str">
        <f t="shared" si="762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9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 t="str">
        <f t="shared" si="724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1" t="str" cm="1">
        <f t="array" ref="II115">IFERROR(IF(IH115&lt;1,IH115+LARGE((IF($M$9:$M$150="",0,$M$9:$M$150)-MOD(IF($M$9:$M$150="",0,$M$9:$M$150),1)),1),IH115),"")</f>
        <v/>
      </c>
      <c r="IJ115" s="842" t="str">
        <f t="shared" si="725"/>
        <v/>
      </c>
      <c r="IK115" s="842" t="str">
        <f t="shared" si="726"/>
        <v/>
      </c>
      <c r="IL115" s="791" t="str">
        <f t="shared" si="727"/>
        <v/>
      </c>
      <c r="IM115" s="833"/>
      <c r="IN115" s="5" t="str">
        <f t="shared" si="667"/>
        <v/>
      </c>
      <c r="IO115" s="802" t="str">
        <f t="shared" si="728"/>
        <v/>
      </c>
      <c r="IP115" s="9" t="str">
        <f t="shared" si="729"/>
        <v/>
      </c>
      <c r="IQ115" s="5" t="str">
        <f t="shared" si="730"/>
        <v/>
      </c>
      <c r="IR115" s="5" t="str">
        <f t="shared" si="731"/>
        <v/>
      </c>
      <c r="IS115" s="5" t="str">
        <f t="shared" si="732"/>
        <v/>
      </c>
      <c r="IT115" s="791" t="str">
        <f t="shared" si="733"/>
        <v/>
      </c>
      <c r="IU115" s="9" t="str">
        <f t="shared" si="734"/>
        <v/>
      </c>
      <c r="IV115" s="5" t="str">
        <f t="shared" si="735"/>
        <v/>
      </c>
      <c r="IW115" s="5" t="str">
        <f t="shared" si="736"/>
        <v/>
      </c>
      <c r="IX115" s="5" t="str">
        <f t="shared" si="737"/>
        <v/>
      </c>
      <c r="IY115" s="836" t="str">
        <f t="shared" si="738"/>
        <v/>
      </c>
    </row>
    <row r="116" spans="1:259" ht="15" customHeight="1" x14ac:dyDescent="0.25">
      <c r="A116" s="84">
        <f t="shared" si="538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62"/>
        <v/>
      </c>
      <c r="L116" s="327" t="str">
        <f t="shared" si="666"/>
        <v/>
      </c>
      <c r="M116" s="173" t="str">
        <f t="shared" si="671"/>
        <v/>
      </c>
      <c r="N116" s="21" t="str">
        <f t="shared" si="672"/>
        <v/>
      </c>
      <c r="O116" s="5" t="str">
        <f t="shared" si="673"/>
        <v/>
      </c>
      <c r="P116" s="10" t="str">
        <f t="shared" si="674"/>
        <v/>
      </c>
      <c r="Q116" s="624" t="str">
        <f t="shared" si="539"/>
        <v/>
      </c>
      <c r="R116" s="5" t="str">
        <f t="shared" si="739"/>
        <v/>
      </c>
      <c r="S116" s="6" t="str">
        <f t="shared" si="740"/>
        <v/>
      </c>
      <c r="T116" s="4" t="str">
        <f t="shared" si="741"/>
        <v/>
      </c>
      <c r="U116" s="5" t="str">
        <f t="shared" si="742"/>
        <v/>
      </c>
      <c r="V116" s="8" t="str">
        <f t="shared" si="743"/>
        <v/>
      </c>
      <c r="W116" s="624" t="str">
        <f t="shared" si="663"/>
        <v/>
      </c>
      <c r="X116" s="5" t="str">
        <f t="shared" si="744"/>
        <v/>
      </c>
      <c r="Y116" s="7" t="str">
        <f t="shared" si="661"/>
        <v/>
      </c>
      <c r="Z116" s="21" t="str">
        <f t="shared" si="675"/>
        <v/>
      </c>
      <c r="AA116" s="5" t="str">
        <f t="shared" si="676"/>
        <v/>
      </c>
      <c r="AB116" s="5" t="str">
        <f t="shared" si="677"/>
        <v/>
      </c>
      <c r="AC116" s="8" t="str">
        <f t="shared" si="745"/>
        <v/>
      </c>
      <c r="AD116" s="9" t="str">
        <f t="shared" si="746"/>
        <v/>
      </c>
      <c r="AE116" s="5" t="str">
        <f t="shared" si="747"/>
        <v/>
      </c>
      <c r="AF116" s="10" t="str">
        <f t="shared" si="748"/>
        <v/>
      </c>
      <c r="AG116" s="622" t="str">
        <f t="shared" si="749"/>
        <v/>
      </c>
      <c r="AH116" s="623" t="str">
        <f t="shared" si="750"/>
        <v/>
      </c>
      <c r="AI116" s="624" t="str">
        <f t="shared" si="751"/>
        <v/>
      </c>
      <c r="AJ116" s="625" t="str">
        <f t="shared" si="752"/>
        <v/>
      </c>
      <c r="AK116" s="4" t="str">
        <f t="shared" si="753"/>
        <v/>
      </c>
      <c r="AL116" s="5" t="str">
        <f t="shared" si="754"/>
        <v/>
      </c>
      <c r="AM116" s="6" t="str">
        <f t="shared" si="755"/>
        <v/>
      </c>
      <c r="AN116" s="612" t="str">
        <f t="shared" si="756"/>
        <v/>
      </c>
      <c r="AO116" s="613" t="str">
        <f t="shared" si="468"/>
        <v/>
      </c>
      <c r="AP116" s="624" t="str">
        <f t="shared" si="757"/>
        <v/>
      </c>
      <c r="AQ116" s="625" t="str">
        <f t="shared" si="678"/>
        <v/>
      </c>
      <c r="AS116" s="56" t="str">
        <f t="shared" si="760"/>
        <v/>
      </c>
      <c r="AT116" s="78" t="str">
        <f t="shared" si="679"/>
        <v/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8"/>
        <v/>
      </c>
      <c r="BT116" s="5" t="str">
        <f t="shared" si="758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1"/>
        <v/>
      </c>
      <c r="DC116" s="5" t="str">
        <f t="shared" si="761"/>
        <v/>
      </c>
      <c r="DD116" s="10" t="str">
        <f t="shared" si="588"/>
        <v/>
      </c>
      <c r="DE116" s="9" t="str">
        <f t="shared" si="762"/>
        <v/>
      </c>
      <c r="DF116" s="5" t="str">
        <f t="shared" si="762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9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 t="str">
        <f t="shared" si="724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1" t="str" cm="1">
        <f t="array" ref="II116">IFERROR(IF(IH116&lt;1,IH116+LARGE((IF($M$9:$M$150="",0,$M$9:$M$150)-MOD(IF($M$9:$M$150="",0,$M$9:$M$150),1)),1),IH116),"")</f>
        <v/>
      </c>
      <c r="IJ116" s="842" t="str">
        <f t="shared" si="725"/>
        <v/>
      </c>
      <c r="IK116" s="842" t="str">
        <f t="shared" si="726"/>
        <v/>
      </c>
      <c r="IL116" s="791" t="str">
        <f t="shared" si="727"/>
        <v/>
      </c>
      <c r="IM116" s="833"/>
      <c r="IN116" s="5" t="str">
        <f t="shared" si="667"/>
        <v/>
      </c>
      <c r="IO116" s="802" t="str">
        <f t="shared" si="728"/>
        <v/>
      </c>
      <c r="IP116" s="9" t="str">
        <f t="shared" si="729"/>
        <v/>
      </c>
      <c r="IQ116" s="5" t="str">
        <f t="shared" si="730"/>
        <v/>
      </c>
      <c r="IR116" s="5" t="str">
        <f t="shared" si="731"/>
        <v/>
      </c>
      <c r="IS116" s="5" t="str">
        <f t="shared" si="732"/>
        <v/>
      </c>
      <c r="IT116" s="791" t="str">
        <f t="shared" si="733"/>
        <v/>
      </c>
      <c r="IU116" s="9" t="str">
        <f t="shared" si="734"/>
        <v/>
      </c>
      <c r="IV116" s="5" t="str">
        <f t="shared" si="735"/>
        <v/>
      </c>
      <c r="IW116" s="5" t="str">
        <f t="shared" si="736"/>
        <v/>
      </c>
      <c r="IX116" s="5" t="str">
        <f t="shared" si="737"/>
        <v/>
      </c>
      <c r="IY116" s="836" t="str">
        <f t="shared" si="738"/>
        <v/>
      </c>
    </row>
    <row r="117" spans="1:259" ht="15" customHeight="1" x14ac:dyDescent="0.25">
      <c r="A117" s="84">
        <f t="shared" si="538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62"/>
        <v/>
      </c>
      <c r="L117" s="327" t="str">
        <f t="shared" si="666"/>
        <v/>
      </c>
      <c r="M117" s="173" t="str">
        <f t="shared" si="671"/>
        <v/>
      </c>
      <c r="N117" s="21" t="str">
        <f t="shared" si="672"/>
        <v/>
      </c>
      <c r="O117" s="5" t="str">
        <f t="shared" si="673"/>
        <v/>
      </c>
      <c r="P117" s="10" t="str">
        <f t="shared" si="674"/>
        <v/>
      </c>
      <c r="Q117" s="624" t="str">
        <f t="shared" si="539"/>
        <v/>
      </c>
      <c r="R117" s="5" t="str">
        <f t="shared" si="739"/>
        <v/>
      </c>
      <c r="S117" s="6" t="str">
        <f t="shared" si="740"/>
        <v/>
      </c>
      <c r="T117" s="4" t="str">
        <f t="shared" si="741"/>
        <v/>
      </c>
      <c r="U117" s="5" t="str">
        <f t="shared" si="742"/>
        <v/>
      </c>
      <c r="V117" s="8" t="str">
        <f t="shared" si="743"/>
        <v/>
      </c>
      <c r="W117" s="624" t="str">
        <f t="shared" si="663"/>
        <v/>
      </c>
      <c r="X117" s="5" t="str">
        <f t="shared" si="744"/>
        <v/>
      </c>
      <c r="Y117" s="7" t="str">
        <f t="shared" si="661"/>
        <v/>
      </c>
      <c r="Z117" s="21" t="str">
        <f t="shared" si="675"/>
        <v/>
      </c>
      <c r="AA117" s="5" t="str">
        <f t="shared" si="676"/>
        <v/>
      </c>
      <c r="AB117" s="5" t="str">
        <f t="shared" si="677"/>
        <v/>
      </c>
      <c r="AC117" s="8" t="str">
        <f t="shared" si="745"/>
        <v/>
      </c>
      <c r="AD117" s="9" t="str">
        <f t="shared" si="746"/>
        <v/>
      </c>
      <c r="AE117" s="5" t="str">
        <f t="shared" si="747"/>
        <v/>
      </c>
      <c r="AF117" s="10" t="str">
        <f t="shared" si="748"/>
        <v/>
      </c>
      <c r="AG117" s="622" t="str">
        <f t="shared" si="749"/>
        <v/>
      </c>
      <c r="AH117" s="623" t="str">
        <f t="shared" si="750"/>
        <v/>
      </c>
      <c r="AI117" s="624" t="str">
        <f t="shared" si="751"/>
        <v/>
      </c>
      <c r="AJ117" s="625" t="str">
        <f t="shared" si="752"/>
        <v/>
      </c>
      <c r="AK117" s="4" t="str">
        <f t="shared" si="753"/>
        <v/>
      </c>
      <c r="AL117" s="5" t="str">
        <f t="shared" si="754"/>
        <v/>
      </c>
      <c r="AM117" s="6" t="str">
        <f t="shared" si="755"/>
        <v/>
      </c>
      <c r="AN117" s="612" t="str">
        <f t="shared" si="756"/>
        <v/>
      </c>
      <c r="AO117" s="613" t="str">
        <f t="shared" si="468"/>
        <v/>
      </c>
      <c r="AP117" s="624" t="str">
        <f t="shared" si="757"/>
        <v/>
      </c>
      <c r="AQ117" s="625" t="str">
        <f t="shared" si="678"/>
        <v/>
      </c>
      <c r="AS117" s="56" t="str">
        <f t="shared" si="760"/>
        <v/>
      </c>
      <c r="AT117" s="78" t="str">
        <f t="shared" si="679"/>
        <v/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8"/>
        <v/>
      </c>
      <c r="BT117" s="5" t="str">
        <f t="shared" si="758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1"/>
        <v/>
      </c>
      <c r="DC117" s="5" t="str">
        <f t="shared" si="761"/>
        <v/>
      </c>
      <c r="DD117" s="10" t="str">
        <f t="shared" si="588"/>
        <v/>
      </c>
      <c r="DE117" s="9" t="str">
        <f t="shared" si="762"/>
        <v/>
      </c>
      <c r="DF117" s="5" t="str">
        <f t="shared" si="762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9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 t="str">
        <f t="shared" si="724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1" t="str" cm="1">
        <f t="array" ref="II117">IFERROR(IF(IH117&lt;1,IH117+LARGE((IF($M$9:$M$150="",0,$M$9:$M$150)-MOD(IF($M$9:$M$150="",0,$M$9:$M$150),1)),1),IH117),"")</f>
        <v/>
      </c>
      <c r="IJ117" s="842" t="str">
        <f t="shared" si="725"/>
        <v/>
      </c>
      <c r="IK117" s="842" t="str">
        <f t="shared" si="726"/>
        <v/>
      </c>
      <c r="IL117" s="791" t="str">
        <f t="shared" si="727"/>
        <v/>
      </c>
      <c r="IM117" s="833"/>
      <c r="IN117" s="5" t="str">
        <f t="shared" si="667"/>
        <v/>
      </c>
      <c r="IO117" s="802" t="str">
        <f t="shared" si="728"/>
        <v/>
      </c>
      <c r="IP117" s="9" t="str">
        <f t="shared" si="729"/>
        <v/>
      </c>
      <c r="IQ117" s="5" t="str">
        <f t="shared" si="730"/>
        <v/>
      </c>
      <c r="IR117" s="5" t="str">
        <f t="shared" si="731"/>
        <v/>
      </c>
      <c r="IS117" s="5" t="str">
        <f t="shared" si="732"/>
        <v/>
      </c>
      <c r="IT117" s="791" t="str">
        <f t="shared" si="733"/>
        <v/>
      </c>
      <c r="IU117" s="9" t="str">
        <f t="shared" si="734"/>
        <v/>
      </c>
      <c r="IV117" s="5" t="str">
        <f t="shared" si="735"/>
        <v/>
      </c>
      <c r="IW117" s="5" t="str">
        <f t="shared" si="736"/>
        <v/>
      </c>
      <c r="IX117" s="5" t="str">
        <f t="shared" si="737"/>
        <v/>
      </c>
      <c r="IY117" s="836" t="str">
        <f t="shared" si="738"/>
        <v/>
      </c>
    </row>
    <row r="118" spans="1:259" ht="15" customHeight="1" x14ac:dyDescent="0.25">
      <c r="A118" s="84">
        <f t="shared" si="538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62"/>
        <v/>
      </c>
      <c r="L118" s="327" t="str">
        <f t="shared" si="666"/>
        <v/>
      </c>
      <c r="M118" s="173" t="str">
        <f t="shared" si="671"/>
        <v/>
      </c>
      <c r="N118" s="21" t="str">
        <f t="shared" si="672"/>
        <v/>
      </c>
      <c r="O118" s="5" t="str">
        <f t="shared" si="673"/>
        <v/>
      </c>
      <c r="P118" s="10" t="str">
        <f t="shared" si="674"/>
        <v/>
      </c>
      <c r="Q118" s="624" t="str">
        <f t="shared" si="539"/>
        <v/>
      </c>
      <c r="R118" s="5" t="str">
        <f t="shared" si="739"/>
        <v/>
      </c>
      <c r="S118" s="6" t="str">
        <f t="shared" si="740"/>
        <v/>
      </c>
      <c r="T118" s="4" t="str">
        <f t="shared" si="741"/>
        <v/>
      </c>
      <c r="U118" s="5" t="str">
        <f t="shared" si="742"/>
        <v/>
      </c>
      <c r="V118" s="8" t="str">
        <f t="shared" si="743"/>
        <v/>
      </c>
      <c r="W118" s="624" t="str">
        <f t="shared" si="663"/>
        <v/>
      </c>
      <c r="X118" s="5" t="str">
        <f t="shared" si="744"/>
        <v/>
      </c>
      <c r="Y118" s="7" t="str">
        <f t="shared" si="661"/>
        <v/>
      </c>
      <c r="Z118" s="21" t="str">
        <f t="shared" si="675"/>
        <v/>
      </c>
      <c r="AA118" s="5" t="str">
        <f t="shared" si="676"/>
        <v/>
      </c>
      <c r="AB118" s="5" t="str">
        <f t="shared" si="677"/>
        <v/>
      </c>
      <c r="AC118" s="8" t="str">
        <f t="shared" si="745"/>
        <v/>
      </c>
      <c r="AD118" s="9" t="str">
        <f t="shared" si="746"/>
        <v/>
      </c>
      <c r="AE118" s="5" t="str">
        <f t="shared" si="747"/>
        <v/>
      </c>
      <c r="AF118" s="10" t="str">
        <f t="shared" si="748"/>
        <v/>
      </c>
      <c r="AG118" s="622" t="str">
        <f t="shared" si="749"/>
        <v/>
      </c>
      <c r="AH118" s="623" t="str">
        <f t="shared" si="750"/>
        <v/>
      </c>
      <c r="AI118" s="624" t="str">
        <f t="shared" si="751"/>
        <v/>
      </c>
      <c r="AJ118" s="625" t="str">
        <f t="shared" si="752"/>
        <v/>
      </c>
      <c r="AK118" s="4" t="str">
        <f t="shared" si="753"/>
        <v/>
      </c>
      <c r="AL118" s="5" t="str">
        <f t="shared" si="754"/>
        <v/>
      </c>
      <c r="AM118" s="6" t="str">
        <f t="shared" si="755"/>
        <v/>
      </c>
      <c r="AN118" s="612" t="str">
        <f t="shared" si="756"/>
        <v/>
      </c>
      <c r="AO118" s="613" t="str">
        <f t="shared" si="468"/>
        <v/>
      </c>
      <c r="AP118" s="624" t="str">
        <f t="shared" si="757"/>
        <v/>
      </c>
      <c r="AQ118" s="625" t="str">
        <f t="shared" si="678"/>
        <v/>
      </c>
      <c r="AS118" s="56" t="str">
        <f t="shared" si="760"/>
        <v/>
      </c>
      <c r="AT118" s="78" t="str">
        <f t="shared" si="679"/>
        <v/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8"/>
        <v/>
      </c>
      <c r="BT118" s="5" t="str">
        <f t="shared" si="758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1"/>
        <v/>
      </c>
      <c r="DC118" s="5" t="str">
        <f t="shared" si="761"/>
        <v/>
      </c>
      <c r="DD118" s="10" t="str">
        <f t="shared" si="588"/>
        <v/>
      </c>
      <c r="DE118" s="9" t="str">
        <f t="shared" si="762"/>
        <v/>
      </c>
      <c r="DF118" s="5" t="str">
        <f t="shared" si="762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9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 t="str">
        <f t="shared" si="724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1" t="str" cm="1">
        <f t="array" ref="II118">IFERROR(IF(IH118&lt;1,IH118+LARGE((IF($M$9:$M$150="",0,$M$9:$M$150)-MOD(IF($M$9:$M$150="",0,$M$9:$M$150),1)),1),IH118),"")</f>
        <v/>
      </c>
      <c r="IJ118" s="842" t="str">
        <f t="shared" si="725"/>
        <v/>
      </c>
      <c r="IK118" s="842" t="str">
        <f t="shared" si="726"/>
        <v/>
      </c>
      <c r="IL118" s="791" t="str">
        <f t="shared" si="727"/>
        <v/>
      </c>
      <c r="IM118" s="833"/>
      <c r="IN118" s="5" t="str">
        <f t="shared" si="667"/>
        <v/>
      </c>
      <c r="IO118" s="802" t="str">
        <f t="shared" si="728"/>
        <v/>
      </c>
      <c r="IP118" s="9" t="str">
        <f t="shared" si="729"/>
        <v/>
      </c>
      <c r="IQ118" s="5" t="str">
        <f t="shared" si="730"/>
        <v/>
      </c>
      <c r="IR118" s="5" t="str">
        <f t="shared" si="731"/>
        <v/>
      </c>
      <c r="IS118" s="5" t="str">
        <f t="shared" si="732"/>
        <v/>
      </c>
      <c r="IT118" s="791" t="str">
        <f t="shared" si="733"/>
        <v/>
      </c>
      <c r="IU118" s="9" t="str">
        <f t="shared" si="734"/>
        <v/>
      </c>
      <c r="IV118" s="5" t="str">
        <f t="shared" si="735"/>
        <v/>
      </c>
      <c r="IW118" s="5" t="str">
        <f t="shared" si="736"/>
        <v/>
      </c>
      <c r="IX118" s="5" t="str">
        <f t="shared" si="737"/>
        <v/>
      </c>
      <c r="IY118" s="836" t="str">
        <f t="shared" si="738"/>
        <v/>
      </c>
    </row>
    <row r="119" spans="1:259" ht="15" customHeight="1" x14ac:dyDescent="0.25">
      <c r="A119" s="84">
        <f t="shared" si="538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62"/>
        <v/>
      </c>
      <c r="L119" s="327" t="str">
        <f t="shared" si="666"/>
        <v/>
      </c>
      <c r="M119" s="173" t="str">
        <f t="shared" si="671"/>
        <v/>
      </c>
      <c r="N119" s="21" t="str">
        <f t="shared" si="672"/>
        <v/>
      </c>
      <c r="O119" s="5" t="str">
        <f t="shared" si="673"/>
        <v/>
      </c>
      <c r="P119" s="10" t="str">
        <f t="shared" si="674"/>
        <v/>
      </c>
      <c r="Q119" s="624" t="str">
        <f t="shared" si="539"/>
        <v/>
      </c>
      <c r="R119" s="5" t="str">
        <f t="shared" si="739"/>
        <v/>
      </c>
      <c r="S119" s="6" t="str">
        <f t="shared" si="740"/>
        <v/>
      </c>
      <c r="T119" s="4" t="str">
        <f t="shared" si="741"/>
        <v/>
      </c>
      <c r="U119" s="5" t="str">
        <f t="shared" si="742"/>
        <v/>
      </c>
      <c r="V119" s="8" t="str">
        <f t="shared" si="743"/>
        <v/>
      </c>
      <c r="W119" s="624" t="str">
        <f t="shared" si="663"/>
        <v/>
      </c>
      <c r="X119" s="5" t="str">
        <f t="shared" si="744"/>
        <v/>
      </c>
      <c r="Y119" s="7" t="str">
        <f t="shared" si="661"/>
        <v/>
      </c>
      <c r="Z119" s="21" t="str">
        <f t="shared" si="675"/>
        <v/>
      </c>
      <c r="AA119" s="5" t="str">
        <f t="shared" si="676"/>
        <v/>
      </c>
      <c r="AB119" s="5" t="str">
        <f t="shared" si="677"/>
        <v/>
      </c>
      <c r="AC119" s="8" t="str">
        <f t="shared" si="745"/>
        <v/>
      </c>
      <c r="AD119" s="9" t="str">
        <f t="shared" si="746"/>
        <v/>
      </c>
      <c r="AE119" s="5" t="str">
        <f t="shared" si="747"/>
        <v/>
      </c>
      <c r="AF119" s="10" t="str">
        <f t="shared" si="748"/>
        <v/>
      </c>
      <c r="AG119" s="622" t="str">
        <f t="shared" si="749"/>
        <v/>
      </c>
      <c r="AH119" s="623" t="str">
        <f t="shared" si="750"/>
        <v/>
      </c>
      <c r="AI119" s="624" t="str">
        <f t="shared" si="751"/>
        <v/>
      </c>
      <c r="AJ119" s="625" t="str">
        <f t="shared" si="752"/>
        <v/>
      </c>
      <c r="AK119" s="4" t="str">
        <f t="shared" si="753"/>
        <v/>
      </c>
      <c r="AL119" s="5" t="str">
        <f t="shared" si="754"/>
        <v/>
      </c>
      <c r="AM119" s="6" t="str">
        <f t="shared" si="755"/>
        <v/>
      </c>
      <c r="AN119" s="612" t="str">
        <f t="shared" si="756"/>
        <v/>
      </c>
      <c r="AO119" s="613" t="str">
        <f t="shared" si="468"/>
        <v/>
      </c>
      <c r="AP119" s="624" t="str">
        <f t="shared" si="757"/>
        <v/>
      </c>
      <c r="AQ119" s="625" t="str">
        <f t="shared" si="678"/>
        <v/>
      </c>
      <c r="AS119" s="56" t="str">
        <f t="shared" si="760"/>
        <v/>
      </c>
      <c r="AT119" s="78" t="str">
        <f t="shared" si="679"/>
        <v/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8"/>
        <v/>
      </c>
      <c r="BT119" s="5" t="str">
        <f t="shared" si="758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1"/>
        <v/>
      </c>
      <c r="DC119" s="5" t="str">
        <f t="shared" si="761"/>
        <v/>
      </c>
      <c r="DD119" s="10" t="str">
        <f t="shared" si="588"/>
        <v/>
      </c>
      <c r="DE119" s="9" t="str">
        <f t="shared" si="762"/>
        <v/>
      </c>
      <c r="DF119" s="5" t="str">
        <f t="shared" si="762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9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 t="str">
        <f t="shared" si="724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1" t="str" cm="1">
        <f t="array" ref="II119">IFERROR(IF(IH119&lt;1,IH119+LARGE((IF($M$9:$M$150="",0,$M$9:$M$150)-MOD(IF($M$9:$M$150="",0,$M$9:$M$150),1)),1),IH119),"")</f>
        <v/>
      </c>
      <c r="IJ119" s="842" t="str">
        <f t="shared" si="725"/>
        <v/>
      </c>
      <c r="IK119" s="842" t="str">
        <f t="shared" si="726"/>
        <v/>
      </c>
      <c r="IL119" s="791" t="str">
        <f t="shared" si="727"/>
        <v/>
      </c>
      <c r="IM119" s="833"/>
      <c r="IN119" s="5" t="str">
        <f t="shared" si="667"/>
        <v/>
      </c>
      <c r="IO119" s="802" t="str">
        <f t="shared" si="728"/>
        <v/>
      </c>
      <c r="IP119" s="9" t="str">
        <f t="shared" si="729"/>
        <v/>
      </c>
      <c r="IQ119" s="5" t="str">
        <f t="shared" si="730"/>
        <v/>
      </c>
      <c r="IR119" s="5" t="str">
        <f t="shared" si="731"/>
        <v/>
      </c>
      <c r="IS119" s="5" t="str">
        <f t="shared" si="732"/>
        <v/>
      </c>
      <c r="IT119" s="791" t="str">
        <f t="shared" si="733"/>
        <v/>
      </c>
      <c r="IU119" s="9" t="str">
        <f t="shared" si="734"/>
        <v/>
      </c>
      <c r="IV119" s="5" t="str">
        <f t="shared" si="735"/>
        <v/>
      </c>
      <c r="IW119" s="5" t="str">
        <f t="shared" si="736"/>
        <v/>
      </c>
      <c r="IX119" s="5" t="str">
        <f t="shared" si="737"/>
        <v/>
      </c>
      <c r="IY119" s="836" t="str">
        <f t="shared" si="738"/>
        <v/>
      </c>
    </row>
    <row r="120" spans="1:259" ht="15" customHeight="1" x14ac:dyDescent="0.25">
      <c r="A120" s="84">
        <f t="shared" si="538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62"/>
        <v/>
      </c>
      <c r="L120" s="327" t="str">
        <f t="shared" si="666"/>
        <v/>
      </c>
      <c r="M120" s="173" t="str">
        <f t="shared" si="671"/>
        <v/>
      </c>
      <c r="N120" s="21" t="str">
        <f t="shared" si="672"/>
        <v/>
      </c>
      <c r="O120" s="5" t="str">
        <f t="shared" si="673"/>
        <v/>
      </c>
      <c r="P120" s="10" t="str">
        <f t="shared" si="674"/>
        <v/>
      </c>
      <c r="Q120" s="624" t="str">
        <f t="shared" si="539"/>
        <v/>
      </c>
      <c r="R120" s="5" t="str">
        <f t="shared" si="739"/>
        <v/>
      </c>
      <c r="S120" s="6" t="str">
        <f t="shared" si="740"/>
        <v/>
      </c>
      <c r="T120" s="4" t="str">
        <f t="shared" si="741"/>
        <v/>
      </c>
      <c r="U120" s="5" t="str">
        <f t="shared" si="742"/>
        <v/>
      </c>
      <c r="V120" s="8" t="str">
        <f t="shared" si="743"/>
        <v/>
      </c>
      <c r="W120" s="624" t="str">
        <f t="shared" si="663"/>
        <v/>
      </c>
      <c r="X120" s="5" t="str">
        <f t="shared" si="744"/>
        <v/>
      </c>
      <c r="Y120" s="7" t="str">
        <f t="shared" si="661"/>
        <v/>
      </c>
      <c r="Z120" s="21" t="str">
        <f t="shared" si="675"/>
        <v/>
      </c>
      <c r="AA120" s="5" t="str">
        <f t="shared" si="676"/>
        <v/>
      </c>
      <c r="AB120" s="5" t="str">
        <f t="shared" si="677"/>
        <v/>
      </c>
      <c r="AC120" s="8" t="str">
        <f t="shared" si="745"/>
        <v/>
      </c>
      <c r="AD120" s="9" t="str">
        <f t="shared" si="746"/>
        <v/>
      </c>
      <c r="AE120" s="5" t="str">
        <f t="shared" si="747"/>
        <v/>
      </c>
      <c r="AF120" s="10" t="str">
        <f t="shared" si="748"/>
        <v/>
      </c>
      <c r="AG120" s="622" t="str">
        <f t="shared" si="749"/>
        <v/>
      </c>
      <c r="AH120" s="623" t="str">
        <f t="shared" si="750"/>
        <v/>
      </c>
      <c r="AI120" s="624" t="str">
        <f t="shared" si="751"/>
        <v/>
      </c>
      <c r="AJ120" s="625" t="str">
        <f t="shared" si="752"/>
        <v/>
      </c>
      <c r="AK120" s="4" t="str">
        <f t="shared" si="753"/>
        <v/>
      </c>
      <c r="AL120" s="5" t="str">
        <f t="shared" si="754"/>
        <v/>
      </c>
      <c r="AM120" s="6" t="str">
        <f t="shared" si="755"/>
        <v/>
      </c>
      <c r="AN120" s="612" t="str">
        <f t="shared" si="756"/>
        <v/>
      </c>
      <c r="AO120" s="613" t="str">
        <f t="shared" ref="AO120:AO150" si="765">IF(ROUND(IF(M120="",0,DEGREES(ACOS(AK120))),4)=90,0,IF(M120="","",DEGREES(ACOS(AK120))))</f>
        <v/>
      </c>
      <c r="AP120" s="624" t="str">
        <f t="shared" si="757"/>
        <v/>
      </c>
      <c r="AQ120" s="625" t="str">
        <f t="shared" si="678"/>
        <v/>
      </c>
      <c r="AS120" s="56" t="str">
        <f t="shared" si="760"/>
        <v/>
      </c>
      <c r="AT120" s="78" t="str">
        <f t="shared" si="679"/>
        <v/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8"/>
        <v/>
      </c>
      <c r="BT120" s="5" t="str">
        <f t="shared" si="758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1"/>
        <v/>
      </c>
      <c r="DC120" s="5" t="str">
        <f t="shared" si="761"/>
        <v/>
      </c>
      <c r="DD120" s="10" t="str">
        <f t="shared" si="588"/>
        <v/>
      </c>
      <c r="DE120" s="9" t="str">
        <f t="shared" si="762"/>
        <v/>
      </c>
      <c r="DF120" s="5" t="str">
        <f t="shared" si="762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9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 t="str">
        <f t="shared" si="724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1" t="str" cm="1">
        <f t="array" ref="II120">IFERROR(IF(IH120&lt;1,IH120+LARGE((IF($M$9:$M$150="",0,$M$9:$M$150)-MOD(IF($M$9:$M$150="",0,$M$9:$M$150),1)),1),IH120),"")</f>
        <v/>
      </c>
      <c r="IJ120" s="842" t="str">
        <f t="shared" si="725"/>
        <v/>
      </c>
      <c r="IK120" s="842" t="str">
        <f t="shared" si="726"/>
        <v/>
      </c>
      <c r="IL120" s="791" t="str">
        <f t="shared" si="727"/>
        <v/>
      </c>
      <c r="IM120" s="833"/>
      <c r="IN120" s="5" t="str">
        <f t="shared" si="667"/>
        <v/>
      </c>
      <c r="IO120" s="802" t="str">
        <f t="shared" si="728"/>
        <v/>
      </c>
      <c r="IP120" s="9" t="str">
        <f t="shared" si="729"/>
        <v/>
      </c>
      <c r="IQ120" s="5" t="str">
        <f t="shared" si="730"/>
        <v/>
      </c>
      <c r="IR120" s="5" t="str">
        <f t="shared" si="731"/>
        <v/>
      </c>
      <c r="IS120" s="5" t="str">
        <f t="shared" si="732"/>
        <v/>
      </c>
      <c r="IT120" s="791" t="str">
        <f t="shared" si="733"/>
        <v/>
      </c>
      <c r="IU120" s="9" t="str">
        <f t="shared" si="734"/>
        <v/>
      </c>
      <c r="IV120" s="5" t="str">
        <f t="shared" si="735"/>
        <v/>
      </c>
      <c r="IW120" s="5" t="str">
        <f t="shared" si="736"/>
        <v/>
      </c>
      <c r="IX120" s="5" t="str">
        <f t="shared" si="737"/>
        <v/>
      </c>
      <c r="IY120" s="836" t="str">
        <f t="shared" si="738"/>
        <v/>
      </c>
    </row>
    <row r="121" spans="1:259" ht="15" customHeight="1" x14ac:dyDescent="0.25">
      <c r="A121" s="84">
        <f t="shared" si="538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62"/>
        <v/>
      </c>
      <c r="L121" s="327" t="str">
        <f t="shared" si="666"/>
        <v/>
      </c>
      <c r="M121" s="173" t="str">
        <f t="shared" si="671"/>
        <v/>
      </c>
      <c r="N121" s="21" t="str">
        <f t="shared" si="672"/>
        <v/>
      </c>
      <c r="O121" s="5" t="str">
        <f t="shared" si="673"/>
        <v/>
      </c>
      <c r="P121" s="10" t="str">
        <f t="shared" si="674"/>
        <v/>
      </c>
      <c r="Q121" s="624" t="str">
        <f t="shared" si="539"/>
        <v/>
      </c>
      <c r="R121" s="5" t="str">
        <f t="shared" si="739"/>
        <v/>
      </c>
      <c r="S121" s="6" t="str">
        <f t="shared" si="740"/>
        <v/>
      </c>
      <c r="T121" s="4" t="str">
        <f t="shared" si="741"/>
        <v/>
      </c>
      <c r="U121" s="5" t="str">
        <f t="shared" si="742"/>
        <v/>
      </c>
      <c r="V121" s="8" t="str">
        <f t="shared" si="743"/>
        <v/>
      </c>
      <c r="W121" s="624" t="str">
        <f t="shared" si="663"/>
        <v/>
      </c>
      <c r="X121" s="5" t="str">
        <f t="shared" si="744"/>
        <v/>
      </c>
      <c r="Y121" s="7" t="str">
        <f t="shared" si="661"/>
        <v/>
      </c>
      <c r="Z121" s="21" t="str">
        <f t="shared" si="675"/>
        <v/>
      </c>
      <c r="AA121" s="5" t="str">
        <f t="shared" si="676"/>
        <v/>
      </c>
      <c r="AB121" s="5" t="str">
        <f t="shared" si="677"/>
        <v/>
      </c>
      <c r="AC121" s="8" t="str">
        <f t="shared" si="745"/>
        <v/>
      </c>
      <c r="AD121" s="9" t="str">
        <f t="shared" si="746"/>
        <v/>
      </c>
      <c r="AE121" s="5" t="str">
        <f t="shared" si="747"/>
        <v/>
      </c>
      <c r="AF121" s="10" t="str">
        <f t="shared" si="748"/>
        <v/>
      </c>
      <c r="AG121" s="622" t="str">
        <f t="shared" si="749"/>
        <v/>
      </c>
      <c r="AH121" s="623" t="str">
        <f t="shared" si="750"/>
        <v/>
      </c>
      <c r="AI121" s="624" t="str">
        <f t="shared" si="751"/>
        <v/>
      </c>
      <c r="AJ121" s="625" t="str">
        <f t="shared" si="752"/>
        <v/>
      </c>
      <c r="AK121" s="4" t="str">
        <f t="shared" si="753"/>
        <v/>
      </c>
      <c r="AL121" s="5" t="str">
        <f t="shared" si="754"/>
        <v/>
      </c>
      <c r="AM121" s="6" t="str">
        <f t="shared" si="755"/>
        <v/>
      </c>
      <c r="AN121" s="612" t="str">
        <f t="shared" si="756"/>
        <v/>
      </c>
      <c r="AO121" s="613" t="str">
        <f t="shared" si="765"/>
        <v/>
      </c>
      <c r="AP121" s="624" t="str">
        <f t="shared" si="757"/>
        <v/>
      </c>
      <c r="AQ121" s="625" t="str">
        <f t="shared" si="678"/>
        <v/>
      </c>
      <c r="AS121" s="56" t="str">
        <f t="shared" si="760"/>
        <v/>
      </c>
      <c r="AT121" s="78" t="str">
        <f t="shared" si="679"/>
        <v/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8"/>
        <v/>
      </c>
      <c r="BT121" s="5" t="str">
        <f t="shared" si="758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1"/>
        <v/>
      </c>
      <c r="DC121" s="5" t="str">
        <f t="shared" si="761"/>
        <v/>
      </c>
      <c r="DD121" s="10" t="str">
        <f t="shared" si="588"/>
        <v/>
      </c>
      <c r="DE121" s="9" t="str">
        <f t="shared" si="762"/>
        <v/>
      </c>
      <c r="DF121" s="5" t="str">
        <f t="shared" si="762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9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 t="str">
        <f t="shared" si="724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1" t="str" cm="1">
        <f t="array" ref="II121">IFERROR(IF(IH121&lt;1,IH121+LARGE((IF($M$9:$M$150="",0,$M$9:$M$150)-MOD(IF($M$9:$M$150="",0,$M$9:$M$150),1)),1),IH121),"")</f>
        <v/>
      </c>
      <c r="IJ121" s="842" t="str">
        <f t="shared" si="725"/>
        <v/>
      </c>
      <c r="IK121" s="842" t="str">
        <f t="shared" si="726"/>
        <v/>
      </c>
      <c r="IL121" s="791" t="str">
        <f t="shared" si="727"/>
        <v/>
      </c>
      <c r="IM121" s="833"/>
      <c r="IN121" s="5" t="str">
        <f t="shared" si="667"/>
        <v/>
      </c>
      <c r="IO121" s="802" t="str">
        <f t="shared" si="728"/>
        <v/>
      </c>
      <c r="IP121" s="9" t="str">
        <f t="shared" si="729"/>
        <v/>
      </c>
      <c r="IQ121" s="5" t="str">
        <f t="shared" si="730"/>
        <v/>
      </c>
      <c r="IR121" s="5" t="str">
        <f t="shared" si="731"/>
        <v/>
      </c>
      <c r="IS121" s="5" t="str">
        <f t="shared" si="732"/>
        <v/>
      </c>
      <c r="IT121" s="791" t="str">
        <f t="shared" si="733"/>
        <v/>
      </c>
      <c r="IU121" s="9" t="str">
        <f t="shared" si="734"/>
        <v/>
      </c>
      <c r="IV121" s="5" t="str">
        <f t="shared" si="735"/>
        <v/>
      </c>
      <c r="IW121" s="5" t="str">
        <f t="shared" si="736"/>
        <v/>
      </c>
      <c r="IX121" s="5" t="str">
        <f t="shared" si="737"/>
        <v/>
      </c>
      <c r="IY121" s="836" t="str">
        <f t="shared" si="738"/>
        <v/>
      </c>
    </row>
    <row r="122" spans="1:259" ht="15" customHeight="1" x14ac:dyDescent="0.25">
      <c r="A122" s="84">
        <f t="shared" si="538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62"/>
        <v/>
      </c>
      <c r="L122" s="327" t="str">
        <f t="shared" si="666"/>
        <v/>
      </c>
      <c r="M122" s="173" t="str">
        <f t="shared" si="671"/>
        <v/>
      </c>
      <c r="N122" s="21" t="str">
        <f t="shared" si="672"/>
        <v/>
      </c>
      <c r="O122" s="5" t="str">
        <f t="shared" si="673"/>
        <v/>
      </c>
      <c r="P122" s="10" t="str">
        <f t="shared" si="674"/>
        <v/>
      </c>
      <c r="Q122" s="624" t="str">
        <f t="shared" si="539"/>
        <v/>
      </c>
      <c r="R122" s="5" t="str">
        <f t="shared" si="739"/>
        <v/>
      </c>
      <c r="S122" s="6" t="str">
        <f t="shared" si="740"/>
        <v/>
      </c>
      <c r="T122" s="4" t="str">
        <f t="shared" si="741"/>
        <v/>
      </c>
      <c r="U122" s="5" t="str">
        <f t="shared" si="742"/>
        <v/>
      </c>
      <c r="V122" s="8" t="str">
        <f t="shared" si="743"/>
        <v/>
      </c>
      <c r="W122" s="624" t="str">
        <f t="shared" si="663"/>
        <v/>
      </c>
      <c r="X122" s="5" t="str">
        <f t="shared" si="744"/>
        <v/>
      </c>
      <c r="Y122" s="7" t="str">
        <f t="shared" si="661"/>
        <v/>
      </c>
      <c r="Z122" s="21" t="str">
        <f t="shared" si="675"/>
        <v/>
      </c>
      <c r="AA122" s="5" t="str">
        <f t="shared" si="676"/>
        <v/>
      </c>
      <c r="AB122" s="5" t="str">
        <f t="shared" si="677"/>
        <v/>
      </c>
      <c r="AC122" s="8" t="str">
        <f t="shared" si="745"/>
        <v/>
      </c>
      <c r="AD122" s="9" t="str">
        <f t="shared" si="746"/>
        <v/>
      </c>
      <c r="AE122" s="5" t="str">
        <f t="shared" si="747"/>
        <v/>
      </c>
      <c r="AF122" s="10" t="str">
        <f t="shared" si="748"/>
        <v/>
      </c>
      <c r="AG122" s="622" t="str">
        <f t="shared" si="749"/>
        <v/>
      </c>
      <c r="AH122" s="623" t="str">
        <f t="shared" si="750"/>
        <v/>
      </c>
      <c r="AI122" s="624" t="str">
        <f t="shared" si="751"/>
        <v/>
      </c>
      <c r="AJ122" s="625" t="str">
        <f t="shared" si="752"/>
        <v/>
      </c>
      <c r="AK122" s="4" t="str">
        <f t="shared" si="753"/>
        <v/>
      </c>
      <c r="AL122" s="5" t="str">
        <f t="shared" si="754"/>
        <v/>
      </c>
      <c r="AM122" s="6" t="str">
        <f t="shared" si="755"/>
        <v/>
      </c>
      <c r="AN122" s="612" t="str">
        <f t="shared" si="756"/>
        <v/>
      </c>
      <c r="AO122" s="613" t="str">
        <f t="shared" si="765"/>
        <v/>
      </c>
      <c r="AP122" s="624" t="str">
        <f t="shared" si="757"/>
        <v/>
      </c>
      <c r="AQ122" s="625" t="str">
        <f t="shared" si="678"/>
        <v/>
      </c>
      <c r="AS122" s="56" t="str">
        <f t="shared" si="760"/>
        <v/>
      </c>
      <c r="AT122" s="78" t="str">
        <f t="shared" si="679"/>
        <v/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8"/>
        <v/>
      </c>
      <c r="BT122" s="5" t="str">
        <f t="shared" si="758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1"/>
        <v/>
      </c>
      <c r="DC122" s="5" t="str">
        <f t="shared" si="761"/>
        <v/>
      </c>
      <c r="DD122" s="10" t="str">
        <f t="shared" si="588"/>
        <v/>
      </c>
      <c r="DE122" s="9" t="str">
        <f t="shared" si="762"/>
        <v/>
      </c>
      <c r="DF122" s="5" t="str">
        <f t="shared" si="762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9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 t="str">
        <f t="shared" si="724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1" t="str" cm="1">
        <f t="array" ref="II122">IFERROR(IF(IH122&lt;1,IH122+LARGE((IF($M$9:$M$150="",0,$M$9:$M$150)-MOD(IF($M$9:$M$150="",0,$M$9:$M$150),1)),1),IH122),"")</f>
        <v/>
      </c>
      <c r="IJ122" s="842" t="str">
        <f t="shared" si="725"/>
        <v/>
      </c>
      <c r="IK122" s="842" t="str">
        <f t="shared" si="726"/>
        <v/>
      </c>
      <c r="IL122" s="791" t="str">
        <f t="shared" si="727"/>
        <v/>
      </c>
      <c r="IM122" s="833"/>
      <c r="IN122" s="5" t="str">
        <f t="shared" si="667"/>
        <v/>
      </c>
      <c r="IO122" s="802" t="str">
        <f t="shared" si="728"/>
        <v/>
      </c>
      <c r="IP122" s="9" t="str">
        <f t="shared" si="729"/>
        <v/>
      </c>
      <c r="IQ122" s="5" t="str">
        <f t="shared" si="730"/>
        <v/>
      </c>
      <c r="IR122" s="5" t="str">
        <f t="shared" si="731"/>
        <v/>
      </c>
      <c r="IS122" s="5" t="str">
        <f t="shared" si="732"/>
        <v/>
      </c>
      <c r="IT122" s="791" t="str">
        <f t="shared" si="733"/>
        <v/>
      </c>
      <c r="IU122" s="9" t="str">
        <f t="shared" si="734"/>
        <v/>
      </c>
      <c r="IV122" s="5" t="str">
        <f t="shared" si="735"/>
        <v/>
      </c>
      <c r="IW122" s="5" t="str">
        <f t="shared" si="736"/>
        <v/>
      </c>
      <c r="IX122" s="5" t="str">
        <f t="shared" si="737"/>
        <v/>
      </c>
      <c r="IY122" s="836" t="str">
        <f t="shared" si="738"/>
        <v/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6"/>
        <v/>
      </c>
      <c r="M123" s="173" t="str">
        <f t="shared" si="671"/>
        <v/>
      </c>
      <c r="N123" s="21" t="str">
        <f t="shared" si="672"/>
        <v/>
      </c>
      <c r="O123" s="5" t="str">
        <f t="shared" si="673"/>
        <v/>
      </c>
      <c r="P123" s="10" t="str">
        <f t="shared" si="674"/>
        <v/>
      </c>
      <c r="Q123" s="624" t="str">
        <f t="shared" si="539"/>
        <v/>
      </c>
      <c r="R123" s="5" t="str">
        <f t="shared" si="739"/>
        <v/>
      </c>
      <c r="S123" s="6" t="str">
        <f t="shared" si="740"/>
        <v/>
      </c>
      <c r="T123" s="4" t="str">
        <f t="shared" si="741"/>
        <v/>
      </c>
      <c r="U123" s="5" t="str">
        <f t="shared" si="742"/>
        <v/>
      </c>
      <c r="V123" s="8" t="str">
        <f t="shared" si="743"/>
        <v/>
      </c>
      <c r="W123" s="624" t="str">
        <f t="shared" si="663"/>
        <v/>
      </c>
      <c r="X123" s="5" t="str">
        <f t="shared" si="744"/>
        <v/>
      </c>
      <c r="Y123" s="7" t="str">
        <f t="shared" si="661"/>
        <v/>
      </c>
      <c r="Z123" s="21" t="str">
        <f t="shared" si="675"/>
        <v/>
      </c>
      <c r="AA123" s="5" t="str">
        <f t="shared" si="676"/>
        <v/>
      </c>
      <c r="AB123" s="5" t="str">
        <f t="shared" si="677"/>
        <v/>
      </c>
      <c r="AC123" s="8" t="str">
        <f t="shared" si="745"/>
        <v/>
      </c>
      <c r="AD123" s="9" t="str">
        <f t="shared" si="746"/>
        <v/>
      </c>
      <c r="AE123" s="5" t="str">
        <f t="shared" si="747"/>
        <v/>
      </c>
      <c r="AF123" s="10" t="str">
        <f t="shared" si="748"/>
        <v/>
      </c>
      <c r="AG123" s="622" t="str">
        <f t="shared" si="749"/>
        <v/>
      </c>
      <c r="AH123" s="623" t="str">
        <f t="shared" si="750"/>
        <v/>
      </c>
      <c r="AI123" s="624" t="str">
        <f t="shared" si="751"/>
        <v/>
      </c>
      <c r="AJ123" s="625" t="str">
        <f t="shared" si="752"/>
        <v/>
      </c>
      <c r="AK123" s="4" t="str">
        <f t="shared" si="753"/>
        <v/>
      </c>
      <c r="AL123" s="5" t="str">
        <f t="shared" si="754"/>
        <v/>
      </c>
      <c r="AM123" s="6" t="str">
        <f t="shared" si="755"/>
        <v/>
      </c>
      <c r="AN123" s="612" t="str">
        <f t="shared" si="756"/>
        <v/>
      </c>
      <c r="AO123" s="613" t="str">
        <f t="shared" si="765"/>
        <v/>
      </c>
      <c r="AP123" s="624" t="str">
        <f t="shared" si="757"/>
        <v/>
      </c>
      <c r="AQ123" s="625" t="str">
        <f t="shared" si="678"/>
        <v/>
      </c>
      <c r="AS123" s="56" t="str">
        <f t="shared" si="760"/>
        <v/>
      </c>
      <c r="AT123" s="78" t="str">
        <f t="shared" si="679"/>
        <v/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8"/>
        <v/>
      </c>
      <c r="BT123" s="5" t="str">
        <f t="shared" si="758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1"/>
        <v/>
      </c>
      <c r="DC123" s="5" t="str">
        <f t="shared" si="761"/>
        <v/>
      </c>
      <c r="DD123" s="10" t="str">
        <f t="shared" si="588"/>
        <v/>
      </c>
      <c r="DE123" s="9" t="str">
        <f t="shared" si="762"/>
        <v/>
      </c>
      <c r="DF123" s="5" t="str">
        <f t="shared" si="762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9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 t="str">
        <f t="shared" si="724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7"/>
        <v/>
      </c>
      <c r="IO123" s="802" t="str">
        <f t="shared" si="728"/>
        <v/>
      </c>
      <c r="IP123" s="9" t="str">
        <f t="shared" si="729"/>
        <v/>
      </c>
      <c r="IQ123" s="5" t="str">
        <f t="shared" si="730"/>
        <v/>
      </c>
      <c r="IR123" s="5" t="str">
        <f t="shared" si="731"/>
        <v/>
      </c>
      <c r="IS123" s="5" t="str">
        <f t="shared" si="732"/>
        <v/>
      </c>
      <c r="IT123" s="791" t="str">
        <f t="shared" si="733"/>
        <v/>
      </c>
      <c r="IU123" s="9" t="str">
        <f t="shared" si="734"/>
        <v/>
      </c>
      <c r="IV123" s="5" t="str">
        <f t="shared" si="735"/>
        <v/>
      </c>
      <c r="IW123" s="5" t="str">
        <f t="shared" si="736"/>
        <v/>
      </c>
      <c r="IX123" s="5" t="str">
        <f t="shared" si="737"/>
        <v/>
      </c>
      <c r="IY123" s="836" t="str">
        <f t="shared" si="738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6"/>
        <v/>
      </c>
      <c r="M124" s="173" t="str">
        <f t="shared" si="671"/>
        <v/>
      </c>
      <c r="N124" s="21" t="str">
        <f t="shared" si="672"/>
        <v/>
      </c>
      <c r="O124" s="5" t="str">
        <f t="shared" si="673"/>
        <v/>
      </c>
      <c r="P124" s="10" t="str">
        <f t="shared" si="674"/>
        <v/>
      </c>
      <c r="Q124" s="624" t="str">
        <f t="shared" si="539"/>
        <v/>
      </c>
      <c r="R124" s="5" t="str">
        <f t="shared" si="739"/>
        <v/>
      </c>
      <c r="S124" s="6" t="str">
        <f t="shared" si="740"/>
        <v/>
      </c>
      <c r="T124" s="4" t="str">
        <f t="shared" si="741"/>
        <v/>
      </c>
      <c r="U124" s="5" t="str">
        <f t="shared" si="742"/>
        <v/>
      </c>
      <c r="V124" s="8" t="str">
        <f t="shared" si="743"/>
        <v/>
      </c>
      <c r="W124" s="624" t="str">
        <f t="shared" si="663"/>
        <v/>
      </c>
      <c r="X124" s="5" t="str">
        <f t="shared" si="744"/>
        <v/>
      </c>
      <c r="Y124" s="7" t="str">
        <f t="shared" si="661"/>
        <v/>
      </c>
      <c r="Z124" s="21" t="str">
        <f t="shared" si="675"/>
        <v/>
      </c>
      <c r="AA124" s="5" t="str">
        <f t="shared" si="676"/>
        <v/>
      </c>
      <c r="AB124" s="5" t="str">
        <f t="shared" si="677"/>
        <v/>
      </c>
      <c r="AC124" s="8" t="str">
        <f t="shared" si="745"/>
        <v/>
      </c>
      <c r="AD124" s="9" t="str">
        <f t="shared" si="746"/>
        <v/>
      </c>
      <c r="AE124" s="5" t="str">
        <f t="shared" si="747"/>
        <v/>
      </c>
      <c r="AF124" s="10" t="str">
        <f t="shared" si="748"/>
        <v/>
      </c>
      <c r="AG124" s="622" t="str">
        <f t="shared" si="749"/>
        <v/>
      </c>
      <c r="AH124" s="623" t="str">
        <f t="shared" si="750"/>
        <v/>
      </c>
      <c r="AI124" s="624" t="str">
        <f t="shared" si="751"/>
        <v/>
      </c>
      <c r="AJ124" s="625" t="str">
        <f t="shared" si="752"/>
        <v/>
      </c>
      <c r="AK124" s="4" t="str">
        <f t="shared" si="753"/>
        <v/>
      </c>
      <c r="AL124" s="5" t="str">
        <f t="shared" si="754"/>
        <v/>
      </c>
      <c r="AM124" s="6" t="str">
        <f t="shared" si="755"/>
        <v/>
      </c>
      <c r="AN124" s="612" t="str">
        <f t="shared" si="756"/>
        <v/>
      </c>
      <c r="AO124" s="613" t="str">
        <f t="shared" si="765"/>
        <v/>
      </c>
      <c r="AP124" s="624" t="str">
        <f t="shared" si="757"/>
        <v/>
      </c>
      <c r="AQ124" s="625" t="str">
        <f t="shared" si="678"/>
        <v/>
      </c>
      <c r="AS124" s="56" t="str">
        <f t="shared" si="760"/>
        <v/>
      </c>
      <c r="AT124" s="78" t="str">
        <f t="shared" si="679"/>
        <v/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8"/>
        <v/>
      </c>
      <c r="BT124" s="5" t="str">
        <f t="shared" si="758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1"/>
        <v/>
      </c>
      <c r="DC124" s="5" t="str">
        <f t="shared" si="761"/>
        <v/>
      </c>
      <c r="DD124" s="10" t="str">
        <f t="shared" si="588"/>
        <v/>
      </c>
      <c r="DE124" s="9" t="str">
        <f t="shared" si="762"/>
        <v/>
      </c>
      <c r="DF124" s="5" t="str">
        <f t="shared" si="762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9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 t="str">
        <f t="shared" si="724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7"/>
        <v/>
      </c>
      <c r="IO124" s="802" t="str">
        <f t="shared" si="728"/>
        <v/>
      </c>
      <c r="IP124" s="9" t="str">
        <f t="shared" si="729"/>
        <v/>
      </c>
      <c r="IQ124" s="5" t="str">
        <f t="shared" si="730"/>
        <v/>
      </c>
      <c r="IR124" s="5" t="str">
        <f t="shared" si="731"/>
        <v/>
      </c>
      <c r="IS124" s="5" t="str">
        <f t="shared" si="732"/>
        <v/>
      </c>
      <c r="IT124" s="791" t="str">
        <f t="shared" si="733"/>
        <v/>
      </c>
      <c r="IU124" s="9" t="str">
        <f t="shared" si="734"/>
        <v/>
      </c>
      <c r="IV124" s="5" t="str">
        <f t="shared" si="735"/>
        <v/>
      </c>
      <c r="IW124" s="5" t="str">
        <f t="shared" si="736"/>
        <v/>
      </c>
      <c r="IX124" s="5" t="str">
        <f t="shared" si="737"/>
        <v/>
      </c>
      <c r="IY124" s="836" t="str">
        <f t="shared" si="738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6"/>
        <v/>
      </c>
      <c r="M125" s="173" t="str">
        <f t="shared" si="671"/>
        <v/>
      </c>
      <c r="N125" s="21" t="str">
        <f t="shared" si="672"/>
        <v/>
      </c>
      <c r="O125" s="5" t="str">
        <f t="shared" si="673"/>
        <v/>
      </c>
      <c r="P125" s="10" t="str">
        <f t="shared" si="674"/>
        <v/>
      </c>
      <c r="Q125" s="624" t="str">
        <f t="shared" si="539"/>
        <v/>
      </c>
      <c r="R125" s="5" t="str">
        <f t="shared" si="739"/>
        <v/>
      </c>
      <c r="S125" s="6" t="str">
        <f t="shared" si="740"/>
        <v/>
      </c>
      <c r="T125" s="4" t="str">
        <f t="shared" si="741"/>
        <v/>
      </c>
      <c r="U125" s="5" t="str">
        <f t="shared" si="742"/>
        <v/>
      </c>
      <c r="V125" s="8" t="str">
        <f t="shared" si="743"/>
        <v/>
      </c>
      <c r="W125" s="624" t="str">
        <f t="shared" si="663"/>
        <v/>
      </c>
      <c r="X125" s="5" t="str">
        <f t="shared" si="744"/>
        <v/>
      </c>
      <c r="Y125" s="7" t="str">
        <f t="shared" si="661"/>
        <v/>
      </c>
      <c r="Z125" s="21" t="str">
        <f t="shared" si="675"/>
        <v/>
      </c>
      <c r="AA125" s="5" t="str">
        <f t="shared" si="676"/>
        <v/>
      </c>
      <c r="AB125" s="5" t="str">
        <f t="shared" si="677"/>
        <v/>
      </c>
      <c r="AC125" s="8" t="str">
        <f t="shared" si="745"/>
        <v/>
      </c>
      <c r="AD125" s="9" t="str">
        <f t="shared" si="746"/>
        <v/>
      </c>
      <c r="AE125" s="5" t="str">
        <f t="shared" si="747"/>
        <v/>
      </c>
      <c r="AF125" s="10" t="str">
        <f t="shared" si="748"/>
        <v/>
      </c>
      <c r="AG125" s="622" t="str">
        <f t="shared" si="749"/>
        <v/>
      </c>
      <c r="AH125" s="623" t="str">
        <f t="shared" si="750"/>
        <v/>
      </c>
      <c r="AI125" s="624" t="str">
        <f t="shared" si="751"/>
        <v/>
      </c>
      <c r="AJ125" s="625" t="str">
        <f t="shared" si="752"/>
        <v/>
      </c>
      <c r="AK125" s="4" t="str">
        <f t="shared" si="753"/>
        <v/>
      </c>
      <c r="AL125" s="5" t="str">
        <f t="shared" si="754"/>
        <v/>
      </c>
      <c r="AM125" s="6" t="str">
        <f t="shared" si="755"/>
        <v/>
      </c>
      <c r="AN125" s="612" t="str">
        <f t="shared" si="756"/>
        <v/>
      </c>
      <c r="AO125" s="613" t="str">
        <f t="shared" si="765"/>
        <v/>
      </c>
      <c r="AP125" s="624" t="str">
        <f t="shared" si="757"/>
        <v/>
      </c>
      <c r="AQ125" s="625" t="str">
        <f t="shared" si="678"/>
        <v/>
      </c>
      <c r="AS125" s="56" t="str">
        <f t="shared" si="760"/>
        <v/>
      </c>
      <c r="AT125" s="78" t="str">
        <f t="shared" si="679"/>
        <v/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8"/>
        <v/>
      </c>
      <c r="BT125" s="5" t="str">
        <f t="shared" si="758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1"/>
        <v/>
      </c>
      <c r="DC125" s="5" t="str">
        <f t="shared" si="761"/>
        <v/>
      </c>
      <c r="DD125" s="10" t="str">
        <f t="shared" si="588"/>
        <v/>
      </c>
      <c r="DE125" s="9" t="str">
        <f t="shared" si="762"/>
        <v/>
      </c>
      <c r="DF125" s="5" t="str">
        <f t="shared" si="762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9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 t="str">
        <f t="shared" si="724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7"/>
        <v/>
      </c>
      <c r="IO125" s="802" t="str">
        <f t="shared" si="728"/>
        <v/>
      </c>
      <c r="IP125" s="9" t="str">
        <f t="shared" si="729"/>
        <v/>
      </c>
      <c r="IQ125" s="5" t="str">
        <f t="shared" si="730"/>
        <v/>
      </c>
      <c r="IR125" s="5" t="str">
        <f t="shared" si="731"/>
        <v/>
      </c>
      <c r="IS125" s="5" t="str">
        <f t="shared" si="732"/>
        <v/>
      </c>
      <c r="IT125" s="791" t="str">
        <f t="shared" si="733"/>
        <v/>
      </c>
      <c r="IU125" s="9" t="str">
        <f t="shared" si="734"/>
        <v/>
      </c>
      <c r="IV125" s="5" t="str">
        <f t="shared" si="735"/>
        <v/>
      </c>
      <c r="IW125" s="5" t="str">
        <f t="shared" si="736"/>
        <v/>
      </c>
      <c r="IX125" s="5" t="str">
        <f t="shared" si="737"/>
        <v/>
      </c>
      <c r="IY125" s="836" t="str">
        <f t="shared" si="738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6"/>
        <v/>
      </c>
      <c r="M126" s="173" t="str">
        <f t="shared" si="671"/>
        <v/>
      </c>
      <c r="N126" s="21" t="str">
        <f t="shared" si="672"/>
        <v/>
      </c>
      <c r="O126" s="5" t="str">
        <f t="shared" si="673"/>
        <v/>
      </c>
      <c r="P126" s="10" t="str">
        <f t="shared" si="674"/>
        <v/>
      </c>
      <c r="Q126" s="624" t="str">
        <f t="shared" si="539"/>
        <v/>
      </c>
      <c r="R126" s="5" t="str">
        <f t="shared" si="739"/>
        <v/>
      </c>
      <c r="S126" s="6" t="str">
        <f t="shared" si="740"/>
        <v/>
      </c>
      <c r="T126" s="4" t="str">
        <f t="shared" si="741"/>
        <v/>
      </c>
      <c r="U126" s="5" t="str">
        <f t="shared" si="742"/>
        <v/>
      </c>
      <c r="V126" s="8" t="str">
        <f t="shared" si="743"/>
        <v/>
      </c>
      <c r="W126" s="624" t="str">
        <f t="shared" si="663"/>
        <v/>
      </c>
      <c r="X126" s="5" t="str">
        <f t="shared" si="744"/>
        <v/>
      </c>
      <c r="Y126" s="7" t="str">
        <f t="shared" si="661"/>
        <v/>
      </c>
      <c r="Z126" s="21" t="str">
        <f t="shared" si="675"/>
        <v/>
      </c>
      <c r="AA126" s="5" t="str">
        <f t="shared" si="676"/>
        <v/>
      </c>
      <c r="AB126" s="5" t="str">
        <f t="shared" si="677"/>
        <v/>
      </c>
      <c r="AC126" s="8" t="str">
        <f t="shared" si="745"/>
        <v/>
      </c>
      <c r="AD126" s="9" t="str">
        <f t="shared" si="746"/>
        <v/>
      </c>
      <c r="AE126" s="5" t="str">
        <f t="shared" si="747"/>
        <v/>
      </c>
      <c r="AF126" s="10" t="str">
        <f t="shared" si="748"/>
        <v/>
      </c>
      <c r="AG126" s="622" t="str">
        <f t="shared" si="749"/>
        <v/>
      </c>
      <c r="AH126" s="623" t="str">
        <f t="shared" si="750"/>
        <v/>
      </c>
      <c r="AI126" s="624" t="str">
        <f t="shared" si="751"/>
        <v/>
      </c>
      <c r="AJ126" s="625" t="str">
        <f t="shared" si="752"/>
        <v/>
      </c>
      <c r="AK126" s="4" t="str">
        <f t="shared" si="753"/>
        <v/>
      </c>
      <c r="AL126" s="5" t="str">
        <f t="shared" si="754"/>
        <v/>
      </c>
      <c r="AM126" s="6" t="str">
        <f t="shared" si="755"/>
        <v/>
      </c>
      <c r="AN126" s="612" t="str">
        <f t="shared" si="756"/>
        <v/>
      </c>
      <c r="AO126" s="613" t="str">
        <f t="shared" si="765"/>
        <v/>
      </c>
      <c r="AP126" s="624" t="str">
        <f t="shared" si="757"/>
        <v/>
      </c>
      <c r="AQ126" s="625" t="str">
        <f t="shared" si="678"/>
        <v/>
      </c>
      <c r="AS126" s="56" t="str">
        <f t="shared" si="760"/>
        <v/>
      </c>
      <c r="AT126" s="78" t="str">
        <f t="shared" si="679"/>
        <v/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8"/>
        <v/>
      </c>
      <c r="BT126" s="5" t="str">
        <f t="shared" si="758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1"/>
        <v/>
      </c>
      <c r="DC126" s="5" t="str">
        <f t="shared" si="761"/>
        <v/>
      </c>
      <c r="DD126" s="10" t="str">
        <f t="shared" si="588"/>
        <v/>
      </c>
      <c r="DE126" s="9" t="str">
        <f t="shared" si="762"/>
        <v/>
      </c>
      <c r="DF126" s="5" t="str">
        <f t="shared" si="762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9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 t="str">
        <f t="shared" si="724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7"/>
        <v/>
      </c>
      <c r="IO126" s="802" t="str">
        <f t="shared" si="728"/>
        <v/>
      </c>
      <c r="IP126" s="9" t="str">
        <f t="shared" si="729"/>
        <v/>
      </c>
      <c r="IQ126" s="5" t="str">
        <f t="shared" si="730"/>
        <v/>
      </c>
      <c r="IR126" s="5" t="str">
        <f t="shared" si="731"/>
        <v/>
      </c>
      <c r="IS126" s="5" t="str">
        <f t="shared" si="732"/>
        <v/>
      </c>
      <c r="IT126" s="791" t="str">
        <f t="shared" si="733"/>
        <v/>
      </c>
      <c r="IU126" s="9" t="str">
        <f t="shared" si="734"/>
        <v/>
      </c>
      <c r="IV126" s="5" t="str">
        <f t="shared" si="735"/>
        <v/>
      </c>
      <c r="IW126" s="5" t="str">
        <f t="shared" si="736"/>
        <v/>
      </c>
      <c r="IX126" s="5" t="str">
        <f t="shared" si="737"/>
        <v/>
      </c>
      <c r="IY126" s="836" t="str">
        <f t="shared" si="738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6"/>
        <v/>
      </c>
      <c r="M127" s="173" t="str">
        <f t="shared" si="671"/>
        <v/>
      </c>
      <c r="N127" s="21" t="str">
        <f t="shared" si="672"/>
        <v/>
      </c>
      <c r="O127" s="5" t="str">
        <f t="shared" si="673"/>
        <v/>
      </c>
      <c r="P127" s="10" t="str">
        <f t="shared" si="674"/>
        <v/>
      </c>
      <c r="Q127" s="624" t="str">
        <f t="shared" si="539"/>
        <v/>
      </c>
      <c r="R127" s="5" t="str">
        <f t="shared" si="739"/>
        <v/>
      </c>
      <c r="S127" s="6" t="str">
        <f t="shared" si="740"/>
        <v/>
      </c>
      <c r="T127" s="4" t="str">
        <f t="shared" si="741"/>
        <v/>
      </c>
      <c r="U127" s="5" t="str">
        <f t="shared" si="742"/>
        <v/>
      </c>
      <c r="V127" s="8" t="str">
        <f t="shared" si="743"/>
        <v/>
      </c>
      <c r="W127" s="624" t="str">
        <f t="shared" si="663"/>
        <v/>
      </c>
      <c r="X127" s="5" t="str">
        <f t="shared" si="744"/>
        <v/>
      </c>
      <c r="Y127" s="7" t="str">
        <f t="shared" si="661"/>
        <v/>
      </c>
      <c r="Z127" s="21" t="str">
        <f t="shared" si="675"/>
        <v/>
      </c>
      <c r="AA127" s="5" t="str">
        <f t="shared" si="676"/>
        <v/>
      </c>
      <c r="AB127" s="5" t="str">
        <f t="shared" si="677"/>
        <v/>
      </c>
      <c r="AC127" s="8" t="str">
        <f t="shared" si="745"/>
        <v/>
      </c>
      <c r="AD127" s="9" t="str">
        <f t="shared" si="746"/>
        <v/>
      </c>
      <c r="AE127" s="5" t="str">
        <f t="shared" si="747"/>
        <v/>
      </c>
      <c r="AF127" s="10" t="str">
        <f t="shared" si="748"/>
        <v/>
      </c>
      <c r="AG127" s="622" t="str">
        <f t="shared" si="749"/>
        <v/>
      </c>
      <c r="AH127" s="623" t="str">
        <f t="shared" si="750"/>
        <v/>
      </c>
      <c r="AI127" s="624" t="str">
        <f t="shared" si="751"/>
        <v/>
      </c>
      <c r="AJ127" s="625" t="str">
        <f t="shared" si="752"/>
        <v/>
      </c>
      <c r="AK127" s="4" t="str">
        <f t="shared" si="753"/>
        <v/>
      </c>
      <c r="AL127" s="5" t="str">
        <f t="shared" si="754"/>
        <v/>
      </c>
      <c r="AM127" s="6" t="str">
        <f t="shared" si="755"/>
        <v/>
      </c>
      <c r="AN127" s="612" t="str">
        <f t="shared" si="756"/>
        <v/>
      </c>
      <c r="AO127" s="613" t="str">
        <f t="shared" si="765"/>
        <v/>
      </c>
      <c r="AP127" s="624" t="str">
        <f t="shared" si="757"/>
        <v/>
      </c>
      <c r="AQ127" s="625" t="str">
        <f t="shared" si="678"/>
        <v/>
      </c>
      <c r="AS127" s="56" t="str">
        <f t="shared" si="760"/>
        <v/>
      </c>
      <c r="AT127" s="78" t="str">
        <f t="shared" si="679"/>
        <v/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8"/>
        <v/>
      </c>
      <c r="BT127" s="5" t="str">
        <f t="shared" si="758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1"/>
        <v/>
      </c>
      <c r="DC127" s="5" t="str">
        <f t="shared" si="761"/>
        <v/>
      </c>
      <c r="DD127" s="10" t="str">
        <f t="shared" si="588"/>
        <v/>
      </c>
      <c r="DE127" s="9" t="str">
        <f t="shared" si="762"/>
        <v/>
      </c>
      <c r="DF127" s="5" t="str">
        <f t="shared" si="762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9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 t="str">
        <f t="shared" si="724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7"/>
        <v/>
      </c>
      <c r="IO127" s="802" t="str">
        <f t="shared" si="728"/>
        <v/>
      </c>
      <c r="IP127" s="9" t="str">
        <f t="shared" si="729"/>
        <v/>
      </c>
      <c r="IQ127" s="5" t="str">
        <f t="shared" si="730"/>
        <v/>
      </c>
      <c r="IR127" s="5" t="str">
        <f t="shared" si="731"/>
        <v/>
      </c>
      <c r="IS127" s="5" t="str">
        <f t="shared" si="732"/>
        <v/>
      </c>
      <c r="IT127" s="791" t="str">
        <f t="shared" si="733"/>
        <v/>
      </c>
      <c r="IU127" s="9" t="str">
        <f t="shared" si="734"/>
        <v/>
      </c>
      <c r="IV127" s="5" t="str">
        <f t="shared" si="735"/>
        <v/>
      </c>
      <c r="IW127" s="5" t="str">
        <f t="shared" si="736"/>
        <v/>
      </c>
      <c r="IX127" s="5" t="str">
        <f t="shared" si="737"/>
        <v/>
      </c>
      <c r="IY127" s="836" t="str">
        <f t="shared" si="738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6"/>
        <v/>
      </c>
      <c r="M128" s="173" t="str">
        <f t="shared" si="671"/>
        <v/>
      </c>
      <c r="N128" s="21" t="str">
        <f t="shared" si="672"/>
        <v/>
      </c>
      <c r="O128" s="5" t="str">
        <f t="shared" si="673"/>
        <v/>
      </c>
      <c r="P128" s="10" t="str">
        <f t="shared" si="674"/>
        <v/>
      </c>
      <c r="Q128" s="624" t="str">
        <f t="shared" si="539"/>
        <v/>
      </c>
      <c r="R128" s="5" t="str">
        <f t="shared" si="739"/>
        <v/>
      </c>
      <c r="S128" s="6" t="str">
        <f t="shared" si="740"/>
        <v/>
      </c>
      <c r="T128" s="4" t="str">
        <f t="shared" si="741"/>
        <v/>
      </c>
      <c r="U128" s="5" t="str">
        <f t="shared" si="742"/>
        <v/>
      </c>
      <c r="V128" s="8" t="str">
        <f t="shared" si="743"/>
        <v/>
      </c>
      <c r="W128" s="624" t="str">
        <f t="shared" si="663"/>
        <v/>
      </c>
      <c r="X128" s="5" t="str">
        <f t="shared" si="744"/>
        <v/>
      </c>
      <c r="Y128" s="7" t="str">
        <f t="shared" si="661"/>
        <v/>
      </c>
      <c r="Z128" s="21" t="str">
        <f t="shared" si="675"/>
        <v/>
      </c>
      <c r="AA128" s="5" t="str">
        <f t="shared" si="676"/>
        <v/>
      </c>
      <c r="AB128" s="5" t="str">
        <f t="shared" si="677"/>
        <v/>
      </c>
      <c r="AC128" s="8" t="str">
        <f t="shared" si="745"/>
        <v/>
      </c>
      <c r="AD128" s="9" t="str">
        <f t="shared" si="746"/>
        <v/>
      </c>
      <c r="AE128" s="5" t="str">
        <f t="shared" si="747"/>
        <v/>
      </c>
      <c r="AF128" s="10" t="str">
        <f t="shared" si="748"/>
        <v/>
      </c>
      <c r="AG128" s="622" t="str">
        <f t="shared" si="749"/>
        <v/>
      </c>
      <c r="AH128" s="623" t="str">
        <f t="shared" si="750"/>
        <v/>
      </c>
      <c r="AI128" s="624" t="str">
        <f t="shared" si="751"/>
        <v/>
      </c>
      <c r="AJ128" s="625" t="str">
        <f t="shared" si="752"/>
        <v/>
      </c>
      <c r="AK128" s="4" t="str">
        <f t="shared" si="753"/>
        <v/>
      </c>
      <c r="AL128" s="5" t="str">
        <f t="shared" si="754"/>
        <v/>
      </c>
      <c r="AM128" s="6" t="str">
        <f t="shared" si="755"/>
        <v/>
      </c>
      <c r="AN128" s="612" t="str">
        <f t="shared" si="756"/>
        <v/>
      </c>
      <c r="AO128" s="613" t="str">
        <f t="shared" si="765"/>
        <v/>
      </c>
      <c r="AP128" s="624" t="str">
        <f t="shared" si="757"/>
        <v/>
      </c>
      <c r="AQ128" s="625" t="str">
        <f t="shared" si="678"/>
        <v/>
      </c>
      <c r="AS128" s="56" t="str">
        <f t="shared" si="760"/>
        <v/>
      </c>
      <c r="AT128" s="78" t="str">
        <f t="shared" si="679"/>
        <v/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8"/>
        <v/>
      </c>
      <c r="BT128" s="5" t="str">
        <f t="shared" si="758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1"/>
        <v/>
      </c>
      <c r="DC128" s="5" t="str">
        <f t="shared" si="761"/>
        <v/>
      </c>
      <c r="DD128" s="10" t="str">
        <f t="shared" si="588"/>
        <v/>
      </c>
      <c r="DE128" s="9" t="str">
        <f t="shared" si="762"/>
        <v/>
      </c>
      <c r="DF128" s="5" t="str">
        <f t="shared" si="762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9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 t="str">
        <f t="shared" si="724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1" t="str" cm="1">
        <f t="array" ref="II128">IFERROR(IF(IH128&lt;1,IH128+LARGE((IF($M$9:$M$150="",0,$M$9:$M$150)-MOD(IF($M$9:$M$150="",0,$M$9:$M$150),1)),1),IH128),"")</f>
        <v/>
      </c>
      <c r="IJ128" s="842" t="str">
        <f t="shared" si="725"/>
        <v/>
      </c>
      <c r="IK128" s="842" t="str">
        <f t="shared" si="726"/>
        <v/>
      </c>
      <c r="IL128" s="791" t="str">
        <f t="shared" si="727"/>
        <v/>
      </c>
      <c r="IM128" s="833"/>
      <c r="IN128" s="5" t="str">
        <f t="shared" si="667"/>
        <v/>
      </c>
      <c r="IO128" s="802" t="str">
        <f t="shared" si="728"/>
        <v/>
      </c>
      <c r="IP128" s="9" t="str">
        <f t="shared" si="729"/>
        <v/>
      </c>
      <c r="IQ128" s="5" t="str">
        <f t="shared" si="730"/>
        <v/>
      </c>
      <c r="IR128" s="5" t="str">
        <f t="shared" si="731"/>
        <v/>
      </c>
      <c r="IS128" s="5" t="str">
        <f t="shared" si="732"/>
        <v/>
      </c>
      <c r="IT128" s="791" t="str">
        <f t="shared" si="733"/>
        <v/>
      </c>
      <c r="IU128" s="9" t="str">
        <f t="shared" si="734"/>
        <v/>
      </c>
      <c r="IV128" s="5" t="str">
        <f t="shared" si="735"/>
        <v/>
      </c>
      <c r="IW128" s="5" t="str">
        <f t="shared" si="736"/>
        <v/>
      </c>
      <c r="IX128" s="5" t="str">
        <f t="shared" si="737"/>
        <v/>
      </c>
      <c r="IY128" s="836" t="str">
        <f t="shared" si="738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6"/>
        <v/>
      </c>
      <c r="M129" s="173" t="str">
        <f t="shared" si="671"/>
        <v/>
      </c>
      <c r="N129" s="21" t="str">
        <f t="shared" si="672"/>
        <v/>
      </c>
      <c r="O129" s="5" t="str">
        <f t="shared" si="673"/>
        <v/>
      </c>
      <c r="P129" s="10" t="str">
        <f t="shared" si="674"/>
        <v/>
      </c>
      <c r="Q129" s="624" t="str">
        <f t="shared" si="539"/>
        <v/>
      </c>
      <c r="R129" s="5" t="str">
        <f t="shared" si="739"/>
        <v/>
      </c>
      <c r="S129" s="6" t="str">
        <f t="shared" si="740"/>
        <v/>
      </c>
      <c r="T129" s="4" t="str">
        <f t="shared" si="741"/>
        <v/>
      </c>
      <c r="U129" s="5" t="str">
        <f t="shared" si="742"/>
        <v/>
      </c>
      <c r="V129" s="8" t="str">
        <f t="shared" si="743"/>
        <v/>
      </c>
      <c r="W129" s="624" t="str">
        <f t="shared" si="663"/>
        <v/>
      </c>
      <c r="X129" s="5" t="str">
        <f t="shared" si="744"/>
        <v/>
      </c>
      <c r="Y129" s="7" t="str">
        <f t="shared" si="661"/>
        <v/>
      </c>
      <c r="Z129" s="21" t="str">
        <f t="shared" si="675"/>
        <v/>
      </c>
      <c r="AA129" s="5" t="str">
        <f t="shared" si="676"/>
        <v/>
      </c>
      <c r="AB129" s="5" t="str">
        <f t="shared" si="677"/>
        <v/>
      </c>
      <c r="AC129" s="8" t="str">
        <f t="shared" si="745"/>
        <v/>
      </c>
      <c r="AD129" s="9" t="str">
        <f t="shared" si="746"/>
        <v/>
      </c>
      <c r="AE129" s="5" t="str">
        <f t="shared" si="747"/>
        <v/>
      </c>
      <c r="AF129" s="10" t="str">
        <f t="shared" si="748"/>
        <v/>
      </c>
      <c r="AG129" s="622" t="str">
        <f t="shared" si="749"/>
        <v/>
      </c>
      <c r="AH129" s="623" t="str">
        <f t="shared" si="750"/>
        <v/>
      </c>
      <c r="AI129" s="624" t="str">
        <f t="shared" si="751"/>
        <v/>
      </c>
      <c r="AJ129" s="625" t="str">
        <f t="shared" si="752"/>
        <v/>
      </c>
      <c r="AK129" s="4" t="str">
        <f t="shared" si="753"/>
        <v/>
      </c>
      <c r="AL129" s="5" t="str">
        <f t="shared" si="754"/>
        <v/>
      </c>
      <c r="AM129" s="6" t="str">
        <f t="shared" si="755"/>
        <v/>
      </c>
      <c r="AN129" s="612" t="str">
        <f t="shared" si="756"/>
        <v/>
      </c>
      <c r="AO129" s="613" t="str">
        <f t="shared" si="765"/>
        <v/>
      </c>
      <c r="AP129" s="624" t="str">
        <f t="shared" si="757"/>
        <v/>
      </c>
      <c r="AQ129" s="625" t="str">
        <f t="shared" si="678"/>
        <v/>
      </c>
      <c r="AS129" s="56" t="str">
        <f t="shared" si="760"/>
        <v/>
      </c>
      <c r="AT129" s="78" t="str">
        <f t="shared" si="679"/>
        <v/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8"/>
        <v/>
      </c>
      <c r="BT129" s="5" t="str">
        <f t="shared" si="758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1"/>
        <v/>
      </c>
      <c r="DC129" s="5" t="str">
        <f t="shared" si="761"/>
        <v/>
      </c>
      <c r="DD129" s="10" t="str">
        <f t="shared" si="588"/>
        <v/>
      </c>
      <c r="DE129" s="9" t="str">
        <f t="shared" si="762"/>
        <v/>
      </c>
      <c r="DF129" s="5" t="str">
        <f t="shared" si="762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9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 t="str">
        <f t="shared" si="724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1" t="str" cm="1">
        <f t="array" ref="II129">IFERROR(IF(IH129&lt;1,IH129+LARGE((IF($M$9:$M$150="",0,$M$9:$M$150)-MOD(IF($M$9:$M$150="",0,$M$9:$M$150),1)),1),IH129),"")</f>
        <v/>
      </c>
      <c r="IJ129" s="842" t="str">
        <f t="shared" si="725"/>
        <v/>
      </c>
      <c r="IK129" s="842" t="str">
        <f t="shared" si="726"/>
        <v/>
      </c>
      <c r="IL129" s="791" t="str">
        <f t="shared" si="727"/>
        <v/>
      </c>
      <c r="IM129" s="833"/>
      <c r="IN129" s="5" t="str">
        <f t="shared" si="667"/>
        <v/>
      </c>
      <c r="IO129" s="802" t="str">
        <f t="shared" si="728"/>
        <v/>
      </c>
      <c r="IP129" s="9" t="str">
        <f t="shared" si="729"/>
        <v/>
      </c>
      <c r="IQ129" s="5" t="str">
        <f t="shared" si="730"/>
        <v/>
      </c>
      <c r="IR129" s="5" t="str">
        <f t="shared" si="731"/>
        <v/>
      </c>
      <c r="IS129" s="5" t="str">
        <f t="shared" si="732"/>
        <v/>
      </c>
      <c r="IT129" s="791" t="str">
        <f t="shared" si="733"/>
        <v/>
      </c>
      <c r="IU129" s="9" t="str">
        <f t="shared" si="734"/>
        <v/>
      </c>
      <c r="IV129" s="5" t="str">
        <f t="shared" si="735"/>
        <v/>
      </c>
      <c r="IW129" s="5" t="str">
        <f t="shared" si="736"/>
        <v/>
      </c>
      <c r="IX129" s="5" t="str">
        <f t="shared" si="737"/>
        <v/>
      </c>
      <c r="IY129" s="836" t="str">
        <f t="shared" si="738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6"/>
        <v/>
      </c>
      <c r="M130" s="569" t="str">
        <f t="shared" si="671"/>
        <v/>
      </c>
      <c r="N130" s="570" t="str">
        <f t="shared" si="672"/>
        <v/>
      </c>
      <c r="O130" s="571" t="str">
        <f t="shared" si="673"/>
        <v/>
      </c>
      <c r="P130" s="572" t="str">
        <f t="shared" si="674"/>
        <v/>
      </c>
      <c r="Q130" s="628" t="str">
        <f t="shared" ref="Q130:Q150" si="766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7">IF(M130="","",SQRT(N130^2+O130^2))</f>
        <v/>
      </c>
      <c r="S130" s="574" t="str">
        <f t="shared" ref="S130:S150" si="768">IF(M130="","",P130)</f>
        <v/>
      </c>
      <c r="T130" s="575" t="str">
        <f t="shared" ref="T130:T150" si="769">IF(M130="","",X130*COS(RADIANS(W130)))</f>
        <v/>
      </c>
      <c r="U130" s="571" t="str">
        <f t="shared" ref="U130:U150" si="770">IF(M130="","",X130*SIN(RADIANS(W130)))</f>
        <v/>
      </c>
      <c r="V130" s="576" t="str">
        <f t="shared" ref="V130:V150" si="771">IF(M130="","",Y130)</f>
        <v/>
      </c>
      <c r="W130" s="628" t="str">
        <f t="shared" ref="W130:W150" si="772">IF(M130="","",IF(Q130-$Q$8&lt;0,360+Q130-$Q$8,Q130-$Q$8))</f>
        <v/>
      </c>
      <c r="X130" s="571" t="str">
        <f t="shared" ref="X130:X150" si="773">IF(M130="","",R130)</f>
        <v/>
      </c>
      <c r="Y130" s="577" t="str">
        <f t="shared" ref="Y130:Y150" si="774">IF(M130="","",S130)</f>
        <v/>
      </c>
      <c r="Z130" s="570" t="str">
        <f t="shared" si="675"/>
        <v/>
      </c>
      <c r="AA130" s="571" t="str">
        <f t="shared" si="676"/>
        <v/>
      </c>
      <c r="AB130" s="571" t="str">
        <f t="shared" si="677"/>
        <v/>
      </c>
      <c r="AC130" s="576" t="str">
        <f t="shared" ref="AC130:AC150" si="775">IF(M130="","",SQRT(Z130^2+AA130^2+AB130^2))</f>
        <v/>
      </c>
      <c r="AD130" s="573" t="str">
        <f t="shared" ref="AD130:AD150" si="776">IF(M130="","",Z130*(1/SQRT(Z130^2+AA130^2+AB130^2)))</f>
        <v/>
      </c>
      <c r="AE130" s="571" t="str">
        <f t="shared" ref="AE130:AE150" si="777">IF(M130="","",AA130*(1/SQRT(Z130^2+AA130^2+AB130^2)))</f>
        <v/>
      </c>
      <c r="AF130" s="572" t="str">
        <f t="shared" ref="AF130:AF150" si="778">IF(M130="","",AB130*(1/SQRT(Z130^2+AA130^2+AB130^2)))</f>
        <v/>
      </c>
      <c r="AG130" s="626" t="str">
        <f t="shared" ref="AG130:AG150" si="779">IF(M130="","",DEGREES(ATAN2(-AF130,AE130)))</f>
        <v/>
      </c>
      <c r="AH130" s="627" t="str">
        <f t="shared" ref="AH130:AH150" si="780">IF(M130="","",DEGREES(ACOS(AD130)))</f>
        <v/>
      </c>
      <c r="AI130" s="628" t="str">
        <f t="shared" ref="AI130:AI150" si="781">IF(M130="","",DEGREES(-ACOS(-AF130)))</f>
        <v/>
      </c>
      <c r="AJ130" s="629" t="str">
        <f t="shared" ref="AJ130:AJ150" si="782">IF(M130="","",DEGREES(ATAN2(-AE130,AD130)))</f>
        <v/>
      </c>
      <c r="AK130" s="575" t="str">
        <f t="shared" ref="AK130:AK150" si="783">IF(M130="","",(COS(RADIANS((90-$Q$8)-W130))*AD130)+(-SIN(RADIANS((90-$Q$8)-W130))*AE130))</f>
        <v/>
      </c>
      <c r="AL130" s="571" t="str">
        <f t="shared" ref="AL130:AL150" si="784">IF(M130="","",(SIN(RADIANS((90-$Q$8)-W130))*AD130)+(COS(RADIANS((90-$Q$8)-W130))*AE130))</f>
        <v/>
      </c>
      <c r="AM130" s="574" t="str">
        <f t="shared" ref="AM130:AM150" si="785">IF(M130="","",AF130)</f>
        <v/>
      </c>
      <c r="AN130" s="614" t="str">
        <f t="shared" ref="AN130:AN150" si="786">IF(M130="","",DEGREES(ATAN2(-AM130,AL130)))</f>
        <v/>
      </c>
      <c r="AO130" s="615" t="str">
        <f t="shared" si="765"/>
        <v/>
      </c>
      <c r="AP130" s="628" t="str">
        <f t="shared" ref="AP130:AP150" si="787">IF(M130="","",DEGREES(ATAN2(AK130,AL130)))</f>
        <v/>
      </c>
      <c r="AQ130" s="629" t="str">
        <f t="shared" si="678"/>
        <v/>
      </c>
      <c r="AS130" s="582" t="str">
        <f t="shared" si="760"/>
        <v/>
      </c>
      <c r="AT130" s="583" t="str">
        <f t="shared" si="679"/>
        <v/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8"/>
        <v/>
      </c>
      <c r="BT130" s="571" t="str">
        <f t="shared" si="758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1"/>
        <v/>
      </c>
      <c r="DC130" s="571" t="str">
        <f t="shared" si="761"/>
        <v/>
      </c>
      <c r="DD130" s="572" t="str">
        <f t="shared" si="588"/>
        <v/>
      </c>
      <c r="DE130" s="573" t="str">
        <f t="shared" si="762"/>
        <v/>
      </c>
      <c r="DF130" s="571" t="str">
        <f t="shared" si="762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 t="str">
        <f t="shared" si="724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1" t="str" cm="1">
        <f t="array" ref="II130">IFERROR(IF(IH130&lt;1,IH130+LARGE((IF($M$9:$M$150="",0,$M$9:$M$150)-MOD(IF($M$9:$M$150="",0,$M$9:$M$150),1)),1),IH130),"")</f>
        <v/>
      </c>
      <c r="IJ130" s="842" t="str">
        <f t="shared" si="725"/>
        <v/>
      </c>
      <c r="IK130" s="842" t="str">
        <f t="shared" si="726"/>
        <v/>
      </c>
      <c r="IL130" s="791" t="str">
        <f t="shared" si="727"/>
        <v/>
      </c>
      <c r="IM130" s="833"/>
      <c r="IN130" s="5" t="str">
        <f t="shared" si="667"/>
        <v/>
      </c>
      <c r="IO130" s="802" t="str">
        <f t="shared" si="728"/>
        <v/>
      </c>
      <c r="IP130" s="9" t="str">
        <f t="shared" si="729"/>
        <v/>
      </c>
      <c r="IQ130" s="5" t="str">
        <f t="shared" si="730"/>
        <v/>
      </c>
      <c r="IR130" s="5" t="str">
        <f t="shared" si="731"/>
        <v/>
      </c>
      <c r="IS130" s="5" t="str">
        <f t="shared" si="732"/>
        <v/>
      </c>
      <c r="IT130" s="791" t="str">
        <f t="shared" si="733"/>
        <v/>
      </c>
      <c r="IU130" s="9" t="str">
        <f t="shared" si="734"/>
        <v/>
      </c>
      <c r="IV130" s="5" t="str">
        <f t="shared" si="735"/>
        <v/>
      </c>
      <c r="IW130" s="5" t="str">
        <f t="shared" si="736"/>
        <v/>
      </c>
      <c r="IX130" s="5" t="str">
        <f t="shared" si="737"/>
        <v/>
      </c>
      <c r="IY130" s="836" t="str">
        <f t="shared" si="738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6"/>
        <v/>
      </c>
      <c r="M131" s="569" t="str">
        <f t="shared" si="671"/>
        <v/>
      </c>
      <c r="N131" s="570" t="str">
        <f t="shared" si="672"/>
        <v/>
      </c>
      <c r="O131" s="571" t="str">
        <f t="shared" si="673"/>
        <v/>
      </c>
      <c r="P131" s="572" t="str">
        <f t="shared" si="674"/>
        <v/>
      </c>
      <c r="Q131" s="628" t="str">
        <f t="shared" si="766"/>
        <v/>
      </c>
      <c r="R131" s="571" t="str">
        <f t="shared" si="767"/>
        <v/>
      </c>
      <c r="S131" s="574" t="str">
        <f t="shared" si="768"/>
        <v/>
      </c>
      <c r="T131" s="575" t="str">
        <f t="shared" si="769"/>
        <v/>
      </c>
      <c r="U131" s="571" t="str">
        <f t="shared" si="770"/>
        <v/>
      </c>
      <c r="V131" s="576" t="str">
        <f t="shared" si="771"/>
        <v/>
      </c>
      <c r="W131" s="628" t="str">
        <f t="shared" si="772"/>
        <v/>
      </c>
      <c r="X131" s="571" t="str">
        <f t="shared" si="773"/>
        <v/>
      </c>
      <c r="Y131" s="577" t="str">
        <f t="shared" si="774"/>
        <v/>
      </c>
      <c r="Z131" s="570" t="str">
        <f t="shared" si="675"/>
        <v/>
      </c>
      <c r="AA131" s="571" t="str">
        <f t="shared" si="676"/>
        <v/>
      </c>
      <c r="AB131" s="571" t="str">
        <f t="shared" si="677"/>
        <v/>
      </c>
      <c r="AC131" s="576" t="str">
        <f t="shared" si="775"/>
        <v/>
      </c>
      <c r="AD131" s="573" t="str">
        <f t="shared" si="776"/>
        <v/>
      </c>
      <c r="AE131" s="571" t="str">
        <f t="shared" si="777"/>
        <v/>
      </c>
      <c r="AF131" s="572" t="str">
        <f t="shared" si="778"/>
        <v/>
      </c>
      <c r="AG131" s="626" t="str">
        <f t="shared" si="779"/>
        <v/>
      </c>
      <c r="AH131" s="627" t="str">
        <f t="shared" si="780"/>
        <v/>
      </c>
      <c r="AI131" s="628" t="str">
        <f t="shared" si="781"/>
        <v/>
      </c>
      <c r="AJ131" s="629" t="str">
        <f t="shared" si="782"/>
        <v/>
      </c>
      <c r="AK131" s="575" t="str">
        <f t="shared" si="783"/>
        <v/>
      </c>
      <c r="AL131" s="571" t="str">
        <f t="shared" si="784"/>
        <v/>
      </c>
      <c r="AM131" s="574" t="str">
        <f t="shared" si="785"/>
        <v/>
      </c>
      <c r="AN131" s="614" t="str">
        <f t="shared" si="786"/>
        <v/>
      </c>
      <c r="AO131" s="615" t="str">
        <f t="shared" si="765"/>
        <v/>
      </c>
      <c r="AP131" s="628" t="str">
        <f t="shared" si="787"/>
        <v/>
      </c>
      <c r="AQ131" s="629" t="str">
        <f t="shared" si="678"/>
        <v/>
      </c>
      <c r="AS131" s="582" t="str">
        <f t="shared" si="760"/>
        <v/>
      </c>
      <c r="AT131" s="583" t="str">
        <f t="shared" si="679"/>
        <v/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8"/>
        <v/>
      </c>
      <c r="BT131" s="571" t="str">
        <f t="shared" si="758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1"/>
        <v/>
      </c>
      <c r="DC131" s="571" t="str">
        <f t="shared" si="761"/>
        <v/>
      </c>
      <c r="DD131" s="572" t="str">
        <f t="shared" si="588"/>
        <v/>
      </c>
      <c r="DE131" s="573" t="str">
        <f t="shared" si="762"/>
        <v/>
      </c>
      <c r="DF131" s="571" t="str">
        <f t="shared" si="762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 t="str">
        <f t="shared" si="724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1" t="str" cm="1">
        <f t="array" ref="II131">IFERROR(IF(IH131&lt;1,IH131+LARGE((IF($M$9:$M$150="",0,$M$9:$M$150)-MOD(IF($M$9:$M$150="",0,$M$9:$M$150),1)),1),IH131),"")</f>
        <v/>
      </c>
      <c r="IJ131" s="842" t="str">
        <f t="shared" si="725"/>
        <v/>
      </c>
      <c r="IK131" s="842" t="str">
        <f t="shared" si="726"/>
        <v/>
      </c>
      <c r="IL131" s="791" t="str">
        <f t="shared" si="727"/>
        <v/>
      </c>
      <c r="IM131" s="833"/>
      <c r="IN131" s="5" t="str">
        <f t="shared" si="667"/>
        <v/>
      </c>
      <c r="IO131" s="802" t="str">
        <f t="shared" si="728"/>
        <v/>
      </c>
      <c r="IP131" s="9" t="str">
        <f t="shared" si="729"/>
        <v/>
      </c>
      <c r="IQ131" s="5" t="str">
        <f t="shared" si="730"/>
        <v/>
      </c>
      <c r="IR131" s="5" t="str">
        <f t="shared" si="731"/>
        <v/>
      </c>
      <c r="IS131" s="5" t="str">
        <f t="shared" si="732"/>
        <v/>
      </c>
      <c r="IT131" s="791" t="str">
        <f t="shared" si="733"/>
        <v/>
      </c>
      <c r="IU131" s="9" t="str">
        <f t="shared" si="734"/>
        <v/>
      </c>
      <c r="IV131" s="5" t="str">
        <f t="shared" si="735"/>
        <v/>
      </c>
      <c r="IW131" s="5" t="str">
        <f t="shared" si="736"/>
        <v/>
      </c>
      <c r="IX131" s="5" t="str">
        <f t="shared" si="737"/>
        <v/>
      </c>
      <c r="IY131" s="836" t="str">
        <f t="shared" si="738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6"/>
        <v/>
      </c>
      <c r="M132" s="569" t="str">
        <f t="shared" si="671"/>
        <v/>
      </c>
      <c r="N132" s="570" t="str">
        <f t="shared" si="672"/>
        <v/>
      </c>
      <c r="O132" s="571" t="str">
        <f t="shared" si="673"/>
        <v/>
      </c>
      <c r="P132" s="572" t="str">
        <f t="shared" si="674"/>
        <v/>
      </c>
      <c r="Q132" s="628" t="str">
        <f t="shared" si="766"/>
        <v/>
      </c>
      <c r="R132" s="571" t="str">
        <f t="shared" si="767"/>
        <v/>
      </c>
      <c r="S132" s="574" t="str">
        <f t="shared" si="768"/>
        <v/>
      </c>
      <c r="T132" s="575" t="str">
        <f t="shared" si="769"/>
        <v/>
      </c>
      <c r="U132" s="571" t="str">
        <f t="shared" si="770"/>
        <v/>
      </c>
      <c r="V132" s="576" t="str">
        <f t="shared" si="771"/>
        <v/>
      </c>
      <c r="W132" s="628" t="str">
        <f t="shared" si="772"/>
        <v/>
      </c>
      <c r="X132" s="571" t="str">
        <f t="shared" si="773"/>
        <v/>
      </c>
      <c r="Y132" s="577" t="str">
        <f t="shared" si="774"/>
        <v/>
      </c>
      <c r="Z132" s="570" t="str">
        <f t="shared" si="675"/>
        <v/>
      </c>
      <c r="AA132" s="571" t="str">
        <f t="shared" si="676"/>
        <v/>
      </c>
      <c r="AB132" s="571" t="str">
        <f t="shared" si="677"/>
        <v/>
      </c>
      <c r="AC132" s="576" t="str">
        <f t="shared" si="775"/>
        <v/>
      </c>
      <c r="AD132" s="573" t="str">
        <f t="shared" si="776"/>
        <v/>
      </c>
      <c r="AE132" s="571" t="str">
        <f t="shared" si="777"/>
        <v/>
      </c>
      <c r="AF132" s="572" t="str">
        <f t="shared" si="778"/>
        <v/>
      </c>
      <c r="AG132" s="626" t="str">
        <f t="shared" si="779"/>
        <v/>
      </c>
      <c r="AH132" s="627" t="str">
        <f t="shared" si="780"/>
        <v/>
      </c>
      <c r="AI132" s="628" t="str">
        <f t="shared" si="781"/>
        <v/>
      </c>
      <c r="AJ132" s="629" t="str">
        <f t="shared" si="782"/>
        <v/>
      </c>
      <c r="AK132" s="575" t="str">
        <f t="shared" si="783"/>
        <v/>
      </c>
      <c r="AL132" s="571" t="str">
        <f t="shared" si="784"/>
        <v/>
      </c>
      <c r="AM132" s="574" t="str">
        <f t="shared" si="785"/>
        <v/>
      </c>
      <c r="AN132" s="614" t="str">
        <f t="shared" si="786"/>
        <v/>
      </c>
      <c r="AO132" s="615" t="str">
        <f t="shared" si="765"/>
        <v/>
      </c>
      <c r="AP132" s="628" t="str">
        <f t="shared" si="787"/>
        <v/>
      </c>
      <c r="AQ132" s="629" t="str">
        <f t="shared" si="678"/>
        <v/>
      </c>
      <c r="AS132" s="582" t="str">
        <f t="shared" si="760"/>
        <v/>
      </c>
      <c r="AT132" s="583" t="str">
        <f t="shared" si="679"/>
        <v/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8"/>
        <v/>
      </c>
      <c r="BT132" s="571" t="str">
        <f t="shared" si="758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1"/>
        <v/>
      </c>
      <c r="DC132" s="571" t="str">
        <f t="shared" si="761"/>
        <v/>
      </c>
      <c r="DD132" s="572" t="str">
        <f t="shared" si="588"/>
        <v/>
      </c>
      <c r="DE132" s="573" t="str">
        <f t="shared" si="762"/>
        <v/>
      </c>
      <c r="DF132" s="571" t="str">
        <f t="shared" si="762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 t="str">
        <f t="shared" si="724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1" t="str" cm="1">
        <f t="array" ref="II132">IFERROR(IF(IH132&lt;1,IH132+LARGE((IF($M$9:$M$150="",0,$M$9:$M$150)-MOD(IF($M$9:$M$150="",0,$M$9:$M$150),1)),1),IH132),"")</f>
        <v/>
      </c>
      <c r="IJ132" s="842" t="str">
        <f t="shared" si="725"/>
        <v/>
      </c>
      <c r="IK132" s="842" t="str">
        <f t="shared" si="726"/>
        <v/>
      </c>
      <c r="IL132" s="791" t="str">
        <f t="shared" si="727"/>
        <v/>
      </c>
      <c r="IM132" s="833"/>
      <c r="IN132" s="5" t="str">
        <f t="shared" si="667"/>
        <v/>
      </c>
      <c r="IO132" s="802" t="str">
        <f t="shared" si="728"/>
        <v/>
      </c>
      <c r="IP132" s="9" t="str">
        <f t="shared" si="729"/>
        <v/>
      </c>
      <c r="IQ132" s="5" t="str">
        <f t="shared" si="730"/>
        <v/>
      </c>
      <c r="IR132" s="5" t="str">
        <f t="shared" si="731"/>
        <v/>
      </c>
      <c r="IS132" s="5" t="str">
        <f t="shared" si="732"/>
        <v/>
      </c>
      <c r="IT132" s="791" t="str">
        <f t="shared" si="733"/>
        <v/>
      </c>
      <c r="IU132" s="9" t="str">
        <f t="shared" si="734"/>
        <v/>
      </c>
      <c r="IV132" s="5" t="str">
        <f t="shared" si="735"/>
        <v/>
      </c>
      <c r="IW132" s="5" t="str">
        <f t="shared" si="736"/>
        <v/>
      </c>
      <c r="IX132" s="5" t="str">
        <f t="shared" si="737"/>
        <v/>
      </c>
      <c r="IY132" s="836" t="str">
        <f t="shared" si="738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6"/>
        <v/>
      </c>
      <c r="M133" s="569" t="str">
        <f t="shared" si="671"/>
        <v/>
      </c>
      <c r="N133" s="570" t="str">
        <f t="shared" si="672"/>
        <v/>
      </c>
      <c r="O133" s="571" t="str">
        <f t="shared" si="673"/>
        <v/>
      </c>
      <c r="P133" s="572" t="str">
        <f t="shared" si="674"/>
        <v/>
      </c>
      <c r="Q133" s="628" t="str">
        <f t="shared" si="766"/>
        <v/>
      </c>
      <c r="R133" s="571" t="str">
        <f t="shared" si="767"/>
        <v/>
      </c>
      <c r="S133" s="574" t="str">
        <f t="shared" si="768"/>
        <v/>
      </c>
      <c r="T133" s="575" t="str">
        <f t="shared" si="769"/>
        <v/>
      </c>
      <c r="U133" s="571" t="str">
        <f t="shared" si="770"/>
        <v/>
      </c>
      <c r="V133" s="576" t="str">
        <f t="shared" si="771"/>
        <v/>
      </c>
      <c r="W133" s="628" t="str">
        <f t="shared" si="772"/>
        <v/>
      </c>
      <c r="X133" s="571" t="str">
        <f t="shared" si="773"/>
        <v/>
      </c>
      <c r="Y133" s="577" t="str">
        <f t="shared" si="774"/>
        <v/>
      </c>
      <c r="Z133" s="570" t="str">
        <f t="shared" si="675"/>
        <v/>
      </c>
      <c r="AA133" s="571" t="str">
        <f t="shared" si="676"/>
        <v/>
      </c>
      <c r="AB133" s="571" t="str">
        <f t="shared" si="677"/>
        <v/>
      </c>
      <c r="AC133" s="576" t="str">
        <f t="shared" si="775"/>
        <v/>
      </c>
      <c r="AD133" s="573" t="str">
        <f t="shared" si="776"/>
        <v/>
      </c>
      <c r="AE133" s="571" t="str">
        <f t="shared" si="777"/>
        <v/>
      </c>
      <c r="AF133" s="572" t="str">
        <f t="shared" si="778"/>
        <v/>
      </c>
      <c r="AG133" s="626" t="str">
        <f t="shared" si="779"/>
        <v/>
      </c>
      <c r="AH133" s="627" t="str">
        <f t="shared" si="780"/>
        <v/>
      </c>
      <c r="AI133" s="628" t="str">
        <f t="shared" si="781"/>
        <v/>
      </c>
      <c r="AJ133" s="629" t="str">
        <f t="shared" si="782"/>
        <v/>
      </c>
      <c r="AK133" s="575" t="str">
        <f t="shared" si="783"/>
        <v/>
      </c>
      <c r="AL133" s="571" t="str">
        <f t="shared" si="784"/>
        <v/>
      </c>
      <c r="AM133" s="574" t="str">
        <f t="shared" si="785"/>
        <v/>
      </c>
      <c r="AN133" s="614" t="str">
        <f t="shared" si="786"/>
        <v/>
      </c>
      <c r="AO133" s="615" t="str">
        <f t="shared" si="765"/>
        <v/>
      </c>
      <c r="AP133" s="628" t="str">
        <f t="shared" si="787"/>
        <v/>
      </c>
      <c r="AQ133" s="629" t="str">
        <f t="shared" si="678"/>
        <v/>
      </c>
      <c r="AS133" s="582" t="str">
        <f t="shared" si="760"/>
        <v/>
      </c>
      <c r="AT133" s="583" t="str">
        <f t="shared" si="679"/>
        <v/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8"/>
        <v/>
      </c>
      <c r="BT133" s="571" t="str">
        <f t="shared" si="758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1"/>
        <v/>
      </c>
      <c r="DC133" s="571" t="str">
        <f t="shared" si="761"/>
        <v/>
      </c>
      <c r="DD133" s="572" t="str">
        <f t="shared" si="588"/>
        <v/>
      </c>
      <c r="DE133" s="573" t="str">
        <f t="shared" si="762"/>
        <v/>
      </c>
      <c r="DF133" s="571" t="str">
        <f t="shared" si="762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 t="str">
        <f t="shared" si="724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1" t="str" cm="1">
        <f t="array" ref="II133">IFERROR(IF(IH133&lt;1,IH133+LARGE((IF($M$9:$M$150="",0,$M$9:$M$150)-MOD(IF($M$9:$M$150="",0,$M$9:$M$150),1)),1),IH133),"")</f>
        <v/>
      </c>
      <c r="IJ133" s="842" t="str">
        <f t="shared" si="725"/>
        <v/>
      </c>
      <c r="IK133" s="842" t="str">
        <f t="shared" si="726"/>
        <v/>
      </c>
      <c r="IL133" s="791" t="str">
        <f t="shared" si="727"/>
        <v/>
      </c>
      <c r="IM133" s="833"/>
      <c r="IN133" s="5" t="str">
        <f t="shared" si="667"/>
        <v/>
      </c>
      <c r="IO133" s="802" t="str">
        <f t="shared" si="728"/>
        <v/>
      </c>
      <c r="IP133" s="9" t="str">
        <f t="shared" si="729"/>
        <v/>
      </c>
      <c r="IQ133" s="5" t="str">
        <f t="shared" si="730"/>
        <v/>
      </c>
      <c r="IR133" s="5" t="str">
        <f t="shared" si="731"/>
        <v/>
      </c>
      <c r="IS133" s="5" t="str">
        <f t="shared" si="732"/>
        <v/>
      </c>
      <c r="IT133" s="791" t="str">
        <f t="shared" si="733"/>
        <v/>
      </c>
      <c r="IU133" s="9" t="str">
        <f t="shared" si="734"/>
        <v/>
      </c>
      <c r="IV133" s="5" t="str">
        <f t="shared" si="735"/>
        <v/>
      </c>
      <c r="IW133" s="5" t="str">
        <f t="shared" si="736"/>
        <v/>
      </c>
      <c r="IX133" s="5" t="str">
        <f t="shared" si="737"/>
        <v/>
      </c>
      <c r="IY133" s="836" t="str">
        <f t="shared" si="738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6"/>
        <v/>
      </c>
      <c r="M134" s="569" t="str">
        <f t="shared" si="671"/>
        <v/>
      </c>
      <c r="N134" s="570" t="str">
        <f t="shared" si="672"/>
        <v/>
      </c>
      <c r="O134" s="571" t="str">
        <f t="shared" si="673"/>
        <v/>
      </c>
      <c r="P134" s="572" t="str">
        <f t="shared" si="674"/>
        <v/>
      </c>
      <c r="Q134" s="628" t="str">
        <f t="shared" si="766"/>
        <v/>
      </c>
      <c r="R134" s="571" t="str">
        <f t="shared" si="767"/>
        <v/>
      </c>
      <c r="S134" s="574" t="str">
        <f t="shared" si="768"/>
        <v/>
      </c>
      <c r="T134" s="575" t="str">
        <f t="shared" si="769"/>
        <v/>
      </c>
      <c r="U134" s="571" t="str">
        <f t="shared" si="770"/>
        <v/>
      </c>
      <c r="V134" s="576" t="str">
        <f t="shared" si="771"/>
        <v/>
      </c>
      <c r="W134" s="628" t="str">
        <f t="shared" si="772"/>
        <v/>
      </c>
      <c r="X134" s="571" t="str">
        <f t="shared" si="773"/>
        <v/>
      </c>
      <c r="Y134" s="577" t="str">
        <f t="shared" si="774"/>
        <v/>
      </c>
      <c r="Z134" s="570" t="str">
        <f t="shared" si="675"/>
        <v/>
      </c>
      <c r="AA134" s="571" t="str">
        <f t="shared" si="676"/>
        <v/>
      </c>
      <c r="AB134" s="571" t="str">
        <f t="shared" si="677"/>
        <v/>
      </c>
      <c r="AC134" s="576" t="str">
        <f t="shared" si="775"/>
        <v/>
      </c>
      <c r="AD134" s="573" t="str">
        <f t="shared" si="776"/>
        <v/>
      </c>
      <c r="AE134" s="571" t="str">
        <f t="shared" si="777"/>
        <v/>
      </c>
      <c r="AF134" s="572" t="str">
        <f t="shared" si="778"/>
        <v/>
      </c>
      <c r="AG134" s="626" t="str">
        <f t="shared" si="779"/>
        <v/>
      </c>
      <c r="AH134" s="627" t="str">
        <f t="shared" si="780"/>
        <v/>
      </c>
      <c r="AI134" s="628" t="str">
        <f t="shared" si="781"/>
        <v/>
      </c>
      <c r="AJ134" s="629" t="str">
        <f t="shared" si="782"/>
        <v/>
      </c>
      <c r="AK134" s="575" t="str">
        <f t="shared" si="783"/>
        <v/>
      </c>
      <c r="AL134" s="571" t="str">
        <f t="shared" si="784"/>
        <v/>
      </c>
      <c r="AM134" s="574" t="str">
        <f t="shared" si="785"/>
        <v/>
      </c>
      <c r="AN134" s="614" t="str">
        <f t="shared" si="786"/>
        <v/>
      </c>
      <c r="AO134" s="615" t="str">
        <f t="shared" si="765"/>
        <v/>
      </c>
      <c r="AP134" s="628" t="str">
        <f t="shared" si="787"/>
        <v/>
      </c>
      <c r="AQ134" s="629" t="str">
        <f t="shared" si="678"/>
        <v/>
      </c>
      <c r="AS134" s="582" t="str">
        <f t="shared" si="760"/>
        <v/>
      </c>
      <c r="AT134" s="583" t="str">
        <f t="shared" si="679"/>
        <v/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8"/>
        <v/>
      </c>
      <c r="BT134" s="571" t="str">
        <f t="shared" si="758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1"/>
        <v/>
      </c>
      <c r="DC134" s="571" t="str">
        <f t="shared" si="761"/>
        <v/>
      </c>
      <c r="DD134" s="572" t="str">
        <f t="shared" si="588"/>
        <v/>
      </c>
      <c r="DE134" s="573" t="str">
        <f t="shared" si="762"/>
        <v/>
      </c>
      <c r="DF134" s="571" t="str">
        <f t="shared" si="762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 t="str">
        <f t="shared" si="724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1" t="str" cm="1">
        <f t="array" ref="II134">IFERROR(IF(IH134&lt;1,IH134+LARGE((IF($M$9:$M$150="",0,$M$9:$M$150)-MOD(IF($M$9:$M$150="",0,$M$9:$M$150),1)),1),IH134),"")</f>
        <v/>
      </c>
      <c r="IJ134" s="842" t="str">
        <f t="shared" si="725"/>
        <v/>
      </c>
      <c r="IK134" s="842" t="str">
        <f t="shared" si="726"/>
        <v/>
      </c>
      <c r="IL134" s="791" t="str">
        <f t="shared" si="727"/>
        <v/>
      </c>
      <c r="IM134" s="833"/>
      <c r="IN134" s="5" t="str">
        <f t="shared" si="667"/>
        <v/>
      </c>
      <c r="IO134" s="802" t="str">
        <f t="shared" si="728"/>
        <v/>
      </c>
      <c r="IP134" s="9" t="str">
        <f t="shared" si="729"/>
        <v/>
      </c>
      <c r="IQ134" s="5" t="str">
        <f t="shared" si="730"/>
        <v/>
      </c>
      <c r="IR134" s="5" t="str">
        <f t="shared" si="731"/>
        <v/>
      </c>
      <c r="IS134" s="5" t="str">
        <f t="shared" si="732"/>
        <v/>
      </c>
      <c r="IT134" s="791" t="str">
        <f t="shared" si="733"/>
        <v/>
      </c>
      <c r="IU134" s="9" t="str">
        <f t="shared" si="734"/>
        <v/>
      </c>
      <c r="IV134" s="5" t="str">
        <f t="shared" si="735"/>
        <v/>
      </c>
      <c r="IW134" s="5" t="str">
        <f t="shared" si="736"/>
        <v/>
      </c>
      <c r="IX134" s="5" t="str">
        <f t="shared" si="737"/>
        <v/>
      </c>
      <c r="IY134" s="836" t="str">
        <f t="shared" si="738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6"/>
        <v/>
      </c>
      <c r="M135" s="569" t="str">
        <f t="shared" si="671"/>
        <v/>
      </c>
      <c r="N135" s="570" t="str">
        <f t="shared" si="672"/>
        <v/>
      </c>
      <c r="O135" s="571" t="str">
        <f t="shared" si="673"/>
        <v/>
      </c>
      <c r="P135" s="572" t="str">
        <f t="shared" si="674"/>
        <v/>
      </c>
      <c r="Q135" s="628" t="str">
        <f t="shared" si="766"/>
        <v/>
      </c>
      <c r="R135" s="571" t="str">
        <f t="shared" si="767"/>
        <v/>
      </c>
      <c r="S135" s="574" t="str">
        <f t="shared" si="768"/>
        <v/>
      </c>
      <c r="T135" s="575" t="str">
        <f t="shared" si="769"/>
        <v/>
      </c>
      <c r="U135" s="571" t="str">
        <f t="shared" si="770"/>
        <v/>
      </c>
      <c r="V135" s="576" t="str">
        <f t="shared" si="771"/>
        <v/>
      </c>
      <c r="W135" s="628" t="str">
        <f t="shared" si="772"/>
        <v/>
      </c>
      <c r="X135" s="571" t="str">
        <f t="shared" si="773"/>
        <v/>
      </c>
      <c r="Y135" s="577" t="str">
        <f t="shared" si="774"/>
        <v/>
      </c>
      <c r="Z135" s="570" t="str">
        <f t="shared" si="675"/>
        <v/>
      </c>
      <c r="AA135" s="571" t="str">
        <f t="shared" si="676"/>
        <v/>
      </c>
      <c r="AB135" s="571" t="str">
        <f t="shared" si="677"/>
        <v/>
      </c>
      <c r="AC135" s="576" t="str">
        <f t="shared" si="775"/>
        <v/>
      </c>
      <c r="AD135" s="573" t="str">
        <f t="shared" si="776"/>
        <v/>
      </c>
      <c r="AE135" s="571" t="str">
        <f t="shared" si="777"/>
        <v/>
      </c>
      <c r="AF135" s="572" t="str">
        <f t="shared" si="778"/>
        <v/>
      </c>
      <c r="AG135" s="626" t="str">
        <f t="shared" si="779"/>
        <v/>
      </c>
      <c r="AH135" s="627" t="str">
        <f t="shared" si="780"/>
        <v/>
      </c>
      <c r="AI135" s="628" t="str">
        <f t="shared" si="781"/>
        <v/>
      </c>
      <c r="AJ135" s="629" t="str">
        <f t="shared" si="782"/>
        <v/>
      </c>
      <c r="AK135" s="575" t="str">
        <f t="shared" si="783"/>
        <v/>
      </c>
      <c r="AL135" s="571" t="str">
        <f t="shared" si="784"/>
        <v/>
      </c>
      <c r="AM135" s="574" t="str">
        <f t="shared" si="785"/>
        <v/>
      </c>
      <c r="AN135" s="614" t="str">
        <f t="shared" si="786"/>
        <v/>
      </c>
      <c r="AO135" s="615" t="str">
        <f t="shared" si="765"/>
        <v/>
      </c>
      <c r="AP135" s="628" t="str">
        <f t="shared" si="787"/>
        <v/>
      </c>
      <c r="AQ135" s="629" t="str">
        <f t="shared" si="678"/>
        <v/>
      </c>
      <c r="AS135" s="582" t="str">
        <f t="shared" si="760"/>
        <v/>
      </c>
      <c r="AT135" s="583" t="str">
        <f t="shared" si="679"/>
        <v/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8"/>
        <v/>
      </c>
      <c r="BT135" s="571" t="str">
        <f t="shared" si="758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1"/>
        <v/>
      </c>
      <c r="DC135" s="571" t="str">
        <f t="shared" si="761"/>
        <v/>
      </c>
      <c r="DD135" s="572" t="str">
        <f t="shared" si="588"/>
        <v/>
      </c>
      <c r="DE135" s="573" t="str">
        <f t="shared" si="762"/>
        <v/>
      </c>
      <c r="DF135" s="571" t="str">
        <f t="shared" si="762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 t="str">
        <f t="shared" si="724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1" t="str" cm="1">
        <f t="array" ref="II135">IFERROR(IF(IH135&lt;1,IH135+LARGE((IF($M$9:$M$150="",0,$M$9:$M$150)-MOD(IF($M$9:$M$150="",0,$M$9:$M$150),1)),1),IH135),"")</f>
        <v/>
      </c>
      <c r="IJ135" s="842" t="str">
        <f t="shared" si="725"/>
        <v/>
      </c>
      <c r="IK135" s="842" t="str">
        <f t="shared" si="726"/>
        <v/>
      </c>
      <c r="IL135" s="791" t="str">
        <f t="shared" si="727"/>
        <v/>
      </c>
      <c r="IM135" s="833"/>
      <c r="IN135" s="5" t="str">
        <f t="shared" si="667"/>
        <v/>
      </c>
      <c r="IO135" s="802" t="str">
        <f t="shared" si="728"/>
        <v/>
      </c>
      <c r="IP135" s="9" t="str">
        <f t="shared" si="729"/>
        <v/>
      </c>
      <c r="IQ135" s="5" t="str">
        <f t="shared" si="730"/>
        <v/>
      </c>
      <c r="IR135" s="5" t="str">
        <f t="shared" si="731"/>
        <v/>
      </c>
      <c r="IS135" s="5" t="str">
        <f t="shared" si="732"/>
        <v/>
      </c>
      <c r="IT135" s="791" t="str">
        <f t="shared" si="733"/>
        <v/>
      </c>
      <c r="IU135" s="9" t="str">
        <f t="shared" si="734"/>
        <v/>
      </c>
      <c r="IV135" s="5" t="str">
        <f t="shared" si="735"/>
        <v/>
      </c>
      <c r="IW135" s="5" t="str">
        <f t="shared" si="736"/>
        <v/>
      </c>
      <c r="IX135" s="5" t="str">
        <f t="shared" si="737"/>
        <v/>
      </c>
      <c r="IY135" s="836" t="str">
        <f t="shared" si="738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6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60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8"/>
        <v/>
      </c>
      <c r="BT136" s="571" t="str">
        <f t="shared" si="758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1"/>
        <v/>
      </c>
      <c r="DC136" s="571" t="str">
        <f t="shared" si="761"/>
        <v/>
      </c>
      <c r="DD136" s="572" t="str">
        <f t="shared" si="588"/>
        <v/>
      </c>
      <c r="DE136" s="573" t="str">
        <f t="shared" si="762"/>
        <v/>
      </c>
      <c r="DF136" s="571" t="str">
        <f t="shared" si="762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7"/>
        <v/>
      </c>
      <c r="IO136" s="802" t="str">
        <f t="shared" si="728"/>
        <v/>
      </c>
      <c r="IP136" s="9" t="str">
        <f t="shared" si="729"/>
        <v/>
      </c>
      <c r="IQ136" s="5" t="str">
        <f t="shared" si="730"/>
        <v/>
      </c>
      <c r="IR136" s="5" t="str">
        <f t="shared" si="731"/>
        <v/>
      </c>
      <c r="IS136" s="5" t="str">
        <f t="shared" si="732"/>
        <v/>
      </c>
      <c r="IT136" s="791" t="str">
        <f t="shared" si="733"/>
        <v/>
      </c>
      <c r="IU136" s="9" t="str">
        <f t="shared" si="734"/>
        <v/>
      </c>
      <c r="IV136" s="5" t="str">
        <f t="shared" si="735"/>
        <v/>
      </c>
      <c r="IW136" s="5" t="str">
        <f t="shared" si="736"/>
        <v/>
      </c>
      <c r="IX136" s="5" t="str">
        <f t="shared" si="737"/>
        <v/>
      </c>
      <c r="IY136" s="836" t="str">
        <f t="shared" si="738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6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60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8"/>
        <v/>
      </c>
      <c r="BT137" s="571" t="str">
        <f t="shared" si="758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1"/>
        <v/>
      </c>
      <c r="DC137" s="571" t="str">
        <f t="shared" si="761"/>
        <v/>
      </c>
      <c r="DD137" s="572" t="str">
        <f t="shared" si="588"/>
        <v/>
      </c>
      <c r="DE137" s="573" t="str">
        <f t="shared" si="762"/>
        <v/>
      </c>
      <c r="DF137" s="571" t="str">
        <f t="shared" si="762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7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6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60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8"/>
        <v/>
      </c>
      <c r="BT138" s="571" t="str">
        <f t="shared" si="758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1"/>
        <v/>
      </c>
      <c r="DC138" s="571" t="str">
        <f t="shared" si="761"/>
        <v/>
      </c>
      <c r="DD138" s="572" t="str">
        <f t="shared" si="588"/>
        <v/>
      </c>
      <c r="DE138" s="573" t="str">
        <f t="shared" si="762"/>
        <v/>
      </c>
      <c r="DF138" s="571" t="str">
        <f t="shared" si="762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7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6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8"/>
        <v/>
      </c>
      <c r="BT139" s="571" t="str">
        <f t="shared" si="758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1"/>
        <v/>
      </c>
      <c r="DC139" s="571" t="str">
        <f t="shared" si="761"/>
        <v/>
      </c>
      <c r="DD139" s="572" t="str">
        <f t="shared" si="588"/>
        <v/>
      </c>
      <c r="DE139" s="573" t="str">
        <f t="shared" si="762"/>
        <v/>
      </c>
      <c r="DF139" s="571" t="str">
        <f t="shared" si="762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7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6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8"/>
        <v/>
      </c>
      <c r="BT140" s="571" t="str">
        <f t="shared" si="758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1"/>
        <v/>
      </c>
      <c r="DC140" s="571" t="str">
        <f t="shared" si="761"/>
        <v/>
      </c>
      <c r="DD140" s="572" t="str">
        <f t="shared" si="588"/>
        <v/>
      </c>
      <c r="DE140" s="573" t="str">
        <f t="shared" si="762"/>
        <v/>
      </c>
      <c r="DF140" s="571" t="str">
        <f t="shared" si="762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7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6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8"/>
        <v/>
      </c>
      <c r="BT141" s="571" t="str">
        <f t="shared" si="758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1"/>
        <v/>
      </c>
      <c r="DC141" s="571" t="str">
        <f t="shared" si="761"/>
        <v/>
      </c>
      <c r="DD141" s="572" t="str">
        <f t="shared" si="588"/>
        <v/>
      </c>
      <c r="DE141" s="573" t="str">
        <f t="shared" si="762"/>
        <v/>
      </c>
      <c r="DF141" s="571" t="str">
        <f t="shared" si="762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7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6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8"/>
        <v/>
      </c>
      <c r="BT142" s="571" t="str">
        <f t="shared" si="758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1"/>
        <v/>
      </c>
      <c r="DC142" s="571" t="str">
        <f t="shared" si="761"/>
        <v/>
      </c>
      <c r="DD142" s="572" t="str">
        <f t="shared" si="588"/>
        <v/>
      </c>
      <c r="DE142" s="573" t="str">
        <f t="shared" si="762"/>
        <v/>
      </c>
      <c r="DF142" s="571" t="str">
        <f t="shared" si="762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7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6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8"/>
        <v/>
      </c>
      <c r="BT143" s="571" t="str">
        <f t="shared" si="758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1"/>
        <v/>
      </c>
      <c r="DC143" s="571" t="str">
        <f t="shared" si="761"/>
        <v/>
      </c>
      <c r="DD143" s="572" t="str">
        <f t="shared" si="588"/>
        <v/>
      </c>
      <c r="DE143" s="573" t="str">
        <f t="shared" si="762"/>
        <v/>
      </c>
      <c r="DF143" s="571" t="str">
        <f t="shared" si="762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7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6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8"/>
        <v/>
      </c>
      <c r="BT144" s="571" t="str">
        <f t="shared" si="758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1"/>
        <v/>
      </c>
      <c r="DC144" s="571" t="str">
        <f t="shared" si="761"/>
        <v/>
      </c>
      <c r="DD144" s="572" t="str">
        <f t="shared" si="588"/>
        <v/>
      </c>
      <c r="DE144" s="573" t="str">
        <f t="shared" si="762"/>
        <v/>
      </c>
      <c r="DF144" s="571" t="str">
        <f t="shared" si="762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7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8"/>
        <v/>
      </c>
      <c r="BT145" s="571" t="str">
        <f t="shared" si="758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1"/>
        <v/>
      </c>
      <c r="DC145" s="571" t="str">
        <f t="shared" si="761"/>
        <v/>
      </c>
      <c r="DD145" s="572" t="str">
        <f t="shared" si="588"/>
        <v/>
      </c>
      <c r="DE145" s="573" t="str">
        <f t="shared" si="762"/>
        <v/>
      </c>
      <c r="DF145" s="571" t="str">
        <f t="shared" si="762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8"/>
        <v/>
      </c>
      <c r="BT146" s="571" t="str">
        <f t="shared" si="758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1"/>
        <v/>
      </c>
      <c r="DC146" s="571" t="str">
        <f t="shared" si="761"/>
        <v/>
      </c>
      <c r="DD146" s="572" t="str">
        <f t="shared" si="588"/>
        <v/>
      </c>
      <c r="DE146" s="573" t="str">
        <f t="shared" si="762"/>
        <v/>
      </c>
      <c r="DF146" s="571" t="str">
        <f t="shared" si="762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8"/>
        <v/>
      </c>
      <c r="BT147" s="571" t="str">
        <f t="shared" si="758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1"/>
        <v/>
      </c>
      <c r="DC147" s="571" t="str">
        <f t="shared" si="761"/>
        <v/>
      </c>
      <c r="DD147" s="572" t="str">
        <f t="shared" si="588"/>
        <v/>
      </c>
      <c r="DE147" s="573" t="str">
        <f t="shared" si="762"/>
        <v/>
      </c>
      <c r="DF147" s="571" t="str">
        <f t="shared" si="762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8"/>
        <v/>
      </c>
      <c r="BT148" s="571" t="str">
        <f t="shared" si="758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1"/>
        <v/>
      </c>
      <c r="DC148" s="571" t="str">
        <f t="shared" si="761"/>
        <v/>
      </c>
      <c r="DD148" s="572" t="str">
        <f t="shared" si="588"/>
        <v/>
      </c>
      <c r="DE148" s="573" t="str">
        <f t="shared" si="762"/>
        <v/>
      </c>
      <c r="DF148" s="571" t="str">
        <f t="shared" si="762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8"/>
        <v/>
      </c>
      <c r="BT149" s="571" t="str">
        <f t="shared" si="758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1"/>
        <v/>
      </c>
      <c r="DC149" s="571" t="str">
        <f t="shared" si="761"/>
        <v/>
      </c>
      <c r="DD149" s="572" t="str">
        <f t="shared" si="588"/>
        <v/>
      </c>
      <c r="DE149" s="573" t="str">
        <f t="shared" si="762"/>
        <v/>
      </c>
      <c r="DF149" s="571" t="str">
        <f t="shared" si="762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8"/>
        <v/>
      </c>
      <c r="BT150" s="13" t="str">
        <f t="shared" si="758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1"/>
        <v/>
      </c>
      <c r="DC150" s="13" t="str">
        <f t="shared" si="761"/>
        <v/>
      </c>
      <c r="DD150" s="18" t="str">
        <f t="shared" si="588"/>
        <v/>
      </c>
      <c r="DE150" s="17" t="str">
        <f t="shared" si="762"/>
        <v/>
      </c>
      <c r="DF150" s="13" t="str">
        <f t="shared" si="762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8.8521302156295598E-2</v>
      </c>
      <c r="G154" s="175">
        <f>G9*-1</f>
        <v>-0.33036604714967338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0.96592583607220739</v>
      </c>
      <c r="F155" s="175">
        <f t="shared" si="956"/>
        <v>6.6987279208207212E-2</v>
      </c>
      <c r="G155" s="175">
        <f t="shared" si="956"/>
        <v>-0.24999996726497564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0.9659258360722075</v>
      </c>
      <c r="F156" s="175">
        <f t="shared" si="958"/>
        <v>4.3772284368665593E-2</v>
      </c>
      <c r="G156" s="175">
        <f t="shared" si="958"/>
        <v>-0.2550907021617132</v>
      </c>
      <c r="H156" s="144"/>
      <c r="I156" s="91"/>
      <c r="J156" s="84">
        <f t="shared" si="957"/>
        <v>1.1080000000000001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0.96567566817900163</v>
      </c>
      <c r="F157" s="175">
        <f t="shared" si="959"/>
        <v>-3.5042685381898454E-2</v>
      </c>
      <c r="G157" s="175">
        <f t="shared" si="959"/>
        <v>-0.25737621119338938</v>
      </c>
      <c r="H157" s="144"/>
      <c r="I157" s="91"/>
      <c r="J157" s="84">
        <f t="shared" si="957"/>
        <v>1.1140000000000001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0.96294683926068059</v>
      </c>
      <c r="F158" s="175">
        <f t="shared" si="962"/>
        <v>-0.14018691463299643</v>
      </c>
      <c r="G158" s="175">
        <f t="shared" si="962"/>
        <v>-0.23039317204193785</v>
      </c>
      <c r="H158" s="144"/>
      <c r="I158" s="91"/>
      <c r="J158" s="84">
        <f t="shared" si="957"/>
        <v>1.1220000000000001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0.92295207988225003</v>
      </c>
      <c r="F159" s="175">
        <f t="shared" si="963"/>
        <v>-0.30167815644712354</v>
      </c>
      <c r="G159" s="175">
        <f t="shared" si="963"/>
        <v>-0.23906013503655024</v>
      </c>
      <c r="H159" s="144"/>
      <c r="I159" s="91"/>
      <c r="J159" s="84">
        <f t="shared" si="957"/>
        <v>1.1299999999999999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0.85310387022532896</v>
      </c>
      <c r="F160" s="175">
        <f t="shared" si="964"/>
        <v>-0.49254808466941546</v>
      </c>
      <c r="G160" s="175">
        <f t="shared" si="964"/>
        <v>-0.17207606136547707</v>
      </c>
      <c r="H160" s="144"/>
      <c r="I160" s="91"/>
      <c r="J160" s="84">
        <f t="shared" si="957"/>
        <v>1.1379999999999999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0.84205584868728101</v>
      </c>
      <c r="F161" s="175">
        <f t="shared" si="965"/>
        <v>-0.5376271087070742</v>
      </c>
      <c r="G161" s="175">
        <f t="shared" si="965"/>
        <v>-4.3577972357774768E-2</v>
      </c>
      <c r="H161" s="144"/>
      <c r="I161" s="91"/>
      <c r="J161" s="84">
        <f t="shared" si="957"/>
        <v>1.1459999999999999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0.66760087609527574</v>
      </c>
      <c r="F162" s="175">
        <f t="shared" si="966"/>
        <v>-0.69825520050375489</v>
      </c>
      <c r="G162" s="175">
        <f t="shared" si="966"/>
        <v>-0.2583577852635402</v>
      </c>
      <c r="H162" s="144"/>
      <c r="I162" s="91"/>
      <c r="J162" s="84">
        <f t="shared" si="957"/>
        <v>2.113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0.59104435980995451</v>
      </c>
      <c r="F163" s="175">
        <f t="shared" si="967"/>
        <v>-0.77147644579378272</v>
      </c>
      <c r="G163" s="175">
        <f t="shared" si="967"/>
        <v>-0.23556455234655699</v>
      </c>
      <c r="H163" s="144"/>
      <c r="I163" s="91"/>
      <c r="J163" s="84">
        <f t="shared" si="957"/>
        <v>2.121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0.46158251979223625</v>
      </c>
      <c r="F164" s="175">
        <f t="shared" si="968"/>
        <v>-0.85412363361094656</v>
      </c>
      <c r="G164" s="175">
        <f t="shared" si="968"/>
        <v>-0.23961301285506864</v>
      </c>
      <c r="H164" s="144"/>
      <c r="I164" s="91"/>
      <c r="J164" s="84">
        <f t="shared" si="957"/>
        <v>2.129</v>
      </c>
    </row>
    <row r="165" spans="5:16" x14ac:dyDescent="0.25">
      <c r="E165" s="175">
        <f t="shared" ref="E165:G165" si="969">E20*-1</f>
        <v>0.27766091007410082</v>
      </c>
      <c r="F165" s="175">
        <f t="shared" si="969"/>
        <v>-0.94238096177654407</v>
      </c>
      <c r="G165" s="175">
        <f t="shared" si="969"/>
        <v>-0.18660798990916239</v>
      </c>
      <c r="H165" s="144"/>
      <c r="I165" s="91"/>
      <c r="J165" s="84">
        <f t="shared" si="957"/>
        <v>2.137</v>
      </c>
    </row>
    <row r="166" spans="5:16" x14ac:dyDescent="0.25">
      <c r="E166" s="175">
        <f t="shared" ref="E166:G166" si="970">E21*-1</f>
        <v>0.215262852027514</v>
      </c>
      <c r="F166" s="175">
        <f t="shared" si="970"/>
        <v>-0.97558334593317342</v>
      </c>
      <c r="G166" s="175">
        <f t="shared" si="970"/>
        <v>-4.3577972357775073E-2</v>
      </c>
      <c r="H166" s="144"/>
      <c r="I166" s="91"/>
      <c r="J166" s="84">
        <f t="shared" si="957"/>
        <v>2.145</v>
      </c>
    </row>
    <row r="167" spans="5:16" x14ac:dyDescent="0.25">
      <c r="E167" s="175">
        <f t="shared" ref="E167:G167" si="971">E22*-1</f>
        <v>3.7748518379267952E-2</v>
      </c>
      <c r="F167" s="175">
        <f t="shared" si="971"/>
        <v>-0.96316589416231857</v>
      </c>
      <c r="G167" s="175">
        <f t="shared" si="971"/>
        <v>-0.26624520593368695</v>
      </c>
      <c r="H167" s="144"/>
      <c r="I167" s="91"/>
      <c r="J167" s="84">
        <f t="shared" si="957"/>
        <v>3.1030000000000002</v>
      </c>
    </row>
    <row r="168" spans="5:16" x14ac:dyDescent="0.25">
      <c r="E168" s="175">
        <f t="shared" ref="E168:G168" si="972">E23*-1</f>
        <v>2.1693495806838312E-2</v>
      </c>
      <c r="F168" s="175">
        <f t="shared" si="972"/>
        <v>-0.96727220168774286</v>
      </c>
      <c r="G168" s="175">
        <f t="shared" si="972"/>
        <v>-0.25281194608211288</v>
      </c>
      <c r="H168" s="144"/>
      <c r="I168" s="91"/>
      <c r="J168" s="84">
        <f t="shared" si="957"/>
        <v>3.1070000000000002</v>
      </c>
    </row>
    <row r="169" spans="5:16" x14ac:dyDescent="0.25">
      <c r="E169" s="175">
        <f t="shared" ref="E169:G169" si="973">E24*-1</f>
        <v>-4.1662956224246421E-2</v>
      </c>
      <c r="F169" s="175">
        <f t="shared" si="973"/>
        <v>-0.96503348966056302</v>
      </c>
      <c r="G169" s="175">
        <f t="shared" si="973"/>
        <v>-0.25879443949245273</v>
      </c>
      <c r="H169" s="144"/>
      <c r="I169" s="91"/>
      <c r="J169" s="84">
        <f t="shared" si="957"/>
        <v>3.1120000000000001</v>
      </c>
    </row>
    <row r="170" spans="5:16" x14ac:dyDescent="0.25">
      <c r="E170" s="175">
        <f t="shared" ref="E170:G170" si="974">E25*-1</f>
        <v>-0.14832249967548344</v>
      </c>
      <c r="F170" s="175">
        <f t="shared" si="974"/>
        <v>-0.95931518121021275</v>
      </c>
      <c r="G170" s="175">
        <f t="shared" si="974"/>
        <v>-0.2402390875557783</v>
      </c>
      <c r="H170" s="144"/>
      <c r="I170" s="91"/>
      <c r="J170" s="84">
        <f t="shared" si="957"/>
        <v>3.12</v>
      </c>
    </row>
    <row r="171" spans="5:16" x14ac:dyDescent="0.25">
      <c r="E171" s="175">
        <f t="shared" ref="E171:G171" si="975">E26*-1</f>
        <v>-0.28636816563338574</v>
      </c>
      <c r="F171" s="175">
        <f t="shared" si="975"/>
        <v>-0.9279573419943089</v>
      </c>
      <c r="G171" s="175">
        <f t="shared" si="975"/>
        <v>-0.2385129873835537</v>
      </c>
      <c r="H171" s="144"/>
      <c r="I171" s="91"/>
      <c r="J171" s="84">
        <f t="shared" si="957"/>
        <v>3.1280000000000001</v>
      </c>
    </row>
    <row r="172" spans="5:16" x14ac:dyDescent="0.25">
      <c r="E172" s="175">
        <f t="shared" ref="E172:G172" si="976">E27*-1</f>
        <v>-0.47704067243714315</v>
      </c>
      <c r="F172" s="175">
        <f t="shared" si="976"/>
        <v>-0.85596458975935874</v>
      </c>
      <c r="G172" s="175">
        <f t="shared" si="976"/>
        <v>-0.19939111795366163</v>
      </c>
      <c r="H172" s="144"/>
      <c r="I172" s="91"/>
      <c r="J172" s="84">
        <f t="shared" si="957"/>
        <v>3.1360000000000001</v>
      </c>
    </row>
    <row r="173" spans="5:16" x14ac:dyDescent="0.25">
      <c r="E173" s="175">
        <f t="shared" ref="E173:G173" si="977">E28*-1</f>
        <v>-0.56668748177328276</v>
      </c>
      <c r="F173" s="175">
        <f t="shared" si="977"/>
        <v>-0.82277959279909252</v>
      </c>
      <c r="G173" s="175">
        <f t="shared" si="977"/>
        <v>-4.3577972357774879E-2</v>
      </c>
      <c r="H173" s="144"/>
      <c r="I173" s="91"/>
      <c r="J173" s="84">
        <f t="shared" si="957"/>
        <v>3.1440000000000001</v>
      </c>
    </row>
    <row r="174" spans="5:16" x14ac:dyDescent="0.25">
      <c r="E174" s="175">
        <f t="shared" ref="E174:G174" si="978">E29*-1</f>
        <v>-0.73206492396084144</v>
      </c>
      <c r="F174" s="175">
        <f t="shared" si="978"/>
        <v>-0.6358822260428878</v>
      </c>
      <c r="G174" s="175">
        <f t="shared" si="978"/>
        <v>-0.24440691829191186</v>
      </c>
      <c r="H174" s="144"/>
      <c r="I174" s="91"/>
      <c r="J174" s="84">
        <f t="shared" si="957"/>
        <v>4.1189999999999998</v>
      </c>
    </row>
    <row r="175" spans="5:16" x14ac:dyDescent="0.25">
      <c r="E175" s="175">
        <f t="shared" ref="E175:G175" si="979">E30*-1</f>
        <v>-0.81243838099092602</v>
      </c>
      <c r="F175" s="175">
        <f t="shared" si="979"/>
        <v>-0.53323488189027624</v>
      </c>
      <c r="G175" s="175">
        <f t="shared" si="979"/>
        <v>-0.23580593255536686</v>
      </c>
      <c r="H175" s="144"/>
      <c r="I175" s="91"/>
      <c r="J175" s="84">
        <f t="shared" si="957"/>
        <v>4.1269999999999998</v>
      </c>
    </row>
    <row r="176" spans="5:16" x14ac:dyDescent="0.25">
      <c r="E176" s="175">
        <f t="shared" ref="E176:G176" si="980">E31*-1</f>
        <v>-0.9104780962758906</v>
      </c>
      <c r="F176" s="175">
        <f t="shared" si="980"/>
        <v>-0.35602976075395998</v>
      </c>
      <c r="G176" s="175">
        <f t="shared" si="980"/>
        <v>-0.2104101843051053</v>
      </c>
      <c r="H176" s="144"/>
      <c r="I176" s="91"/>
      <c r="J176" s="84">
        <f t="shared" si="957"/>
        <v>4.1349999999999998</v>
      </c>
    </row>
    <row r="177" spans="5:10" x14ac:dyDescent="0.25">
      <c r="E177" s="175">
        <f t="shared" ref="E177:G177" si="981">E32*-1</f>
        <v>-0.96571062719124223</v>
      </c>
      <c r="F177" s="175">
        <f t="shared" si="981"/>
        <v>-0.25098572415458364</v>
      </c>
      <c r="G177" s="175">
        <f t="shared" si="981"/>
        <v>-6.6401436735186087E-2</v>
      </c>
      <c r="H177" s="144"/>
      <c r="I177" s="91"/>
      <c r="J177" s="84">
        <f t="shared" si="957"/>
        <v>4.1429999999999998</v>
      </c>
    </row>
    <row r="178" spans="5:10" x14ac:dyDescent="0.25">
      <c r="E178" s="175">
        <f t="shared" ref="E178:G178" si="982">E33*-1</f>
        <v>-0.94768598131740756</v>
      </c>
      <c r="F178" s="175">
        <f t="shared" si="982"/>
        <v>-0.113121699236782</v>
      </c>
      <c r="G178" s="175">
        <f t="shared" si="982"/>
        <v>-0.2984874569831123</v>
      </c>
      <c r="H178" s="144"/>
      <c r="I178" s="91"/>
      <c r="J178" s="84">
        <f t="shared" si="957"/>
        <v>5.1020000000000003</v>
      </c>
    </row>
    <row r="179" spans="5:10" x14ac:dyDescent="0.25">
      <c r="E179" s="175">
        <f t="shared" ref="E179:G179" si="983">E34*-1</f>
        <v>-0.96299964398557225</v>
      </c>
      <c r="F179" s="175">
        <f t="shared" si="983"/>
        <v>-0.10065635623830378</v>
      </c>
      <c r="G179" s="175">
        <f t="shared" si="983"/>
        <v>-0.24999996726497561</v>
      </c>
      <c r="H179" s="144"/>
      <c r="I179" s="91"/>
      <c r="J179" s="84">
        <f t="shared" si="957"/>
        <v>5.1059999999999999</v>
      </c>
    </row>
    <row r="180" spans="5:10" x14ac:dyDescent="0.25">
      <c r="E180" s="175">
        <f t="shared" ref="E180:G180" si="984">E35*-1</f>
        <v>-0.96516533526876802</v>
      </c>
      <c r="F180" s="175">
        <f t="shared" si="984"/>
        <v>-3.9214991086598039E-2</v>
      </c>
      <c r="G180" s="175">
        <f t="shared" si="984"/>
        <v>-0.25868525290322342</v>
      </c>
      <c r="H180" s="144"/>
      <c r="I180" s="91"/>
      <c r="J180" s="84">
        <f t="shared" si="957"/>
        <v>5.1109999999999998</v>
      </c>
    </row>
    <row r="181" spans="5:10" x14ac:dyDescent="0.25">
      <c r="E181" s="175">
        <f t="shared" ref="E181:G181" si="985">E36*-1</f>
        <v>-0.96719225662015762</v>
      </c>
      <c r="F181" s="175">
        <f t="shared" si="985"/>
        <v>5.4824677725050494E-2</v>
      </c>
      <c r="G181" s="175">
        <f t="shared" si="985"/>
        <v>-0.24805925390186856</v>
      </c>
      <c r="H181" s="144"/>
      <c r="I181" s="91"/>
      <c r="J181" s="84">
        <f t="shared" si="957"/>
        <v>5.1180000000000003</v>
      </c>
    </row>
    <row r="182" spans="5:10" x14ac:dyDescent="0.25">
      <c r="E182" s="175">
        <f t="shared" ref="E182:G182" si="986">E37*-1</f>
        <v>-0.95704437131991182</v>
      </c>
      <c r="F182" s="175">
        <f t="shared" si="986"/>
        <v>0.17450822910809666</v>
      </c>
      <c r="G182" s="175">
        <f t="shared" si="986"/>
        <v>-0.23154470259202845</v>
      </c>
      <c r="H182" s="144"/>
      <c r="I182" s="91"/>
      <c r="J182" s="84">
        <f t="shared" si="957"/>
        <v>5.1260000000000003</v>
      </c>
    </row>
    <row r="183" spans="5:10" x14ac:dyDescent="0.25">
      <c r="E183" s="175">
        <f t="shared" ref="E183:G183" si="987">E38*-1</f>
        <v>-0.90355709591758437</v>
      </c>
      <c r="F183" s="175">
        <f t="shared" si="987"/>
        <v>0.36787909453996581</v>
      </c>
      <c r="G183" s="175">
        <f t="shared" si="987"/>
        <v>-0.21965779343660091</v>
      </c>
      <c r="H183" s="144"/>
      <c r="I183" s="91"/>
      <c r="J183" s="84">
        <f t="shared" si="957"/>
        <v>5.1340000000000003</v>
      </c>
    </row>
    <row r="184" spans="5:10" x14ac:dyDescent="0.25">
      <c r="E184" s="175">
        <f t="shared" ref="E184:G184" si="988">E39*-1</f>
        <v>-0.8603749078844305</v>
      </c>
      <c r="F184" s="175">
        <f t="shared" si="988"/>
        <v>0.5018156110536881</v>
      </c>
      <c r="G184" s="175">
        <f t="shared" si="988"/>
        <v>-8.908484936099674E-2</v>
      </c>
      <c r="H184" s="144"/>
      <c r="I184" s="91"/>
      <c r="J184" s="84">
        <f t="shared" si="957"/>
        <v>5.1420000000000003</v>
      </c>
    </row>
    <row r="185" spans="5:10" x14ac:dyDescent="0.25">
      <c r="E185" s="175">
        <f t="shared" ref="E185:G185" si="989">E40*-1</f>
        <v>-0.71917441602095833</v>
      </c>
      <c r="F185" s="175">
        <f t="shared" si="989"/>
        <v>0.64514218837897419</v>
      </c>
      <c r="G185" s="175">
        <f t="shared" si="989"/>
        <v>-0.25803045578865635</v>
      </c>
      <c r="H185" s="144"/>
      <c r="I185" s="91"/>
      <c r="J185" s="84">
        <f t="shared" si="957"/>
        <v>6.11</v>
      </c>
    </row>
    <row r="186" spans="5:10" x14ac:dyDescent="0.25">
      <c r="E186" s="175">
        <f t="shared" ref="E186:G186" si="990">E41*-1</f>
        <v>-0.65444415534309142</v>
      </c>
      <c r="F186" s="175">
        <f t="shared" si="990"/>
        <v>0.71316704898995653</v>
      </c>
      <c r="G186" s="175">
        <f t="shared" si="990"/>
        <v>-0.25118839099812074</v>
      </c>
      <c r="H186" s="144"/>
      <c r="I186" s="91"/>
      <c r="J186" s="84">
        <f t="shared" si="957"/>
        <v>6.117</v>
      </c>
    </row>
    <row r="187" spans="5:10" x14ac:dyDescent="0.25">
      <c r="E187" s="175">
        <f t="shared" ref="E187:G187" si="991">E42*-1</f>
        <v>-0.57268814409708801</v>
      </c>
      <c r="F187" s="175">
        <f t="shared" si="991"/>
        <v>0.78806577689101598</v>
      </c>
      <c r="G187" s="175">
        <f t="shared" si="991"/>
        <v>-0.22578888569589151</v>
      </c>
      <c r="H187" s="144"/>
      <c r="I187" s="91"/>
      <c r="J187" s="84">
        <f t="shared" si="957"/>
        <v>6.125</v>
      </c>
    </row>
    <row r="188" spans="5:10" x14ac:dyDescent="0.25">
      <c r="E188" s="175">
        <f t="shared" ref="E188:G188" si="992">E43*-1</f>
        <v>-0.40167236188388927</v>
      </c>
      <c r="F188" s="175">
        <f t="shared" si="992"/>
        <v>0.88716924601994007</v>
      </c>
      <c r="G188" s="175">
        <f t="shared" si="992"/>
        <v>-0.2271344153029855</v>
      </c>
      <c r="H188" s="144"/>
      <c r="I188" s="91"/>
      <c r="J188" s="84">
        <f t="shared" si="957"/>
        <v>6.133</v>
      </c>
    </row>
    <row r="189" spans="5:10" x14ac:dyDescent="0.25">
      <c r="E189" s="175">
        <f t="shared" ref="E189:G189" si="993">E44*-1</f>
        <v>-0.25684079029006179</v>
      </c>
      <c r="F189" s="175">
        <f t="shared" si="993"/>
        <v>0.9599909531432147</v>
      </c>
      <c r="G189" s="175">
        <f t="shared" si="993"/>
        <v>-0.1115803671187674</v>
      </c>
      <c r="H189" s="144"/>
      <c r="I189" s="91"/>
      <c r="J189" s="84">
        <f t="shared" si="957"/>
        <v>6.141</v>
      </c>
    </row>
    <row r="190" spans="5:10" x14ac:dyDescent="0.25">
      <c r="E190" s="175">
        <f t="shared" ref="E190:G190" si="994">E45*-1</f>
        <v>-6.6987060141155297E-2</v>
      </c>
      <c r="F190" s="175">
        <f t="shared" si="994"/>
        <v>0.96592585126455566</v>
      </c>
      <c r="G190" s="175">
        <f t="shared" si="994"/>
        <v>-0.24999996726497573</v>
      </c>
      <c r="H190" s="144"/>
      <c r="I190" s="91"/>
      <c r="J190" s="84">
        <f t="shared" si="957"/>
        <v>7.1050000000000004</v>
      </c>
    </row>
    <row r="191" spans="5:10" x14ac:dyDescent="0.25">
      <c r="E191" s="175">
        <f t="shared" ref="E191:G191" si="995">E46*-1</f>
        <v>-3.1400121657827906E-2</v>
      </c>
      <c r="F191" s="175">
        <f t="shared" si="995"/>
        <v>0.96594598675176513</v>
      </c>
      <c r="G191" s="175">
        <f t="shared" si="995"/>
        <v>-0.25683142922553792</v>
      </c>
      <c r="H191" s="144"/>
      <c r="I191" s="91"/>
      <c r="J191" s="84">
        <f t="shared" si="957"/>
        <v>7.109</v>
      </c>
    </row>
    <row r="192" spans="5:10" x14ac:dyDescent="0.25">
      <c r="E192" s="175">
        <f t="shared" ref="E192:G192" si="996">E47*-1</f>
        <v>6.1870724688650298E-2</v>
      </c>
      <c r="F192" s="175">
        <f t="shared" si="996"/>
        <v>0.96527913148319666</v>
      </c>
      <c r="G192" s="175">
        <f t="shared" si="996"/>
        <v>-0.25378772970643582</v>
      </c>
      <c r="H192" s="144"/>
      <c r="I192" s="91"/>
      <c r="J192" s="84">
        <f t="shared" si="957"/>
        <v>7.1159999999999997</v>
      </c>
    </row>
    <row r="193" spans="5:10" x14ac:dyDescent="0.25">
      <c r="E193" s="175">
        <f t="shared" ref="E193:G193" si="997">E48*-1</f>
        <v>0.16456662934110805</v>
      </c>
      <c r="F193" s="175">
        <f t="shared" si="997"/>
        <v>0.96183672410644838</v>
      </c>
      <c r="G193" s="175">
        <f t="shared" si="997"/>
        <v>-0.21860453029953977</v>
      </c>
      <c r="H193" s="144"/>
      <c r="I193" s="91"/>
      <c r="J193" s="84">
        <f t="shared" si="957"/>
        <v>7.1239999999999997</v>
      </c>
    </row>
    <row r="194" spans="5:10" x14ac:dyDescent="0.25">
      <c r="E194" s="175">
        <f t="shared" ref="E194:G194" si="998">E49*-1</f>
        <v>0.3504618011412523</v>
      </c>
      <c r="F194" s="175">
        <f t="shared" si="998"/>
        <v>0.9071704197478504</v>
      </c>
      <c r="G194" s="175">
        <f t="shared" si="998"/>
        <v>-0.2328483529581826</v>
      </c>
      <c r="H194" s="144"/>
      <c r="I194" s="91"/>
      <c r="J194" s="84">
        <f t="shared" si="957"/>
        <v>7.1319999999999997</v>
      </c>
    </row>
    <row r="195" spans="5:10" x14ac:dyDescent="0.25">
      <c r="E195" s="175">
        <f t="shared" ref="E195:G195" si="999">E50*-1</f>
        <v>0.52120415117911922</v>
      </c>
      <c r="F195" s="175">
        <f t="shared" si="999"/>
        <v>0.84287184185452912</v>
      </c>
      <c r="G195" s="175">
        <f t="shared" si="999"/>
        <v>-0.13384054319378502</v>
      </c>
      <c r="H195" s="144"/>
      <c r="I195" s="91"/>
      <c r="J195" s="84">
        <f t="shared" si="957"/>
        <v>7.14</v>
      </c>
    </row>
    <row r="196" spans="5:10" x14ac:dyDescent="0.25">
      <c r="E196" s="175">
        <f t="shared" ref="E196:G196" si="1000">E51*-1</f>
        <v>0.66999519340004665</v>
      </c>
      <c r="F196" s="175">
        <f t="shared" si="1000"/>
        <v>0.69688327832559049</v>
      </c>
      <c r="G196" s="175">
        <f t="shared" si="1000"/>
        <v>-0.25585178758611737</v>
      </c>
      <c r="H196" s="144"/>
      <c r="I196" s="91"/>
      <c r="J196" s="84">
        <f t="shared" si="957"/>
        <v>8.1150000000000002</v>
      </c>
    </row>
    <row r="197" spans="5:10" x14ac:dyDescent="0.25">
      <c r="E197" s="175">
        <f t="shared" ref="E197:G197" si="1001">E52*-1</f>
        <v>0.74650967823854808</v>
      </c>
      <c r="F197" s="175">
        <f t="shared" si="1001"/>
        <v>0.62627238183232503</v>
      </c>
      <c r="G197" s="175">
        <f t="shared" si="1001"/>
        <v>-0.22473585394913287</v>
      </c>
      <c r="H197" s="144"/>
      <c r="I197" s="91"/>
      <c r="J197" s="84">
        <f t="shared" si="957"/>
        <v>8.1229999999999993</v>
      </c>
    </row>
    <row r="198" spans="5:10" x14ac:dyDescent="0.25">
      <c r="E198" s="175">
        <f t="shared" ref="E198:G198" si="1002">E53*-1</f>
        <v>0.84648740491983365</v>
      </c>
      <c r="F198" s="175">
        <f t="shared" si="1002"/>
        <v>0.47684107195572312</v>
      </c>
      <c r="G198" s="175">
        <f t="shared" si="1002"/>
        <v>-0.23681567813006538</v>
      </c>
      <c r="H198" s="144"/>
      <c r="I198" s="91"/>
      <c r="J198" s="84">
        <f t="shared" si="957"/>
        <v>8.1310000000000002</v>
      </c>
    </row>
    <row r="199" spans="5:10" x14ac:dyDescent="0.25">
      <c r="E199" s="175">
        <f t="shared" ref="E199:G199" si="1003">E54*-1</f>
        <v>0.94143978678150453</v>
      </c>
      <c r="F199" s="175">
        <f t="shared" si="1003"/>
        <v>0.29901796873503267</v>
      </c>
      <c r="G199" s="175">
        <f t="shared" si="1003"/>
        <v>-0.15581842714637609</v>
      </c>
      <c r="H199" s="144"/>
      <c r="I199" s="91"/>
      <c r="J199" s="84">
        <f t="shared" si="957"/>
        <v>8.1389999999999993</v>
      </c>
    </row>
    <row r="200" spans="5:10" x14ac:dyDescent="0.25">
      <c r="E200" s="175">
        <f t="shared" ref="E200:G200" si="1004">E55*-1</f>
        <v>0</v>
      </c>
      <c r="F200" s="175">
        <f t="shared" si="1004"/>
        <v>0</v>
      </c>
      <c r="G200" s="175">
        <f t="shared" si="1004"/>
        <v>0</v>
      </c>
      <c r="H200" s="144"/>
      <c r="I200" s="91"/>
      <c r="J200" s="84">
        <f t="shared" si="957"/>
        <v>0</v>
      </c>
    </row>
    <row r="201" spans="5:10" x14ac:dyDescent="0.25">
      <c r="E201" s="175">
        <f t="shared" ref="E201:G201" si="1005">E56*-1</f>
        <v>0</v>
      </c>
      <c r="F201" s="175">
        <f t="shared" si="1005"/>
        <v>0</v>
      </c>
      <c r="G201" s="175">
        <f t="shared" si="1005"/>
        <v>0</v>
      </c>
      <c r="H201" s="144"/>
      <c r="I201" s="91"/>
      <c r="J201" s="84">
        <f t="shared" si="957"/>
        <v>0</v>
      </c>
    </row>
    <row r="202" spans="5:10" x14ac:dyDescent="0.25">
      <c r="E202" s="175">
        <f t="shared" ref="E202:G202" si="1006">E57*-1</f>
        <v>0</v>
      </c>
      <c r="F202" s="175">
        <f t="shared" si="1006"/>
        <v>0</v>
      </c>
      <c r="G202" s="175">
        <f t="shared" si="1006"/>
        <v>0</v>
      </c>
      <c r="H202" s="144"/>
      <c r="I202" s="91"/>
      <c r="J202" s="84">
        <f t="shared" si="957"/>
        <v>0</v>
      </c>
    </row>
    <row r="203" spans="5:10" x14ac:dyDescent="0.25">
      <c r="E203" s="175">
        <f t="shared" ref="E203:G203" si="1007">E58*-1</f>
        <v>0</v>
      </c>
      <c r="F203" s="175">
        <f t="shared" si="1007"/>
        <v>0</v>
      </c>
      <c r="G203" s="175">
        <f t="shared" si="1007"/>
        <v>0</v>
      </c>
      <c r="H203" s="144"/>
      <c r="I203" s="91"/>
      <c r="J203" s="84">
        <f t="shared" si="957"/>
        <v>0</v>
      </c>
    </row>
    <row r="204" spans="5:10" x14ac:dyDescent="0.25">
      <c r="E204" s="175">
        <f t="shared" ref="E204:G204" si="1008">E59*-1</f>
        <v>0</v>
      </c>
      <c r="F204" s="175">
        <f t="shared" si="1008"/>
        <v>0</v>
      </c>
      <c r="G204" s="175">
        <f t="shared" si="1008"/>
        <v>0</v>
      </c>
      <c r="H204" s="144"/>
      <c r="I204" s="91"/>
      <c r="J204" s="84">
        <f t="shared" si="957"/>
        <v>0</v>
      </c>
    </row>
    <row r="205" spans="5:10" x14ac:dyDescent="0.25">
      <c r="E205" s="175">
        <f t="shared" ref="E205:G205" si="1009">E60*-1</f>
        <v>0</v>
      </c>
      <c r="F205" s="175">
        <f t="shared" si="1009"/>
        <v>0</v>
      </c>
      <c r="G205" s="175">
        <f t="shared" si="1009"/>
        <v>0</v>
      </c>
      <c r="H205" s="144"/>
      <c r="I205" s="91"/>
      <c r="J205" s="84">
        <f t="shared" si="957"/>
        <v>0</v>
      </c>
    </row>
    <row r="206" spans="5:10" x14ac:dyDescent="0.25">
      <c r="E206" s="175">
        <f t="shared" ref="E206:G206" si="1010">E61*-1</f>
        <v>0</v>
      </c>
      <c r="F206" s="175">
        <f t="shared" si="1010"/>
        <v>0</v>
      </c>
      <c r="G206" s="175">
        <f t="shared" si="1010"/>
        <v>0</v>
      </c>
      <c r="H206" s="144"/>
      <c r="I206" s="91"/>
      <c r="J206" s="84">
        <f t="shared" si="957"/>
        <v>0</v>
      </c>
    </row>
    <row r="207" spans="5:10" x14ac:dyDescent="0.25">
      <c r="E207" s="175">
        <f t="shared" ref="E207:G207" si="1011">E62*-1</f>
        <v>0</v>
      </c>
      <c r="F207" s="175">
        <f t="shared" si="1011"/>
        <v>0</v>
      </c>
      <c r="G207" s="175">
        <f t="shared" si="1011"/>
        <v>0</v>
      </c>
      <c r="H207" s="144"/>
      <c r="I207" s="91"/>
      <c r="J207" s="84">
        <f t="shared" si="957"/>
        <v>0</v>
      </c>
    </row>
    <row r="208" spans="5:10" x14ac:dyDescent="0.25">
      <c r="E208" s="175">
        <f t="shared" ref="E208:G208" si="1012">E63*-1</f>
        <v>0</v>
      </c>
      <c r="F208" s="175">
        <f t="shared" si="1012"/>
        <v>0</v>
      </c>
      <c r="G208" s="175">
        <f t="shared" si="1012"/>
        <v>0</v>
      </c>
      <c r="H208" s="144"/>
      <c r="I208" s="91"/>
      <c r="J208" s="84">
        <f t="shared" si="957"/>
        <v>0</v>
      </c>
    </row>
    <row r="209" spans="5:10" x14ac:dyDescent="0.25">
      <c r="E209" s="175">
        <f t="shared" ref="E209:G209" si="1013">E64*-1</f>
        <v>0</v>
      </c>
      <c r="F209" s="175">
        <f t="shared" si="1013"/>
        <v>0</v>
      </c>
      <c r="G209" s="175">
        <f t="shared" si="1013"/>
        <v>0</v>
      </c>
      <c r="H209" s="144"/>
      <c r="I209" s="91"/>
      <c r="J209" s="84">
        <f t="shared" si="957"/>
        <v>0</v>
      </c>
    </row>
    <row r="210" spans="5:10" x14ac:dyDescent="0.25">
      <c r="E210" s="175">
        <f t="shared" ref="E210:G210" si="1014">E65*-1</f>
        <v>0</v>
      </c>
      <c r="F210" s="175">
        <f t="shared" si="1014"/>
        <v>0</v>
      </c>
      <c r="G210" s="175">
        <f t="shared" si="1014"/>
        <v>0</v>
      </c>
      <c r="H210" s="144"/>
      <c r="I210" s="91"/>
      <c r="J210" s="84">
        <f t="shared" si="957"/>
        <v>0</v>
      </c>
    </row>
    <row r="211" spans="5:10" x14ac:dyDescent="0.25">
      <c r="E211" s="175">
        <f t="shared" ref="E211:G211" si="1015">E66*-1</f>
        <v>0</v>
      </c>
      <c r="F211" s="175">
        <f t="shared" si="1015"/>
        <v>0</v>
      </c>
      <c r="G211" s="175">
        <f t="shared" si="1015"/>
        <v>0</v>
      </c>
      <c r="H211" s="144"/>
      <c r="I211" s="91"/>
      <c r="J211" s="84">
        <f t="shared" si="957"/>
        <v>0</v>
      </c>
    </row>
    <row r="212" spans="5:10" x14ac:dyDescent="0.25">
      <c r="E212" s="175">
        <f t="shared" ref="E212:G212" si="1016">E67*-1</f>
        <v>0</v>
      </c>
      <c r="F212" s="175">
        <f t="shared" si="1016"/>
        <v>0</v>
      </c>
      <c r="G212" s="175">
        <f t="shared" si="1016"/>
        <v>0</v>
      </c>
      <c r="H212" s="144"/>
      <c r="I212" s="91"/>
      <c r="J212" s="84">
        <f t="shared" si="957"/>
        <v>0</v>
      </c>
    </row>
    <row r="213" spans="5:10" x14ac:dyDescent="0.25">
      <c r="E213" s="175">
        <f t="shared" ref="E213:G213" si="1017">E68*-1</f>
        <v>0</v>
      </c>
      <c r="F213" s="175">
        <f t="shared" si="1017"/>
        <v>0</v>
      </c>
      <c r="G213" s="175">
        <f t="shared" si="1017"/>
        <v>0</v>
      </c>
      <c r="H213" s="144"/>
      <c r="I213" s="91"/>
      <c r="J213" s="84">
        <f t="shared" si="957"/>
        <v>0</v>
      </c>
    </row>
    <row r="214" spans="5:10" x14ac:dyDescent="0.25">
      <c r="E214" s="175">
        <f t="shared" ref="E214:G214" si="1018">E69*-1</f>
        <v>0</v>
      </c>
      <c r="F214" s="175">
        <f t="shared" si="1018"/>
        <v>0</v>
      </c>
      <c r="G214" s="175">
        <f t="shared" si="1018"/>
        <v>0</v>
      </c>
      <c r="H214" s="144"/>
      <c r="I214" s="91"/>
      <c r="J214" s="84">
        <f t="shared" si="957"/>
        <v>0</v>
      </c>
    </row>
    <row r="215" spans="5:10" x14ac:dyDescent="0.25">
      <c r="E215" s="175">
        <f t="shared" ref="E215:G215" si="1019">E70*-1</f>
        <v>0</v>
      </c>
      <c r="F215" s="175">
        <f t="shared" si="1019"/>
        <v>0</v>
      </c>
      <c r="G215" s="175">
        <f t="shared" si="1019"/>
        <v>0</v>
      </c>
      <c r="H215" s="144"/>
      <c r="I215" s="91"/>
      <c r="J215" s="84">
        <f t="shared" si="957"/>
        <v>0</v>
      </c>
    </row>
    <row r="216" spans="5:10" x14ac:dyDescent="0.25">
      <c r="E216" s="175">
        <f t="shared" ref="E216:G216" si="1020">E71*-1</f>
        <v>0</v>
      </c>
      <c r="F216" s="175">
        <f t="shared" si="1020"/>
        <v>0</v>
      </c>
      <c r="G216" s="175">
        <f t="shared" si="1020"/>
        <v>0</v>
      </c>
      <c r="H216" s="144"/>
      <c r="I216" s="91"/>
      <c r="J216" s="84">
        <f t="shared" si="957"/>
        <v>0</v>
      </c>
    </row>
    <row r="217" spans="5:10" x14ac:dyDescent="0.25">
      <c r="E217" s="175">
        <f t="shared" ref="E217:G217" si="1021">E72*-1</f>
        <v>0</v>
      </c>
      <c r="F217" s="175">
        <f t="shared" si="1021"/>
        <v>0</v>
      </c>
      <c r="G217" s="175">
        <f t="shared" si="1021"/>
        <v>0</v>
      </c>
      <c r="H217" s="144"/>
      <c r="I217" s="91"/>
      <c r="J217" s="84">
        <f t="shared" si="957"/>
        <v>0</v>
      </c>
    </row>
    <row r="218" spans="5:10" x14ac:dyDescent="0.25">
      <c r="E218" s="175">
        <f t="shared" ref="E218:G218" si="1022">E73*-1</f>
        <v>0</v>
      </c>
      <c r="F218" s="175">
        <f t="shared" si="1022"/>
        <v>0</v>
      </c>
      <c r="G218" s="175">
        <f t="shared" si="1022"/>
        <v>0</v>
      </c>
      <c r="H218" s="144"/>
      <c r="I218" s="91"/>
      <c r="J218" s="84">
        <f t="shared" si="957"/>
        <v>0</v>
      </c>
    </row>
    <row r="219" spans="5:10" x14ac:dyDescent="0.25">
      <c r="E219" s="175">
        <f t="shared" ref="E219:G219" si="1023">E74*-1</f>
        <v>0</v>
      </c>
      <c r="F219" s="175">
        <f t="shared" si="1023"/>
        <v>0</v>
      </c>
      <c r="G219" s="175">
        <f t="shared" si="1023"/>
        <v>0</v>
      </c>
      <c r="H219" s="144"/>
      <c r="I219" s="91"/>
      <c r="J219" s="84">
        <f t="shared" ref="J219:J282" si="1024">J74</f>
        <v>0</v>
      </c>
    </row>
    <row r="220" spans="5:10" x14ac:dyDescent="0.25">
      <c r="E220" s="175">
        <f t="shared" ref="E220:G220" si="1025">E75*-1</f>
        <v>0</v>
      </c>
      <c r="F220" s="175">
        <f t="shared" si="1025"/>
        <v>0</v>
      </c>
      <c r="G220" s="175">
        <f t="shared" si="1025"/>
        <v>0</v>
      </c>
      <c r="H220" s="144"/>
      <c r="I220" s="91"/>
      <c r="J220" s="84">
        <f t="shared" si="1024"/>
        <v>0</v>
      </c>
    </row>
    <row r="221" spans="5:10" x14ac:dyDescent="0.25">
      <c r="E221" s="175">
        <f t="shared" ref="E221:G221" si="1026">E76*-1</f>
        <v>0</v>
      </c>
      <c r="F221" s="175">
        <f t="shared" si="1026"/>
        <v>0</v>
      </c>
      <c r="G221" s="175">
        <f t="shared" si="1026"/>
        <v>0</v>
      </c>
      <c r="H221" s="144"/>
      <c r="I221" s="91"/>
      <c r="J221" s="84">
        <f t="shared" si="1024"/>
        <v>0</v>
      </c>
    </row>
    <row r="222" spans="5:10" x14ac:dyDescent="0.25">
      <c r="E222" s="175">
        <f t="shared" ref="E222:G222" si="1027">E77*-1</f>
        <v>0</v>
      </c>
      <c r="F222" s="175">
        <f t="shared" si="1027"/>
        <v>0</v>
      </c>
      <c r="G222" s="175">
        <f t="shared" si="1027"/>
        <v>0</v>
      </c>
      <c r="H222" s="144"/>
      <c r="I222" s="91"/>
      <c r="J222" s="84">
        <f t="shared" si="1024"/>
        <v>0</v>
      </c>
    </row>
    <row r="223" spans="5:10" x14ac:dyDescent="0.25">
      <c r="E223" s="175">
        <f t="shared" ref="E223:G223" si="1028">E78*-1</f>
        <v>0</v>
      </c>
      <c r="F223" s="175">
        <f t="shared" si="1028"/>
        <v>0</v>
      </c>
      <c r="G223" s="175">
        <f t="shared" si="1028"/>
        <v>0</v>
      </c>
      <c r="H223" s="144"/>
      <c r="I223" s="91"/>
      <c r="J223" s="84">
        <f t="shared" si="1024"/>
        <v>0</v>
      </c>
    </row>
    <row r="224" spans="5:10" x14ac:dyDescent="0.25">
      <c r="E224" s="175">
        <f t="shared" ref="E224:G224" si="1029">E79*-1</f>
        <v>0</v>
      </c>
      <c r="F224" s="175">
        <f t="shared" si="1029"/>
        <v>0</v>
      </c>
      <c r="G224" s="175">
        <f t="shared" si="1029"/>
        <v>0</v>
      </c>
      <c r="H224" s="144"/>
      <c r="I224" s="91"/>
      <c r="J224" s="84">
        <f t="shared" si="1024"/>
        <v>0</v>
      </c>
    </row>
    <row r="225" spans="5:10" x14ac:dyDescent="0.25">
      <c r="E225" s="175">
        <f t="shared" ref="E225:G225" si="1030">E80*-1</f>
        <v>0</v>
      </c>
      <c r="F225" s="175">
        <f t="shared" si="1030"/>
        <v>0</v>
      </c>
      <c r="G225" s="175">
        <f t="shared" si="1030"/>
        <v>0</v>
      </c>
      <c r="H225" s="144"/>
      <c r="I225" s="91"/>
      <c r="J225" s="84">
        <f t="shared" si="1024"/>
        <v>0</v>
      </c>
    </row>
    <row r="226" spans="5:10" x14ac:dyDescent="0.25">
      <c r="E226" s="175">
        <f t="shared" ref="E226:G226" si="1031">E81*-1</f>
        <v>0</v>
      </c>
      <c r="F226" s="175">
        <f t="shared" si="1031"/>
        <v>0</v>
      </c>
      <c r="G226" s="175">
        <f t="shared" si="1031"/>
        <v>0</v>
      </c>
      <c r="H226" s="144"/>
      <c r="I226" s="91"/>
      <c r="J226" s="84">
        <f t="shared" si="1024"/>
        <v>0</v>
      </c>
    </row>
    <row r="227" spans="5:10" x14ac:dyDescent="0.25">
      <c r="E227" s="175">
        <f t="shared" ref="E227:G227" si="1032">E82*-1</f>
        <v>0</v>
      </c>
      <c r="F227" s="175">
        <f t="shared" si="1032"/>
        <v>0</v>
      </c>
      <c r="G227" s="175">
        <f t="shared" si="1032"/>
        <v>0</v>
      </c>
      <c r="H227" s="144"/>
      <c r="I227" s="91"/>
      <c r="J227" s="84">
        <f t="shared" si="1024"/>
        <v>0</v>
      </c>
    </row>
    <row r="228" spans="5:10" x14ac:dyDescent="0.25">
      <c r="E228" s="175">
        <f t="shared" ref="E228:G228" si="1033">E83*-1</f>
        <v>0</v>
      </c>
      <c r="F228" s="175">
        <f t="shared" si="1033"/>
        <v>0</v>
      </c>
      <c r="G228" s="175">
        <f t="shared" si="1033"/>
        <v>0</v>
      </c>
      <c r="H228" s="144"/>
      <c r="I228" s="91"/>
      <c r="J228" s="84">
        <f t="shared" si="1024"/>
        <v>0</v>
      </c>
    </row>
    <row r="229" spans="5:10" x14ac:dyDescent="0.25">
      <c r="E229" s="175">
        <f t="shared" ref="E229:G229" si="1034">E84*-1</f>
        <v>0</v>
      </c>
      <c r="F229" s="175">
        <f t="shared" si="1034"/>
        <v>0</v>
      </c>
      <c r="G229" s="175">
        <f t="shared" si="1034"/>
        <v>0</v>
      </c>
      <c r="H229" s="144"/>
      <c r="I229" s="91"/>
      <c r="J229" s="84">
        <f t="shared" si="1024"/>
        <v>0</v>
      </c>
    </row>
    <row r="230" spans="5:10" x14ac:dyDescent="0.25">
      <c r="E230" s="175">
        <f t="shared" ref="E230:G230" si="1035">E85*-1</f>
        <v>0</v>
      </c>
      <c r="F230" s="175">
        <f t="shared" si="1035"/>
        <v>0</v>
      </c>
      <c r="G230" s="175">
        <f t="shared" si="1035"/>
        <v>0</v>
      </c>
      <c r="H230" s="144"/>
      <c r="I230" s="91"/>
      <c r="J230" s="84">
        <f t="shared" si="1024"/>
        <v>0</v>
      </c>
    </row>
    <row r="231" spans="5:10" x14ac:dyDescent="0.25">
      <c r="E231" s="175">
        <f t="shared" ref="E231:G231" si="1036">E86*-1</f>
        <v>0</v>
      </c>
      <c r="F231" s="175">
        <f t="shared" si="1036"/>
        <v>0</v>
      </c>
      <c r="G231" s="175">
        <f t="shared" si="1036"/>
        <v>0</v>
      </c>
      <c r="H231" s="144"/>
      <c r="I231" s="91"/>
      <c r="J231" s="84">
        <f t="shared" si="1024"/>
        <v>0</v>
      </c>
    </row>
    <row r="232" spans="5:10" x14ac:dyDescent="0.25">
      <c r="E232" s="175">
        <f t="shared" ref="E232:G232" si="1037">E87*-1</f>
        <v>0</v>
      </c>
      <c r="F232" s="175">
        <f t="shared" si="1037"/>
        <v>0</v>
      </c>
      <c r="G232" s="175">
        <f t="shared" si="1037"/>
        <v>0</v>
      </c>
      <c r="H232" s="144"/>
      <c r="I232" s="91"/>
      <c r="J232" s="84">
        <f t="shared" si="1024"/>
        <v>0</v>
      </c>
    </row>
    <row r="233" spans="5:10" x14ac:dyDescent="0.25">
      <c r="E233" s="175">
        <f t="shared" ref="E233:G233" si="1038">E88*-1</f>
        <v>0</v>
      </c>
      <c r="F233" s="175">
        <f t="shared" si="1038"/>
        <v>0</v>
      </c>
      <c r="G233" s="175">
        <f t="shared" si="1038"/>
        <v>0</v>
      </c>
      <c r="H233" s="144"/>
      <c r="I233" s="91"/>
      <c r="J233" s="84">
        <f t="shared" si="1024"/>
        <v>0</v>
      </c>
    </row>
    <row r="234" spans="5:10" x14ac:dyDescent="0.25">
      <c r="E234" s="175">
        <f t="shared" ref="E234:G234" si="1039">E89*-1</f>
        <v>0</v>
      </c>
      <c r="F234" s="175">
        <f t="shared" si="1039"/>
        <v>0</v>
      </c>
      <c r="G234" s="175">
        <f t="shared" si="1039"/>
        <v>0</v>
      </c>
      <c r="H234" s="144"/>
      <c r="I234" s="91"/>
      <c r="J234" s="84">
        <f t="shared" si="1024"/>
        <v>0</v>
      </c>
    </row>
    <row r="235" spans="5:10" x14ac:dyDescent="0.25">
      <c r="E235" s="175">
        <f t="shared" ref="E235:G235" si="1040">E90*-1</f>
        <v>0</v>
      </c>
      <c r="F235" s="175">
        <f t="shared" si="1040"/>
        <v>0</v>
      </c>
      <c r="G235" s="175">
        <f t="shared" si="1040"/>
        <v>0</v>
      </c>
      <c r="H235" s="144"/>
      <c r="I235" s="91"/>
      <c r="J235" s="84">
        <f t="shared" si="1024"/>
        <v>0</v>
      </c>
    </row>
    <row r="236" spans="5:10" x14ac:dyDescent="0.25">
      <c r="E236" s="175">
        <f t="shared" ref="E236:G236" si="1041">E91*-1</f>
        <v>0</v>
      </c>
      <c r="F236" s="175">
        <f t="shared" si="1041"/>
        <v>0</v>
      </c>
      <c r="G236" s="175">
        <f t="shared" si="1041"/>
        <v>0</v>
      </c>
      <c r="H236" s="144"/>
      <c r="I236" s="91"/>
      <c r="J236" s="84">
        <f t="shared" si="1024"/>
        <v>0</v>
      </c>
    </row>
    <row r="237" spans="5:10" x14ac:dyDescent="0.25">
      <c r="E237" s="175">
        <f t="shared" ref="E237:G237" si="1042">E92*-1</f>
        <v>0</v>
      </c>
      <c r="F237" s="175">
        <f t="shared" si="1042"/>
        <v>0</v>
      </c>
      <c r="G237" s="175">
        <f t="shared" si="1042"/>
        <v>0</v>
      </c>
      <c r="H237" s="144"/>
      <c r="I237" s="91"/>
      <c r="J237" s="84">
        <f t="shared" si="1024"/>
        <v>0</v>
      </c>
    </row>
    <row r="238" spans="5:10" x14ac:dyDescent="0.25">
      <c r="E238" s="175">
        <f t="shared" ref="E238:G238" si="1043">E93*-1</f>
        <v>0</v>
      </c>
      <c r="F238" s="175">
        <f t="shared" si="1043"/>
        <v>0</v>
      </c>
      <c r="G238" s="175">
        <f t="shared" si="1043"/>
        <v>0</v>
      </c>
      <c r="H238" s="144"/>
      <c r="I238" s="91"/>
      <c r="J238" s="84">
        <f t="shared" si="1024"/>
        <v>0</v>
      </c>
    </row>
    <row r="239" spans="5:10" x14ac:dyDescent="0.25">
      <c r="E239" s="175">
        <f t="shared" ref="E239:G239" si="1044">E94*-1</f>
        <v>0</v>
      </c>
      <c r="F239" s="175">
        <f t="shared" si="1044"/>
        <v>0</v>
      </c>
      <c r="G239" s="175">
        <f t="shared" si="1044"/>
        <v>0</v>
      </c>
      <c r="H239" s="144"/>
      <c r="I239" s="91"/>
      <c r="J239" s="84">
        <f t="shared" si="1024"/>
        <v>0</v>
      </c>
    </row>
    <row r="240" spans="5:10" x14ac:dyDescent="0.25">
      <c r="E240" s="175">
        <f t="shared" ref="E240:G240" si="1045">E95*-1</f>
        <v>0</v>
      </c>
      <c r="F240" s="175">
        <f t="shared" si="1045"/>
        <v>0</v>
      </c>
      <c r="G240" s="175">
        <f t="shared" si="1045"/>
        <v>0</v>
      </c>
      <c r="H240" s="144"/>
      <c r="I240" s="91"/>
      <c r="J240" s="84">
        <f t="shared" si="1024"/>
        <v>0</v>
      </c>
    </row>
    <row r="241" spans="5:10" x14ac:dyDescent="0.25">
      <c r="E241" s="175">
        <f t="shared" ref="E241:G241" si="1046">E96*-1</f>
        <v>0</v>
      </c>
      <c r="F241" s="175">
        <f t="shared" si="1046"/>
        <v>0</v>
      </c>
      <c r="G241" s="175">
        <f t="shared" si="1046"/>
        <v>0</v>
      </c>
      <c r="H241" s="144"/>
      <c r="I241" s="91"/>
      <c r="J241" s="84">
        <f t="shared" si="1024"/>
        <v>0</v>
      </c>
    </row>
    <row r="242" spans="5:10" x14ac:dyDescent="0.25">
      <c r="E242" s="175">
        <f t="shared" ref="E242:G242" si="1047">E97*-1</f>
        <v>0</v>
      </c>
      <c r="F242" s="175">
        <f t="shared" si="1047"/>
        <v>0</v>
      </c>
      <c r="G242" s="175">
        <f t="shared" si="1047"/>
        <v>0</v>
      </c>
      <c r="H242" s="144"/>
      <c r="I242" s="91"/>
      <c r="J242" s="84">
        <f t="shared" si="1024"/>
        <v>0</v>
      </c>
    </row>
    <row r="243" spans="5:10" x14ac:dyDescent="0.25">
      <c r="E243" s="175">
        <f t="shared" ref="E243:G243" si="1048">E98*-1</f>
        <v>0</v>
      </c>
      <c r="F243" s="175">
        <f t="shared" si="1048"/>
        <v>0</v>
      </c>
      <c r="G243" s="175">
        <f t="shared" si="1048"/>
        <v>0</v>
      </c>
      <c r="H243" s="144"/>
      <c r="I243" s="91"/>
      <c r="J243" s="84">
        <f t="shared" si="1024"/>
        <v>0</v>
      </c>
    </row>
    <row r="244" spans="5:10" x14ac:dyDescent="0.25">
      <c r="E244" s="175">
        <f t="shared" ref="E244:G244" si="1049">E99*-1</f>
        <v>0</v>
      </c>
      <c r="F244" s="175">
        <f t="shared" si="1049"/>
        <v>0</v>
      </c>
      <c r="G244" s="175">
        <f t="shared" si="1049"/>
        <v>0</v>
      </c>
      <c r="H244" s="144"/>
      <c r="I244" s="91"/>
      <c r="J244" s="84">
        <f t="shared" si="1024"/>
        <v>0</v>
      </c>
    </row>
    <row r="245" spans="5:10" x14ac:dyDescent="0.25">
      <c r="E245" s="175">
        <f t="shared" ref="E245:G245" si="1050">E100*-1</f>
        <v>0</v>
      </c>
      <c r="F245" s="175">
        <f t="shared" si="1050"/>
        <v>0</v>
      </c>
      <c r="G245" s="175">
        <f t="shared" si="1050"/>
        <v>0</v>
      </c>
      <c r="H245" s="144"/>
      <c r="I245" s="91"/>
      <c r="J245" s="84">
        <f t="shared" si="1024"/>
        <v>0</v>
      </c>
    </row>
    <row r="246" spans="5:10" x14ac:dyDescent="0.25">
      <c r="E246" s="175">
        <f t="shared" ref="E246:G246" si="1051">E101*-1</f>
        <v>0</v>
      </c>
      <c r="F246" s="175">
        <f t="shared" si="1051"/>
        <v>0</v>
      </c>
      <c r="G246" s="175">
        <f t="shared" si="1051"/>
        <v>0</v>
      </c>
      <c r="H246" s="144"/>
      <c r="I246" s="91"/>
      <c r="J246" s="84">
        <f t="shared" si="1024"/>
        <v>0</v>
      </c>
    </row>
    <row r="247" spans="5:10" x14ac:dyDescent="0.25">
      <c r="E247" s="175">
        <f t="shared" ref="E247:G247" si="1052">E102*-1</f>
        <v>0</v>
      </c>
      <c r="F247" s="175">
        <f t="shared" si="1052"/>
        <v>0</v>
      </c>
      <c r="G247" s="175">
        <f t="shared" si="1052"/>
        <v>0</v>
      </c>
      <c r="H247" s="144"/>
      <c r="I247" s="91"/>
      <c r="J247" s="84">
        <f t="shared" si="1024"/>
        <v>0</v>
      </c>
    </row>
    <row r="248" spans="5:10" x14ac:dyDescent="0.25">
      <c r="E248" s="175">
        <f t="shared" ref="E248:G248" si="1053">E103*-1</f>
        <v>0</v>
      </c>
      <c r="F248" s="175">
        <f t="shared" si="1053"/>
        <v>0</v>
      </c>
      <c r="G248" s="175">
        <f t="shared" si="1053"/>
        <v>0</v>
      </c>
      <c r="H248" s="144"/>
      <c r="I248" s="91"/>
      <c r="J248" s="84">
        <f t="shared" si="1024"/>
        <v>0</v>
      </c>
    </row>
    <row r="249" spans="5:10" x14ac:dyDescent="0.25">
      <c r="E249" s="175">
        <f t="shared" ref="E249:G249" si="1054">E104*-1</f>
        <v>0</v>
      </c>
      <c r="F249" s="175">
        <f t="shared" si="1054"/>
        <v>0</v>
      </c>
      <c r="G249" s="175">
        <f t="shared" si="1054"/>
        <v>0</v>
      </c>
      <c r="H249" s="144"/>
      <c r="I249" s="91"/>
      <c r="J249" s="84">
        <f t="shared" si="1024"/>
        <v>0</v>
      </c>
    </row>
    <row r="250" spans="5:10" x14ac:dyDescent="0.25">
      <c r="E250" s="175">
        <f t="shared" ref="E250:G250" si="1055">E105*-1</f>
        <v>0</v>
      </c>
      <c r="F250" s="175">
        <f t="shared" si="1055"/>
        <v>0</v>
      </c>
      <c r="G250" s="175">
        <f t="shared" si="1055"/>
        <v>0</v>
      </c>
      <c r="H250" s="144"/>
      <c r="I250" s="91"/>
      <c r="J250" s="84">
        <f t="shared" si="1024"/>
        <v>0</v>
      </c>
    </row>
    <row r="251" spans="5:10" x14ac:dyDescent="0.25">
      <c r="E251" s="175">
        <f t="shared" ref="E251:G251" si="1056">E106*-1</f>
        <v>0</v>
      </c>
      <c r="F251" s="175">
        <f t="shared" si="1056"/>
        <v>0</v>
      </c>
      <c r="G251" s="175">
        <f t="shared" si="1056"/>
        <v>0</v>
      </c>
      <c r="H251" s="144"/>
      <c r="I251" s="91"/>
      <c r="J251" s="84">
        <f t="shared" si="1024"/>
        <v>0</v>
      </c>
    </row>
    <row r="252" spans="5:10" x14ac:dyDescent="0.25">
      <c r="E252" s="175">
        <f t="shared" ref="E252:G252" si="1057">E107*-1</f>
        <v>0</v>
      </c>
      <c r="F252" s="175">
        <f t="shared" si="1057"/>
        <v>0</v>
      </c>
      <c r="G252" s="175">
        <f t="shared" si="1057"/>
        <v>0</v>
      </c>
      <c r="H252" s="144"/>
      <c r="I252" s="91"/>
      <c r="J252" s="84">
        <f t="shared" si="1024"/>
        <v>0</v>
      </c>
    </row>
    <row r="253" spans="5:10" x14ac:dyDescent="0.25">
      <c r="E253" s="175">
        <f t="shared" ref="E253:G253" si="1058">E108*-1</f>
        <v>0</v>
      </c>
      <c r="F253" s="175">
        <f t="shared" si="1058"/>
        <v>0</v>
      </c>
      <c r="G253" s="175">
        <f t="shared" si="1058"/>
        <v>0</v>
      </c>
      <c r="H253" s="144"/>
      <c r="I253" s="91"/>
      <c r="J253" s="84">
        <f t="shared" si="1024"/>
        <v>0</v>
      </c>
    </row>
    <row r="254" spans="5:10" x14ac:dyDescent="0.25">
      <c r="E254" s="175">
        <f t="shared" ref="E254:G254" si="1059">E109*-1</f>
        <v>0</v>
      </c>
      <c r="F254" s="175">
        <f t="shared" si="1059"/>
        <v>0</v>
      </c>
      <c r="G254" s="175">
        <f t="shared" si="1059"/>
        <v>0</v>
      </c>
      <c r="H254" s="144"/>
      <c r="I254" s="91"/>
      <c r="J254" s="84">
        <f t="shared" si="1024"/>
        <v>0</v>
      </c>
    </row>
    <row r="255" spans="5:10" x14ac:dyDescent="0.25">
      <c r="E255" s="175">
        <f t="shared" ref="E255:G255" si="1060">E110*-1</f>
        <v>0</v>
      </c>
      <c r="F255" s="175">
        <f t="shared" si="1060"/>
        <v>0</v>
      </c>
      <c r="G255" s="175">
        <f t="shared" si="1060"/>
        <v>0</v>
      </c>
      <c r="H255" s="144"/>
      <c r="I255" s="91"/>
      <c r="J255" s="84">
        <f t="shared" si="1024"/>
        <v>0</v>
      </c>
    </row>
    <row r="256" spans="5:10" x14ac:dyDescent="0.25">
      <c r="E256" s="175">
        <f t="shared" ref="E256:G256" si="1061">E111*-1</f>
        <v>0</v>
      </c>
      <c r="F256" s="175">
        <f t="shared" si="1061"/>
        <v>0</v>
      </c>
      <c r="G256" s="175">
        <f t="shared" si="1061"/>
        <v>0</v>
      </c>
      <c r="H256" s="144"/>
      <c r="I256" s="91"/>
      <c r="J256" s="84">
        <f t="shared" si="1024"/>
        <v>0</v>
      </c>
    </row>
    <row r="257" spans="5:10" x14ac:dyDescent="0.25">
      <c r="E257" s="175">
        <f t="shared" ref="E257:G257" si="1062">E112*-1</f>
        <v>0</v>
      </c>
      <c r="F257" s="175">
        <f t="shared" si="1062"/>
        <v>0</v>
      </c>
      <c r="G257" s="175">
        <f t="shared" si="1062"/>
        <v>0</v>
      </c>
      <c r="H257" s="144"/>
      <c r="I257" s="91"/>
      <c r="J257" s="84">
        <f t="shared" si="1024"/>
        <v>0</v>
      </c>
    </row>
    <row r="258" spans="5:10" x14ac:dyDescent="0.25">
      <c r="E258" s="175">
        <f t="shared" ref="E258:G258" si="1063">E113*-1</f>
        <v>0</v>
      </c>
      <c r="F258" s="175">
        <f t="shared" si="1063"/>
        <v>0</v>
      </c>
      <c r="G258" s="175">
        <f t="shared" si="1063"/>
        <v>0</v>
      </c>
      <c r="H258" s="144"/>
      <c r="I258" s="91"/>
      <c r="J258" s="84">
        <f t="shared" si="1024"/>
        <v>0</v>
      </c>
    </row>
    <row r="259" spans="5:10" x14ac:dyDescent="0.25">
      <c r="E259" s="175">
        <f t="shared" ref="E259:G259" si="1064">E114*-1</f>
        <v>0</v>
      </c>
      <c r="F259" s="175">
        <f t="shared" si="1064"/>
        <v>0</v>
      </c>
      <c r="G259" s="175">
        <f t="shared" si="1064"/>
        <v>0</v>
      </c>
      <c r="H259" s="144"/>
      <c r="I259" s="91"/>
      <c r="J259" s="84">
        <f t="shared" si="1024"/>
        <v>0</v>
      </c>
    </row>
    <row r="260" spans="5:10" x14ac:dyDescent="0.25">
      <c r="E260" s="175">
        <f t="shared" ref="E260:G260" si="1065">E115*-1</f>
        <v>0</v>
      </c>
      <c r="F260" s="175">
        <f t="shared" si="1065"/>
        <v>0</v>
      </c>
      <c r="G260" s="175">
        <f t="shared" si="1065"/>
        <v>0</v>
      </c>
      <c r="H260" s="144"/>
      <c r="I260" s="91"/>
      <c r="J260" s="84">
        <f t="shared" si="1024"/>
        <v>0</v>
      </c>
    </row>
    <row r="261" spans="5:10" x14ac:dyDescent="0.25">
      <c r="E261" s="175">
        <f t="shared" ref="E261:G261" si="1066">E116*-1</f>
        <v>0</v>
      </c>
      <c r="F261" s="175">
        <f t="shared" si="1066"/>
        <v>0</v>
      </c>
      <c r="G261" s="175">
        <f t="shared" si="1066"/>
        <v>0</v>
      </c>
      <c r="H261" s="144"/>
      <c r="I261" s="91"/>
      <c r="J261" s="84">
        <f t="shared" si="1024"/>
        <v>0</v>
      </c>
    </row>
    <row r="262" spans="5:10" x14ac:dyDescent="0.25">
      <c r="E262" s="175">
        <f t="shared" ref="E262:G262" si="1067">E117*-1</f>
        <v>0</v>
      </c>
      <c r="F262" s="175">
        <f t="shared" si="1067"/>
        <v>0</v>
      </c>
      <c r="G262" s="175">
        <f t="shared" si="1067"/>
        <v>0</v>
      </c>
      <c r="H262" s="144"/>
      <c r="I262" s="91"/>
      <c r="J262" s="84">
        <f t="shared" si="1024"/>
        <v>0</v>
      </c>
    </row>
    <row r="263" spans="5:10" x14ac:dyDescent="0.25">
      <c r="E263" s="175">
        <f t="shared" ref="E263:G263" si="1068">E118*-1</f>
        <v>0</v>
      </c>
      <c r="F263" s="175">
        <f t="shared" si="1068"/>
        <v>0</v>
      </c>
      <c r="G263" s="175">
        <f t="shared" si="1068"/>
        <v>0</v>
      </c>
      <c r="H263" s="144"/>
      <c r="I263" s="91"/>
      <c r="J263" s="84">
        <f t="shared" si="1024"/>
        <v>0</v>
      </c>
    </row>
    <row r="264" spans="5:10" x14ac:dyDescent="0.25">
      <c r="E264" s="175">
        <f t="shared" ref="E264:G264" si="1069">E119*-1</f>
        <v>0</v>
      </c>
      <c r="F264" s="175">
        <f t="shared" si="1069"/>
        <v>0</v>
      </c>
      <c r="G264" s="175">
        <f t="shared" si="1069"/>
        <v>0</v>
      </c>
      <c r="H264" s="144"/>
      <c r="I264" s="91"/>
      <c r="J264" s="84">
        <f t="shared" si="1024"/>
        <v>0</v>
      </c>
    </row>
    <row r="265" spans="5:10" x14ac:dyDescent="0.25">
      <c r="E265" s="175">
        <f t="shared" ref="E265:G265" si="1070">E120*-1</f>
        <v>0</v>
      </c>
      <c r="F265" s="175">
        <f t="shared" si="1070"/>
        <v>0</v>
      </c>
      <c r="G265" s="175">
        <f t="shared" si="1070"/>
        <v>0</v>
      </c>
      <c r="H265" s="144"/>
      <c r="I265" s="91"/>
      <c r="J265" s="84">
        <f t="shared" si="1024"/>
        <v>0</v>
      </c>
    </row>
    <row r="266" spans="5:10" x14ac:dyDescent="0.25">
      <c r="E266" s="175">
        <f t="shared" ref="E266:G266" si="1071">E121*-1</f>
        <v>0</v>
      </c>
      <c r="F266" s="175">
        <f t="shared" si="1071"/>
        <v>0</v>
      </c>
      <c r="G266" s="175">
        <f t="shared" si="1071"/>
        <v>0</v>
      </c>
      <c r="H266" s="144"/>
      <c r="I266" s="91"/>
      <c r="J266" s="84">
        <f t="shared" si="1024"/>
        <v>0</v>
      </c>
    </row>
    <row r="267" spans="5:10" x14ac:dyDescent="0.25">
      <c r="E267" s="175">
        <f t="shared" ref="E267:G267" si="1072">E122*-1</f>
        <v>0</v>
      </c>
      <c r="F267" s="175">
        <f t="shared" si="1072"/>
        <v>0</v>
      </c>
      <c r="G267" s="175">
        <f t="shared" si="1072"/>
        <v>0</v>
      </c>
      <c r="H267" s="144"/>
      <c r="I267" s="91"/>
      <c r="J267" s="84">
        <f t="shared" si="1024"/>
        <v>0</v>
      </c>
    </row>
    <row r="268" spans="5:10" x14ac:dyDescent="0.25">
      <c r="E268" s="175">
        <f t="shared" ref="E268:G268" si="1073">E123*-1</f>
        <v>0</v>
      </c>
      <c r="F268" s="175">
        <f t="shared" si="1073"/>
        <v>0</v>
      </c>
      <c r="G268" s="175">
        <f t="shared" si="1073"/>
        <v>0</v>
      </c>
      <c r="H268" s="144"/>
      <c r="I268" s="91"/>
      <c r="J268" s="84">
        <f t="shared" si="1024"/>
        <v>0</v>
      </c>
    </row>
    <row r="269" spans="5:10" x14ac:dyDescent="0.25">
      <c r="E269" s="175">
        <f t="shared" ref="E269:G269" si="1074">E124*-1</f>
        <v>0</v>
      </c>
      <c r="F269" s="175">
        <f t="shared" si="1074"/>
        <v>0</v>
      </c>
      <c r="G269" s="175">
        <f t="shared" si="1074"/>
        <v>0</v>
      </c>
      <c r="H269" s="144"/>
      <c r="I269" s="91"/>
      <c r="J269" s="84">
        <f t="shared" si="1024"/>
        <v>0</v>
      </c>
    </row>
    <row r="270" spans="5:10" x14ac:dyDescent="0.25">
      <c r="E270" s="175">
        <f t="shared" ref="E270:G270" si="1075">E125*-1</f>
        <v>0</v>
      </c>
      <c r="F270" s="175">
        <f t="shared" si="1075"/>
        <v>0</v>
      </c>
      <c r="G270" s="175">
        <f t="shared" si="1075"/>
        <v>0</v>
      </c>
      <c r="H270" s="144"/>
      <c r="I270" s="91"/>
      <c r="J270" s="84">
        <f t="shared" si="1024"/>
        <v>0</v>
      </c>
    </row>
    <row r="271" spans="5:10" x14ac:dyDescent="0.25">
      <c r="E271" s="175">
        <f t="shared" ref="E271:G271" si="1076">E126*-1</f>
        <v>0</v>
      </c>
      <c r="F271" s="175">
        <f t="shared" si="1076"/>
        <v>0</v>
      </c>
      <c r="G271" s="175">
        <f t="shared" si="1076"/>
        <v>0</v>
      </c>
      <c r="H271" s="144"/>
      <c r="I271" s="91"/>
      <c r="J271" s="84">
        <f t="shared" si="1024"/>
        <v>0</v>
      </c>
    </row>
    <row r="272" spans="5:10" x14ac:dyDescent="0.25">
      <c r="E272" s="175">
        <f t="shared" ref="E272:G272" si="1077">E127*-1</f>
        <v>0</v>
      </c>
      <c r="F272" s="175">
        <f t="shared" si="1077"/>
        <v>0</v>
      </c>
      <c r="G272" s="175">
        <f t="shared" si="1077"/>
        <v>0</v>
      </c>
      <c r="H272" s="144"/>
      <c r="I272" s="91"/>
      <c r="J272" s="84">
        <f t="shared" si="1024"/>
        <v>0</v>
      </c>
    </row>
    <row r="273" spans="5:10" x14ac:dyDescent="0.25">
      <c r="E273" s="175">
        <f t="shared" ref="E273:G273" si="1078">E128*-1</f>
        <v>0</v>
      </c>
      <c r="F273" s="175">
        <f t="shared" si="1078"/>
        <v>0</v>
      </c>
      <c r="G273" s="175">
        <f t="shared" si="1078"/>
        <v>0</v>
      </c>
      <c r="H273" s="144"/>
      <c r="I273" s="91"/>
      <c r="J273" s="84">
        <f t="shared" si="1024"/>
        <v>0</v>
      </c>
    </row>
    <row r="274" spans="5:10" x14ac:dyDescent="0.25">
      <c r="E274" s="175">
        <f t="shared" ref="E274:G274" si="1079">E129*-1</f>
        <v>0</v>
      </c>
      <c r="F274" s="175">
        <f t="shared" si="1079"/>
        <v>0</v>
      </c>
      <c r="G274" s="175">
        <f t="shared" si="1079"/>
        <v>0</v>
      </c>
      <c r="H274" s="144"/>
      <c r="I274" s="91"/>
      <c r="J274" s="84">
        <f t="shared" si="1024"/>
        <v>0</v>
      </c>
    </row>
    <row r="275" spans="5:10" x14ac:dyDescent="0.25">
      <c r="E275" s="175">
        <f t="shared" ref="E275:G275" si="1080">E130*-1</f>
        <v>0</v>
      </c>
      <c r="F275" s="175">
        <f t="shared" si="1080"/>
        <v>0</v>
      </c>
      <c r="G275" s="175">
        <f t="shared" si="1080"/>
        <v>0</v>
      </c>
      <c r="H275" s="144"/>
      <c r="I275" s="91"/>
      <c r="J275" s="84">
        <f t="shared" si="1024"/>
        <v>0</v>
      </c>
    </row>
    <row r="276" spans="5:10" x14ac:dyDescent="0.25">
      <c r="E276" s="175">
        <f t="shared" ref="E276:G276" si="1081">E131*-1</f>
        <v>0</v>
      </c>
      <c r="F276" s="175">
        <f t="shared" si="1081"/>
        <v>0</v>
      </c>
      <c r="G276" s="175">
        <f t="shared" si="1081"/>
        <v>0</v>
      </c>
      <c r="H276" s="144"/>
      <c r="I276" s="91"/>
      <c r="J276" s="84">
        <f t="shared" si="1024"/>
        <v>0</v>
      </c>
    </row>
    <row r="277" spans="5:10" x14ac:dyDescent="0.25">
      <c r="E277" s="175">
        <f t="shared" ref="E277:G277" si="1082">E132*-1</f>
        <v>0</v>
      </c>
      <c r="F277" s="175">
        <f t="shared" si="1082"/>
        <v>0</v>
      </c>
      <c r="G277" s="175">
        <f t="shared" si="1082"/>
        <v>0</v>
      </c>
      <c r="H277" s="144"/>
      <c r="I277" s="91"/>
      <c r="J277" s="84">
        <f t="shared" si="1024"/>
        <v>0</v>
      </c>
    </row>
    <row r="278" spans="5:10" x14ac:dyDescent="0.25">
      <c r="E278" s="175">
        <f t="shared" ref="E278:G278" si="1083">E133*-1</f>
        <v>0</v>
      </c>
      <c r="F278" s="175">
        <f t="shared" si="1083"/>
        <v>0</v>
      </c>
      <c r="G278" s="175">
        <f t="shared" si="1083"/>
        <v>0</v>
      </c>
      <c r="H278" s="144"/>
      <c r="I278" s="91"/>
      <c r="J278" s="84">
        <f t="shared" si="1024"/>
        <v>0</v>
      </c>
    </row>
    <row r="279" spans="5:10" x14ac:dyDescent="0.25">
      <c r="E279" s="175">
        <f t="shared" ref="E279:G279" si="1084">E134*-1</f>
        <v>0</v>
      </c>
      <c r="F279" s="175">
        <f t="shared" si="1084"/>
        <v>0</v>
      </c>
      <c r="G279" s="175">
        <f t="shared" si="1084"/>
        <v>0</v>
      </c>
      <c r="H279" s="144"/>
      <c r="I279" s="91"/>
      <c r="J279" s="84">
        <f t="shared" si="1024"/>
        <v>0</v>
      </c>
    </row>
    <row r="280" spans="5:10" x14ac:dyDescent="0.25">
      <c r="E280" s="175">
        <f t="shared" ref="E280:G280" si="1085">E135*-1</f>
        <v>0</v>
      </c>
      <c r="F280" s="175">
        <f t="shared" si="1085"/>
        <v>0</v>
      </c>
      <c r="G280" s="175">
        <f t="shared" si="1085"/>
        <v>0</v>
      </c>
      <c r="H280" s="144"/>
      <c r="I280" s="91"/>
      <c r="J280" s="84">
        <f t="shared" si="1024"/>
        <v>0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1313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1.1080000000000001</v>
      </c>
      <c r="N166" s="594" t="str">
        <f>Assy.Model!K11</f>
        <v>1313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1.1140000000000001</v>
      </c>
      <c r="N167" s="594" t="str">
        <f>Assy.Model!K12</f>
        <v>1313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1.1220000000000001</v>
      </c>
      <c r="N168" s="594" t="str">
        <f>Assy.Model!K13</f>
        <v>1313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1.1299999999999999</v>
      </c>
      <c r="N169" s="594" t="str">
        <f>Assy.Model!K14</f>
        <v>1313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1.1379999999999999</v>
      </c>
      <c r="N170" s="594" t="str">
        <f>Assy.Model!K15</f>
        <v>1313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1.1459999999999999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2.113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2.121</v>
      </c>
      <c r="N173" s="594" t="str">
        <f>Assy.Model!K18</f>
        <v>1313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2.129</v>
      </c>
      <c r="N174" s="594" t="str">
        <f>Assy.Model!K19</f>
        <v>1313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2.137</v>
      </c>
      <c r="N175" s="594" t="str">
        <f>Assy.Model!K20</f>
        <v>1313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2.145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3.1030000000000002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3.1070000000000002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3.1120000000000001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3.12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3.1280000000000001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3.1360000000000001</v>
      </c>
      <c r="N182" s="594" t="str">
        <f>Assy.Model!K27</f>
        <v>1313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3.1440000000000001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4.1189999999999998</v>
      </c>
      <c r="N184" s="594" t="str">
        <f>Assy.Model!K29</f>
        <v>1313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4.1269999999999998</v>
      </c>
      <c r="N185" s="594" t="str">
        <f>Assy.Model!K30</f>
        <v>1313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4.1349999999999998</v>
      </c>
      <c r="N186" s="594" t="str">
        <f>Assy.Model!K31</f>
        <v>1313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4.1429999999999998</v>
      </c>
      <c r="N187" s="594" t="str">
        <f>Assy.Model!K32</f>
        <v>1313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5.1020000000000003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5.1059999999999999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5.1109999999999998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5.1180000000000003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5.1260000000000003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5.1340000000000003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5.1420000000000003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6.11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6.117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6.125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6.133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6.141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7.1050000000000004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7.109</v>
      </c>
      <c r="N201" s="594" t="str">
        <f>Assy.Model!K46</f>
        <v>1313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7.1159999999999997</v>
      </c>
      <c r="N202" s="594" t="str">
        <f>Assy.Model!K47</f>
        <v>1313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7.1239999999999997</v>
      </c>
      <c r="N203" s="594" t="str">
        <f>Assy.Model!K48</f>
        <v>1313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7.1319999999999997</v>
      </c>
      <c r="N204" s="594" t="str">
        <f>Assy.Model!K49</f>
        <v>1313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7.14</v>
      </c>
      <c r="N205" s="594" t="str">
        <f>Assy.Model!K50</f>
        <v>1313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8.1150000000000002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8.1229999999999993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8.1310000000000002</v>
      </c>
      <c r="N208" s="594" t="str">
        <f>Assy.Model!K53</f>
        <v>1313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8.1389999999999993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 t="str">
        <f>Assy.Model!$M55</f>
        <v/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2023-03-16T16:26:59Z</dcterms:modified>
</cp:coreProperties>
</file>